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A6ABFBBC-C7C5-45FD-A4F2-C267C382928C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Raw Data" sheetId="12" r:id="rId1"/>
    <sheet name="Cleaned_HR_data" sheetId="1" r:id="rId2"/>
    <sheet name="Workforce Overview" sheetId="5" r:id="rId3"/>
    <sheet name="Attrition Analysis" sheetId="8" r:id="rId4"/>
    <sheet name="Age Group Analysis" sheetId="13" r:id="rId5"/>
    <sheet name="Employment Status" sheetId="11" r:id="rId6"/>
    <sheet name="Job Satisfaction" sheetId="6" r:id="rId7"/>
    <sheet name="Findings" sheetId="9" r:id="rId8"/>
    <sheet name="Data_dictionary" sheetId="2" r:id="rId9"/>
  </sheets>
  <definedNames>
    <definedName name="_xlnm._FilterDatabase" localSheetId="1" hidden="1">Cleaned_HR_data!$A$1:$AF$1001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z0q5QGhX/ZXEgYOh6a3FnUivoxjt7R25vs2GyfZhOkE="/>
    </ext>
  </extLst>
</workbook>
</file>

<file path=xl/calcChain.xml><?xml version="1.0" encoding="utf-8"?>
<calcChain xmlns="http://schemas.openxmlformats.org/spreadsheetml/2006/main">
  <c r="H4" i="1" l="1" a="1"/>
  <c r="H4" i="1" s="1"/>
  <c r="D31" i="6"/>
  <c r="D32" i="6"/>
  <c r="D33" i="6"/>
  <c r="D34" i="6"/>
  <c r="D35" i="6"/>
  <c r="D36" i="6"/>
  <c r="D15" i="13"/>
  <c r="D16" i="13"/>
  <c r="D17" i="13"/>
  <c r="D14" i="13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2" i="1"/>
  <c r="AB3" i="1" a="1"/>
  <c r="AB3" i="1" s="1"/>
  <c r="AB4" i="1" a="1"/>
  <c r="AB4" i="1" s="1"/>
  <c r="AB5" i="1" a="1"/>
  <c r="AB5" i="1" s="1"/>
  <c r="AB6" i="1" a="1"/>
  <c r="AB6" i="1" s="1"/>
  <c r="AB7" i="1" a="1"/>
  <c r="AB7" i="1" s="1"/>
  <c r="AB8" i="1" a="1"/>
  <c r="AB8" i="1" s="1"/>
  <c r="AB9" i="1" a="1"/>
  <c r="AB9" i="1" s="1"/>
  <c r="AB10" i="1" a="1"/>
  <c r="AB10" i="1" s="1"/>
  <c r="AB11" i="1" a="1"/>
  <c r="AB11" i="1" s="1"/>
  <c r="AB12" i="1" a="1"/>
  <c r="AB12" i="1" s="1"/>
  <c r="AB13" i="1" a="1"/>
  <c r="AB13" i="1" s="1"/>
  <c r="AB14" i="1" a="1"/>
  <c r="AB14" i="1" s="1"/>
  <c r="AB15" i="1" a="1"/>
  <c r="AB15" i="1" s="1"/>
  <c r="AB16" i="1" a="1"/>
  <c r="AB16" i="1" s="1"/>
  <c r="AB17" i="1" a="1"/>
  <c r="AB17" i="1" s="1"/>
  <c r="AB18" i="1" a="1"/>
  <c r="AB18" i="1" s="1"/>
  <c r="AB19" i="1" a="1"/>
  <c r="AB19" i="1" s="1"/>
  <c r="AB20" i="1" a="1"/>
  <c r="AB20" i="1" s="1"/>
  <c r="AB21" i="1" a="1"/>
  <c r="AB21" i="1" s="1"/>
  <c r="AB22" i="1" a="1"/>
  <c r="AB22" i="1" s="1"/>
  <c r="AB23" i="1" a="1"/>
  <c r="AB23" i="1" s="1"/>
  <c r="AB24" i="1" a="1"/>
  <c r="AB24" i="1" s="1"/>
  <c r="AB25" i="1" a="1"/>
  <c r="AB25" i="1" s="1"/>
  <c r="AB26" i="1" a="1"/>
  <c r="AB26" i="1" s="1"/>
  <c r="AB27" i="1" a="1"/>
  <c r="AB27" i="1" s="1"/>
  <c r="AB28" i="1" a="1"/>
  <c r="AB28" i="1" s="1"/>
  <c r="AB29" i="1" a="1"/>
  <c r="AB29" i="1" s="1"/>
  <c r="AB30" i="1" a="1"/>
  <c r="AB30" i="1" s="1"/>
  <c r="AB31" i="1" a="1"/>
  <c r="AB31" i="1" s="1"/>
  <c r="AB32" i="1" a="1"/>
  <c r="AB32" i="1" s="1"/>
  <c r="AB33" i="1" a="1"/>
  <c r="AB33" i="1" s="1"/>
  <c r="AB34" i="1" a="1"/>
  <c r="AB34" i="1" s="1"/>
  <c r="AB35" i="1" a="1"/>
  <c r="AB35" i="1" s="1"/>
  <c r="AB36" i="1" a="1"/>
  <c r="AB36" i="1" s="1"/>
  <c r="AB37" i="1" a="1"/>
  <c r="AB37" i="1" s="1"/>
  <c r="AB38" i="1" a="1"/>
  <c r="AB38" i="1" s="1"/>
  <c r="AB39" i="1" a="1"/>
  <c r="AB39" i="1" s="1"/>
  <c r="AB40" i="1" a="1"/>
  <c r="AB40" i="1" s="1"/>
  <c r="AB41" i="1" a="1"/>
  <c r="AB41" i="1" s="1"/>
  <c r="AB42" i="1" a="1"/>
  <c r="AB42" i="1" s="1"/>
  <c r="AB43" i="1" a="1"/>
  <c r="AB43" i="1" s="1"/>
  <c r="AB44" i="1" a="1"/>
  <c r="AB44" i="1" s="1"/>
  <c r="AB45" i="1" a="1"/>
  <c r="AB45" i="1" s="1"/>
  <c r="AB46" i="1" a="1"/>
  <c r="AB46" i="1" s="1"/>
  <c r="AB47" i="1" a="1"/>
  <c r="AB47" i="1" s="1"/>
  <c r="AB48" i="1" a="1"/>
  <c r="AB48" i="1" s="1"/>
  <c r="AB49" i="1" a="1"/>
  <c r="AB49" i="1" s="1"/>
  <c r="AB50" i="1" a="1"/>
  <c r="AB50" i="1" s="1"/>
  <c r="AB51" i="1" a="1"/>
  <c r="AB51" i="1" s="1"/>
  <c r="AB52" i="1" a="1"/>
  <c r="AB52" i="1" s="1"/>
  <c r="AB53" i="1" a="1"/>
  <c r="AB53" i="1" s="1"/>
  <c r="AB54" i="1" a="1"/>
  <c r="AB54" i="1" s="1"/>
  <c r="AB55" i="1" a="1"/>
  <c r="AB55" i="1" s="1"/>
  <c r="AB56" i="1" a="1"/>
  <c r="AB56" i="1" s="1"/>
  <c r="AB57" i="1" a="1"/>
  <c r="AB57" i="1" s="1"/>
  <c r="AB58" i="1" a="1"/>
  <c r="AB58" i="1" s="1"/>
  <c r="AB59" i="1" a="1"/>
  <c r="AB59" i="1" s="1"/>
  <c r="AB60" i="1" a="1"/>
  <c r="AB60" i="1" s="1"/>
  <c r="AB61" i="1" a="1"/>
  <c r="AB61" i="1" s="1"/>
  <c r="AB62" i="1" a="1"/>
  <c r="AB62" i="1" s="1"/>
  <c r="AB63" i="1" a="1"/>
  <c r="AB63" i="1" s="1"/>
  <c r="AB64" i="1" a="1"/>
  <c r="AB64" i="1" s="1"/>
  <c r="AB65" i="1" a="1"/>
  <c r="AB65" i="1" s="1"/>
  <c r="AB66" i="1" a="1"/>
  <c r="AB66" i="1" s="1"/>
  <c r="AB67" i="1" a="1"/>
  <c r="AB67" i="1" s="1"/>
  <c r="AB68" i="1" a="1"/>
  <c r="AB68" i="1" s="1"/>
  <c r="AB69" i="1" a="1"/>
  <c r="AB69" i="1" s="1"/>
  <c r="AB70" i="1" a="1"/>
  <c r="AB70" i="1" s="1"/>
  <c r="AB71" i="1" a="1"/>
  <c r="AB71" i="1" s="1"/>
  <c r="AB72" i="1" a="1"/>
  <c r="AB72" i="1" s="1"/>
  <c r="AB73" i="1" a="1"/>
  <c r="AB73" i="1" s="1"/>
  <c r="AB74" i="1" a="1"/>
  <c r="AB74" i="1" s="1"/>
  <c r="AB75" i="1" a="1"/>
  <c r="AB75" i="1" s="1"/>
  <c r="AB76" i="1" a="1"/>
  <c r="AB76" i="1" s="1"/>
  <c r="AB77" i="1" a="1"/>
  <c r="AB77" i="1" s="1"/>
  <c r="AB78" i="1" a="1"/>
  <c r="AB78" i="1" s="1"/>
  <c r="AB79" i="1" a="1"/>
  <c r="AB79" i="1" s="1"/>
  <c r="AB80" i="1" a="1"/>
  <c r="AB80" i="1" s="1"/>
  <c r="AB81" i="1" a="1"/>
  <c r="AB81" i="1" s="1"/>
  <c r="AB82" i="1" a="1"/>
  <c r="AB82" i="1" s="1"/>
  <c r="AB83" i="1" a="1"/>
  <c r="AB83" i="1" s="1"/>
  <c r="AB84" i="1" a="1"/>
  <c r="AB84" i="1" s="1"/>
  <c r="AB85" i="1" a="1"/>
  <c r="AB85" i="1" s="1"/>
  <c r="AB86" i="1" a="1"/>
  <c r="AB86" i="1" s="1"/>
  <c r="AB87" i="1" a="1"/>
  <c r="AB87" i="1" s="1"/>
  <c r="AB88" i="1" a="1"/>
  <c r="AB88" i="1" s="1"/>
  <c r="AB89" i="1" a="1"/>
  <c r="AB89" i="1" s="1"/>
  <c r="AB90" i="1" a="1"/>
  <c r="AB90" i="1" s="1"/>
  <c r="AB91" i="1" a="1"/>
  <c r="AB91" i="1" s="1"/>
  <c r="AB92" i="1" a="1"/>
  <c r="AB92" i="1" s="1"/>
  <c r="AB93" i="1" a="1"/>
  <c r="AB93" i="1" s="1"/>
  <c r="AB94" i="1" a="1"/>
  <c r="AB94" i="1" s="1"/>
  <c r="AB95" i="1" a="1"/>
  <c r="AB95" i="1" s="1"/>
  <c r="AB96" i="1" a="1"/>
  <c r="AB96" i="1" s="1"/>
  <c r="AB97" i="1" a="1"/>
  <c r="AB97" i="1" s="1"/>
  <c r="AB98" i="1" a="1"/>
  <c r="AB98" i="1" s="1"/>
  <c r="AB99" i="1" a="1"/>
  <c r="AB99" i="1" s="1"/>
  <c r="AB100" i="1" a="1"/>
  <c r="AB100" i="1" s="1"/>
  <c r="AB101" i="1" a="1"/>
  <c r="AB101" i="1" s="1"/>
  <c r="AB102" i="1" a="1"/>
  <c r="AB102" i="1" s="1"/>
  <c r="AB103" i="1" a="1"/>
  <c r="AB103" i="1" s="1"/>
  <c r="AB104" i="1" a="1"/>
  <c r="AB104" i="1" s="1"/>
  <c r="AB105" i="1" a="1"/>
  <c r="AB105" i="1" s="1"/>
  <c r="AB106" i="1" a="1"/>
  <c r="AB106" i="1" s="1"/>
  <c r="AB107" i="1" a="1"/>
  <c r="AB107" i="1" s="1"/>
  <c r="AB108" i="1" a="1"/>
  <c r="AB108" i="1" s="1"/>
  <c r="AB109" i="1" a="1"/>
  <c r="AB109" i="1" s="1"/>
  <c r="AB110" i="1" a="1"/>
  <c r="AB110" i="1" s="1"/>
  <c r="AB111" i="1" a="1"/>
  <c r="AB111" i="1" s="1"/>
  <c r="AB112" i="1" a="1"/>
  <c r="AB112" i="1" s="1"/>
  <c r="AB113" i="1" a="1"/>
  <c r="AB113" i="1" s="1"/>
  <c r="AB114" i="1" a="1"/>
  <c r="AB114" i="1" s="1"/>
  <c r="AB115" i="1" a="1"/>
  <c r="AB115" i="1" s="1"/>
  <c r="AB116" i="1" a="1"/>
  <c r="AB116" i="1" s="1"/>
  <c r="AB117" i="1" a="1"/>
  <c r="AB117" i="1" s="1"/>
  <c r="AB118" i="1" a="1"/>
  <c r="AB118" i="1" s="1"/>
  <c r="AB119" i="1" a="1"/>
  <c r="AB119" i="1" s="1"/>
  <c r="AB120" i="1" a="1"/>
  <c r="AB120" i="1" s="1"/>
  <c r="AB121" i="1" a="1"/>
  <c r="AB121" i="1" s="1"/>
  <c r="AB122" i="1" a="1"/>
  <c r="AB122" i="1" s="1"/>
  <c r="AB123" i="1" a="1"/>
  <c r="AB123" i="1" s="1"/>
  <c r="AB124" i="1" a="1"/>
  <c r="AB124" i="1" s="1"/>
  <c r="AB125" i="1" a="1"/>
  <c r="AB125" i="1" s="1"/>
  <c r="AB126" i="1" a="1"/>
  <c r="AB126" i="1" s="1"/>
  <c r="AB127" i="1" a="1"/>
  <c r="AB127" i="1" s="1"/>
  <c r="AB128" i="1" a="1"/>
  <c r="AB128" i="1" s="1"/>
  <c r="AB129" i="1" a="1"/>
  <c r="AB129" i="1" s="1"/>
  <c r="AB130" i="1" a="1"/>
  <c r="AB130" i="1" s="1"/>
  <c r="AB131" i="1" a="1"/>
  <c r="AB131" i="1" s="1"/>
  <c r="AB132" i="1" a="1"/>
  <c r="AB132" i="1" s="1"/>
  <c r="AB133" i="1" a="1"/>
  <c r="AB133" i="1" s="1"/>
  <c r="AB134" i="1" a="1"/>
  <c r="AB134" i="1" s="1"/>
  <c r="AB135" i="1" a="1"/>
  <c r="AB135" i="1" s="1"/>
  <c r="AB136" i="1" a="1"/>
  <c r="AB136" i="1" s="1"/>
  <c r="AB137" i="1" a="1"/>
  <c r="AB137" i="1" s="1"/>
  <c r="AB138" i="1" a="1"/>
  <c r="AB138" i="1" s="1"/>
  <c r="AB139" i="1" a="1"/>
  <c r="AB139" i="1" s="1"/>
  <c r="AB140" i="1" a="1"/>
  <c r="AB140" i="1" s="1"/>
  <c r="AB141" i="1" a="1"/>
  <c r="AB141" i="1" s="1"/>
  <c r="AB142" i="1" a="1"/>
  <c r="AB142" i="1" s="1"/>
  <c r="AB143" i="1" a="1"/>
  <c r="AB143" i="1" s="1"/>
  <c r="AB144" i="1" a="1"/>
  <c r="AB144" i="1" s="1"/>
  <c r="AB145" i="1" a="1"/>
  <c r="AB145" i="1" s="1"/>
  <c r="AB146" i="1" a="1"/>
  <c r="AB146" i="1" s="1"/>
  <c r="AB147" i="1" a="1"/>
  <c r="AB147" i="1" s="1"/>
  <c r="AB148" i="1" a="1"/>
  <c r="AB148" i="1" s="1"/>
  <c r="AB149" i="1" a="1"/>
  <c r="AB149" i="1" s="1"/>
  <c r="AB150" i="1" a="1"/>
  <c r="AB150" i="1" s="1"/>
  <c r="AB151" i="1" a="1"/>
  <c r="AB151" i="1" s="1"/>
  <c r="AB152" i="1" a="1"/>
  <c r="AB152" i="1" s="1"/>
  <c r="AB153" i="1" a="1"/>
  <c r="AB153" i="1" s="1"/>
  <c r="AB154" i="1" a="1"/>
  <c r="AB154" i="1" s="1"/>
  <c r="AB155" i="1" a="1"/>
  <c r="AB155" i="1" s="1"/>
  <c r="AB156" i="1" a="1"/>
  <c r="AB156" i="1" s="1"/>
  <c r="AB157" i="1" a="1"/>
  <c r="AB157" i="1" s="1"/>
  <c r="AB158" i="1" a="1"/>
  <c r="AB158" i="1" s="1"/>
  <c r="AB159" i="1" a="1"/>
  <c r="AB159" i="1" s="1"/>
  <c r="AB160" i="1" a="1"/>
  <c r="AB160" i="1" s="1"/>
  <c r="AB161" i="1" a="1"/>
  <c r="AB161" i="1" s="1"/>
  <c r="AB162" i="1" a="1"/>
  <c r="AB162" i="1" s="1"/>
  <c r="AB163" i="1" a="1"/>
  <c r="AB163" i="1" s="1"/>
  <c r="AB164" i="1" a="1"/>
  <c r="AB164" i="1" s="1"/>
  <c r="AB165" i="1" a="1"/>
  <c r="AB165" i="1" s="1"/>
  <c r="AB166" i="1" a="1"/>
  <c r="AB166" i="1" s="1"/>
  <c r="AB167" i="1" a="1"/>
  <c r="AB167" i="1" s="1"/>
  <c r="AB168" i="1" a="1"/>
  <c r="AB168" i="1" s="1"/>
  <c r="AB169" i="1" a="1"/>
  <c r="AB169" i="1" s="1"/>
  <c r="AB170" i="1" a="1"/>
  <c r="AB170" i="1" s="1"/>
  <c r="AB171" i="1" a="1"/>
  <c r="AB171" i="1" s="1"/>
  <c r="AB172" i="1" a="1"/>
  <c r="AB172" i="1" s="1"/>
  <c r="AB173" i="1" a="1"/>
  <c r="AB173" i="1" s="1"/>
  <c r="AB174" i="1" a="1"/>
  <c r="AB174" i="1" s="1"/>
  <c r="AB175" i="1" a="1"/>
  <c r="AB175" i="1" s="1"/>
  <c r="AB176" i="1" a="1"/>
  <c r="AB176" i="1" s="1"/>
  <c r="AB177" i="1" a="1"/>
  <c r="AB177" i="1" s="1"/>
  <c r="AB178" i="1" a="1"/>
  <c r="AB178" i="1" s="1"/>
  <c r="AB179" i="1" a="1"/>
  <c r="AB179" i="1" s="1"/>
  <c r="AB180" i="1" a="1"/>
  <c r="AB180" i="1" s="1"/>
  <c r="AB181" i="1" a="1"/>
  <c r="AB181" i="1" s="1"/>
  <c r="AB182" i="1" a="1"/>
  <c r="AB182" i="1" s="1"/>
  <c r="AB183" i="1" a="1"/>
  <c r="AB183" i="1" s="1"/>
  <c r="AB184" i="1" a="1"/>
  <c r="AB184" i="1" s="1"/>
  <c r="AB185" i="1" a="1"/>
  <c r="AB185" i="1" s="1"/>
  <c r="AB186" i="1" a="1"/>
  <c r="AB186" i="1" s="1"/>
  <c r="AB187" i="1" a="1"/>
  <c r="AB187" i="1" s="1"/>
  <c r="AB188" i="1" a="1"/>
  <c r="AB188" i="1" s="1"/>
  <c r="AB189" i="1" a="1"/>
  <c r="AB189" i="1" s="1"/>
  <c r="AB190" i="1" a="1"/>
  <c r="AB190" i="1" s="1"/>
  <c r="AB191" i="1" a="1"/>
  <c r="AB191" i="1" s="1"/>
  <c r="AB192" i="1" a="1"/>
  <c r="AB192" i="1" s="1"/>
  <c r="AB193" i="1" a="1"/>
  <c r="AB193" i="1" s="1"/>
  <c r="AB194" i="1" a="1"/>
  <c r="AB194" i="1" s="1"/>
  <c r="AB195" i="1" a="1"/>
  <c r="AB195" i="1" s="1"/>
  <c r="AB196" i="1" a="1"/>
  <c r="AB196" i="1" s="1"/>
  <c r="AB197" i="1" a="1"/>
  <c r="AB197" i="1" s="1"/>
  <c r="AB198" i="1" a="1"/>
  <c r="AB198" i="1" s="1"/>
  <c r="AB199" i="1" a="1"/>
  <c r="AB199" i="1" s="1"/>
  <c r="AB200" i="1" a="1"/>
  <c r="AB200" i="1" s="1"/>
  <c r="AB201" i="1" a="1"/>
  <c r="AB201" i="1" s="1"/>
  <c r="AB202" i="1" a="1"/>
  <c r="AB202" i="1" s="1"/>
  <c r="AB203" i="1" a="1"/>
  <c r="AB203" i="1" s="1"/>
  <c r="AB204" i="1" a="1"/>
  <c r="AB204" i="1" s="1"/>
  <c r="AB205" i="1" a="1"/>
  <c r="AB205" i="1" s="1"/>
  <c r="AB206" i="1" a="1"/>
  <c r="AB206" i="1" s="1"/>
  <c r="AB207" i="1" a="1"/>
  <c r="AB207" i="1" s="1"/>
  <c r="AB208" i="1" a="1"/>
  <c r="AB208" i="1" s="1"/>
  <c r="AB209" i="1" a="1"/>
  <c r="AB209" i="1" s="1"/>
  <c r="AB210" i="1" a="1"/>
  <c r="AB210" i="1" s="1"/>
  <c r="AB211" i="1" a="1"/>
  <c r="AB211" i="1" s="1"/>
  <c r="AB212" i="1" a="1"/>
  <c r="AB212" i="1" s="1"/>
  <c r="AB213" i="1" a="1"/>
  <c r="AB213" i="1" s="1"/>
  <c r="AB214" i="1" a="1"/>
  <c r="AB214" i="1" s="1"/>
  <c r="AB215" i="1" a="1"/>
  <c r="AB215" i="1" s="1"/>
  <c r="AB216" i="1" a="1"/>
  <c r="AB216" i="1" s="1"/>
  <c r="AB217" i="1" a="1"/>
  <c r="AB217" i="1" s="1"/>
  <c r="AB218" i="1" a="1"/>
  <c r="AB218" i="1" s="1"/>
  <c r="AB219" i="1" a="1"/>
  <c r="AB219" i="1" s="1"/>
  <c r="AB220" i="1" a="1"/>
  <c r="AB220" i="1" s="1"/>
  <c r="AB221" i="1" a="1"/>
  <c r="AB221" i="1" s="1"/>
  <c r="AB222" i="1" a="1"/>
  <c r="AB222" i="1" s="1"/>
  <c r="AB223" i="1" a="1"/>
  <c r="AB223" i="1" s="1"/>
  <c r="AB224" i="1" a="1"/>
  <c r="AB224" i="1" s="1"/>
  <c r="AB225" i="1" a="1"/>
  <c r="AB225" i="1" s="1"/>
  <c r="AB226" i="1" a="1"/>
  <c r="AB226" i="1" s="1"/>
  <c r="AB227" i="1" a="1"/>
  <c r="AB227" i="1" s="1"/>
  <c r="AB228" i="1" a="1"/>
  <c r="AB228" i="1" s="1"/>
  <c r="AB229" i="1" a="1"/>
  <c r="AB229" i="1" s="1"/>
  <c r="AB230" i="1" a="1"/>
  <c r="AB230" i="1" s="1"/>
  <c r="AB231" i="1" a="1"/>
  <c r="AB231" i="1" s="1"/>
  <c r="AB232" i="1" a="1"/>
  <c r="AB232" i="1" s="1"/>
  <c r="AB233" i="1" a="1"/>
  <c r="AB233" i="1" s="1"/>
  <c r="AB234" i="1" a="1"/>
  <c r="AB234" i="1" s="1"/>
  <c r="AB235" i="1" a="1"/>
  <c r="AB235" i="1" s="1"/>
  <c r="AB236" i="1" a="1"/>
  <c r="AB236" i="1" s="1"/>
  <c r="AB237" i="1" a="1"/>
  <c r="AB237" i="1" s="1"/>
  <c r="AB238" i="1" a="1"/>
  <c r="AB238" i="1" s="1"/>
  <c r="AB239" i="1" a="1"/>
  <c r="AB239" i="1" s="1"/>
  <c r="AB240" i="1" a="1"/>
  <c r="AB240" i="1" s="1"/>
  <c r="AB241" i="1" a="1"/>
  <c r="AB241" i="1" s="1"/>
  <c r="AB242" i="1" a="1"/>
  <c r="AB242" i="1" s="1"/>
  <c r="AB243" i="1" a="1"/>
  <c r="AB243" i="1" s="1"/>
  <c r="AB244" i="1" a="1"/>
  <c r="AB244" i="1" s="1"/>
  <c r="AB245" i="1" a="1"/>
  <c r="AB245" i="1" s="1"/>
  <c r="AB246" i="1" a="1"/>
  <c r="AB246" i="1" s="1"/>
  <c r="AB247" i="1" a="1"/>
  <c r="AB247" i="1" s="1"/>
  <c r="AB248" i="1" a="1"/>
  <c r="AB248" i="1" s="1"/>
  <c r="AB249" i="1" a="1"/>
  <c r="AB249" i="1" s="1"/>
  <c r="AB250" i="1" a="1"/>
  <c r="AB250" i="1" s="1"/>
  <c r="AB251" i="1" a="1"/>
  <c r="AB251" i="1" s="1"/>
  <c r="AB252" i="1" a="1"/>
  <c r="AB252" i="1" s="1"/>
  <c r="AB253" i="1" a="1"/>
  <c r="AB253" i="1" s="1"/>
  <c r="AB254" i="1" a="1"/>
  <c r="AB254" i="1" s="1"/>
  <c r="AB255" i="1" a="1"/>
  <c r="AB255" i="1" s="1"/>
  <c r="AB256" i="1" a="1"/>
  <c r="AB256" i="1" s="1"/>
  <c r="AB257" i="1" a="1"/>
  <c r="AB257" i="1" s="1"/>
  <c r="AB258" i="1" a="1"/>
  <c r="AB258" i="1" s="1"/>
  <c r="AB259" i="1" a="1"/>
  <c r="AB259" i="1" s="1"/>
  <c r="AB260" i="1" a="1"/>
  <c r="AB260" i="1" s="1"/>
  <c r="AB261" i="1" a="1"/>
  <c r="AB261" i="1" s="1"/>
  <c r="AB262" i="1" a="1"/>
  <c r="AB262" i="1" s="1"/>
  <c r="AB263" i="1" a="1"/>
  <c r="AB263" i="1" s="1"/>
  <c r="AB264" i="1" a="1"/>
  <c r="AB264" i="1" s="1"/>
  <c r="AB265" i="1" a="1"/>
  <c r="AB265" i="1" s="1"/>
  <c r="AB266" i="1" a="1"/>
  <c r="AB266" i="1" s="1"/>
  <c r="AB267" i="1" a="1"/>
  <c r="AB267" i="1" s="1"/>
  <c r="AB268" i="1" a="1"/>
  <c r="AB268" i="1" s="1"/>
  <c r="AB269" i="1" a="1"/>
  <c r="AB269" i="1" s="1"/>
  <c r="AB270" i="1" a="1"/>
  <c r="AB270" i="1" s="1"/>
  <c r="AB271" i="1" a="1"/>
  <c r="AB271" i="1" s="1"/>
  <c r="AB272" i="1" a="1"/>
  <c r="AB272" i="1" s="1"/>
  <c r="AB273" i="1" a="1"/>
  <c r="AB273" i="1" s="1"/>
  <c r="AB274" i="1" a="1"/>
  <c r="AB274" i="1" s="1"/>
  <c r="AB275" i="1" a="1"/>
  <c r="AB275" i="1" s="1"/>
  <c r="AB276" i="1" a="1"/>
  <c r="AB276" i="1" s="1"/>
  <c r="AB277" i="1" a="1"/>
  <c r="AB277" i="1" s="1"/>
  <c r="AB278" i="1" a="1"/>
  <c r="AB278" i="1" s="1"/>
  <c r="AB279" i="1" a="1"/>
  <c r="AB279" i="1" s="1"/>
  <c r="AB280" i="1" a="1"/>
  <c r="AB280" i="1" s="1"/>
  <c r="AB281" i="1" a="1"/>
  <c r="AB281" i="1" s="1"/>
  <c r="AB282" i="1" a="1"/>
  <c r="AB282" i="1" s="1"/>
  <c r="AB283" i="1" a="1"/>
  <c r="AB283" i="1" s="1"/>
  <c r="AB284" i="1" a="1"/>
  <c r="AB284" i="1" s="1"/>
  <c r="AB285" i="1" a="1"/>
  <c r="AB285" i="1" s="1"/>
  <c r="AB286" i="1" a="1"/>
  <c r="AB286" i="1" s="1"/>
  <c r="AB287" i="1" a="1"/>
  <c r="AB287" i="1" s="1"/>
  <c r="AB288" i="1" a="1"/>
  <c r="AB288" i="1" s="1"/>
  <c r="AB289" i="1" a="1"/>
  <c r="AB289" i="1" s="1"/>
  <c r="AB290" i="1" a="1"/>
  <c r="AB290" i="1" s="1"/>
  <c r="AB291" i="1" a="1"/>
  <c r="AB291" i="1" s="1"/>
  <c r="AB292" i="1" a="1"/>
  <c r="AB292" i="1" s="1"/>
  <c r="AB293" i="1" a="1"/>
  <c r="AB293" i="1" s="1"/>
  <c r="AB294" i="1" a="1"/>
  <c r="AB294" i="1" s="1"/>
  <c r="AB295" i="1" a="1"/>
  <c r="AB295" i="1" s="1"/>
  <c r="AB296" i="1" a="1"/>
  <c r="AB296" i="1" s="1"/>
  <c r="AB297" i="1" a="1"/>
  <c r="AB297" i="1" s="1"/>
  <c r="AB298" i="1" a="1"/>
  <c r="AB298" i="1" s="1"/>
  <c r="AB299" i="1" a="1"/>
  <c r="AB299" i="1" s="1"/>
  <c r="AB300" i="1" a="1"/>
  <c r="AB300" i="1" s="1"/>
  <c r="AB301" i="1" a="1"/>
  <c r="AB301" i="1" s="1"/>
  <c r="AB302" i="1" a="1"/>
  <c r="AB302" i="1" s="1"/>
  <c r="AB303" i="1" a="1"/>
  <c r="AB303" i="1" s="1"/>
  <c r="AB304" i="1" a="1"/>
  <c r="AB304" i="1" s="1"/>
  <c r="AB305" i="1" a="1"/>
  <c r="AB305" i="1" s="1"/>
  <c r="AB306" i="1" a="1"/>
  <c r="AB306" i="1" s="1"/>
  <c r="AB307" i="1" a="1"/>
  <c r="AB307" i="1" s="1"/>
  <c r="AB308" i="1" a="1"/>
  <c r="AB308" i="1" s="1"/>
  <c r="AB309" i="1" a="1"/>
  <c r="AB309" i="1" s="1"/>
  <c r="AB310" i="1" a="1"/>
  <c r="AB310" i="1" s="1"/>
  <c r="AB311" i="1" a="1"/>
  <c r="AB311" i="1" s="1"/>
  <c r="AB312" i="1" a="1"/>
  <c r="AB312" i="1" s="1"/>
  <c r="AB313" i="1" a="1"/>
  <c r="AB313" i="1" s="1"/>
  <c r="AB314" i="1" a="1"/>
  <c r="AB314" i="1" s="1"/>
  <c r="AB315" i="1" a="1"/>
  <c r="AB315" i="1" s="1"/>
  <c r="AB316" i="1" a="1"/>
  <c r="AB316" i="1" s="1"/>
  <c r="AB317" i="1" a="1"/>
  <c r="AB317" i="1" s="1"/>
  <c r="AB318" i="1" a="1"/>
  <c r="AB318" i="1" s="1"/>
  <c r="AB319" i="1" a="1"/>
  <c r="AB319" i="1" s="1"/>
  <c r="AB320" i="1" a="1"/>
  <c r="AB320" i="1" s="1"/>
  <c r="AB321" i="1" a="1"/>
  <c r="AB321" i="1" s="1"/>
  <c r="AB322" i="1" a="1"/>
  <c r="AB322" i="1" s="1"/>
  <c r="AB323" i="1" a="1"/>
  <c r="AB323" i="1" s="1"/>
  <c r="AB324" i="1" a="1"/>
  <c r="AB324" i="1" s="1"/>
  <c r="AB325" i="1" a="1"/>
  <c r="AB325" i="1" s="1"/>
  <c r="AB326" i="1" a="1"/>
  <c r="AB326" i="1" s="1"/>
  <c r="AB327" i="1" a="1"/>
  <c r="AB327" i="1" s="1"/>
  <c r="AB328" i="1" a="1"/>
  <c r="AB328" i="1" s="1"/>
  <c r="AB329" i="1" a="1"/>
  <c r="AB329" i="1" s="1"/>
  <c r="AB330" i="1" a="1"/>
  <c r="AB330" i="1" s="1"/>
  <c r="AB331" i="1" a="1"/>
  <c r="AB331" i="1" s="1"/>
  <c r="AB332" i="1" a="1"/>
  <c r="AB332" i="1" s="1"/>
  <c r="AB333" i="1" a="1"/>
  <c r="AB333" i="1" s="1"/>
  <c r="AB334" i="1" a="1"/>
  <c r="AB334" i="1" s="1"/>
  <c r="AB335" i="1" a="1"/>
  <c r="AB335" i="1" s="1"/>
  <c r="AB336" i="1" a="1"/>
  <c r="AB336" i="1" s="1"/>
  <c r="AB337" i="1" a="1"/>
  <c r="AB337" i="1" s="1"/>
  <c r="AB338" i="1" a="1"/>
  <c r="AB338" i="1" s="1"/>
  <c r="AB339" i="1" a="1"/>
  <c r="AB339" i="1" s="1"/>
  <c r="AB340" i="1" a="1"/>
  <c r="AB340" i="1" s="1"/>
  <c r="AB341" i="1" a="1"/>
  <c r="AB341" i="1" s="1"/>
  <c r="AB342" i="1" a="1"/>
  <c r="AB342" i="1" s="1"/>
  <c r="AB343" i="1" a="1"/>
  <c r="AB343" i="1" s="1"/>
  <c r="AB344" i="1" a="1"/>
  <c r="AB344" i="1" s="1"/>
  <c r="AB345" i="1" a="1"/>
  <c r="AB345" i="1" s="1"/>
  <c r="AB346" i="1" a="1"/>
  <c r="AB346" i="1" s="1"/>
  <c r="AB347" i="1" a="1"/>
  <c r="AB347" i="1" s="1"/>
  <c r="AB348" i="1" a="1"/>
  <c r="AB348" i="1" s="1"/>
  <c r="AB349" i="1" a="1"/>
  <c r="AB349" i="1" s="1"/>
  <c r="AB350" i="1" a="1"/>
  <c r="AB350" i="1" s="1"/>
  <c r="AB351" i="1" a="1"/>
  <c r="AB351" i="1" s="1"/>
  <c r="AB352" i="1" a="1"/>
  <c r="AB352" i="1" s="1"/>
  <c r="AB353" i="1" a="1"/>
  <c r="AB353" i="1" s="1"/>
  <c r="AB354" i="1" a="1"/>
  <c r="AB354" i="1" s="1"/>
  <c r="AB355" i="1" a="1"/>
  <c r="AB355" i="1" s="1"/>
  <c r="AB356" i="1" a="1"/>
  <c r="AB356" i="1" s="1"/>
  <c r="AB357" i="1" a="1"/>
  <c r="AB357" i="1" s="1"/>
  <c r="AB358" i="1" a="1"/>
  <c r="AB358" i="1" s="1"/>
  <c r="AB359" i="1" a="1"/>
  <c r="AB359" i="1" s="1"/>
  <c r="AB360" i="1" a="1"/>
  <c r="AB360" i="1" s="1"/>
  <c r="AB361" i="1" a="1"/>
  <c r="AB361" i="1" s="1"/>
  <c r="AB362" i="1" a="1"/>
  <c r="AB362" i="1" s="1"/>
  <c r="AB363" i="1" a="1"/>
  <c r="AB363" i="1" s="1"/>
  <c r="AB364" i="1" a="1"/>
  <c r="AB364" i="1" s="1"/>
  <c r="AB365" i="1" a="1"/>
  <c r="AB365" i="1" s="1"/>
  <c r="AB366" i="1" a="1"/>
  <c r="AB366" i="1" s="1"/>
  <c r="AB367" i="1" a="1"/>
  <c r="AB367" i="1" s="1"/>
  <c r="AB368" i="1" a="1"/>
  <c r="AB368" i="1" s="1"/>
  <c r="AB369" i="1" a="1"/>
  <c r="AB369" i="1" s="1"/>
  <c r="AB370" i="1" a="1"/>
  <c r="AB370" i="1" s="1"/>
  <c r="AB371" i="1" a="1"/>
  <c r="AB371" i="1" s="1"/>
  <c r="AB372" i="1" a="1"/>
  <c r="AB372" i="1" s="1"/>
  <c r="AB373" i="1" a="1"/>
  <c r="AB373" i="1" s="1"/>
  <c r="AB374" i="1" a="1"/>
  <c r="AB374" i="1" s="1"/>
  <c r="AB375" i="1" a="1"/>
  <c r="AB375" i="1" s="1"/>
  <c r="AB376" i="1" a="1"/>
  <c r="AB376" i="1" s="1"/>
  <c r="AB377" i="1" a="1"/>
  <c r="AB377" i="1" s="1"/>
  <c r="AB378" i="1" a="1"/>
  <c r="AB378" i="1" s="1"/>
  <c r="AB379" i="1" a="1"/>
  <c r="AB379" i="1" s="1"/>
  <c r="AB380" i="1" a="1"/>
  <c r="AB380" i="1" s="1"/>
  <c r="AB381" i="1" a="1"/>
  <c r="AB381" i="1" s="1"/>
  <c r="AB382" i="1" a="1"/>
  <c r="AB382" i="1" s="1"/>
  <c r="AB383" i="1" a="1"/>
  <c r="AB383" i="1" s="1"/>
  <c r="AB384" i="1" a="1"/>
  <c r="AB384" i="1" s="1"/>
  <c r="AB385" i="1" a="1"/>
  <c r="AB385" i="1" s="1"/>
  <c r="AB386" i="1" a="1"/>
  <c r="AB386" i="1" s="1"/>
  <c r="AB387" i="1" a="1"/>
  <c r="AB387" i="1" s="1"/>
  <c r="AB388" i="1" a="1"/>
  <c r="AB388" i="1" s="1"/>
  <c r="AB389" i="1" a="1"/>
  <c r="AB389" i="1" s="1"/>
  <c r="AB390" i="1" a="1"/>
  <c r="AB390" i="1" s="1"/>
  <c r="AB391" i="1" a="1"/>
  <c r="AB391" i="1" s="1"/>
  <c r="AB392" i="1" a="1"/>
  <c r="AB392" i="1" s="1"/>
  <c r="AB393" i="1" a="1"/>
  <c r="AB393" i="1" s="1"/>
  <c r="AB394" i="1" a="1"/>
  <c r="AB394" i="1" s="1"/>
  <c r="AB395" i="1" a="1"/>
  <c r="AB395" i="1" s="1"/>
  <c r="AB396" i="1" a="1"/>
  <c r="AB396" i="1" s="1"/>
  <c r="AB397" i="1" a="1"/>
  <c r="AB397" i="1" s="1"/>
  <c r="AB398" i="1" a="1"/>
  <c r="AB398" i="1" s="1"/>
  <c r="AB399" i="1" a="1"/>
  <c r="AB399" i="1" s="1"/>
  <c r="AB400" i="1" a="1"/>
  <c r="AB400" i="1" s="1"/>
  <c r="AB401" i="1" a="1"/>
  <c r="AB401" i="1" s="1"/>
  <c r="AB402" i="1" a="1"/>
  <c r="AB402" i="1" s="1"/>
  <c r="AB403" i="1" a="1"/>
  <c r="AB403" i="1" s="1"/>
  <c r="AB404" i="1" a="1"/>
  <c r="AB404" i="1" s="1"/>
  <c r="AB405" i="1" a="1"/>
  <c r="AB405" i="1" s="1"/>
  <c r="AB406" i="1" a="1"/>
  <c r="AB406" i="1" s="1"/>
  <c r="AB407" i="1" a="1"/>
  <c r="AB407" i="1" s="1"/>
  <c r="AB408" i="1" a="1"/>
  <c r="AB408" i="1" s="1"/>
  <c r="AB409" i="1" a="1"/>
  <c r="AB409" i="1" s="1"/>
  <c r="AB410" i="1" a="1"/>
  <c r="AB410" i="1" s="1"/>
  <c r="AB411" i="1" a="1"/>
  <c r="AB411" i="1" s="1"/>
  <c r="AB412" i="1" a="1"/>
  <c r="AB412" i="1" s="1"/>
  <c r="AB413" i="1" a="1"/>
  <c r="AB413" i="1" s="1"/>
  <c r="AB414" i="1" a="1"/>
  <c r="AB414" i="1" s="1"/>
  <c r="AB415" i="1" a="1"/>
  <c r="AB415" i="1" s="1"/>
  <c r="AB416" i="1" a="1"/>
  <c r="AB416" i="1" s="1"/>
  <c r="AB417" i="1" a="1"/>
  <c r="AB417" i="1" s="1"/>
  <c r="AB418" i="1" a="1"/>
  <c r="AB418" i="1" s="1"/>
  <c r="AB419" i="1" a="1"/>
  <c r="AB419" i="1" s="1"/>
  <c r="AB420" i="1" a="1"/>
  <c r="AB420" i="1" s="1"/>
  <c r="AB421" i="1" a="1"/>
  <c r="AB421" i="1" s="1"/>
  <c r="AB422" i="1" a="1"/>
  <c r="AB422" i="1" s="1"/>
  <c r="AB423" i="1" a="1"/>
  <c r="AB423" i="1" s="1"/>
  <c r="AB424" i="1" a="1"/>
  <c r="AB424" i="1" s="1"/>
  <c r="AB425" i="1" a="1"/>
  <c r="AB425" i="1" s="1"/>
  <c r="AB426" i="1" a="1"/>
  <c r="AB426" i="1" s="1"/>
  <c r="AB427" i="1" a="1"/>
  <c r="AB427" i="1" s="1"/>
  <c r="AB428" i="1" a="1"/>
  <c r="AB428" i="1" s="1"/>
  <c r="AB429" i="1" a="1"/>
  <c r="AB429" i="1" s="1"/>
  <c r="AB430" i="1" a="1"/>
  <c r="AB430" i="1" s="1"/>
  <c r="AB431" i="1" a="1"/>
  <c r="AB431" i="1" s="1"/>
  <c r="AB432" i="1" a="1"/>
  <c r="AB432" i="1" s="1"/>
  <c r="AB433" i="1" a="1"/>
  <c r="AB433" i="1" s="1"/>
  <c r="AB434" i="1" a="1"/>
  <c r="AB434" i="1" s="1"/>
  <c r="AB435" i="1" a="1"/>
  <c r="AB435" i="1" s="1"/>
  <c r="AB436" i="1" a="1"/>
  <c r="AB436" i="1" s="1"/>
  <c r="AB437" i="1" a="1"/>
  <c r="AB437" i="1" s="1"/>
  <c r="AB438" i="1" a="1"/>
  <c r="AB438" i="1" s="1"/>
  <c r="AB439" i="1" a="1"/>
  <c r="AB439" i="1" s="1"/>
  <c r="AB440" i="1" a="1"/>
  <c r="AB440" i="1" s="1"/>
  <c r="AB441" i="1" a="1"/>
  <c r="AB441" i="1" s="1"/>
  <c r="AB442" i="1" a="1"/>
  <c r="AB442" i="1" s="1"/>
  <c r="AB443" i="1" a="1"/>
  <c r="AB443" i="1" s="1"/>
  <c r="AB444" i="1" a="1"/>
  <c r="AB444" i="1" s="1"/>
  <c r="AB445" i="1" a="1"/>
  <c r="AB445" i="1" s="1"/>
  <c r="AB446" i="1" a="1"/>
  <c r="AB446" i="1" s="1"/>
  <c r="AB447" i="1" a="1"/>
  <c r="AB447" i="1" s="1"/>
  <c r="AB448" i="1" a="1"/>
  <c r="AB448" i="1" s="1"/>
  <c r="AB449" i="1" a="1"/>
  <c r="AB449" i="1" s="1"/>
  <c r="AB450" i="1" a="1"/>
  <c r="AB450" i="1" s="1"/>
  <c r="AB451" i="1" a="1"/>
  <c r="AB451" i="1" s="1"/>
  <c r="AB452" i="1" a="1"/>
  <c r="AB452" i="1" s="1"/>
  <c r="AB453" i="1" a="1"/>
  <c r="AB453" i="1" s="1"/>
  <c r="AB454" i="1" a="1"/>
  <c r="AB454" i="1" s="1"/>
  <c r="AB455" i="1" a="1"/>
  <c r="AB455" i="1" s="1"/>
  <c r="AB456" i="1" a="1"/>
  <c r="AB456" i="1" s="1"/>
  <c r="AB457" i="1" a="1"/>
  <c r="AB457" i="1" s="1"/>
  <c r="AB458" i="1" a="1"/>
  <c r="AB458" i="1" s="1"/>
  <c r="AB459" i="1" a="1"/>
  <c r="AB459" i="1" s="1"/>
  <c r="AB460" i="1" a="1"/>
  <c r="AB460" i="1" s="1"/>
  <c r="AB461" i="1" a="1"/>
  <c r="AB461" i="1" s="1"/>
  <c r="AB462" i="1" a="1"/>
  <c r="AB462" i="1" s="1"/>
  <c r="AB463" i="1" a="1"/>
  <c r="AB463" i="1" s="1"/>
  <c r="AB464" i="1" a="1"/>
  <c r="AB464" i="1" s="1"/>
  <c r="AB465" i="1" a="1"/>
  <c r="AB465" i="1" s="1"/>
  <c r="AB466" i="1" a="1"/>
  <c r="AB466" i="1" s="1"/>
  <c r="AB467" i="1" a="1"/>
  <c r="AB467" i="1" s="1"/>
  <c r="AB468" i="1" a="1"/>
  <c r="AB468" i="1" s="1"/>
  <c r="AB469" i="1" a="1"/>
  <c r="AB469" i="1" s="1"/>
  <c r="AB470" i="1" a="1"/>
  <c r="AB470" i="1" s="1"/>
  <c r="AB471" i="1" a="1"/>
  <c r="AB471" i="1" s="1"/>
  <c r="AB472" i="1" a="1"/>
  <c r="AB472" i="1" s="1"/>
  <c r="AB473" i="1" a="1"/>
  <c r="AB473" i="1" s="1"/>
  <c r="AB474" i="1" a="1"/>
  <c r="AB474" i="1" s="1"/>
  <c r="AB475" i="1" a="1"/>
  <c r="AB475" i="1" s="1"/>
  <c r="AB476" i="1" a="1"/>
  <c r="AB476" i="1" s="1"/>
  <c r="AB477" i="1" a="1"/>
  <c r="AB477" i="1" s="1"/>
  <c r="AB478" i="1" a="1"/>
  <c r="AB478" i="1" s="1"/>
  <c r="AB479" i="1" a="1"/>
  <c r="AB479" i="1" s="1"/>
  <c r="AB480" i="1" a="1"/>
  <c r="AB480" i="1" s="1"/>
  <c r="AB481" i="1" a="1"/>
  <c r="AB481" i="1" s="1"/>
  <c r="AB482" i="1" a="1"/>
  <c r="AB482" i="1" s="1"/>
  <c r="AB483" i="1" a="1"/>
  <c r="AB483" i="1" s="1"/>
  <c r="AB484" i="1" a="1"/>
  <c r="AB484" i="1" s="1"/>
  <c r="AB485" i="1" a="1"/>
  <c r="AB485" i="1" s="1"/>
  <c r="AB486" i="1" a="1"/>
  <c r="AB486" i="1" s="1"/>
  <c r="AB487" i="1" a="1"/>
  <c r="AB487" i="1" s="1"/>
  <c r="AB488" i="1" a="1"/>
  <c r="AB488" i="1" s="1"/>
  <c r="AB489" i="1" a="1"/>
  <c r="AB489" i="1" s="1"/>
  <c r="AB490" i="1" a="1"/>
  <c r="AB490" i="1" s="1"/>
  <c r="AB491" i="1" a="1"/>
  <c r="AB491" i="1" s="1"/>
  <c r="AB492" i="1" a="1"/>
  <c r="AB492" i="1" s="1"/>
  <c r="AB493" i="1" a="1"/>
  <c r="AB493" i="1" s="1"/>
  <c r="AB494" i="1" a="1"/>
  <c r="AB494" i="1" s="1"/>
  <c r="AB495" i="1" a="1"/>
  <c r="AB495" i="1" s="1"/>
  <c r="AB496" i="1" a="1"/>
  <c r="AB496" i="1" s="1"/>
  <c r="AB497" i="1" a="1"/>
  <c r="AB497" i="1" s="1"/>
  <c r="AB498" i="1" a="1"/>
  <c r="AB498" i="1" s="1"/>
  <c r="AB499" i="1" a="1"/>
  <c r="AB499" i="1" s="1"/>
  <c r="AB500" i="1" a="1"/>
  <c r="AB500" i="1" s="1"/>
  <c r="AB501" i="1" a="1"/>
  <c r="AB501" i="1" s="1"/>
  <c r="AB502" i="1" a="1"/>
  <c r="AB502" i="1" s="1"/>
  <c r="AB503" i="1" a="1"/>
  <c r="AB503" i="1" s="1"/>
  <c r="AB504" i="1" a="1"/>
  <c r="AB504" i="1" s="1"/>
  <c r="AB505" i="1" a="1"/>
  <c r="AB505" i="1" s="1"/>
  <c r="AB506" i="1" a="1"/>
  <c r="AB506" i="1" s="1"/>
  <c r="AB507" i="1" a="1"/>
  <c r="AB507" i="1" s="1"/>
  <c r="AB508" i="1" a="1"/>
  <c r="AB508" i="1" s="1"/>
  <c r="AB509" i="1" a="1"/>
  <c r="AB509" i="1" s="1"/>
  <c r="AB510" i="1" a="1"/>
  <c r="AB510" i="1" s="1"/>
  <c r="AB511" i="1" a="1"/>
  <c r="AB511" i="1" s="1"/>
  <c r="AB512" i="1" a="1"/>
  <c r="AB512" i="1" s="1"/>
  <c r="AB513" i="1" a="1"/>
  <c r="AB513" i="1" s="1"/>
  <c r="AB514" i="1" a="1"/>
  <c r="AB514" i="1" s="1"/>
  <c r="AB515" i="1" a="1"/>
  <c r="AB515" i="1" s="1"/>
  <c r="AB516" i="1" a="1"/>
  <c r="AB516" i="1" s="1"/>
  <c r="AB517" i="1" a="1"/>
  <c r="AB517" i="1" s="1"/>
  <c r="AB518" i="1" a="1"/>
  <c r="AB518" i="1" s="1"/>
  <c r="AB519" i="1" a="1"/>
  <c r="AB519" i="1" s="1"/>
  <c r="AB520" i="1" a="1"/>
  <c r="AB520" i="1" s="1"/>
  <c r="AB521" i="1" a="1"/>
  <c r="AB521" i="1" s="1"/>
  <c r="AB522" i="1" a="1"/>
  <c r="AB522" i="1" s="1"/>
  <c r="AB523" i="1" a="1"/>
  <c r="AB523" i="1" s="1"/>
  <c r="AB524" i="1" a="1"/>
  <c r="AB524" i="1" s="1"/>
  <c r="AB525" i="1" a="1"/>
  <c r="AB525" i="1" s="1"/>
  <c r="AB526" i="1" a="1"/>
  <c r="AB526" i="1" s="1"/>
  <c r="AB527" i="1" a="1"/>
  <c r="AB527" i="1" s="1"/>
  <c r="AB528" i="1" a="1"/>
  <c r="AB528" i="1" s="1"/>
  <c r="AB529" i="1" a="1"/>
  <c r="AB529" i="1" s="1"/>
  <c r="AB530" i="1" a="1"/>
  <c r="AB530" i="1" s="1"/>
  <c r="AB531" i="1" a="1"/>
  <c r="AB531" i="1" s="1"/>
  <c r="AB532" i="1" a="1"/>
  <c r="AB532" i="1" s="1"/>
  <c r="AB533" i="1" a="1"/>
  <c r="AB533" i="1" s="1"/>
  <c r="AB534" i="1" a="1"/>
  <c r="AB534" i="1" s="1"/>
  <c r="AB535" i="1" a="1"/>
  <c r="AB535" i="1" s="1"/>
  <c r="AB536" i="1" a="1"/>
  <c r="AB536" i="1" s="1"/>
  <c r="AB537" i="1" a="1"/>
  <c r="AB537" i="1" s="1"/>
  <c r="AB538" i="1" a="1"/>
  <c r="AB538" i="1" s="1"/>
  <c r="AB539" i="1" a="1"/>
  <c r="AB539" i="1" s="1"/>
  <c r="AB540" i="1" a="1"/>
  <c r="AB540" i="1" s="1"/>
  <c r="AB541" i="1" a="1"/>
  <c r="AB541" i="1" s="1"/>
  <c r="AB542" i="1" a="1"/>
  <c r="AB542" i="1" s="1"/>
  <c r="AB543" i="1" a="1"/>
  <c r="AB543" i="1" s="1"/>
  <c r="AB544" i="1" a="1"/>
  <c r="AB544" i="1" s="1"/>
  <c r="AB545" i="1" a="1"/>
  <c r="AB545" i="1" s="1"/>
  <c r="AB546" i="1" a="1"/>
  <c r="AB546" i="1" s="1"/>
  <c r="AB547" i="1" a="1"/>
  <c r="AB547" i="1" s="1"/>
  <c r="AB548" i="1" a="1"/>
  <c r="AB548" i="1" s="1"/>
  <c r="AB549" i="1" a="1"/>
  <c r="AB549" i="1" s="1"/>
  <c r="AB550" i="1" a="1"/>
  <c r="AB550" i="1" s="1"/>
  <c r="AB551" i="1" a="1"/>
  <c r="AB551" i="1" s="1"/>
  <c r="AB552" i="1" a="1"/>
  <c r="AB552" i="1" s="1"/>
  <c r="AB553" i="1" a="1"/>
  <c r="AB553" i="1" s="1"/>
  <c r="AB554" i="1" a="1"/>
  <c r="AB554" i="1" s="1"/>
  <c r="AB555" i="1" a="1"/>
  <c r="AB555" i="1" s="1"/>
  <c r="AB556" i="1" a="1"/>
  <c r="AB556" i="1" s="1"/>
  <c r="AB557" i="1" a="1"/>
  <c r="AB557" i="1" s="1"/>
  <c r="AB558" i="1" a="1"/>
  <c r="AB558" i="1" s="1"/>
  <c r="AB559" i="1" a="1"/>
  <c r="AB559" i="1" s="1"/>
  <c r="AB560" i="1" a="1"/>
  <c r="AB560" i="1" s="1"/>
  <c r="AB561" i="1" a="1"/>
  <c r="AB561" i="1" s="1"/>
  <c r="AB562" i="1" a="1"/>
  <c r="AB562" i="1" s="1"/>
  <c r="AB563" i="1" a="1"/>
  <c r="AB563" i="1" s="1"/>
  <c r="AB564" i="1" a="1"/>
  <c r="AB564" i="1" s="1"/>
  <c r="AB565" i="1" a="1"/>
  <c r="AB565" i="1" s="1"/>
  <c r="AB566" i="1" a="1"/>
  <c r="AB566" i="1" s="1"/>
  <c r="AB567" i="1" a="1"/>
  <c r="AB567" i="1" s="1"/>
  <c r="AB568" i="1" a="1"/>
  <c r="AB568" i="1" s="1"/>
  <c r="AB569" i="1" a="1"/>
  <c r="AB569" i="1" s="1"/>
  <c r="AB570" i="1" a="1"/>
  <c r="AB570" i="1" s="1"/>
  <c r="AB571" i="1" a="1"/>
  <c r="AB571" i="1" s="1"/>
  <c r="AB572" i="1" a="1"/>
  <c r="AB572" i="1" s="1"/>
  <c r="AB573" i="1" a="1"/>
  <c r="AB573" i="1" s="1"/>
  <c r="AB574" i="1" a="1"/>
  <c r="AB574" i="1" s="1"/>
  <c r="AB575" i="1" a="1"/>
  <c r="AB575" i="1" s="1"/>
  <c r="AB576" i="1" a="1"/>
  <c r="AB576" i="1" s="1"/>
  <c r="AB577" i="1" a="1"/>
  <c r="AB577" i="1" s="1"/>
  <c r="AB578" i="1" a="1"/>
  <c r="AB578" i="1" s="1"/>
  <c r="AB579" i="1" a="1"/>
  <c r="AB579" i="1" s="1"/>
  <c r="AB580" i="1" a="1"/>
  <c r="AB580" i="1" s="1"/>
  <c r="AB581" i="1" a="1"/>
  <c r="AB581" i="1" s="1"/>
  <c r="AB582" i="1" a="1"/>
  <c r="AB582" i="1" s="1"/>
  <c r="AB583" i="1" a="1"/>
  <c r="AB583" i="1" s="1"/>
  <c r="AB584" i="1" a="1"/>
  <c r="AB584" i="1" s="1"/>
  <c r="AB585" i="1" a="1"/>
  <c r="AB585" i="1" s="1"/>
  <c r="AB586" i="1" a="1"/>
  <c r="AB586" i="1" s="1"/>
  <c r="AB587" i="1" a="1"/>
  <c r="AB587" i="1" s="1"/>
  <c r="AB588" i="1" a="1"/>
  <c r="AB588" i="1" s="1"/>
  <c r="AB589" i="1" a="1"/>
  <c r="AB589" i="1" s="1"/>
  <c r="AB590" i="1" a="1"/>
  <c r="AB590" i="1" s="1"/>
  <c r="AB591" i="1" a="1"/>
  <c r="AB591" i="1" s="1"/>
  <c r="AB592" i="1" a="1"/>
  <c r="AB592" i="1" s="1"/>
  <c r="AB593" i="1" a="1"/>
  <c r="AB593" i="1" s="1"/>
  <c r="AB594" i="1" a="1"/>
  <c r="AB594" i="1" s="1"/>
  <c r="AB595" i="1" a="1"/>
  <c r="AB595" i="1" s="1"/>
  <c r="AB596" i="1" a="1"/>
  <c r="AB596" i="1" s="1"/>
  <c r="AB597" i="1" a="1"/>
  <c r="AB597" i="1" s="1"/>
  <c r="AB598" i="1" a="1"/>
  <c r="AB598" i="1" s="1"/>
  <c r="AB599" i="1" a="1"/>
  <c r="AB599" i="1" s="1"/>
  <c r="AB600" i="1" a="1"/>
  <c r="AB600" i="1" s="1"/>
  <c r="AB601" i="1" a="1"/>
  <c r="AB601" i="1" s="1"/>
  <c r="AB602" i="1" a="1"/>
  <c r="AB602" i="1" s="1"/>
  <c r="AB603" i="1" a="1"/>
  <c r="AB603" i="1" s="1"/>
  <c r="AB604" i="1" a="1"/>
  <c r="AB604" i="1" s="1"/>
  <c r="AB605" i="1" a="1"/>
  <c r="AB605" i="1" s="1"/>
  <c r="AB606" i="1" a="1"/>
  <c r="AB606" i="1" s="1"/>
  <c r="AB607" i="1" a="1"/>
  <c r="AB607" i="1" s="1"/>
  <c r="AB608" i="1" a="1"/>
  <c r="AB608" i="1" s="1"/>
  <c r="AB609" i="1" a="1"/>
  <c r="AB609" i="1" s="1"/>
  <c r="AB610" i="1" a="1"/>
  <c r="AB610" i="1" s="1"/>
  <c r="AB611" i="1" a="1"/>
  <c r="AB611" i="1" s="1"/>
  <c r="AB612" i="1" a="1"/>
  <c r="AB612" i="1" s="1"/>
  <c r="AB613" i="1" a="1"/>
  <c r="AB613" i="1" s="1"/>
  <c r="AB614" i="1" a="1"/>
  <c r="AB614" i="1" s="1"/>
  <c r="AB615" i="1" a="1"/>
  <c r="AB615" i="1" s="1"/>
  <c r="AB616" i="1" a="1"/>
  <c r="AB616" i="1" s="1"/>
  <c r="AB617" i="1" a="1"/>
  <c r="AB617" i="1" s="1"/>
  <c r="AB618" i="1" a="1"/>
  <c r="AB618" i="1" s="1"/>
  <c r="AB619" i="1" a="1"/>
  <c r="AB619" i="1" s="1"/>
  <c r="AB620" i="1" a="1"/>
  <c r="AB620" i="1" s="1"/>
  <c r="AB621" i="1" a="1"/>
  <c r="AB621" i="1" s="1"/>
  <c r="AB622" i="1" a="1"/>
  <c r="AB622" i="1" s="1"/>
  <c r="AB623" i="1" a="1"/>
  <c r="AB623" i="1" s="1"/>
  <c r="AB624" i="1" a="1"/>
  <c r="AB624" i="1" s="1"/>
  <c r="AB625" i="1" a="1"/>
  <c r="AB625" i="1" s="1"/>
  <c r="AB626" i="1" a="1"/>
  <c r="AB626" i="1" s="1"/>
  <c r="AB627" i="1" a="1"/>
  <c r="AB627" i="1" s="1"/>
  <c r="AB628" i="1" a="1"/>
  <c r="AB628" i="1" s="1"/>
  <c r="AB629" i="1" a="1"/>
  <c r="AB629" i="1" s="1"/>
  <c r="AB630" i="1" a="1"/>
  <c r="AB630" i="1" s="1"/>
  <c r="AB631" i="1" a="1"/>
  <c r="AB631" i="1" s="1"/>
  <c r="AB632" i="1" a="1"/>
  <c r="AB632" i="1" s="1"/>
  <c r="AB633" i="1" a="1"/>
  <c r="AB633" i="1" s="1"/>
  <c r="AB634" i="1" a="1"/>
  <c r="AB634" i="1" s="1"/>
  <c r="AB635" i="1" a="1"/>
  <c r="AB635" i="1" s="1"/>
  <c r="AB636" i="1" a="1"/>
  <c r="AB636" i="1" s="1"/>
  <c r="AB637" i="1" a="1"/>
  <c r="AB637" i="1" s="1"/>
  <c r="AB638" i="1" a="1"/>
  <c r="AB638" i="1" s="1"/>
  <c r="AB639" i="1" a="1"/>
  <c r="AB639" i="1" s="1"/>
  <c r="AB640" i="1" a="1"/>
  <c r="AB640" i="1" s="1"/>
  <c r="AB641" i="1" a="1"/>
  <c r="AB641" i="1" s="1"/>
  <c r="AB642" i="1" a="1"/>
  <c r="AB642" i="1" s="1"/>
  <c r="AB643" i="1" a="1"/>
  <c r="AB643" i="1" s="1"/>
  <c r="AB644" i="1" a="1"/>
  <c r="AB644" i="1" s="1"/>
  <c r="AB645" i="1" a="1"/>
  <c r="AB645" i="1" s="1"/>
  <c r="AB646" i="1" a="1"/>
  <c r="AB646" i="1" s="1"/>
  <c r="AB647" i="1" a="1"/>
  <c r="AB647" i="1" s="1"/>
  <c r="AB648" i="1" a="1"/>
  <c r="AB648" i="1" s="1"/>
  <c r="AB649" i="1" a="1"/>
  <c r="AB649" i="1" s="1"/>
  <c r="AB650" i="1" a="1"/>
  <c r="AB650" i="1" s="1"/>
  <c r="AB651" i="1" a="1"/>
  <c r="AB651" i="1" s="1"/>
  <c r="AB652" i="1" a="1"/>
  <c r="AB652" i="1" s="1"/>
  <c r="AB653" i="1" a="1"/>
  <c r="AB653" i="1" s="1"/>
  <c r="AB654" i="1" a="1"/>
  <c r="AB654" i="1" s="1"/>
  <c r="AB655" i="1" a="1"/>
  <c r="AB655" i="1" s="1"/>
  <c r="AB656" i="1" a="1"/>
  <c r="AB656" i="1" s="1"/>
  <c r="AB657" i="1" a="1"/>
  <c r="AB657" i="1" s="1"/>
  <c r="AB658" i="1" a="1"/>
  <c r="AB658" i="1" s="1"/>
  <c r="AB659" i="1" a="1"/>
  <c r="AB659" i="1" s="1"/>
  <c r="AB660" i="1" a="1"/>
  <c r="AB660" i="1" s="1"/>
  <c r="AB661" i="1" a="1"/>
  <c r="AB661" i="1" s="1"/>
  <c r="AB662" i="1" a="1"/>
  <c r="AB662" i="1" s="1"/>
  <c r="AB663" i="1" a="1"/>
  <c r="AB663" i="1" s="1"/>
  <c r="AB664" i="1" a="1"/>
  <c r="AB664" i="1" s="1"/>
  <c r="AB665" i="1" a="1"/>
  <c r="AB665" i="1" s="1"/>
  <c r="AB666" i="1" a="1"/>
  <c r="AB666" i="1" s="1"/>
  <c r="AB667" i="1" a="1"/>
  <c r="AB667" i="1" s="1"/>
  <c r="AB668" i="1" a="1"/>
  <c r="AB668" i="1" s="1"/>
  <c r="AB669" i="1" a="1"/>
  <c r="AB669" i="1" s="1"/>
  <c r="AB670" i="1" a="1"/>
  <c r="AB670" i="1" s="1"/>
  <c r="AB671" i="1" a="1"/>
  <c r="AB671" i="1" s="1"/>
  <c r="AB672" i="1" a="1"/>
  <c r="AB672" i="1" s="1"/>
  <c r="AB673" i="1" a="1"/>
  <c r="AB673" i="1" s="1"/>
  <c r="AB674" i="1" a="1"/>
  <c r="AB674" i="1" s="1"/>
  <c r="AB675" i="1" a="1"/>
  <c r="AB675" i="1" s="1"/>
  <c r="AB676" i="1" a="1"/>
  <c r="AB676" i="1" s="1"/>
  <c r="AB677" i="1" a="1"/>
  <c r="AB677" i="1" s="1"/>
  <c r="AB678" i="1" a="1"/>
  <c r="AB678" i="1" s="1"/>
  <c r="AB679" i="1" a="1"/>
  <c r="AB679" i="1" s="1"/>
  <c r="AB680" i="1" a="1"/>
  <c r="AB680" i="1" s="1"/>
  <c r="AB681" i="1" a="1"/>
  <c r="AB681" i="1" s="1"/>
  <c r="AB682" i="1" a="1"/>
  <c r="AB682" i="1" s="1"/>
  <c r="AB683" i="1" a="1"/>
  <c r="AB683" i="1" s="1"/>
  <c r="AB684" i="1" a="1"/>
  <c r="AB684" i="1" s="1"/>
  <c r="AB685" i="1" a="1"/>
  <c r="AB685" i="1" s="1"/>
  <c r="AB686" i="1" a="1"/>
  <c r="AB686" i="1" s="1"/>
  <c r="AB687" i="1" a="1"/>
  <c r="AB687" i="1" s="1"/>
  <c r="AB688" i="1" a="1"/>
  <c r="AB688" i="1" s="1"/>
  <c r="AB689" i="1" a="1"/>
  <c r="AB689" i="1" s="1"/>
  <c r="AB690" i="1" a="1"/>
  <c r="AB690" i="1" s="1"/>
  <c r="AB691" i="1" a="1"/>
  <c r="AB691" i="1" s="1"/>
  <c r="AB692" i="1" a="1"/>
  <c r="AB692" i="1" s="1"/>
  <c r="AB693" i="1" a="1"/>
  <c r="AB693" i="1" s="1"/>
  <c r="AB694" i="1" a="1"/>
  <c r="AB694" i="1" s="1"/>
  <c r="AB695" i="1" a="1"/>
  <c r="AB695" i="1" s="1"/>
  <c r="AB696" i="1" a="1"/>
  <c r="AB696" i="1" s="1"/>
  <c r="AB697" i="1" a="1"/>
  <c r="AB697" i="1" s="1"/>
  <c r="AB698" i="1" a="1"/>
  <c r="AB698" i="1" s="1"/>
  <c r="AB699" i="1" a="1"/>
  <c r="AB699" i="1" s="1"/>
  <c r="AB700" i="1" a="1"/>
  <c r="AB700" i="1" s="1"/>
  <c r="AB701" i="1" a="1"/>
  <c r="AB701" i="1" s="1"/>
  <c r="AB702" i="1" a="1"/>
  <c r="AB702" i="1" s="1"/>
  <c r="AB703" i="1" a="1"/>
  <c r="AB703" i="1" s="1"/>
  <c r="AB704" i="1" a="1"/>
  <c r="AB704" i="1" s="1"/>
  <c r="AB705" i="1" a="1"/>
  <c r="AB705" i="1" s="1"/>
  <c r="AB706" i="1" a="1"/>
  <c r="AB706" i="1" s="1"/>
  <c r="AB707" i="1" a="1"/>
  <c r="AB707" i="1" s="1"/>
  <c r="AB708" i="1" a="1"/>
  <c r="AB708" i="1" s="1"/>
  <c r="AB709" i="1" a="1"/>
  <c r="AB709" i="1" s="1"/>
  <c r="AB710" i="1" a="1"/>
  <c r="AB710" i="1" s="1"/>
  <c r="AB711" i="1" a="1"/>
  <c r="AB711" i="1" s="1"/>
  <c r="AB712" i="1" a="1"/>
  <c r="AB712" i="1" s="1"/>
  <c r="AB713" i="1" a="1"/>
  <c r="AB713" i="1" s="1"/>
  <c r="AB714" i="1" a="1"/>
  <c r="AB714" i="1" s="1"/>
  <c r="AB715" i="1" a="1"/>
  <c r="AB715" i="1" s="1"/>
  <c r="AB716" i="1" a="1"/>
  <c r="AB716" i="1" s="1"/>
  <c r="AB717" i="1" a="1"/>
  <c r="AB717" i="1" s="1"/>
  <c r="AB718" i="1" a="1"/>
  <c r="AB718" i="1" s="1"/>
  <c r="AB719" i="1" a="1"/>
  <c r="AB719" i="1" s="1"/>
  <c r="AB720" i="1" a="1"/>
  <c r="AB720" i="1" s="1"/>
  <c r="AB721" i="1" a="1"/>
  <c r="AB721" i="1" s="1"/>
  <c r="AB722" i="1" a="1"/>
  <c r="AB722" i="1" s="1"/>
  <c r="AB723" i="1" a="1"/>
  <c r="AB723" i="1" s="1"/>
  <c r="AB724" i="1" a="1"/>
  <c r="AB724" i="1" s="1"/>
  <c r="AB725" i="1" a="1"/>
  <c r="AB725" i="1" s="1"/>
  <c r="AB726" i="1" a="1"/>
  <c r="AB726" i="1" s="1"/>
  <c r="AB727" i="1" a="1"/>
  <c r="AB727" i="1" s="1"/>
  <c r="AB728" i="1" a="1"/>
  <c r="AB728" i="1" s="1"/>
  <c r="AB729" i="1" a="1"/>
  <c r="AB729" i="1" s="1"/>
  <c r="AB730" i="1" a="1"/>
  <c r="AB730" i="1" s="1"/>
  <c r="AB731" i="1" a="1"/>
  <c r="AB731" i="1" s="1"/>
  <c r="AB732" i="1" a="1"/>
  <c r="AB732" i="1" s="1"/>
  <c r="AB733" i="1" a="1"/>
  <c r="AB733" i="1" s="1"/>
  <c r="AB734" i="1" a="1"/>
  <c r="AB734" i="1" s="1"/>
  <c r="AB735" i="1" a="1"/>
  <c r="AB735" i="1" s="1"/>
  <c r="AB736" i="1" a="1"/>
  <c r="AB736" i="1" s="1"/>
  <c r="AB737" i="1" a="1"/>
  <c r="AB737" i="1" s="1"/>
  <c r="AB738" i="1" a="1"/>
  <c r="AB738" i="1" s="1"/>
  <c r="AB739" i="1" a="1"/>
  <c r="AB739" i="1" s="1"/>
  <c r="AB740" i="1" a="1"/>
  <c r="AB740" i="1" s="1"/>
  <c r="AB741" i="1" a="1"/>
  <c r="AB741" i="1" s="1"/>
  <c r="AB742" i="1" a="1"/>
  <c r="AB742" i="1" s="1"/>
  <c r="AB743" i="1" a="1"/>
  <c r="AB743" i="1" s="1"/>
  <c r="AB744" i="1" a="1"/>
  <c r="AB744" i="1" s="1"/>
  <c r="AB745" i="1" a="1"/>
  <c r="AB745" i="1" s="1"/>
  <c r="AB746" i="1" a="1"/>
  <c r="AB746" i="1" s="1"/>
  <c r="AB747" i="1" a="1"/>
  <c r="AB747" i="1" s="1"/>
  <c r="AB748" i="1" a="1"/>
  <c r="AB748" i="1" s="1"/>
  <c r="AB749" i="1" a="1"/>
  <c r="AB749" i="1" s="1"/>
  <c r="AB750" i="1" a="1"/>
  <c r="AB750" i="1" s="1"/>
  <c r="AB751" i="1" a="1"/>
  <c r="AB751" i="1" s="1"/>
  <c r="AB752" i="1" a="1"/>
  <c r="AB752" i="1" s="1"/>
  <c r="AB753" i="1" a="1"/>
  <c r="AB753" i="1" s="1"/>
  <c r="AB754" i="1" a="1"/>
  <c r="AB754" i="1" s="1"/>
  <c r="AB755" i="1" a="1"/>
  <c r="AB755" i="1" s="1"/>
  <c r="AB756" i="1" a="1"/>
  <c r="AB756" i="1" s="1"/>
  <c r="AB757" i="1" a="1"/>
  <c r="AB757" i="1" s="1"/>
  <c r="AB758" i="1" a="1"/>
  <c r="AB758" i="1" s="1"/>
  <c r="AB759" i="1" a="1"/>
  <c r="AB759" i="1" s="1"/>
  <c r="AB760" i="1" a="1"/>
  <c r="AB760" i="1" s="1"/>
  <c r="AB761" i="1" a="1"/>
  <c r="AB761" i="1" s="1"/>
  <c r="AB762" i="1" a="1"/>
  <c r="AB762" i="1" s="1"/>
  <c r="AB763" i="1" a="1"/>
  <c r="AB763" i="1" s="1"/>
  <c r="AB764" i="1" a="1"/>
  <c r="AB764" i="1" s="1"/>
  <c r="AB765" i="1" a="1"/>
  <c r="AB765" i="1" s="1"/>
  <c r="AB766" i="1" a="1"/>
  <c r="AB766" i="1" s="1"/>
  <c r="AB767" i="1" a="1"/>
  <c r="AB767" i="1" s="1"/>
  <c r="AB768" i="1" a="1"/>
  <c r="AB768" i="1" s="1"/>
  <c r="AB769" i="1" a="1"/>
  <c r="AB769" i="1" s="1"/>
  <c r="AB770" i="1" a="1"/>
  <c r="AB770" i="1" s="1"/>
  <c r="AB771" i="1" a="1"/>
  <c r="AB771" i="1" s="1"/>
  <c r="AB772" i="1" a="1"/>
  <c r="AB772" i="1" s="1"/>
  <c r="AB773" i="1" a="1"/>
  <c r="AB773" i="1" s="1"/>
  <c r="AB774" i="1" a="1"/>
  <c r="AB774" i="1" s="1"/>
  <c r="AB775" i="1" a="1"/>
  <c r="AB775" i="1" s="1"/>
  <c r="AB776" i="1" a="1"/>
  <c r="AB776" i="1" s="1"/>
  <c r="AB777" i="1" a="1"/>
  <c r="AB777" i="1" s="1"/>
  <c r="AB778" i="1" a="1"/>
  <c r="AB778" i="1" s="1"/>
  <c r="AB779" i="1" a="1"/>
  <c r="AB779" i="1" s="1"/>
  <c r="AB780" i="1" a="1"/>
  <c r="AB780" i="1" s="1"/>
  <c r="AB781" i="1" a="1"/>
  <c r="AB781" i="1" s="1"/>
  <c r="AB782" i="1" a="1"/>
  <c r="AB782" i="1" s="1"/>
  <c r="AB783" i="1" a="1"/>
  <c r="AB783" i="1" s="1"/>
  <c r="AB784" i="1" a="1"/>
  <c r="AB784" i="1" s="1"/>
  <c r="AB785" i="1" a="1"/>
  <c r="AB785" i="1" s="1"/>
  <c r="AB786" i="1" a="1"/>
  <c r="AB786" i="1" s="1"/>
  <c r="AB787" i="1" a="1"/>
  <c r="AB787" i="1" s="1"/>
  <c r="AB788" i="1" a="1"/>
  <c r="AB788" i="1" s="1"/>
  <c r="AB789" i="1" a="1"/>
  <c r="AB789" i="1" s="1"/>
  <c r="AB790" i="1" a="1"/>
  <c r="AB790" i="1" s="1"/>
  <c r="AB791" i="1" a="1"/>
  <c r="AB791" i="1" s="1"/>
  <c r="AB792" i="1" a="1"/>
  <c r="AB792" i="1" s="1"/>
  <c r="AB793" i="1" a="1"/>
  <c r="AB793" i="1" s="1"/>
  <c r="AB794" i="1" a="1"/>
  <c r="AB794" i="1" s="1"/>
  <c r="AB795" i="1" a="1"/>
  <c r="AB795" i="1" s="1"/>
  <c r="AB796" i="1" a="1"/>
  <c r="AB796" i="1" s="1"/>
  <c r="AB797" i="1" a="1"/>
  <c r="AB797" i="1" s="1"/>
  <c r="AB798" i="1" a="1"/>
  <c r="AB798" i="1" s="1"/>
  <c r="AB799" i="1" a="1"/>
  <c r="AB799" i="1" s="1"/>
  <c r="AB800" i="1" a="1"/>
  <c r="AB800" i="1" s="1"/>
  <c r="AB801" i="1" a="1"/>
  <c r="AB801" i="1" s="1"/>
  <c r="AB802" i="1" a="1"/>
  <c r="AB802" i="1" s="1"/>
  <c r="AB803" i="1" a="1"/>
  <c r="AB803" i="1" s="1"/>
  <c r="AB804" i="1" a="1"/>
  <c r="AB804" i="1" s="1"/>
  <c r="AB805" i="1" a="1"/>
  <c r="AB805" i="1" s="1"/>
  <c r="AB806" i="1" a="1"/>
  <c r="AB806" i="1" s="1"/>
  <c r="AB807" i="1" a="1"/>
  <c r="AB807" i="1" s="1"/>
  <c r="AB808" i="1" a="1"/>
  <c r="AB808" i="1" s="1"/>
  <c r="AB809" i="1" a="1"/>
  <c r="AB809" i="1" s="1"/>
  <c r="AB810" i="1" a="1"/>
  <c r="AB810" i="1" s="1"/>
  <c r="AB811" i="1" a="1"/>
  <c r="AB811" i="1" s="1"/>
  <c r="AB812" i="1" a="1"/>
  <c r="AB812" i="1" s="1"/>
  <c r="AB813" i="1" a="1"/>
  <c r="AB813" i="1" s="1"/>
  <c r="AB814" i="1" a="1"/>
  <c r="AB814" i="1" s="1"/>
  <c r="AB815" i="1" a="1"/>
  <c r="AB815" i="1" s="1"/>
  <c r="AB816" i="1" a="1"/>
  <c r="AB816" i="1" s="1"/>
  <c r="AB817" i="1" a="1"/>
  <c r="AB817" i="1" s="1"/>
  <c r="AB818" i="1" a="1"/>
  <c r="AB818" i="1" s="1"/>
  <c r="AB819" i="1" a="1"/>
  <c r="AB819" i="1" s="1"/>
  <c r="AB820" i="1" a="1"/>
  <c r="AB820" i="1" s="1"/>
  <c r="AB821" i="1" a="1"/>
  <c r="AB821" i="1" s="1"/>
  <c r="AB822" i="1" a="1"/>
  <c r="AB822" i="1" s="1"/>
  <c r="AB823" i="1" a="1"/>
  <c r="AB823" i="1" s="1"/>
  <c r="AB824" i="1" a="1"/>
  <c r="AB824" i="1" s="1"/>
  <c r="AB825" i="1" a="1"/>
  <c r="AB825" i="1" s="1"/>
  <c r="AB826" i="1" a="1"/>
  <c r="AB826" i="1" s="1"/>
  <c r="AB827" i="1" a="1"/>
  <c r="AB827" i="1" s="1"/>
  <c r="AB828" i="1" a="1"/>
  <c r="AB828" i="1" s="1"/>
  <c r="AB829" i="1" a="1"/>
  <c r="AB829" i="1" s="1"/>
  <c r="AB830" i="1" a="1"/>
  <c r="AB830" i="1" s="1"/>
  <c r="AB831" i="1" a="1"/>
  <c r="AB831" i="1" s="1"/>
  <c r="AB832" i="1" a="1"/>
  <c r="AB832" i="1" s="1"/>
  <c r="AB833" i="1" a="1"/>
  <c r="AB833" i="1" s="1"/>
  <c r="AB834" i="1" a="1"/>
  <c r="AB834" i="1" s="1"/>
  <c r="AB835" i="1" a="1"/>
  <c r="AB835" i="1" s="1"/>
  <c r="AB836" i="1" a="1"/>
  <c r="AB836" i="1" s="1"/>
  <c r="AB837" i="1" a="1"/>
  <c r="AB837" i="1" s="1"/>
  <c r="AB838" i="1" a="1"/>
  <c r="AB838" i="1" s="1"/>
  <c r="AB839" i="1" a="1"/>
  <c r="AB839" i="1" s="1"/>
  <c r="AB840" i="1" a="1"/>
  <c r="AB840" i="1" s="1"/>
  <c r="AB841" i="1" a="1"/>
  <c r="AB841" i="1" s="1"/>
  <c r="AB842" i="1" a="1"/>
  <c r="AB842" i="1" s="1"/>
  <c r="AB843" i="1" a="1"/>
  <c r="AB843" i="1" s="1"/>
  <c r="AB844" i="1" a="1"/>
  <c r="AB844" i="1" s="1"/>
  <c r="AB845" i="1" a="1"/>
  <c r="AB845" i="1" s="1"/>
  <c r="AB846" i="1" a="1"/>
  <c r="AB846" i="1" s="1"/>
  <c r="AB847" i="1" a="1"/>
  <c r="AB847" i="1" s="1"/>
  <c r="AB848" i="1" a="1"/>
  <c r="AB848" i="1" s="1"/>
  <c r="AB849" i="1" a="1"/>
  <c r="AB849" i="1" s="1"/>
  <c r="AB850" i="1" a="1"/>
  <c r="AB850" i="1" s="1"/>
  <c r="AB851" i="1" a="1"/>
  <c r="AB851" i="1" s="1"/>
  <c r="AB852" i="1" a="1"/>
  <c r="AB852" i="1" s="1"/>
  <c r="AB853" i="1" a="1"/>
  <c r="AB853" i="1" s="1"/>
  <c r="AB854" i="1" a="1"/>
  <c r="AB854" i="1" s="1"/>
  <c r="AB855" i="1" a="1"/>
  <c r="AB855" i="1" s="1"/>
  <c r="AB856" i="1" a="1"/>
  <c r="AB856" i="1" s="1"/>
  <c r="AB857" i="1" a="1"/>
  <c r="AB857" i="1" s="1"/>
  <c r="AB858" i="1" a="1"/>
  <c r="AB858" i="1" s="1"/>
  <c r="AB859" i="1" a="1"/>
  <c r="AB859" i="1" s="1"/>
  <c r="AB860" i="1" a="1"/>
  <c r="AB860" i="1" s="1"/>
  <c r="AB861" i="1" a="1"/>
  <c r="AB861" i="1" s="1"/>
  <c r="AB862" i="1" a="1"/>
  <c r="AB862" i="1" s="1"/>
  <c r="AB863" i="1" a="1"/>
  <c r="AB863" i="1" s="1"/>
  <c r="AB864" i="1" a="1"/>
  <c r="AB864" i="1" s="1"/>
  <c r="AB865" i="1" a="1"/>
  <c r="AB865" i="1" s="1"/>
  <c r="AB866" i="1" a="1"/>
  <c r="AB866" i="1" s="1"/>
  <c r="AB867" i="1" a="1"/>
  <c r="AB867" i="1" s="1"/>
  <c r="AB868" i="1" a="1"/>
  <c r="AB868" i="1" s="1"/>
  <c r="AB869" i="1" a="1"/>
  <c r="AB869" i="1" s="1"/>
  <c r="AB870" i="1" a="1"/>
  <c r="AB870" i="1" s="1"/>
  <c r="AB871" i="1" a="1"/>
  <c r="AB871" i="1" s="1"/>
  <c r="AB872" i="1" a="1"/>
  <c r="AB872" i="1" s="1"/>
  <c r="AB873" i="1" a="1"/>
  <c r="AB873" i="1" s="1"/>
  <c r="AB874" i="1" a="1"/>
  <c r="AB874" i="1" s="1"/>
  <c r="AB875" i="1" a="1"/>
  <c r="AB875" i="1" s="1"/>
  <c r="AB876" i="1" a="1"/>
  <c r="AB876" i="1" s="1"/>
  <c r="AB877" i="1" a="1"/>
  <c r="AB877" i="1" s="1"/>
  <c r="AB878" i="1" a="1"/>
  <c r="AB878" i="1" s="1"/>
  <c r="AB879" i="1" a="1"/>
  <c r="AB879" i="1" s="1"/>
  <c r="AB880" i="1" a="1"/>
  <c r="AB880" i="1" s="1"/>
  <c r="AB881" i="1" a="1"/>
  <c r="AB881" i="1" s="1"/>
  <c r="AB882" i="1" a="1"/>
  <c r="AB882" i="1" s="1"/>
  <c r="AB883" i="1" a="1"/>
  <c r="AB883" i="1" s="1"/>
  <c r="AB884" i="1" a="1"/>
  <c r="AB884" i="1" s="1"/>
  <c r="AB885" i="1" a="1"/>
  <c r="AB885" i="1" s="1"/>
  <c r="AB886" i="1" a="1"/>
  <c r="AB886" i="1" s="1"/>
  <c r="AB887" i="1" a="1"/>
  <c r="AB887" i="1" s="1"/>
  <c r="AB888" i="1" a="1"/>
  <c r="AB888" i="1" s="1"/>
  <c r="AB889" i="1" a="1"/>
  <c r="AB889" i="1" s="1"/>
  <c r="AB890" i="1" a="1"/>
  <c r="AB890" i="1" s="1"/>
  <c r="AB891" i="1" a="1"/>
  <c r="AB891" i="1" s="1"/>
  <c r="AB892" i="1" a="1"/>
  <c r="AB892" i="1" s="1"/>
  <c r="AB893" i="1" a="1"/>
  <c r="AB893" i="1" s="1"/>
  <c r="AB894" i="1" a="1"/>
  <c r="AB894" i="1" s="1"/>
  <c r="AB895" i="1" a="1"/>
  <c r="AB895" i="1" s="1"/>
  <c r="AB896" i="1" a="1"/>
  <c r="AB896" i="1" s="1"/>
  <c r="AB897" i="1" a="1"/>
  <c r="AB897" i="1" s="1"/>
  <c r="AB898" i="1" a="1"/>
  <c r="AB898" i="1" s="1"/>
  <c r="AB899" i="1" a="1"/>
  <c r="AB899" i="1" s="1"/>
  <c r="AB900" i="1" a="1"/>
  <c r="AB900" i="1" s="1"/>
  <c r="AB901" i="1" a="1"/>
  <c r="AB901" i="1" s="1"/>
  <c r="AB902" i="1" a="1"/>
  <c r="AB902" i="1" s="1"/>
  <c r="AB903" i="1" a="1"/>
  <c r="AB903" i="1" s="1"/>
  <c r="AB904" i="1" a="1"/>
  <c r="AB904" i="1" s="1"/>
  <c r="AB905" i="1" a="1"/>
  <c r="AB905" i="1" s="1"/>
  <c r="AB906" i="1" a="1"/>
  <c r="AB906" i="1" s="1"/>
  <c r="AB907" i="1" a="1"/>
  <c r="AB907" i="1" s="1"/>
  <c r="AB908" i="1" a="1"/>
  <c r="AB908" i="1" s="1"/>
  <c r="AB909" i="1" a="1"/>
  <c r="AB909" i="1" s="1"/>
  <c r="AB910" i="1" a="1"/>
  <c r="AB910" i="1" s="1"/>
  <c r="AB911" i="1" a="1"/>
  <c r="AB911" i="1" s="1"/>
  <c r="AB912" i="1" a="1"/>
  <c r="AB912" i="1" s="1"/>
  <c r="AB913" i="1" a="1"/>
  <c r="AB913" i="1" s="1"/>
  <c r="AB914" i="1" a="1"/>
  <c r="AB914" i="1" s="1"/>
  <c r="AB915" i="1" a="1"/>
  <c r="AB915" i="1" s="1"/>
  <c r="AB916" i="1" a="1"/>
  <c r="AB916" i="1" s="1"/>
  <c r="AB917" i="1" a="1"/>
  <c r="AB917" i="1" s="1"/>
  <c r="AB918" i="1" a="1"/>
  <c r="AB918" i="1" s="1"/>
  <c r="AB919" i="1" a="1"/>
  <c r="AB919" i="1" s="1"/>
  <c r="AB920" i="1" a="1"/>
  <c r="AB920" i="1" s="1"/>
  <c r="AB921" i="1" a="1"/>
  <c r="AB921" i="1" s="1"/>
  <c r="AB922" i="1" a="1"/>
  <c r="AB922" i="1" s="1"/>
  <c r="AB923" i="1" a="1"/>
  <c r="AB923" i="1" s="1"/>
  <c r="AB924" i="1" a="1"/>
  <c r="AB924" i="1" s="1"/>
  <c r="AB925" i="1" a="1"/>
  <c r="AB925" i="1" s="1"/>
  <c r="AB926" i="1" a="1"/>
  <c r="AB926" i="1" s="1"/>
  <c r="AB927" i="1" a="1"/>
  <c r="AB927" i="1" s="1"/>
  <c r="AB928" i="1" a="1"/>
  <c r="AB928" i="1" s="1"/>
  <c r="AB929" i="1" a="1"/>
  <c r="AB929" i="1" s="1"/>
  <c r="AB930" i="1" a="1"/>
  <c r="AB930" i="1" s="1"/>
  <c r="AB931" i="1" a="1"/>
  <c r="AB931" i="1" s="1"/>
  <c r="AB932" i="1" a="1"/>
  <c r="AB932" i="1" s="1"/>
  <c r="AB933" i="1" a="1"/>
  <c r="AB933" i="1" s="1"/>
  <c r="AB934" i="1" a="1"/>
  <c r="AB934" i="1" s="1"/>
  <c r="AB935" i="1" a="1"/>
  <c r="AB935" i="1" s="1"/>
  <c r="AB936" i="1" a="1"/>
  <c r="AB936" i="1" s="1"/>
  <c r="AB937" i="1" a="1"/>
  <c r="AB937" i="1" s="1"/>
  <c r="AB938" i="1" a="1"/>
  <c r="AB938" i="1" s="1"/>
  <c r="AB939" i="1" a="1"/>
  <c r="AB939" i="1" s="1"/>
  <c r="AB940" i="1" a="1"/>
  <c r="AB940" i="1" s="1"/>
  <c r="AB941" i="1" a="1"/>
  <c r="AB941" i="1" s="1"/>
  <c r="AB942" i="1" a="1"/>
  <c r="AB942" i="1" s="1"/>
  <c r="AB943" i="1" a="1"/>
  <c r="AB943" i="1" s="1"/>
  <c r="AB944" i="1" a="1"/>
  <c r="AB944" i="1" s="1"/>
  <c r="AB945" i="1" a="1"/>
  <c r="AB945" i="1" s="1"/>
  <c r="AB946" i="1" a="1"/>
  <c r="AB946" i="1" s="1"/>
  <c r="AB947" i="1" a="1"/>
  <c r="AB947" i="1" s="1"/>
  <c r="AB948" i="1" a="1"/>
  <c r="AB948" i="1" s="1"/>
  <c r="AB949" i="1" a="1"/>
  <c r="AB949" i="1" s="1"/>
  <c r="AB950" i="1" a="1"/>
  <c r="AB950" i="1" s="1"/>
  <c r="AB951" i="1" a="1"/>
  <c r="AB951" i="1" s="1"/>
  <c r="AB952" i="1" a="1"/>
  <c r="AB952" i="1" s="1"/>
  <c r="AB953" i="1" a="1"/>
  <c r="AB953" i="1" s="1"/>
  <c r="AB954" i="1" a="1"/>
  <c r="AB954" i="1" s="1"/>
  <c r="AB955" i="1" a="1"/>
  <c r="AB955" i="1" s="1"/>
  <c r="AB956" i="1" a="1"/>
  <c r="AB956" i="1" s="1"/>
  <c r="AB957" i="1" a="1"/>
  <c r="AB957" i="1" s="1"/>
  <c r="AB958" i="1" a="1"/>
  <c r="AB958" i="1" s="1"/>
  <c r="AB959" i="1" a="1"/>
  <c r="AB959" i="1" s="1"/>
  <c r="AB960" i="1" a="1"/>
  <c r="AB960" i="1" s="1"/>
  <c r="AB961" i="1" a="1"/>
  <c r="AB961" i="1" s="1"/>
  <c r="AB962" i="1" a="1"/>
  <c r="AB962" i="1" s="1"/>
  <c r="AB963" i="1" a="1"/>
  <c r="AB963" i="1" s="1"/>
  <c r="AB964" i="1" a="1"/>
  <c r="AB964" i="1" s="1"/>
  <c r="AB965" i="1" a="1"/>
  <c r="AB965" i="1" s="1"/>
  <c r="AB966" i="1" a="1"/>
  <c r="AB966" i="1" s="1"/>
  <c r="AB967" i="1" a="1"/>
  <c r="AB967" i="1" s="1"/>
  <c r="AB968" i="1" a="1"/>
  <c r="AB968" i="1" s="1"/>
  <c r="AB969" i="1" a="1"/>
  <c r="AB969" i="1" s="1"/>
  <c r="AB970" i="1" a="1"/>
  <c r="AB970" i="1" s="1"/>
  <c r="AB971" i="1" a="1"/>
  <c r="AB971" i="1" s="1"/>
  <c r="AB972" i="1" a="1"/>
  <c r="AB972" i="1" s="1"/>
  <c r="AB973" i="1" a="1"/>
  <c r="AB973" i="1" s="1"/>
  <c r="AB974" i="1" a="1"/>
  <c r="AB974" i="1" s="1"/>
  <c r="AB975" i="1" a="1"/>
  <c r="AB975" i="1" s="1"/>
  <c r="AB976" i="1" a="1"/>
  <c r="AB976" i="1" s="1"/>
  <c r="AB977" i="1" a="1"/>
  <c r="AB977" i="1" s="1"/>
  <c r="AB978" i="1" a="1"/>
  <c r="AB978" i="1" s="1"/>
  <c r="AB979" i="1" a="1"/>
  <c r="AB979" i="1" s="1"/>
  <c r="AB980" i="1" a="1"/>
  <c r="AB980" i="1" s="1"/>
  <c r="AB981" i="1" a="1"/>
  <c r="AB981" i="1" s="1"/>
  <c r="AB982" i="1" a="1"/>
  <c r="AB982" i="1" s="1"/>
  <c r="AB983" i="1" a="1"/>
  <c r="AB983" i="1" s="1"/>
  <c r="AB984" i="1" a="1"/>
  <c r="AB984" i="1" s="1"/>
  <c r="AB985" i="1" a="1"/>
  <c r="AB985" i="1" s="1"/>
  <c r="AB986" i="1" a="1"/>
  <c r="AB986" i="1" s="1"/>
  <c r="AB987" i="1" a="1"/>
  <c r="AB987" i="1" s="1"/>
  <c r="AB988" i="1" a="1"/>
  <c r="AB988" i="1" s="1"/>
  <c r="AB989" i="1" a="1"/>
  <c r="AB989" i="1" s="1"/>
  <c r="AB990" i="1" a="1"/>
  <c r="AB990" i="1" s="1"/>
  <c r="AB991" i="1" a="1"/>
  <c r="AB991" i="1" s="1"/>
  <c r="AB992" i="1" a="1"/>
  <c r="AB992" i="1" s="1"/>
  <c r="AB993" i="1" a="1"/>
  <c r="AB993" i="1" s="1"/>
  <c r="AB994" i="1" a="1"/>
  <c r="AB994" i="1" s="1"/>
  <c r="AB995" i="1" a="1"/>
  <c r="AB995" i="1" s="1"/>
  <c r="AB996" i="1" a="1"/>
  <c r="AB996" i="1" s="1"/>
  <c r="AB997" i="1" a="1"/>
  <c r="AB997" i="1" s="1"/>
  <c r="AB998" i="1" a="1"/>
  <c r="AB998" i="1" s="1"/>
  <c r="AB999" i="1" a="1"/>
  <c r="AB999" i="1" s="1"/>
  <c r="AB1000" i="1" a="1"/>
  <c r="AB1000" i="1" s="1"/>
  <c r="AB1001" i="1" a="1"/>
  <c r="AB1001" i="1" s="1"/>
  <c r="AB2" i="1" a="1"/>
  <c r="AB2" i="1" s="1"/>
  <c r="Q996" i="1"/>
  <c r="Q982" i="1"/>
  <c r="Q975" i="1"/>
  <c r="Q964" i="1"/>
  <c r="Q949" i="1"/>
  <c r="Q945" i="1"/>
  <c r="Q942" i="1"/>
  <c r="Q935" i="1"/>
  <c r="Q933" i="1"/>
  <c r="Q931" i="1"/>
  <c r="Q930" i="1"/>
  <c r="Q929" i="1"/>
  <c r="Q928" i="1"/>
  <c r="Q923" i="1"/>
  <c r="Q922" i="1"/>
  <c r="Q919" i="1"/>
  <c r="Q839" i="1"/>
  <c r="Q801" i="1"/>
  <c r="Q777" i="1"/>
  <c r="Q755" i="1"/>
  <c r="Q414" i="1"/>
  <c r="Q412" i="1"/>
  <c r="Q411" i="1"/>
  <c r="Q410" i="1"/>
  <c r="Q408" i="1"/>
  <c r="Q405" i="1"/>
  <c r="Q401" i="1"/>
  <c r="Q399" i="1"/>
  <c r="Q397" i="1"/>
  <c r="Q391" i="1"/>
  <c r="Q387" i="1"/>
  <c r="Q386" i="1"/>
  <c r="Q31" i="1"/>
  <c r="Q30" i="1"/>
  <c r="Q18" i="1"/>
  <c r="Q16" i="1"/>
  <c r="Q15" i="1"/>
  <c r="Q14" i="1"/>
  <c r="Q12" i="1"/>
  <c r="Q11" i="1"/>
  <c r="Q9" i="1"/>
  <c r="Q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H2" i="1" a="1"/>
  <c r="H2" i="1" s="1"/>
  <c r="H3" i="1" a="1"/>
  <c r="H3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<sst xmlns="http://schemas.openxmlformats.org/spreadsheetml/2006/main" count="25066" uniqueCount="1973">
  <si>
    <t>Employee ID</t>
  </si>
  <si>
    <t>Name</t>
  </si>
  <si>
    <t>Last Name</t>
  </si>
  <si>
    <t>Age</t>
  </si>
  <si>
    <t>Birth Year</t>
  </si>
  <si>
    <t>Salary</t>
  </si>
  <si>
    <t>Gender</t>
  </si>
  <si>
    <t>Department</t>
  </si>
  <si>
    <t>Position</t>
  </si>
  <si>
    <t>Joining Date</t>
  </si>
  <si>
    <t>Performance Score</t>
  </si>
  <si>
    <t>Performance Score Numeric</t>
  </si>
  <si>
    <t>Email</t>
  </si>
  <si>
    <t>Phone Number</t>
  </si>
  <si>
    <t>Employment Status</t>
  </si>
  <si>
    <t>Manager ID</t>
  </si>
  <si>
    <t>Years of Service</t>
  </si>
  <si>
    <t>Sick Days Taken</t>
  </si>
  <si>
    <t>Vacation Days Remaining</t>
  </si>
  <si>
    <t>Last Promotion Date</t>
  </si>
  <si>
    <t>Training Hours</t>
  </si>
  <si>
    <t>Benefits Enrolled</t>
  </si>
  <si>
    <t>job_satisfaction</t>
  </si>
  <si>
    <t>attrition</t>
  </si>
  <si>
    <t>EMP-2018-0001</t>
  </si>
  <si>
    <t>Grace</t>
  </si>
  <si>
    <t>Hansen</t>
  </si>
  <si>
    <t>Male</t>
  </si>
  <si>
    <t>HR</t>
  </si>
  <si>
    <t>Manager</t>
  </si>
  <si>
    <t>D</t>
  </si>
  <si>
    <t>grace.hansen@saltcorp.com</t>
  </si>
  <si>
    <t>contract</t>
  </si>
  <si>
    <t>YES</t>
  </si>
  <si>
    <t>No</t>
  </si>
  <si>
    <t>EMP-2020-0002</t>
  </si>
  <si>
    <t>David</t>
  </si>
  <si>
    <t>Cohen</t>
  </si>
  <si>
    <t>Female</t>
  </si>
  <si>
    <t>finance</t>
  </si>
  <si>
    <t>Director</t>
  </si>
  <si>
    <t>F</t>
  </si>
  <si>
    <t>david.cohen@saltcorp.com</t>
  </si>
  <si>
    <t>123-456-7890</t>
  </si>
  <si>
    <t>Full-Time</t>
  </si>
  <si>
    <t>N</t>
  </si>
  <si>
    <t>Yes</t>
  </si>
  <si>
    <t>EMP-2020-0003</t>
  </si>
  <si>
    <t>Hannah</t>
  </si>
  <si>
    <t>Matthews</t>
  </si>
  <si>
    <t>SIXTY THOUSAND</t>
  </si>
  <si>
    <t>sales</t>
  </si>
  <si>
    <t>C</t>
  </si>
  <si>
    <t>hannah.matthews@saltcorp.com</t>
  </si>
  <si>
    <t>098-765-4321</t>
  </si>
  <si>
    <t>EMP-2018-0004</t>
  </si>
  <si>
    <t>Eve</t>
  </si>
  <si>
    <t>Parker</t>
  </si>
  <si>
    <t>it</t>
  </si>
  <si>
    <t>A</t>
  </si>
  <si>
    <t>eve.parker@saltcorp.com</t>
  </si>
  <si>
    <t xml:space="preserve"> </t>
  </si>
  <si>
    <t>EMP-2020-0005</t>
  </si>
  <si>
    <t>Liu</t>
  </si>
  <si>
    <t>Finance</t>
  </si>
  <si>
    <t>grace.liu@saltcorp.com</t>
  </si>
  <si>
    <t>Contract</t>
  </si>
  <si>
    <t>EMP-2019-0006</t>
  </si>
  <si>
    <t>Jack</t>
  </si>
  <si>
    <t>Evans</t>
  </si>
  <si>
    <t>Marketing</t>
  </si>
  <si>
    <t>jack.evans@saltcorp.com</t>
  </si>
  <si>
    <t>Part-Time</t>
  </si>
  <si>
    <t>no</t>
  </si>
  <si>
    <t>EMP-2019-0007</t>
  </si>
  <si>
    <t>Charlie</t>
  </si>
  <si>
    <t>Moore</t>
  </si>
  <si>
    <t>Clerk</t>
  </si>
  <si>
    <t>B</t>
  </si>
  <si>
    <t>N/A</t>
  </si>
  <si>
    <t>EMP-2019-0008</t>
  </si>
  <si>
    <t>Wang</t>
  </si>
  <si>
    <t>hr</t>
  </si>
  <si>
    <t>EMP-2020-0009</t>
  </si>
  <si>
    <t>McCoy</t>
  </si>
  <si>
    <t>hannah.mccoy@saltcorp.com</t>
  </si>
  <si>
    <t>EMP-2020-0010</t>
  </si>
  <si>
    <t>Stevens</t>
  </si>
  <si>
    <t>thirty</t>
  </si>
  <si>
    <t>Assistant</t>
  </si>
  <si>
    <t>EMP-2020-0025</t>
  </si>
  <si>
    <t>EMP-2019-0011</t>
  </si>
  <si>
    <t>West</t>
  </si>
  <si>
    <t>marketing</t>
  </si>
  <si>
    <t>Analyst</t>
  </si>
  <si>
    <t>EMP-2019-0012</t>
  </si>
  <si>
    <t>Brooks</t>
  </si>
  <si>
    <t>hannah.brooks@saltcorp.com</t>
  </si>
  <si>
    <t>EMP-2018-0013</t>
  </si>
  <si>
    <t>Gomez</t>
  </si>
  <si>
    <t>part-time</t>
  </si>
  <si>
    <t>EMP-2019-0003</t>
  </si>
  <si>
    <t>EMP-2020-0014</t>
  </si>
  <si>
    <t>Martin</t>
  </si>
  <si>
    <t>555-555-5555</t>
  </si>
  <si>
    <t>EMP-2019-0089</t>
  </si>
  <si>
    <t>EMP-2019-0015</t>
  </si>
  <si>
    <t>Frank</t>
  </si>
  <si>
    <t>Young</t>
  </si>
  <si>
    <t>EMP-2018-0016</t>
  </si>
  <si>
    <t>Pearson</t>
  </si>
  <si>
    <t>eve.pearson@saltcorp.com</t>
  </si>
  <si>
    <t>full-time</t>
  </si>
  <si>
    <t>EMP-2020-0017</t>
  </si>
  <si>
    <t>Bob</t>
  </si>
  <si>
    <t>Garcia</t>
  </si>
  <si>
    <t>EMP-2018-0018</t>
  </si>
  <si>
    <t>Weber</t>
  </si>
  <si>
    <t>hannah.weber@saltcorp.com</t>
  </si>
  <si>
    <t>EMP-2019-0030</t>
  </si>
  <si>
    <t>EMP-2019-0019</t>
  </si>
  <si>
    <t>Flores</t>
  </si>
  <si>
    <t>IT</t>
  </si>
  <si>
    <t>frank.flores@saltcorp.com</t>
  </si>
  <si>
    <t>EMP-2019-0020</t>
  </si>
  <si>
    <t>Miller</t>
  </si>
  <si>
    <t>bob.miller@saltcorp.com</t>
  </si>
  <si>
    <t>EMP-2020-0024</t>
  </si>
  <si>
    <t>EMP-2020-0021</t>
  </si>
  <si>
    <t>eve.stevens@saltcorp.com</t>
  </si>
  <si>
    <t>EMP-2018-0022</t>
  </si>
  <si>
    <t>Alice</t>
  </si>
  <si>
    <t>Dixon</t>
  </si>
  <si>
    <t>alice.dixon@saltcorp.com</t>
  </si>
  <si>
    <t>EMP-2018-0023</t>
  </si>
  <si>
    <t>Barnett</t>
  </si>
  <si>
    <t>jack.barnett@saltcorp.com</t>
  </si>
  <si>
    <t>Oliver</t>
  </si>
  <si>
    <t>frank.oliver@saltcorp.com</t>
  </si>
  <si>
    <t>EMP-2018-0025</t>
  </si>
  <si>
    <t>Ivy</t>
  </si>
  <si>
    <t>Olson</t>
  </si>
  <si>
    <t>ivy.olson@saltcorp.com</t>
  </si>
  <si>
    <t>EMP-2020-0026</t>
  </si>
  <si>
    <t>Martinez</t>
  </si>
  <si>
    <t>Sales</t>
  </si>
  <si>
    <t>alice.martinez@saltcorp.com</t>
  </si>
  <si>
    <t>EMP-2020-0027</t>
  </si>
  <si>
    <t>Sims</t>
  </si>
  <si>
    <t>jack.sims@saltcorp.com</t>
  </si>
  <si>
    <t>EMP-2019-0028</t>
  </si>
  <si>
    <t>Harris</t>
  </si>
  <si>
    <t>charlie.harris@saltcorp.com</t>
  </si>
  <si>
    <t>EMP-2020-0029</t>
  </si>
  <si>
    <t>Hudson</t>
  </si>
  <si>
    <t>EMP-2019-0044</t>
  </si>
  <si>
    <t>Kim</t>
  </si>
  <si>
    <t>EMP-2019-0031</t>
  </si>
  <si>
    <t>Williamson</t>
  </si>
  <si>
    <t>ivy.williamson@saltcorp.com</t>
  </si>
  <si>
    <t>EMP-2019-0032</t>
  </si>
  <si>
    <t>Medina</t>
  </si>
  <si>
    <t>charlie.medina@saltcorp.com</t>
  </si>
  <si>
    <t>EMP-2020-0033</t>
  </si>
  <si>
    <t>Cooper</t>
  </si>
  <si>
    <t>eve.cooper@saltcorp.com</t>
  </si>
  <si>
    <t>EMP-2018-0034</t>
  </si>
  <si>
    <t>Hanson</t>
  </si>
  <si>
    <t>charlie.hanson@saltcorp.com</t>
  </si>
  <si>
    <t>yes</t>
  </si>
  <si>
    <t>EMP-2020-0035</t>
  </si>
  <si>
    <t>Yang</t>
  </si>
  <si>
    <t>grace.yang@saltcorp.com</t>
  </si>
  <si>
    <t>EMP-2020-0036</t>
  </si>
  <si>
    <t>FULL-TIME</t>
  </si>
  <si>
    <t>EMP-2020-0037</t>
  </si>
  <si>
    <t>Lucas</t>
  </si>
  <si>
    <t>ivy.lucas@saltcorp.com</t>
  </si>
  <si>
    <t>EMP-2020-0038</t>
  </si>
  <si>
    <t>Schmidt</t>
  </si>
  <si>
    <t>grace.schmidt@saltcorp.com</t>
  </si>
  <si>
    <t>EMP-2019-0039</t>
  </si>
  <si>
    <t>bob.garcia@saltcorp.com</t>
  </si>
  <si>
    <t>EMP-2020-0040</t>
  </si>
  <si>
    <t>david.kim@saltcorp.com</t>
  </si>
  <si>
    <t>EMP-2018-0041</t>
  </si>
  <si>
    <t>ivy.dixon@saltcorp.com</t>
  </si>
  <si>
    <t>EMP-2018-0081</t>
  </si>
  <si>
    <t>EMP-2019-0042</t>
  </si>
  <si>
    <t>Dominguez</t>
  </si>
  <si>
    <t>bob.dominguez@saltcorp.com</t>
  </si>
  <si>
    <t>EMP-2018-0021</t>
  </si>
  <si>
    <t>EMP-2020-0043</t>
  </si>
  <si>
    <t>O'Connor</t>
  </si>
  <si>
    <t>jack.o'connor@saltcorp.com</t>
  </si>
  <si>
    <t>EMP-2020-0044</t>
  </si>
  <si>
    <t>Shah</t>
  </si>
  <si>
    <t>ivy.shah@saltcorp.com</t>
  </si>
  <si>
    <t>EMP-2019-0045</t>
  </si>
  <si>
    <t>Byrd</t>
  </si>
  <si>
    <t>jack.byrd@saltcorp.com</t>
  </si>
  <si>
    <t>EMP-2019-0046</t>
  </si>
  <si>
    <t>EMP-2019-0047</t>
  </si>
  <si>
    <t>Le</t>
  </si>
  <si>
    <t>bob.le@saltcorp.com</t>
  </si>
  <si>
    <t>EMP-2019-0048</t>
  </si>
  <si>
    <t>EMP-2018-0055</t>
  </si>
  <si>
    <t>EMP-2020-0049</t>
  </si>
  <si>
    <t>EMP-2019-0050</t>
  </si>
  <si>
    <t>Armstrong</t>
  </si>
  <si>
    <t>hannah.armstrong@saltcorp.com</t>
  </si>
  <si>
    <t>EMP-2018-0008</t>
  </si>
  <si>
    <t>EMP-2018-0051</t>
  </si>
  <si>
    <t>Clark</t>
  </si>
  <si>
    <t>charlie.clark@saltcorp.com</t>
  </si>
  <si>
    <t>EMP-2020-0052</t>
  </si>
  <si>
    <t>Chen</t>
  </si>
  <si>
    <t>alice.chen@saltcorp.com</t>
  </si>
  <si>
    <t>EMP-2020-0053</t>
  </si>
  <si>
    <t>Ross</t>
  </si>
  <si>
    <t>david.ross@saltcorp.com</t>
  </si>
  <si>
    <t>EMP-2019-0054</t>
  </si>
  <si>
    <t>Wilson</t>
  </si>
  <si>
    <t>bob.wilson@saltcorp.com</t>
  </si>
  <si>
    <t>EMP-2019-0055</t>
  </si>
  <si>
    <t>Gray</t>
  </si>
  <si>
    <t>hannah.gray@saltcorp.com</t>
  </si>
  <si>
    <t>EMP-2018-0077</t>
  </si>
  <si>
    <t>EMP-2019-0056</t>
  </si>
  <si>
    <t>Gibson</t>
  </si>
  <si>
    <t>david.gibson@saltcorp.com</t>
  </si>
  <si>
    <t>EMP-2020-0057</t>
  </si>
  <si>
    <t>EMP-2018-0058</t>
  </si>
  <si>
    <t>frank.hansen@saltcorp.com</t>
  </si>
  <si>
    <t>EMP-2018-0059</t>
  </si>
  <si>
    <t>frank.dominguez@saltcorp.com</t>
  </si>
  <si>
    <t>EMP-2018-0060</t>
  </si>
  <si>
    <t>Riley</t>
  </si>
  <si>
    <t>jack.riley@saltcorp.com</t>
  </si>
  <si>
    <t>EMP-2018-0061</t>
  </si>
  <si>
    <t>Patel</t>
  </si>
  <si>
    <t>david.patel@saltcorp.com</t>
  </si>
  <si>
    <t>EMP-2019-0074</t>
  </si>
  <si>
    <t>EMP-2019-0062</t>
  </si>
  <si>
    <t>Perez</t>
  </si>
  <si>
    <t>frank.perez@saltcorp.com</t>
  </si>
  <si>
    <t>EMP-2020-0063</t>
  </si>
  <si>
    <t>Hoffman</t>
  </si>
  <si>
    <t>bob.hoffman@saltcorp.com</t>
  </si>
  <si>
    <t>EMP-2019-0064</t>
  </si>
  <si>
    <t>O'Neill</t>
  </si>
  <si>
    <t>jack.o'neill@saltcorp.com</t>
  </si>
  <si>
    <t>EMP-2018-0065</t>
  </si>
  <si>
    <t>Powers</t>
  </si>
  <si>
    <t>bob.powers@saltcorp.com</t>
  </si>
  <si>
    <t>EMP-2019-0066</t>
  </si>
  <si>
    <t>Sullivan</t>
  </si>
  <si>
    <t>jack.sullivan@saltcorp.com</t>
  </si>
  <si>
    <t>EMP-2018-0067</t>
  </si>
  <si>
    <t>Garrett</t>
  </si>
  <si>
    <t>david.garrett@saltcorp.com</t>
  </si>
  <si>
    <t>EMP-2019-0068</t>
  </si>
  <si>
    <t>Powell</t>
  </si>
  <si>
    <t>hannah.powell@saltcorp.com</t>
  </si>
  <si>
    <t>EMP-2020-0069</t>
  </si>
  <si>
    <t>Zhang</t>
  </si>
  <si>
    <t>grace.zhang@saltcorp.com</t>
  </si>
  <si>
    <t>EMP-2019-0070</t>
  </si>
  <si>
    <t>Kumar</t>
  </si>
  <si>
    <t>ivy.kumar@saltcorp.com</t>
  </si>
  <si>
    <t>EMP-2020-0071</t>
  </si>
  <si>
    <t>Bennett</t>
  </si>
  <si>
    <t>hannah.bennett@saltcorp.com</t>
  </si>
  <si>
    <t>EMP-2019-0072</t>
  </si>
  <si>
    <t>EMP-2020-0073</t>
  </si>
  <si>
    <t>eve.mccoy@saltcorp.com</t>
  </si>
  <si>
    <t>EMP-2019-0075</t>
  </si>
  <si>
    <t>Davidson</t>
  </si>
  <si>
    <t>2019.12.01</t>
  </si>
  <si>
    <t>hannah.davidson@saltcorp.com</t>
  </si>
  <si>
    <t>EMP-2018-0076</t>
  </si>
  <si>
    <t>Sharma</t>
  </si>
  <si>
    <t>ivy.sharma@saltcorp.com</t>
  </si>
  <si>
    <t>EMP-2019-0078</t>
  </si>
  <si>
    <t>EMP-2018-0079</t>
  </si>
  <si>
    <t>Lee</t>
  </si>
  <si>
    <t>alice.lee@saltcorp.com</t>
  </si>
  <si>
    <t>EMP-2019-0080</t>
  </si>
  <si>
    <t>ivy.gibson@saltcorp.com</t>
  </si>
  <si>
    <t>Zhou</t>
  </si>
  <si>
    <t>grace.zhou@saltcorp.com</t>
  </si>
  <si>
    <t>EMP-2019-0082</t>
  </si>
  <si>
    <t>Reddy</t>
  </si>
  <si>
    <t>ivy.reddy@saltcorp.com</t>
  </si>
  <si>
    <t>EMP-2020-0083</t>
  </si>
  <si>
    <t>Jordan</t>
  </si>
  <si>
    <t>hannah.jordan@saltcorp.com</t>
  </si>
  <si>
    <t>EMP-2019-0084</t>
  </si>
  <si>
    <t>EMP-2020-0085</t>
  </si>
  <si>
    <t>Knight</t>
  </si>
  <si>
    <t>hannah.knight@saltcorp.com</t>
  </si>
  <si>
    <t>EMP-2020-0086</t>
  </si>
  <si>
    <t>hannah.pearson@saltcorp.com</t>
  </si>
  <si>
    <t>EMP-2020-0087</t>
  </si>
  <si>
    <t>EMP-2019-0088</t>
  </si>
  <si>
    <t>Rivera</t>
  </si>
  <si>
    <t>alice.rivera@saltcorp.com</t>
  </si>
  <si>
    <t>EMP-2019-0090</t>
  </si>
  <si>
    <t>charlie.martin@saltcorp.com</t>
  </si>
  <si>
    <t>EMP-2019-0091</t>
  </si>
  <si>
    <t>Jackson</t>
  </si>
  <si>
    <t>charlie.jackson@saltcorp.com</t>
  </si>
  <si>
    <t>EMP-2019-0092</t>
  </si>
  <si>
    <t>alice.lucas@saltcorp.com</t>
  </si>
  <si>
    <t>EMP-2020-0093</t>
  </si>
  <si>
    <t>Gutierrez</t>
  </si>
  <si>
    <t>eve.gutierrez@saltcorp.com</t>
  </si>
  <si>
    <t>EMP-2020-0094</t>
  </si>
  <si>
    <t>Murphy</t>
  </si>
  <si>
    <t>jack.murphy@saltcorp.com</t>
  </si>
  <si>
    <t>EMP-2019-0095</t>
  </si>
  <si>
    <t>grace.weber@saltcorp.com</t>
  </si>
  <si>
    <t>EMP-2020-0084</t>
  </si>
  <si>
    <t>EMP-2020-0096</t>
  </si>
  <si>
    <t>Ryan</t>
  </si>
  <si>
    <t>jack.ryan@saltcorp.com</t>
  </si>
  <si>
    <t>EMP-2019-0097</t>
  </si>
  <si>
    <t>EMP-2019-0098</t>
  </si>
  <si>
    <t>Wu</t>
  </si>
  <si>
    <t>grace.wu@saltcorp.com</t>
  </si>
  <si>
    <t>EMP-2018-0057</t>
  </si>
  <si>
    <t>EMP-2018-0099</t>
  </si>
  <si>
    <t>ivy.hoffman@saltcorp.com</t>
  </si>
  <si>
    <t>EMP-2020-0100</t>
  </si>
  <si>
    <t>Perry</t>
  </si>
  <si>
    <t>hannah.perry@saltcorp.com</t>
  </si>
  <si>
    <t>EMP-2020-0020</t>
  </si>
  <si>
    <t>EMP-2019-0101</t>
  </si>
  <si>
    <t>Aguilar</t>
  </si>
  <si>
    <t>bob.aguilar@saltcorp.com</t>
  </si>
  <si>
    <t>EMP-2019-0102</t>
  </si>
  <si>
    <t>alice.byrd@saltcorp.com</t>
  </si>
  <si>
    <t>EMP-2020-0103</t>
  </si>
  <si>
    <t>Walker</t>
  </si>
  <si>
    <t>grace.walker@saltcorp.com</t>
  </si>
  <si>
    <t>EMP-2020-0104</t>
  </si>
  <si>
    <t>grace.gibson@saltcorp.com</t>
  </si>
  <si>
    <t>EMP-2018-0105</t>
  </si>
  <si>
    <t>hannah.west@saltcorp.com</t>
  </si>
  <si>
    <t>EMP-2019-0106</t>
  </si>
  <si>
    <t>eve.walker@saltcorp.com</t>
  </si>
  <si>
    <t>EMP-2019-0107</t>
  </si>
  <si>
    <t>charlie.pearson@saltcorp.com</t>
  </si>
  <si>
    <t>EMP-2020-0108</t>
  </si>
  <si>
    <t>EMP-2019-0109</t>
  </si>
  <si>
    <t>Sanchez</t>
  </si>
  <si>
    <t>frank.sanchez@saltcorp.com</t>
  </si>
  <si>
    <t>EMP-2019-0110</t>
  </si>
  <si>
    <t>EMP-2020-0111</t>
  </si>
  <si>
    <t>Wallace</t>
  </si>
  <si>
    <t>alice.wallace@saltcorp.com</t>
  </si>
  <si>
    <t>EMP-2019-0112</t>
  </si>
  <si>
    <t>Lewis</t>
  </si>
  <si>
    <t>charlie.lewis@saltcorp.com</t>
  </si>
  <si>
    <t>EMP-2020-0113</t>
  </si>
  <si>
    <t>eve.hudson@saltcorp.com</t>
  </si>
  <si>
    <t>EMP-2019-0114</t>
  </si>
  <si>
    <t>Harrison</t>
  </si>
  <si>
    <t>charlie.harrison@saltcorp.com</t>
  </si>
  <si>
    <t>EMP-2019-0115</t>
  </si>
  <si>
    <t>EMP-2020-0116</t>
  </si>
  <si>
    <t>eve.williamson@saltcorp.com</t>
  </si>
  <si>
    <t>EMP-2018-0117</t>
  </si>
  <si>
    <t>jack.powers@saltcorp.com</t>
  </si>
  <si>
    <t>EMP-2020-0019</t>
  </si>
  <si>
    <t>EMP-2019-0118</t>
  </si>
  <si>
    <t>EMP-2019-0119</t>
  </si>
  <si>
    <t>Li</t>
  </si>
  <si>
    <t>grace.li@saltcorp.com</t>
  </si>
  <si>
    <t>EMP-2018-0120</t>
  </si>
  <si>
    <t>Figueroa</t>
  </si>
  <si>
    <t>ivy.figueroa@saltcorp.com</t>
  </si>
  <si>
    <t>EMP-2020-0121</t>
  </si>
  <si>
    <t>EMP-2018-0122</t>
  </si>
  <si>
    <t>EMP-2020-0123</t>
  </si>
  <si>
    <t>EMP-2020-0124</t>
  </si>
  <si>
    <t>EMP-2020-0125</t>
  </si>
  <si>
    <t>alice.williamson@saltcorp.com</t>
  </si>
  <si>
    <t>EMP-2020-0126</t>
  </si>
  <si>
    <t>EMP-2020-0127</t>
  </si>
  <si>
    <t>david.weber@saltcorp.com</t>
  </si>
  <si>
    <t>EMP-2020-0128</t>
  </si>
  <si>
    <t>eve.bennett@saltcorp.com</t>
  </si>
  <si>
    <t>EMP-2019-0129</t>
  </si>
  <si>
    <t>EMP-2020-0130</t>
  </si>
  <si>
    <t>Rogers</t>
  </si>
  <si>
    <t>grace.rogers@saltcorp.com</t>
  </si>
  <si>
    <t>EMP-2019-0131</t>
  </si>
  <si>
    <t>david.dominguez@saltcorp.com</t>
  </si>
  <si>
    <t>EMP-2019-0100</t>
  </si>
  <si>
    <t>EMP-2019-0132</t>
  </si>
  <si>
    <t>grace.wang@saltcorp.com</t>
  </si>
  <si>
    <t>EMP-2019-0133</t>
  </si>
  <si>
    <t>Mason</t>
  </si>
  <si>
    <t>charlie.mason@saltcorp.com</t>
  </si>
  <si>
    <t>EMP-2020-0134</t>
  </si>
  <si>
    <t>frank.wallace@saltcorp.com</t>
  </si>
  <si>
    <t>EMP-2019-0135</t>
  </si>
  <si>
    <t>bob.dixon@saltcorp.com</t>
  </si>
  <si>
    <t>EMP-2019-0136</t>
  </si>
  <si>
    <t>EMP-2019-0137</t>
  </si>
  <si>
    <t>ivy.barnett@saltcorp.com</t>
  </si>
  <si>
    <t>EMP-2020-0138</t>
  </si>
  <si>
    <t>Bell</t>
  </si>
  <si>
    <t>eve.bell@saltcorp.com</t>
  </si>
  <si>
    <t>EMP-2019-0023</t>
  </si>
  <si>
    <t>EMP-2019-0139</t>
  </si>
  <si>
    <t>frank.bell@saltcorp.com</t>
  </si>
  <si>
    <t>EMP-2020-0140</t>
  </si>
  <si>
    <t>david.murphy@saltcorp.com</t>
  </si>
  <si>
    <t>EMP-2020-0141</t>
  </si>
  <si>
    <t>McCarthy</t>
  </si>
  <si>
    <t>jack.mccarthy@saltcorp.com</t>
  </si>
  <si>
    <t>EMP-2018-0142</t>
  </si>
  <si>
    <t>EMP-2019-0143</t>
  </si>
  <si>
    <t>ivy.gomez@saltcorp.com</t>
  </si>
  <si>
    <t>EMP-2019-0144</t>
  </si>
  <si>
    <t>grace.ross@saltcorp.com</t>
  </si>
  <si>
    <t>EMP-2019-0145</t>
  </si>
  <si>
    <t>alice.evans@saltcorp.com</t>
  </si>
  <si>
    <t>EMP-2020-0146</t>
  </si>
  <si>
    <t>Morris</t>
  </si>
  <si>
    <t>alice.morris@saltcorp.com</t>
  </si>
  <si>
    <t>EMP-2018-0147</t>
  </si>
  <si>
    <t>ivy.harrison@saltcorp.com</t>
  </si>
  <si>
    <t>EMP-2020-0148</t>
  </si>
  <si>
    <t>Desai</t>
  </si>
  <si>
    <t>ivy.desai@saltcorp.com</t>
  </si>
  <si>
    <t>EMP-2019-0149</t>
  </si>
  <si>
    <t>david.pearson@saltcorp.com</t>
  </si>
  <si>
    <t>EMP-2020-0150</t>
  </si>
  <si>
    <t>ivy.weber@saltcorp.com</t>
  </si>
  <si>
    <t>EMP-2018-0151</t>
  </si>
  <si>
    <t>charlie.williamson@saltcorp.com</t>
  </si>
  <si>
    <t>EMP-2019-0152</t>
  </si>
  <si>
    <t>EMP-2020-0153</t>
  </si>
  <si>
    <t>Ramirez</t>
  </si>
  <si>
    <t>frank.ramirez@saltcorp.com</t>
  </si>
  <si>
    <t>EMP-2020-0154</t>
  </si>
  <si>
    <t>hannah.evans@saltcorp.com</t>
  </si>
  <si>
    <t>EMP-2020-0155</t>
  </si>
  <si>
    <t>EMP-2019-0156</t>
  </si>
  <si>
    <t>EMP-2019-0157</t>
  </si>
  <si>
    <t>alice.oliver@saltcorp.com</t>
  </si>
  <si>
    <t>EMP-2019-0158</t>
  </si>
  <si>
    <t>charlie.dixon@saltcorp.com</t>
  </si>
  <si>
    <t>EMP-2020-0159</t>
  </si>
  <si>
    <t>jack.lucas@saltcorp.com</t>
  </si>
  <si>
    <t>EMP-2019-0160</t>
  </si>
  <si>
    <t>Foster</t>
  </si>
  <si>
    <t>hannah.foster@saltcorp.com</t>
  </si>
  <si>
    <t>EMP-2020-0161</t>
  </si>
  <si>
    <t>Vega</t>
  </si>
  <si>
    <t>frank.vega@saltcorp.com</t>
  </si>
  <si>
    <t>EMP-2020-0162</t>
  </si>
  <si>
    <t>Johnston</t>
  </si>
  <si>
    <t>hannah.johnston@saltcorp.com</t>
  </si>
  <si>
    <t>EMP-2020-0163</t>
  </si>
  <si>
    <t>ivy.armstrong@saltcorp.com</t>
  </si>
  <si>
    <t>EMP-2019-0164</t>
  </si>
  <si>
    <t>david.matthews@saltcorp.com</t>
  </si>
  <si>
    <t>EMP-2020-0165</t>
  </si>
  <si>
    <t>Williams</t>
  </si>
  <si>
    <t>alice.williams@saltcorp.com</t>
  </si>
  <si>
    <t>EMP-2020-0048</t>
  </si>
  <si>
    <t>EMP-2020-0166</t>
  </si>
  <si>
    <t>EMP-2018-0047</t>
  </si>
  <si>
    <t>EMP-2018-0167</t>
  </si>
  <si>
    <t>EMP-2020-0168</t>
  </si>
  <si>
    <t>Walsh</t>
  </si>
  <si>
    <t>david.walsh@saltcorp.com</t>
  </si>
  <si>
    <t>EMP-2020-0046</t>
  </si>
  <si>
    <t>Y</t>
  </si>
  <si>
    <t>EMP-2020-0169</t>
  </si>
  <si>
    <t>grace.barnett@saltcorp.com</t>
  </si>
  <si>
    <t>EMP-2020-0170</t>
  </si>
  <si>
    <t>bob.figueroa@saltcorp.com</t>
  </si>
  <si>
    <t>EMP-2019-0171</t>
  </si>
  <si>
    <t>EMP-2019-0172</t>
  </si>
  <si>
    <t>alice.hansen@saltcorp.com</t>
  </si>
  <si>
    <t>EMP-2018-0073</t>
  </si>
  <si>
    <t>EMP-2019-0173</t>
  </si>
  <si>
    <t>eve.johnston@saltcorp.com</t>
  </si>
  <si>
    <t>EMP-2020-0174</t>
  </si>
  <si>
    <t>EMP-2018-0043</t>
  </si>
  <si>
    <t>EMP-2020-0175</t>
  </si>
  <si>
    <t>Ward</t>
  </si>
  <si>
    <t>hannah.ward@saltcorp.com</t>
  </si>
  <si>
    <t>EMP-2019-0176</t>
  </si>
  <si>
    <t>Andrews</t>
  </si>
  <si>
    <t>alice.andrews@saltcorp.com</t>
  </si>
  <si>
    <t>EMP-2020-0177</t>
  </si>
  <si>
    <t>EMP-2020-0178</t>
  </si>
  <si>
    <t>EMP-2018-0085</t>
  </si>
  <si>
    <t>EMP-2020-0179</t>
  </si>
  <si>
    <t>EMP-2018-0180</t>
  </si>
  <si>
    <t>frank.west@saltcorp.com</t>
  </si>
  <si>
    <t>EMP-2020-0181</t>
  </si>
  <si>
    <t>EMP-2018-0182</t>
  </si>
  <si>
    <t>EMP-2018-0183</t>
  </si>
  <si>
    <t>alice.walker@saltcorp.com</t>
  </si>
  <si>
    <t>EMP-2019-0184</t>
  </si>
  <si>
    <t>alice.west@saltcorp.com</t>
  </si>
  <si>
    <t>EMP-2020-0185</t>
  </si>
  <si>
    <t>EMP-2018-0186</t>
  </si>
  <si>
    <t>EMP-2020-0187</t>
  </si>
  <si>
    <t>eve.oliver@saltcorp.com</t>
  </si>
  <si>
    <t>EMP-2019-0188</t>
  </si>
  <si>
    <t>jack.matthews@saltcorp.com</t>
  </si>
  <si>
    <t>EMP-2019-0010</t>
  </si>
  <si>
    <t>EMP-2020-0189</t>
  </si>
  <si>
    <t>frank.sims@saltcorp.com</t>
  </si>
  <si>
    <t>EMP-2018-0009</t>
  </si>
  <si>
    <t>EMP-2020-0190</t>
  </si>
  <si>
    <t>Thomas</t>
  </si>
  <si>
    <t>grace.thomas@saltcorp.com</t>
  </si>
  <si>
    <t>EMP-2018-0191</t>
  </si>
  <si>
    <t>david.mason@saltcorp.com</t>
  </si>
  <si>
    <t>EMP-2020-0192</t>
  </si>
  <si>
    <t>EMP-2019-0193</t>
  </si>
  <si>
    <t>EMP-2020-0194</t>
  </si>
  <si>
    <t>EMP-2018-0195</t>
  </si>
  <si>
    <t>frank.byrd@saltcorp.com</t>
  </si>
  <si>
    <t>EMP-2019-0196</t>
  </si>
  <si>
    <t>Long</t>
  </si>
  <si>
    <t>hannah.long@saltcorp.com</t>
  </si>
  <si>
    <t>EMP-2019-0197</t>
  </si>
  <si>
    <t>eve.le@saltcorp.com</t>
  </si>
  <si>
    <t>EMP-2018-0198</t>
  </si>
  <si>
    <t>EMP-2020-0199</t>
  </si>
  <si>
    <t>Rodriguez</t>
  </si>
  <si>
    <t>bob.rodriguez@saltcorp.com</t>
  </si>
  <si>
    <t>EMP-2020-0200</t>
  </si>
  <si>
    <t>Lopez</t>
  </si>
  <si>
    <t>frank.lopez@saltcorp.com</t>
  </si>
  <si>
    <t>EMP-2019-0201</t>
  </si>
  <si>
    <t>Santos</t>
  </si>
  <si>
    <t>frank.santos@saltcorp.com</t>
  </si>
  <si>
    <t>EMP-2019-0202</t>
  </si>
  <si>
    <t>alice.armstrong@saltcorp.com</t>
  </si>
  <si>
    <t>EMP-2018-0203</t>
  </si>
  <si>
    <t>ivy.walker@saltcorp.com</t>
  </si>
  <si>
    <t>EMP-2020-0204</t>
  </si>
  <si>
    <t>frank.knight@saltcorp.com</t>
  </si>
  <si>
    <t>EMP-2019-0205</t>
  </si>
  <si>
    <t>EMP-2020-0206</t>
  </si>
  <si>
    <t>O'Brien</t>
  </si>
  <si>
    <t>david.o'brien@saltcorp.com</t>
  </si>
  <si>
    <t>EMP-2019-0207</t>
  </si>
  <si>
    <t>david.vega@saltcorp.com</t>
  </si>
  <si>
    <t>EMP-2020-0208</t>
  </si>
  <si>
    <t>charlie.riley@saltcorp.com</t>
  </si>
  <si>
    <t>EMP-2019-0209</t>
  </si>
  <si>
    <t>EMP-2020-0210</t>
  </si>
  <si>
    <t>charlie.powers@saltcorp.com</t>
  </si>
  <si>
    <t>EMP-2019-0211</t>
  </si>
  <si>
    <t>charlie.johnston@saltcorp.com</t>
  </si>
  <si>
    <t>EMP-2020-0072</t>
  </si>
  <si>
    <t>EMP-2019-0212</t>
  </si>
  <si>
    <t>EMP-2019-0213</t>
  </si>
  <si>
    <t>EMP-2019-0214</t>
  </si>
  <si>
    <t>david.santos@saltcorp.com</t>
  </si>
  <si>
    <t>EMP-2019-0215</t>
  </si>
  <si>
    <t>ivy.gutierrez@saltcorp.com</t>
  </si>
  <si>
    <t>EMP-2020-0216</t>
  </si>
  <si>
    <t>alice.jordan@saltcorp.com</t>
  </si>
  <si>
    <t>EMP-2019-0217</t>
  </si>
  <si>
    <t>hannah.oliver@saltcorp.com</t>
  </si>
  <si>
    <t>EMP-2018-0218</t>
  </si>
  <si>
    <t>EMP-2019-0219</t>
  </si>
  <si>
    <t>bob.rivera@saltcorp.com</t>
  </si>
  <si>
    <t>EMP-2018-0220</t>
  </si>
  <si>
    <t>EMP-2020-0077</t>
  </si>
  <si>
    <t>EMP-2019-0221</t>
  </si>
  <si>
    <t>alice.vega@saltcorp.com</t>
  </si>
  <si>
    <t>EMP-2020-0222</t>
  </si>
  <si>
    <t>ivy.rivera@saltcorp.com</t>
  </si>
  <si>
    <t>EMP-2018-0223</t>
  </si>
  <si>
    <t>Singh</t>
  </si>
  <si>
    <t>ivy.singh@saltcorp.com</t>
  </si>
  <si>
    <t>EMP-2020-0224</t>
  </si>
  <si>
    <t>Davis</t>
  </si>
  <si>
    <t>bob.davis@saltcorp.com</t>
  </si>
  <si>
    <t>EMP-2018-0225</t>
  </si>
  <si>
    <t>EMP-2020-0226</t>
  </si>
  <si>
    <t>EMP-2018-0227</t>
  </si>
  <si>
    <t>charlie.sims@saltcorp.com</t>
  </si>
  <si>
    <t>EMP-2019-0228</t>
  </si>
  <si>
    <t>EMP-2019-0077</t>
  </si>
  <si>
    <t>EMP-2019-0229</t>
  </si>
  <si>
    <t>EMP-2020-0230</t>
  </si>
  <si>
    <t>EMP-2019-0231</t>
  </si>
  <si>
    <t>david.sims@saltcorp.com</t>
  </si>
  <si>
    <t>EMP-2020-0056</t>
  </si>
  <si>
    <t>EMP-2019-0232</t>
  </si>
  <si>
    <t>alice.figueroa@saltcorp.com</t>
  </si>
  <si>
    <t>EMP-2020-0091</t>
  </si>
  <si>
    <t>EMP-2020-0233</t>
  </si>
  <si>
    <t>Smith</t>
  </si>
  <si>
    <t>bob.smith@saltcorp.com</t>
  </si>
  <si>
    <t>EMP-2020-0234</t>
  </si>
  <si>
    <t>EMP-2018-0235</t>
  </si>
  <si>
    <t>Carter</t>
  </si>
  <si>
    <t>eve.carter@saltcorp.com</t>
  </si>
  <si>
    <t>EMP-2018-0236</t>
  </si>
  <si>
    <t>eve.wallace@saltcorp.com</t>
  </si>
  <si>
    <t>EMP-2020-0237</t>
  </si>
  <si>
    <t>grace.mccoy@saltcorp.com</t>
  </si>
  <si>
    <t>EMP-2018-0052</t>
  </si>
  <si>
    <t>EMP-2019-0238</t>
  </si>
  <si>
    <t>Gupta</t>
  </si>
  <si>
    <t>ivy.gupta@saltcorp.com</t>
  </si>
  <si>
    <t>EMP-2020-0239</t>
  </si>
  <si>
    <t>EMP-2020-0240</t>
  </si>
  <si>
    <t>EMP-2019-0241</t>
  </si>
  <si>
    <t>Taylor</t>
  </si>
  <si>
    <t>charlie.taylor@saltcorp.com</t>
  </si>
  <si>
    <t>EMP-2020-0242</t>
  </si>
  <si>
    <t>charlie.olson@saltcorp.com</t>
  </si>
  <si>
    <t>EMP-2018-0243</t>
  </si>
  <si>
    <t>EMP-2020-0244</t>
  </si>
  <si>
    <t>hannah.dominguez@saltcorp.com</t>
  </si>
  <si>
    <t>EMP-2019-0245</t>
  </si>
  <si>
    <t>EMP-2020-0246</t>
  </si>
  <si>
    <t>EMP-2019-0247</t>
  </si>
  <si>
    <t>Baker</t>
  </si>
  <si>
    <t>alice.baker@saltcorp.com</t>
  </si>
  <si>
    <t>EMP-2020-0248</t>
  </si>
  <si>
    <t>EMP-2018-0031</t>
  </si>
  <si>
    <t>EMP-2019-0249</t>
  </si>
  <si>
    <t>EMP-2018-0250</t>
  </si>
  <si>
    <t>EMP-2019-0251</t>
  </si>
  <si>
    <t>EMP-2019-0252</t>
  </si>
  <si>
    <t>david.schmidt@saltcorp.com</t>
  </si>
  <si>
    <t>EMP-2019-0253</t>
  </si>
  <si>
    <t>EMP-2018-0254</t>
  </si>
  <si>
    <t>hannah.schmidt@saltcorp.com</t>
  </si>
  <si>
    <t>EMP-2019-0255</t>
  </si>
  <si>
    <t>david.thomas@saltcorp.com</t>
  </si>
  <si>
    <t>EMP-2020-0256</t>
  </si>
  <si>
    <t>EMP-2018-0257</t>
  </si>
  <si>
    <t>ivy.pearson@saltcorp.com</t>
  </si>
  <si>
    <t>EMP-2020-0258</t>
  </si>
  <si>
    <t>charlie.moore@saltcorp.com</t>
  </si>
  <si>
    <t>EMP-2018-0259</t>
  </si>
  <si>
    <t>ivy.sims@saltcorp.com</t>
  </si>
  <si>
    <t>EMP-2018-0083</t>
  </si>
  <si>
    <t>EMP-2019-0260</t>
  </si>
  <si>
    <t>bob.mason@saltcorp.com</t>
  </si>
  <si>
    <t>EMP-2020-0261</t>
  </si>
  <si>
    <t>bob.thomas@saltcorp.com</t>
  </si>
  <si>
    <t>EMP-2019-0262</t>
  </si>
  <si>
    <t>Brown</t>
  </si>
  <si>
    <t>bob.brown@saltcorp.com</t>
  </si>
  <si>
    <t>EMP-2018-0263</t>
  </si>
  <si>
    <t>frank.williamson@saltcorp.com</t>
  </si>
  <si>
    <t>EMP-2019-0264</t>
  </si>
  <si>
    <t>EMP-2020-0265</t>
  </si>
  <si>
    <t>EMP-2020-0266</t>
  </si>
  <si>
    <t>david.sullivan@saltcorp.com</t>
  </si>
  <si>
    <t>EMP-2018-0006</t>
  </si>
  <si>
    <t>EMP-2019-0267</t>
  </si>
  <si>
    <t>alice.garrett@saltcorp.com</t>
  </si>
  <si>
    <t>EMP-2020-0268</t>
  </si>
  <si>
    <t>EMP-2018-0269</t>
  </si>
  <si>
    <t>EMP-2018-0270</t>
  </si>
  <si>
    <t>Turner</t>
  </si>
  <si>
    <t>eve.turner@saltcorp.com</t>
  </si>
  <si>
    <t>EMP-2019-0271</t>
  </si>
  <si>
    <t>david.barnett@saltcorp.com</t>
  </si>
  <si>
    <t>EMP-2020-0272</t>
  </si>
  <si>
    <t>Hughes</t>
  </si>
  <si>
    <t>hannah.hughes@saltcorp.com</t>
  </si>
  <si>
    <t>EMP-2020-0273</t>
  </si>
  <si>
    <t>hannah.barnett@saltcorp.com</t>
  </si>
  <si>
    <t>EMP-2019-0274</t>
  </si>
  <si>
    <t>EMP-2019-0275</t>
  </si>
  <si>
    <t>charlie.hoffman@saltcorp.com</t>
  </si>
  <si>
    <t>EMP-2019-0276</t>
  </si>
  <si>
    <t>Welch</t>
  </si>
  <si>
    <t>alice.welch@saltcorp.com</t>
  </si>
  <si>
    <t>EMP-2020-0277</t>
  </si>
  <si>
    <t>Thompson</t>
  </si>
  <si>
    <t>alice.thompson@saltcorp.com</t>
  </si>
  <si>
    <t>EMP-2020-0278</t>
  </si>
  <si>
    <t>EMP-2018-0279</t>
  </si>
  <si>
    <t>EMP-2020-0280</t>
  </si>
  <si>
    <t>EMP-2020-0281</t>
  </si>
  <si>
    <t>frank.gomez@saltcorp.com</t>
  </si>
  <si>
    <t>EMP-2019-0282</t>
  </si>
  <si>
    <t>frank.gutierrez@saltcorp.com</t>
  </si>
  <si>
    <t>EMP-2019-0040</t>
  </si>
  <si>
    <t>EMP-2020-0283</t>
  </si>
  <si>
    <t>EMP-2020-0284</t>
  </si>
  <si>
    <t>charlie.thomas@saltcorp.com</t>
  </si>
  <si>
    <t>EMP-2019-0025</t>
  </si>
  <si>
    <t>EMP-2019-0285</t>
  </si>
  <si>
    <t>frank.rogers@saltcorp.com</t>
  </si>
  <si>
    <t>EMP-2020-0286</t>
  </si>
  <si>
    <t>EMP-2019-0287</t>
  </si>
  <si>
    <t>Johnson</t>
  </si>
  <si>
    <t>bob.johnson@saltcorp.com</t>
  </si>
  <si>
    <t>EMP-2020-0068</t>
  </si>
  <si>
    <t>EMP-2020-0288</t>
  </si>
  <si>
    <t>eve.figueroa@saltcorp.com</t>
  </si>
  <si>
    <t>EMP-2018-0289</t>
  </si>
  <si>
    <t>EMP-2019-0290</t>
  </si>
  <si>
    <t>EMP-2019-0291</t>
  </si>
  <si>
    <t>eve.powers@saltcorp.com</t>
  </si>
  <si>
    <t>EMP-2019-0292</t>
  </si>
  <si>
    <t>charlie.evans@saltcorp.com</t>
  </si>
  <si>
    <t>EMP-2019-0293</t>
  </si>
  <si>
    <t>david.hansen@saltcorp.com</t>
  </si>
  <si>
    <t>EMP-2020-0294</t>
  </si>
  <si>
    <t>EMP-2019-0295</t>
  </si>
  <si>
    <t>EMP-2019-0296</t>
  </si>
  <si>
    <t>EMP-2019-0297</t>
  </si>
  <si>
    <t>eve.dixon@saltcorp.com</t>
  </si>
  <si>
    <t>EMP-2018-0298</t>
  </si>
  <si>
    <t>Torres</t>
  </si>
  <si>
    <t>frank.torres@saltcorp.com</t>
  </si>
  <si>
    <t>EMP-2019-0299</t>
  </si>
  <si>
    <t>Wells</t>
  </si>
  <si>
    <t>charlie.wells@saltcorp.com</t>
  </si>
  <si>
    <t>EMP-2019-0071</t>
  </si>
  <si>
    <t>EMP-2020-0300</t>
  </si>
  <si>
    <t>ivy.andrews@saltcorp.com</t>
  </si>
  <si>
    <t>EMP-2019-0301</t>
  </si>
  <si>
    <t>EMP-2020-0302</t>
  </si>
  <si>
    <t>EMP-2019-0303</t>
  </si>
  <si>
    <t>Anderson</t>
  </si>
  <si>
    <t>alice.anderson@saltcorp.com</t>
  </si>
  <si>
    <t>EMP-2018-0304</t>
  </si>
  <si>
    <t>eve.santos@saltcorp.com</t>
  </si>
  <si>
    <t>EMP-2019-0305</t>
  </si>
  <si>
    <t>charlie.young@saltcorp.com</t>
  </si>
  <si>
    <t>EMP-2019-0306</t>
  </si>
  <si>
    <t>Graham</t>
  </si>
  <si>
    <t>alice.graham@saltcorp.com</t>
  </si>
  <si>
    <t>EMP-2018-0048</t>
  </si>
  <si>
    <t>EMP-2019-0307</t>
  </si>
  <si>
    <t>EMP-2019-0308</t>
  </si>
  <si>
    <t>eve.rivera@saltcorp.com</t>
  </si>
  <si>
    <t>EMP-2019-0309</t>
  </si>
  <si>
    <t>grace.bennett@saltcorp.com</t>
  </si>
  <si>
    <t>EMP-2020-0310</t>
  </si>
  <si>
    <t>Garza</t>
  </si>
  <si>
    <t>alice.garza@saltcorp.com</t>
  </si>
  <si>
    <t>EMP-2019-0311</t>
  </si>
  <si>
    <t>EMP-2018-0312</t>
  </si>
  <si>
    <t>EMP-2020-0313</t>
  </si>
  <si>
    <t>EMP-2019-0314</t>
  </si>
  <si>
    <t>jack.thomas@saltcorp.com</t>
  </si>
  <si>
    <t>EMP-2018-0007</t>
  </si>
  <si>
    <t>EMP-2019-0315</t>
  </si>
  <si>
    <t>frank.walker@saltcorp.com</t>
  </si>
  <si>
    <t>EMP-2020-0059</t>
  </si>
  <si>
    <t>EMP-2020-0316</t>
  </si>
  <si>
    <t>jack.walsh@saltcorp.com</t>
  </si>
  <si>
    <t>EMP-2019-0317</t>
  </si>
  <si>
    <t>EMP-2020-0074</t>
  </si>
  <si>
    <t>EMP-2020-0318</t>
  </si>
  <si>
    <t>hannah.vega@saltcorp.com</t>
  </si>
  <si>
    <t>EMP-2020-0319</t>
  </si>
  <si>
    <t>EMP-2018-0320</t>
  </si>
  <si>
    <t>bob.ross@saltcorp.com</t>
  </si>
  <si>
    <t>EMP-2019-0321</t>
  </si>
  <si>
    <t>Gonzalez</t>
  </si>
  <si>
    <t>frank.gonzalez@saltcorp.com</t>
  </si>
  <si>
    <t>EMP-2020-0322</t>
  </si>
  <si>
    <t>grace.jordan@saltcorp.com</t>
  </si>
  <si>
    <t>EMP-2019-0323</t>
  </si>
  <si>
    <t>EMP-2020-0324</t>
  </si>
  <si>
    <t>Castillo</t>
  </si>
  <si>
    <t>jack.castillo@saltcorp.com</t>
  </si>
  <si>
    <t>EMP-2019-0325</t>
  </si>
  <si>
    <t>bob.schmidt@saltcorp.com</t>
  </si>
  <si>
    <t>EMP-2019-0326</t>
  </si>
  <si>
    <t>EMP-2018-0045</t>
  </si>
  <si>
    <t>EMP-2019-0327</t>
  </si>
  <si>
    <t>EMP-2018-0328</t>
  </si>
  <si>
    <t>EMP-2019-0018</t>
  </si>
  <si>
    <t>EMP-2019-0329</t>
  </si>
  <si>
    <t>EMP-2019-0083</t>
  </si>
  <si>
    <t>EMP-2018-0330</t>
  </si>
  <si>
    <t>EMP-2019-0331</t>
  </si>
  <si>
    <t>frank.davidson@saltcorp.com</t>
  </si>
  <si>
    <t>EMP-2019-0332</t>
  </si>
  <si>
    <t>grace.dixon@saltcorp.com</t>
  </si>
  <si>
    <t>EMP-2020-0333</t>
  </si>
  <si>
    <t>jack.vega@saltcorp.com</t>
  </si>
  <si>
    <t>EMP-2018-0334</t>
  </si>
  <si>
    <t>grace.matthews@saltcorp.com</t>
  </si>
  <si>
    <t>EMP-2018-0335</t>
  </si>
  <si>
    <t>EMP-2020-0336</t>
  </si>
  <si>
    <t>EMP-2020-0337</t>
  </si>
  <si>
    <t>EMP-2020-0338</t>
  </si>
  <si>
    <t>ivy.medina@saltcorp.com</t>
  </si>
  <si>
    <t>EMP-2019-0339</t>
  </si>
  <si>
    <t>EMP-2020-0340</t>
  </si>
  <si>
    <t>EMP-2018-0341</t>
  </si>
  <si>
    <t>grace.medina@saltcorp.com</t>
  </si>
  <si>
    <t>EMP-2019-0342</t>
  </si>
  <si>
    <t>EMP-2019-0343</t>
  </si>
  <si>
    <t>david.wallace@saltcorp.com</t>
  </si>
  <si>
    <t>EMP-2020-0344</t>
  </si>
  <si>
    <t>EMP-2020-0345</t>
  </si>
  <si>
    <t>EMP-2019-0346</t>
  </si>
  <si>
    <t>EMP-2018-0347</t>
  </si>
  <si>
    <t>White</t>
  </si>
  <si>
    <t>charlie.white@saltcorp.com</t>
  </si>
  <si>
    <t>EMP-2020-0348</t>
  </si>
  <si>
    <t>grace.santos@saltcorp.com</t>
  </si>
  <si>
    <t>EMP-2019-0349</t>
  </si>
  <si>
    <t>bob.weber@saltcorp.com</t>
  </si>
  <si>
    <t>EMP-2020-0350</t>
  </si>
  <si>
    <t>bob.hudson@saltcorp.com</t>
  </si>
  <si>
    <t>EMP-2020-0351</t>
  </si>
  <si>
    <t>EMP-2018-0352</t>
  </si>
  <si>
    <t>EMP-2020-0353</t>
  </si>
  <si>
    <t>charlie.le@saltcorp.com</t>
  </si>
  <si>
    <t>EMP-2019-0354</t>
  </si>
  <si>
    <t>ivy.west@saltcorp.com</t>
  </si>
  <si>
    <t>EMP-2020-0355</t>
  </si>
  <si>
    <t>jack.gomez@saltcorp.com</t>
  </si>
  <si>
    <t>EMP-2019-0073</t>
  </si>
  <si>
    <t>EMP-2020-0356</t>
  </si>
  <si>
    <t>Hernandez</t>
  </si>
  <si>
    <t>frank.hernandez@saltcorp.com</t>
  </si>
  <si>
    <t>EMP-2019-0357</t>
  </si>
  <si>
    <t>Bishop</t>
  </si>
  <si>
    <t>jack.bishop@saltcorp.com</t>
  </si>
  <si>
    <t>EMP-2018-0074</t>
  </si>
  <si>
    <t>EMP-2019-0358</t>
  </si>
  <si>
    <t>jack.davidson@saltcorp.com</t>
  </si>
  <si>
    <t>EMP-2020-0359</t>
  </si>
  <si>
    <t>EMP-2019-0360</t>
  </si>
  <si>
    <t>EMP-2020-0361</t>
  </si>
  <si>
    <t>EMP-2020-0362</t>
  </si>
  <si>
    <t>Kelly</t>
  </si>
  <si>
    <t>jack.kelly@saltcorp.com</t>
  </si>
  <si>
    <t>EMP-2019-0363</t>
  </si>
  <si>
    <t>frank.armstrong@saltcorp.com</t>
  </si>
  <si>
    <t>EMP-2020-0364</t>
  </si>
  <si>
    <t>EMP-2019-0365</t>
  </si>
  <si>
    <t>EMP-2018-0366</t>
  </si>
  <si>
    <t>EMP-2019-0367</t>
  </si>
  <si>
    <t>EMP-2019-0368</t>
  </si>
  <si>
    <t>EMP-2019-0369</t>
  </si>
  <si>
    <t xml:space="preserve"> NAN </t>
  </si>
  <si>
    <t>eve.harrison@saltcorp.com</t>
  </si>
  <si>
    <t>EMP-2019-0370</t>
  </si>
  <si>
    <t>grace.young@saltcorp.com</t>
  </si>
  <si>
    <t>EMP-2020-0082</t>
  </si>
  <si>
    <t>EMP-2019-0371</t>
  </si>
  <si>
    <t>EMP-2020-0372</t>
  </si>
  <si>
    <t>EMP-2020-0373</t>
  </si>
  <si>
    <t>EMP-2018-0064</t>
  </si>
  <si>
    <t>EMP-2020-0374</t>
  </si>
  <si>
    <t>EMP-2019-0375</t>
  </si>
  <si>
    <t>EMP-2020-0376</t>
  </si>
  <si>
    <t>EMP-2020-0377</t>
  </si>
  <si>
    <t>EMP-2020-0378</t>
  </si>
  <si>
    <t>bob.gomez@saltcorp.com</t>
  </si>
  <si>
    <t>EMP-2018-0379</t>
  </si>
  <si>
    <t>jack.williamson@saltcorp.com</t>
  </si>
  <si>
    <t>EMP-2019-0380</t>
  </si>
  <si>
    <t>charlie.weber@saltcorp.com</t>
  </si>
  <si>
    <t>EMP-2020-0381</t>
  </si>
  <si>
    <t>EMP-2020-0382</t>
  </si>
  <si>
    <t>EMP-2020-0383</t>
  </si>
  <si>
    <t>EMP-2019-0384</t>
  </si>
  <si>
    <t>jack.ward@saltcorp.com</t>
  </si>
  <si>
    <t>EMP-2019-0385</t>
  </si>
  <si>
    <t>EMP-2018-0386</t>
  </si>
  <si>
    <t>EMP-2019-0387</t>
  </si>
  <si>
    <t>eve.matthews@saltcorp.com</t>
  </si>
  <si>
    <t>EMP-2020-0388</t>
  </si>
  <si>
    <t>EMP-2019-0389</t>
  </si>
  <si>
    <t>eve.byrd@saltcorp.com</t>
  </si>
  <si>
    <t>EMP-2020-0390</t>
  </si>
  <si>
    <t>EMP-2019-0391</t>
  </si>
  <si>
    <t>ivy.mason@saltcorp.com</t>
  </si>
  <si>
    <t>EMP-2020-0392</t>
  </si>
  <si>
    <t>eve.jordan@saltcorp.com</t>
  </si>
  <si>
    <t>EMP-2020-0393</t>
  </si>
  <si>
    <t>alice.young@saltcorp.com</t>
  </si>
  <si>
    <t>EMP-2020-0006</t>
  </si>
  <si>
    <t>EMP-2020-0394</t>
  </si>
  <si>
    <t>jack.rogers@saltcorp.com</t>
  </si>
  <si>
    <t>EMP-2020-0395</t>
  </si>
  <si>
    <t>jack.hoffman@saltcorp.com</t>
  </si>
  <si>
    <t>EMP-2019-0396</t>
  </si>
  <si>
    <t>EMP-2018-0397</t>
  </si>
  <si>
    <t>EMP-2020-0398</t>
  </si>
  <si>
    <t>EMP-2019-0399</t>
  </si>
  <si>
    <t>EMP-2019-0400</t>
  </si>
  <si>
    <t>EMP-2020-0008</t>
  </si>
  <si>
    <t>EMP-2020-0401</t>
  </si>
  <si>
    <t>eve.ward@saltcorp.com</t>
  </si>
  <si>
    <t>EMP-2019-0060</t>
  </si>
  <si>
    <t>EMP-2020-0402</t>
  </si>
  <si>
    <t>alice.matthews@saltcorp.com</t>
  </si>
  <si>
    <t>EMP-2020-0403</t>
  </si>
  <si>
    <t>Huang</t>
  </si>
  <si>
    <t>grace.huang@saltcorp.com</t>
  </si>
  <si>
    <t>EMP-2019-0052</t>
  </si>
  <si>
    <t>EMP-2020-0404</t>
  </si>
  <si>
    <t>EMP-2020-0405</t>
  </si>
  <si>
    <t>EMP-2018-0406</t>
  </si>
  <si>
    <t>EMP-2018-0407</t>
  </si>
  <si>
    <t>EMP-2019-0408</t>
  </si>
  <si>
    <t>jack.bell@saltcorp.com</t>
  </si>
  <si>
    <t>EMP-2020-0409</t>
  </si>
  <si>
    <t>EMP-2018-0098</t>
  </si>
  <si>
    <t>EMP-2019-0410</t>
  </si>
  <si>
    <t>EMP-2019-0411</t>
  </si>
  <si>
    <t>EMP-2019-0412</t>
  </si>
  <si>
    <t>ivy.hansen@saltcorp.com</t>
  </si>
  <si>
    <t>EMP-2020-0413</t>
  </si>
  <si>
    <t>EMP-2018-0414</t>
  </si>
  <si>
    <t>EMP-2020-0415</t>
  </si>
  <si>
    <t>david.rogers@saltcorp.com</t>
  </si>
  <si>
    <t>EMP-2020-0416</t>
  </si>
  <si>
    <t>eve.evans@saltcorp.com</t>
  </si>
  <si>
    <t>EMP-2018-0417</t>
  </si>
  <si>
    <t>jack.hanson@saltcorp.com</t>
  </si>
  <si>
    <t>EMP-2018-0418</t>
  </si>
  <si>
    <t>EMP-2020-0419</t>
  </si>
  <si>
    <t>EMP-2020-0420</t>
  </si>
  <si>
    <t>grace.harrison@saltcorp.com</t>
  </si>
  <si>
    <t>EMP-2020-0421</t>
  </si>
  <si>
    <t>EMP-2020-0422</t>
  </si>
  <si>
    <t>alice.mason@saltcorp.com</t>
  </si>
  <si>
    <t>EMP-2018-0017</t>
  </si>
  <si>
    <t>EMP-2019-0423</t>
  </si>
  <si>
    <t>EMP-2020-0424</t>
  </si>
  <si>
    <t>EMP-2019-0425</t>
  </si>
  <si>
    <t>EMP-2020-0426</t>
  </si>
  <si>
    <t>EMP-2019-0427</t>
  </si>
  <si>
    <t>EMP-2020-0066</t>
  </si>
  <si>
    <t>EMP-2019-0428</t>
  </si>
  <si>
    <t>eve.vega@saltcorp.com</t>
  </si>
  <si>
    <t>EMP-2020-0041</t>
  </si>
  <si>
    <t>EMP-2019-0429</t>
  </si>
  <si>
    <t>EMP-2020-0430</t>
  </si>
  <si>
    <t>bob.wallace@saltcorp.com</t>
  </si>
  <si>
    <t>EMP-2020-0431</t>
  </si>
  <si>
    <t>david.le@saltcorp.com</t>
  </si>
  <si>
    <t>EMP-2020-0432</t>
  </si>
  <si>
    <t>jack.olson@saltcorp.com</t>
  </si>
  <si>
    <t>EMP-2019-0433</t>
  </si>
  <si>
    <t>jack.johnston@saltcorp.com</t>
  </si>
  <si>
    <t>EMP-2020-0434</t>
  </si>
  <si>
    <t>EMP-2020-0435</t>
  </si>
  <si>
    <t>jack.wallace@saltcorp.com</t>
  </si>
  <si>
    <t>EMP-2020-0436</t>
  </si>
  <si>
    <t>alice.knight@saltcorp.com</t>
  </si>
  <si>
    <t>EMP-2018-0437</t>
  </si>
  <si>
    <t>hannah.sims@saltcorp.com</t>
  </si>
  <si>
    <t>EMP-2020-0062</t>
  </si>
  <si>
    <t>EMP-2019-0438</t>
  </si>
  <si>
    <t>eve.medina@saltcorp.com</t>
  </si>
  <si>
    <t>EMP-2020-0439</t>
  </si>
  <si>
    <t>david.andrews@saltcorp.com</t>
  </si>
  <si>
    <t>EMP-2020-0032</t>
  </si>
  <si>
    <t>EMP-2020-0440</t>
  </si>
  <si>
    <t>hannah.gutierrez@saltcorp.com</t>
  </si>
  <si>
    <t>EMP-2020-0015</t>
  </si>
  <si>
    <t>EMP-2020-0441</t>
  </si>
  <si>
    <t>grace.wallace@saltcorp.com</t>
  </si>
  <si>
    <t>EMP-2020-0442</t>
  </si>
  <si>
    <t>bob.jordan@saltcorp.com</t>
  </si>
  <si>
    <t>EMP-2018-0443</t>
  </si>
  <si>
    <t>Burns</t>
  </si>
  <si>
    <t>alice.burns@saltcorp.com</t>
  </si>
  <si>
    <t>EMP-2020-0444</t>
  </si>
  <si>
    <t>david.lucas@saltcorp.com</t>
  </si>
  <si>
    <t>EMP-2018-0445</t>
  </si>
  <si>
    <t>EMP-2020-0446</t>
  </si>
  <si>
    <t>EMP-2019-0447</t>
  </si>
  <si>
    <t>charlie.garrett@saltcorp.com</t>
  </si>
  <si>
    <t>EMP-2019-0448</t>
  </si>
  <si>
    <t>alice.gomez@saltcorp.com</t>
  </si>
  <si>
    <t>EMP-2019-0449</t>
  </si>
  <si>
    <t>EMP-2020-0450</t>
  </si>
  <si>
    <t>charlie.dominguez@saltcorp.com</t>
  </si>
  <si>
    <t>EMP-2020-0451</t>
  </si>
  <si>
    <t>EMP-2019-0452</t>
  </si>
  <si>
    <t>EMP-2018-0453</t>
  </si>
  <si>
    <t>EMP-2020-0454</t>
  </si>
  <si>
    <t>Fisher</t>
  </si>
  <si>
    <t>alice.fisher@saltcorp.com</t>
  </si>
  <si>
    <t>EMP-2019-0455</t>
  </si>
  <si>
    <t>EMP-2019-0456</t>
  </si>
  <si>
    <t>EMP-2018-0457</t>
  </si>
  <si>
    <t>EMP-2019-0458</t>
  </si>
  <si>
    <t>charlie.wallace@saltcorp.com</t>
  </si>
  <si>
    <t>EMP-2020-0459</t>
  </si>
  <si>
    <t>EMP-2020-0460</t>
  </si>
  <si>
    <t>charlie.davidson@saltcorp.com</t>
  </si>
  <si>
    <t>EMP-2020-0461</t>
  </si>
  <si>
    <t>EMP-2019-0462</t>
  </si>
  <si>
    <t>alice.mccoy@saltcorp.com</t>
  </si>
  <si>
    <t>EMP-2020-0061</t>
  </si>
  <si>
    <t>EMP-2020-0463</t>
  </si>
  <si>
    <t>jack.armstrong@saltcorp.com</t>
  </si>
  <si>
    <t>EMP-2018-0464</t>
  </si>
  <si>
    <t>EMP-2019-0465</t>
  </si>
  <si>
    <t>EMP-2019-0466</t>
  </si>
  <si>
    <t>EMP-2019-0467</t>
  </si>
  <si>
    <t>EMP-2018-0468</t>
  </si>
  <si>
    <t>bob.pearson@saltcorp.com</t>
  </si>
  <si>
    <t>EMP-2019-0469</t>
  </si>
  <si>
    <t>charlie.gutierrez@saltcorp.com</t>
  </si>
  <si>
    <t>EMP-2019-0470</t>
  </si>
  <si>
    <t>ivy.rogers@saltcorp.com</t>
  </si>
  <si>
    <t>EMP-2020-0471</t>
  </si>
  <si>
    <t>grace.dominguez@saltcorp.com</t>
  </si>
  <si>
    <t>EMP-2020-0472</t>
  </si>
  <si>
    <t>EMP-2020-0473</t>
  </si>
  <si>
    <t>jack.santos@saltcorp.com</t>
  </si>
  <si>
    <t>EMP-2020-0078</t>
  </si>
  <si>
    <t>EMP-2020-0474</t>
  </si>
  <si>
    <t>EMP-2020-0475</t>
  </si>
  <si>
    <t>bob.andrews@saltcorp.com</t>
  </si>
  <si>
    <t>EMP-2020-0476</t>
  </si>
  <si>
    <t>hannah.byrd@saltcorp.com</t>
  </si>
  <si>
    <t>EMP-2020-0477</t>
  </si>
  <si>
    <t>david.hudson@saltcorp.com</t>
  </si>
  <si>
    <t>EMP-2020-0478</t>
  </si>
  <si>
    <t>ivy.wallace@saltcorp.com</t>
  </si>
  <si>
    <t>EMP-2019-0479</t>
  </si>
  <si>
    <t>Reed</t>
  </si>
  <si>
    <t>eve.reed@saltcorp.com</t>
  </si>
  <si>
    <t>EMP-2019-0480</t>
  </si>
  <si>
    <t>EMP-2020-0481</t>
  </si>
  <si>
    <t>EMP-2018-0482</t>
  </si>
  <si>
    <t>EMP-2020-0483</t>
  </si>
  <si>
    <t>EMP-2020-0042</t>
  </si>
  <si>
    <t>EMP-2019-0484</t>
  </si>
  <si>
    <t>EMP-2018-0024</t>
  </si>
  <si>
    <t>EMP-2020-0485</t>
  </si>
  <si>
    <t>hannah.wallace@saltcorp.com</t>
  </si>
  <si>
    <t>EMP-2019-0486</t>
  </si>
  <si>
    <t>charlie.castillo@saltcorp.com</t>
  </si>
  <si>
    <t>EMP-2020-0487</t>
  </si>
  <si>
    <t>alice.barnett@saltcorp.com</t>
  </si>
  <si>
    <t>EMP-2018-0488</t>
  </si>
  <si>
    <t>EMP-2019-0489</t>
  </si>
  <si>
    <t>david.figueroa@saltcorp.com</t>
  </si>
  <si>
    <t>EMP-2019-0490</t>
  </si>
  <si>
    <t>bob.sims@saltcorp.com</t>
  </si>
  <si>
    <t>EMP-2019-0491</t>
  </si>
  <si>
    <t>EMP-2020-0492</t>
  </si>
  <si>
    <t>EMP-2019-0493</t>
  </si>
  <si>
    <t>EMP-2020-0494</t>
  </si>
  <si>
    <t>grace.lucas@saltcorp.com</t>
  </si>
  <si>
    <t>EMP-2019-0495</t>
  </si>
  <si>
    <t>EMP-2019-0496</t>
  </si>
  <si>
    <t>EMP-2019-0497</t>
  </si>
  <si>
    <t>EMP-2018-0498</t>
  </si>
  <si>
    <t>EMP-2020-0028</t>
  </si>
  <si>
    <t>EMP-2019-0499</t>
  </si>
  <si>
    <t>ivy.le@saltcorp.com</t>
  </si>
  <si>
    <t>EMP-2019-0500</t>
  </si>
  <si>
    <t>EMP-2020-0047</t>
  </si>
  <si>
    <t>EMP-2020-0501</t>
  </si>
  <si>
    <t>ivy.patel@saltcorp.com</t>
  </si>
  <si>
    <t>EMP-2018-0502</t>
  </si>
  <si>
    <t>alice.thomas@saltcorp.com</t>
  </si>
  <si>
    <t>EMP-2020-0065</t>
  </si>
  <si>
    <t>EMP-2020-0503</t>
  </si>
  <si>
    <t>EMP-2018-0504</t>
  </si>
  <si>
    <t>EMP-2020-0505</t>
  </si>
  <si>
    <t>ivy.schmidt@saltcorp.com</t>
  </si>
  <si>
    <t>EMP-2019-0506</t>
  </si>
  <si>
    <t>frank.gibson@saltcorp.com</t>
  </si>
  <si>
    <t>EMP-2020-0507</t>
  </si>
  <si>
    <t>EMP-2020-0508</t>
  </si>
  <si>
    <t>Campos</t>
  </si>
  <si>
    <t>alice.campos@saltcorp.com</t>
  </si>
  <si>
    <t>EMP-2019-0509</t>
  </si>
  <si>
    <t>EMP-2019-0093</t>
  </si>
  <si>
    <t>EMP-2018-0510</t>
  </si>
  <si>
    <t>ivy.vega@saltcorp.com</t>
  </si>
  <si>
    <t>EMP-2018-0096</t>
  </si>
  <si>
    <t>EMP-2019-0511</t>
  </si>
  <si>
    <t>charlie.rivera@saltcorp.com</t>
  </si>
  <si>
    <t>EMP-2018-0512</t>
  </si>
  <si>
    <t>EMP-2020-0513</t>
  </si>
  <si>
    <t>EMP-2019-0514</t>
  </si>
  <si>
    <t>david.hoffman@saltcorp.com</t>
  </si>
  <si>
    <t>EMP-2019-0053</t>
  </si>
  <si>
    <t>EMP-2018-0515</t>
  </si>
  <si>
    <t>EMP-2019-0516</t>
  </si>
  <si>
    <t>EMP-2020-0517</t>
  </si>
  <si>
    <t>eve.armstrong@saltcorp.com</t>
  </si>
  <si>
    <t>EMP-2020-0518</t>
  </si>
  <si>
    <t>eve.garrett@saltcorp.com</t>
  </si>
  <si>
    <t>EMP-2020-0519</t>
  </si>
  <si>
    <t>EMP-2019-0016</t>
  </si>
  <si>
    <t>EMP-2019-0520</t>
  </si>
  <si>
    <t>ivy.matthews@saltcorp.com</t>
  </si>
  <si>
    <t>EMP-2020-0521</t>
  </si>
  <si>
    <t>EMP-2018-0094</t>
  </si>
  <si>
    <t>EMP-2019-0522</t>
  </si>
  <si>
    <t>EMP-2018-0523</t>
  </si>
  <si>
    <t>EMP-2020-0524</t>
  </si>
  <si>
    <t>eve.hansen@saltcorp.com</t>
  </si>
  <si>
    <t>EMP-2018-0525</t>
  </si>
  <si>
    <t>grace.davidson@saltcorp.com</t>
  </si>
  <si>
    <t>EMP-2020-0526</t>
  </si>
  <si>
    <t>ivy.hudson@saltcorp.com</t>
  </si>
  <si>
    <t>EMP-2019-0527</t>
  </si>
  <si>
    <t>grace.armstrong@saltcorp.com</t>
  </si>
  <si>
    <t>EMP-2020-0528</t>
  </si>
  <si>
    <t>EMP-2019-0529</t>
  </si>
  <si>
    <t>EMP-2020-0007</t>
  </si>
  <si>
    <t>EMP-2020-0530</t>
  </si>
  <si>
    <t>EMP-2019-0057</t>
  </si>
  <si>
    <t>EMP-2019-0531</t>
  </si>
  <si>
    <t>grace.oliver@saltcorp.com</t>
  </si>
  <si>
    <t>EMP-2020-0532</t>
  </si>
  <si>
    <t>jack.weber@saltcorp.com</t>
  </si>
  <si>
    <t>EMP-2020-0533</t>
  </si>
  <si>
    <t>eve.west@saltcorp.com</t>
  </si>
  <si>
    <t>EMP-2019-0534</t>
  </si>
  <si>
    <t>charlie.barnett@saltcorp.com</t>
  </si>
  <si>
    <t>EMP-2018-0535</t>
  </si>
  <si>
    <t>EMP-2019-0536</t>
  </si>
  <si>
    <t>bob.oliver@saltcorp.com</t>
  </si>
  <si>
    <t>EMP-2019-0036</t>
  </si>
  <si>
    <t>EMP-2020-0537</t>
  </si>
  <si>
    <t>EMP-2020-0095</t>
  </si>
  <si>
    <t>EMP-2020-0538</t>
  </si>
  <si>
    <t>EMP-2018-0539</t>
  </si>
  <si>
    <t>jack.garrett@saltcorp.com</t>
  </si>
  <si>
    <t>EMP-2019-0540</t>
  </si>
  <si>
    <t>alice.gutierrez@saltcorp.com</t>
  </si>
  <si>
    <t>EMP-2019-0541</t>
  </si>
  <si>
    <t>EMP-2020-0542</t>
  </si>
  <si>
    <t>grace.byrd@saltcorp.com</t>
  </si>
  <si>
    <t>EMP-2019-0543</t>
  </si>
  <si>
    <t>hannah.powers@saltcorp.com</t>
  </si>
  <si>
    <t>EMP-2019-0544</t>
  </si>
  <si>
    <t>EMP-2020-0545</t>
  </si>
  <si>
    <t>ivy.knight@saltcorp.com</t>
  </si>
  <si>
    <t>EMP-2020-0546</t>
  </si>
  <si>
    <t>EMP-2018-0050</t>
  </si>
  <si>
    <t>EMP-2020-0547</t>
  </si>
  <si>
    <t>jack.hudson@saltcorp.com</t>
  </si>
  <si>
    <t>EMP-2019-0548</t>
  </si>
  <si>
    <t>bob.vega@saltcorp.com</t>
  </si>
  <si>
    <t>EMP-2020-0549</t>
  </si>
  <si>
    <t>EMP-2019-0550</t>
  </si>
  <si>
    <t>EMP-2019-0551</t>
  </si>
  <si>
    <t>EMP-2019-0552</t>
  </si>
  <si>
    <t>EMP-2020-0553</t>
  </si>
  <si>
    <t>EMP-2020-0554</t>
  </si>
  <si>
    <t>EMP-2018-0028</t>
  </si>
  <si>
    <t>EMP-2020-0555</t>
  </si>
  <si>
    <t>EMP-2020-0556</t>
  </si>
  <si>
    <t>david.gutierrez@saltcorp.com</t>
  </si>
  <si>
    <t>EMP-2019-0557</t>
  </si>
  <si>
    <t>EMP-2020-0558</t>
  </si>
  <si>
    <t>EMP-2020-0559</t>
  </si>
  <si>
    <t>EMP-2019-0560</t>
  </si>
  <si>
    <t>EMP-2020-0561</t>
  </si>
  <si>
    <t>david.olson@saltcorp.com</t>
  </si>
  <si>
    <t>EMP-2020-0562</t>
  </si>
  <si>
    <t>frank.pearson@saltcorp.com</t>
  </si>
  <si>
    <t>EMP-2019-0563</t>
  </si>
  <si>
    <t>EMP-2018-0564</t>
  </si>
  <si>
    <t>frank.hanson@saltcorp.com</t>
  </si>
  <si>
    <t>EMP-2020-0565</t>
  </si>
  <si>
    <t>grace.sims@saltcorp.com</t>
  </si>
  <si>
    <t>EMP-2020-0566</t>
  </si>
  <si>
    <t>EMP-2020-0567</t>
  </si>
  <si>
    <t>jack.walker@saltcorp.com</t>
  </si>
  <si>
    <t>EMP-2019-0038</t>
  </si>
  <si>
    <t>EMP-2018-0568</t>
  </si>
  <si>
    <t>charlie.hansen@saltcorp.com</t>
  </si>
  <si>
    <t>EMP-2019-0569</t>
  </si>
  <si>
    <t>grace.hoffman@saltcorp.com</t>
  </si>
  <si>
    <t>EMP-2018-0570</t>
  </si>
  <si>
    <t>charlie.mccoy@saltcorp.com</t>
  </si>
  <si>
    <t>EMP-2020-0571</t>
  </si>
  <si>
    <t>EMP-2020-0572</t>
  </si>
  <si>
    <t>EMP-2020-0573</t>
  </si>
  <si>
    <t>david.byrd@saltcorp.com</t>
  </si>
  <si>
    <t>EMP-2019-0574</t>
  </si>
  <si>
    <t>EMP-2020-0575</t>
  </si>
  <si>
    <t>ivy.powers@saltcorp.com</t>
  </si>
  <si>
    <t>EMP-2019-0576</t>
  </si>
  <si>
    <t>grace.gutierrez@saltcorp.com</t>
  </si>
  <si>
    <t>EMP-2018-0086</t>
  </si>
  <si>
    <t>EMP-2018-0577</t>
  </si>
  <si>
    <t>EMP-2020-0578</t>
  </si>
  <si>
    <t>charlie.andrews@saltcorp.com</t>
  </si>
  <si>
    <t>EMP-2019-0579</t>
  </si>
  <si>
    <t>ivy.hanson@saltcorp.com</t>
  </si>
  <si>
    <t>EMP-2018-0580</t>
  </si>
  <si>
    <t>EMP-2020-0581</t>
  </si>
  <si>
    <t>EMP-2019-0582</t>
  </si>
  <si>
    <t>EMP-2020-0583</t>
  </si>
  <si>
    <t>alice.hudson@saltcorp.com</t>
  </si>
  <si>
    <t>EMP-2020-0584</t>
  </si>
  <si>
    <t>EMP-2020-0585</t>
  </si>
  <si>
    <t>eve.barnett@saltcorp.com</t>
  </si>
  <si>
    <t>EMP-2018-0014</t>
  </si>
  <si>
    <t>EMP-2018-0586</t>
  </si>
  <si>
    <t>EMP-2020-0587</t>
  </si>
  <si>
    <t>EMP-2019-0588</t>
  </si>
  <si>
    <t>eve.hoffman@saltcorp.com</t>
  </si>
  <si>
    <t>EMP-2020-0589</t>
  </si>
  <si>
    <t>frank.lucas@saltcorp.com</t>
  </si>
  <si>
    <t>EMP-2018-0590</t>
  </si>
  <si>
    <t>EMP-2020-0591</t>
  </si>
  <si>
    <t>eve.lucas@saltcorp.com</t>
  </si>
  <si>
    <t>EMP-2020-0592</t>
  </si>
  <si>
    <t>david.hanson@saltcorp.com</t>
  </si>
  <si>
    <t>EMP-2019-0593</t>
  </si>
  <si>
    <t>EMP-2020-0594</t>
  </si>
  <si>
    <t>charlie.aguilar@saltcorp.com</t>
  </si>
  <si>
    <t>EMP-2020-0595</t>
  </si>
  <si>
    <t>david.medina@saltcorp.com</t>
  </si>
  <si>
    <t>EMP-2019-0596</t>
  </si>
  <si>
    <t>EMP-2019-0597</t>
  </si>
  <si>
    <t>bob.gutierrez@saltcorp.com</t>
  </si>
  <si>
    <t>EMP-2019-0598</t>
  </si>
  <si>
    <t>EMP-2020-0599</t>
  </si>
  <si>
    <t>alice.powers@saltcorp.com</t>
  </si>
  <si>
    <t>EMP-2019-0600</t>
  </si>
  <si>
    <t>EMP-2020-0601</t>
  </si>
  <si>
    <t>EMP-2020-0602</t>
  </si>
  <si>
    <t>EMP-2019-0603</t>
  </si>
  <si>
    <t>frank.powers@saltcorp.com</t>
  </si>
  <si>
    <t>EMP-2020-0604</t>
  </si>
  <si>
    <t>EMP-2020-0051</t>
  </si>
  <si>
    <t>EMP-2020-0605</t>
  </si>
  <si>
    <t>grace.hanson@saltcorp.com</t>
  </si>
  <si>
    <t>EMP-2020-0606</t>
  </si>
  <si>
    <t>EMP-2018-0607</t>
  </si>
  <si>
    <t>EMP-2020-0608</t>
  </si>
  <si>
    <t>EMP-2018-0609</t>
  </si>
  <si>
    <t>EMP-2020-0610</t>
  </si>
  <si>
    <t>hannah.ross@saltcorp.com</t>
  </si>
  <si>
    <t>EMP-2020-0611</t>
  </si>
  <si>
    <t>EMP-2019-0612</t>
  </si>
  <si>
    <t>EMP-2020-0613</t>
  </si>
  <si>
    <t>jack.dixon@saltcorp.com</t>
  </si>
  <si>
    <t>EMP-2020-0614</t>
  </si>
  <si>
    <t>EMP-2019-0615</t>
  </si>
  <si>
    <t>EMP-2019-0616</t>
  </si>
  <si>
    <t>EMP-2018-0035</t>
  </si>
  <si>
    <t>EMP-2019-0617</t>
  </si>
  <si>
    <t>EMP-2020-0618</t>
  </si>
  <si>
    <t>bob.olson@saltcorp.com</t>
  </si>
  <si>
    <t>EMP-2019-0014</t>
  </si>
  <si>
    <t>EMP-2019-0619</t>
  </si>
  <si>
    <t>EMP-2020-0620</t>
  </si>
  <si>
    <t>EMP-2019-0621</t>
  </si>
  <si>
    <t>EMP-2020-0622</t>
  </si>
  <si>
    <t>EMP-2020-0623</t>
  </si>
  <si>
    <t>Navarro</t>
  </si>
  <si>
    <t>alice.navarro@saltcorp.com</t>
  </si>
  <si>
    <t>EMP-2020-0624</t>
  </si>
  <si>
    <t>ivy.byrd@saltcorp.com</t>
  </si>
  <si>
    <t>EMP-2018-0625</t>
  </si>
  <si>
    <t>EMP-2019-0626</t>
  </si>
  <si>
    <t>EMP-2019-0627</t>
  </si>
  <si>
    <t>david.gomez@saltcorp.com</t>
  </si>
  <si>
    <t>EMP-2020-0628</t>
  </si>
  <si>
    <t>charlie.vega@saltcorp.com</t>
  </si>
  <si>
    <t>EMP-2020-0629</t>
  </si>
  <si>
    <t>EMP-2020-0630</t>
  </si>
  <si>
    <t>EMP-2020-0631</t>
  </si>
  <si>
    <t>charlie.ward@saltcorp.com</t>
  </si>
  <si>
    <t>EMP-2019-0632</t>
  </si>
  <si>
    <t>EMP-2018-0633</t>
  </si>
  <si>
    <t>EMP-2020-0634</t>
  </si>
  <si>
    <t>EMP-2019-0635</t>
  </si>
  <si>
    <t>jack.harrison@saltcorp.com</t>
  </si>
  <si>
    <t>EMP-2018-0636</t>
  </si>
  <si>
    <t>EMP-2019-0637</t>
  </si>
  <si>
    <t>EMP-2018-0638</t>
  </si>
  <si>
    <t>eve.aguilar@saltcorp.com</t>
  </si>
  <si>
    <t>EMP-2020-0639</t>
  </si>
  <si>
    <t>grace.mason@saltcorp.com</t>
  </si>
  <si>
    <t>EMP-2019-0640</t>
  </si>
  <si>
    <t>hannah.bell@saltcorp.com</t>
  </si>
  <si>
    <t>EMP-2019-0641</t>
  </si>
  <si>
    <t>alice.olson@saltcorp.com</t>
  </si>
  <si>
    <t>EMP-2018-0642</t>
  </si>
  <si>
    <t>frank.medina@saltcorp.com</t>
  </si>
  <si>
    <t>EMP-2019-0643</t>
  </si>
  <si>
    <t>EMP-2019-0644</t>
  </si>
  <si>
    <t>bob.matthews@saltcorp.com</t>
  </si>
  <si>
    <t>EMP-2020-0645</t>
  </si>
  <si>
    <t>alice.dominguez@saltcorp.com</t>
  </si>
  <si>
    <t>EMP-2018-0646</t>
  </si>
  <si>
    <t>EMP-2020-0647</t>
  </si>
  <si>
    <t>EMP-2020-0648</t>
  </si>
  <si>
    <t>EMP-2020-0649</t>
  </si>
  <si>
    <t>frank.figueroa@saltcorp.com</t>
  </si>
  <si>
    <t>EMP-2020-0650</t>
  </si>
  <si>
    <t>alice.rogers@saltcorp.com</t>
  </si>
  <si>
    <t>EMP-2018-0651</t>
  </si>
  <si>
    <t>EMP-2020-0652</t>
  </si>
  <si>
    <t>bob.bell@saltcorp.com</t>
  </si>
  <si>
    <t>EMP-2020-0653</t>
  </si>
  <si>
    <t>ivy.jordan@saltcorp.com</t>
  </si>
  <si>
    <t>EMP-2019-0654</t>
  </si>
  <si>
    <t>EMP-2019-0655</t>
  </si>
  <si>
    <t>alice.hanson@saltcorp.com</t>
  </si>
  <si>
    <t>EMP-2020-0656</t>
  </si>
  <si>
    <t>EMP-2020-0657</t>
  </si>
  <si>
    <t>EMP-2020-0658</t>
  </si>
  <si>
    <t>EMP-2019-0659</t>
  </si>
  <si>
    <t>alice.ward@saltcorp.com</t>
  </si>
  <si>
    <t>EMP-2020-0660</t>
  </si>
  <si>
    <t>Mitchell</t>
  </si>
  <si>
    <t>eve.mitchell@saltcorp.com</t>
  </si>
  <si>
    <t>EMP-2018-0661</t>
  </si>
  <si>
    <t>eve.wells@saltcorp.com</t>
  </si>
  <si>
    <t>EMP-2020-0662</t>
  </si>
  <si>
    <t>frank.le@saltcorp.com</t>
  </si>
  <si>
    <t>EMP-2018-0663</t>
  </si>
  <si>
    <t>EMP-2020-0664</t>
  </si>
  <si>
    <t>EMP-2019-0665</t>
  </si>
  <si>
    <t>grace.aguilar@saltcorp.com</t>
  </si>
  <si>
    <t>EMP-2019-0666</t>
  </si>
  <si>
    <t>eve.young@saltcorp.com</t>
  </si>
  <si>
    <t>EMP-2020-0667</t>
  </si>
  <si>
    <t>EMP-2020-0668</t>
  </si>
  <si>
    <t>EMP-2019-0041</t>
  </si>
  <si>
    <t>EMP-2019-0669</t>
  </si>
  <si>
    <t>EMP-2018-0670</t>
  </si>
  <si>
    <t>jack.mason@saltcorp.com</t>
  </si>
  <si>
    <t>EMP-2018-0671</t>
  </si>
  <si>
    <t>EMP-2019-0672</t>
  </si>
  <si>
    <t>alice.santos@saltcorp.com</t>
  </si>
  <si>
    <t>EMP-2018-0673</t>
  </si>
  <si>
    <t>eve.sims@saltcorp.com</t>
  </si>
  <si>
    <t>EMP-2019-0674</t>
  </si>
  <si>
    <t>EMP-2020-0675</t>
  </si>
  <si>
    <t>EMP-2020-0676</t>
  </si>
  <si>
    <t>charlie.figueroa@saltcorp.com</t>
  </si>
  <si>
    <t>EMP-2020-0677</t>
  </si>
  <si>
    <t>EMP-2020-0678</t>
  </si>
  <si>
    <t>EMP-2020-0679</t>
  </si>
  <si>
    <t>alice.sims@saltcorp.com</t>
  </si>
  <si>
    <t>EMP-2019-0680</t>
  </si>
  <si>
    <t>EMP-2018-0681</t>
  </si>
  <si>
    <t>bob.gibson@saltcorp.com</t>
  </si>
  <si>
    <t>EMP-2018-0682</t>
  </si>
  <si>
    <t>hannah.medina@saltcorp.com</t>
  </si>
  <si>
    <t>EMP-2020-0683</t>
  </si>
  <si>
    <t>grace.gomez@saltcorp.com</t>
  </si>
  <si>
    <t>EMP-2019-0684</t>
  </si>
  <si>
    <t>jack.young@saltcorp.com</t>
  </si>
  <si>
    <t>EMP-2020-0685</t>
  </si>
  <si>
    <t>jack.dominguez@saltcorp.com</t>
  </si>
  <si>
    <t>EMP-2020-0686</t>
  </si>
  <si>
    <t>EMP-2020-0687</t>
  </si>
  <si>
    <t>frank.mason@saltcorp.com</t>
  </si>
  <si>
    <t>EMP-2020-0688</t>
  </si>
  <si>
    <t>EMP-2020-0689</t>
  </si>
  <si>
    <t>charlie.byrd@saltcorp.com</t>
  </si>
  <si>
    <t>EMP-2019-0690</t>
  </si>
  <si>
    <t>EMP-2018-0691</t>
  </si>
  <si>
    <t>alice.bishop@saltcorp.com</t>
  </si>
  <si>
    <t>EMP-2019-0692</t>
  </si>
  <si>
    <t>EMP-2018-0693</t>
  </si>
  <si>
    <t>EMP-2018-0694</t>
  </si>
  <si>
    <t>EMP-2019-0695</t>
  </si>
  <si>
    <t>EMP-2020-0696</t>
  </si>
  <si>
    <t>grace.andrews@saltcorp.com</t>
  </si>
  <si>
    <t>EMP-2019-0697</t>
  </si>
  <si>
    <t>EMP-2020-0698</t>
  </si>
  <si>
    <t>eve.dominguez@saltcorp.com</t>
  </si>
  <si>
    <t>EMP-2018-0699</t>
  </si>
  <si>
    <t>bob.knight@saltcorp.com</t>
  </si>
  <si>
    <t>EMP-2020-0700</t>
  </si>
  <si>
    <t>charlie.rogers@saltcorp.com</t>
  </si>
  <si>
    <t>EMP-2020-0004</t>
  </si>
  <si>
    <t>EMP-2018-0701</t>
  </si>
  <si>
    <t>grace.pearson@saltcorp.com</t>
  </si>
  <si>
    <t>EMP-2020-0702</t>
  </si>
  <si>
    <t>EMP-2018-0703</t>
  </si>
  <si>
    <t>EMP-2020-0704</t>
  </si>
  <si>
    <t>EMP-2019-0705</t>
  </si>
  <si>
    <t>bob.medina@saltcorp.com</t>
  </si>
  <si>
    <t>EMP-2020-0706</t>
  </si>
  <si>
    <t>bob.mccoy@saltcorp.com</t>
  </si>
  <si>
    <t>EMP-2018-0707</t>
  </si>
  <si>
    <t>EMP-2020-0708</t>
  </si>
  <si>
    <t>EMP-2020-0097</t>
  </si>
  <si>
    <t>EMP-2019-0709</t>
  </si>
  <si>
    <t>bob.garrett@saltcorp.com</t>
  </si>
  <si>
    <t>EMP-2018-0710</t>
  </si>
  <si>
    <t>EMP-2018-0711</t>
  </si>
  <si>
    <t>EMP-2020-0712</t>
  </si>
  <si>
    <t>EMP-2020-0713</t>
  </si>
  <si>
    <t>EMP-2020-0714</t>
  </si>
  <si>
    <t>hannah.walker@saltcorp.com</t>
  </si>
  <si>
    <t>EMP-2019-0715</t>
  </si>
  <si>
    <t>grace.olson@saltcorp.com</t>
  </si>
  <si>
    <t>EMP-2020-0716</t>
  </si>
  <si>
    <t>jack.medina@saltcorp.com</t>
  </si>
  <si>
    <t>EMP-2018-0717</t>
  </si>
  <si>
    <t>charlie.burns@saltcorp.com</t>
  </si>
  <si>
    <t>EMP-2020-0718</t>
  </si>
  <si>
    <t>EMP-2018-0719</t>
  </si>
  <si>
    <t>eve.gomez@saltcorp.com</t>
  </si>
  <si>
    <t>EMP-2018-0720</t>
  </si>
  <si>
    <t>david.williamson@saltcorp.com</t>
  </si>
  <si>
    <t>EMP-2018-0032</t>
  </si>
  <si>
    <t>EMP-2019-0721</t>
  </si>
  <si>
    <t>jack.figueroa@saltcorp.com</t>
  </si>
  <si>
    <t>EMP-2019-0722</t>
  </si>
  <si>
    <t>EMP-2018-0723</t>
  </si>
  <si>
    <t>EMP-2020-0724</t>
  </si>
  <si>
    <t>jack.burns@saltcorp.com</t>
  </si>
  <si>
    <t>EMP-2018-0725</t>
  </si>
  <si>
    <t>alice.wells@saltcorp.com</t>
  </si>
  <si>
    <t>EMP-2019-0726</t>
  </si>
  <si>
    <t>david.armstrong@saltcorp.com</t>
  </si>
  <si>
    <t>EMP-2020-0727</t>
  </si>
  <si>
    <t>hannah.le@saltcorp.com</t>
  </si>
  <si>
    <t>EMP-2018-0728</t>
  </si>
  <si>
    <t>eve.knight@saltcorp.com</t>
  </si>
  <si>
    <t>EMP-2019-0729</t>
  </si>
  <si>
    <t>EMP-2019-0730</t>
  </si>
  <si>
    <t>EMP-2018-0731</t>
  </si>
  <si>
    <t>eve.mason@saltcorp.com</t>
  </si>
  <si>
    <t>EMP-2020-0732</t>
  </si>
  <si>
    <t>EMP-2018-0733</t>
  </si>
  <si>
    <t>EMP-2018-0734</t>
  </si>
  <si>
    <t>EMP-2019-0735</t>
  </si>
  <si>
    <t>EMP-2019-0736</t>
  </si>
  <si>
    <t>grace.knight@saltcorp.com</t>
  </si>
  <si>
    <t>EMP-2019-0737</t>
  </si>
  <si>
    <t>frank.dixon@saltcorp.com</t>
  </si>
  <si>
    <t>EMP-2019-0738</t>
  </si>
  <si>
    <t>EMP-2018-0739</t>
  </si>
  <si>
    <t>david.ward@saltcorp.com</t>
  </si>
  <si>
    <t>EMP-2019-0740</t>
  </si>
  <si>
    <t>hannah.lucas@saltcorp.com</t>
  </si>
  <si>
    <t>EMP-2019-0741</t>
  </si>
  <si>
    <t>EMP-2019-0742</t>
  </si>
  <si>
    <t>EMP-2019-0743</t>
  </si>
  <si>
    <t>ivy.davidson@saltcorp.com</t>
  </si>
  <si>
    <t>EMP-2019-0744</t>
  </si>
  <si>
    <t>EMP-2019-0745</t>
  </si>
  <si>
    <t>charlie.schmidt@saltcorp.com</t>
  </si>
  <si>
    <t>EMP-2019-0746</t>
  </si>
  <si>
    <t>EMP-2019-0002</t>
  </si>
  <si>
    <t>EMP-2019-0747</t>
  </si>
  <si>
    <t>EMP-2020-0748</t>
  </si>
  <si>
    <t>EMP-2019-0749</t>
  </si>
  <si>
    <t>charlie.bishop@saltcorp.com</t>
  </si>
  <si>
    <t>EMP-2019-0750</t>
  </si>
  <si>
    <t>EMP-2019-0751</t>
  </si>
  <si>
    <t>EMP-2020-0752</t>
  </si>
  <si>
    <t>bob.byrd@saltcorp.com</t>
  </si>
  <si>
    <t>EMP-2019-0753</t>
  </si>
  <si>
    <t>jack.aguilar@saltcorp.com</t>
  </si>
  <si>
    <t>EMP-2019-0754</t>
  </si>
  <si>
    <t>EMP-2020-0755</t>
  </si>
  <si>
    <t>EMP-2020-0756</t>
  </si>
  <si>
    <t>EMP-2019-0757</t>
  </si>
  <si>
    <t>EMP-2019-0758</t>
  </si>
  <si>
    <t>eve.rogers@saltcorp.com</t>
  </si>
  <si>
    <t>EMP-2020-0759</t>
  </si>
  <si>
    <t>EMP-2019-0760</t>
  </si>
  <si>
    <t>EMP-2020-0011</t>
  </si>
  <si>
    <t>EMP-2020-0761</t>
  </si>
  <si>
    <t>EMP-2019-0762</t>
  </si>
  <si>
    <t>EMP-2019-0763</t>
  </si>
  <si>
    <t>jack.ross@saltcorp.com</t>
  </si>
  <si>
    <t>EMP-2020-0764</t>
  </si>
  <si>
    <t>EMP-2018-0765</t>
  </si>
  <si>
    <t>jack.le@saltcorp.com</t>
  </si>
  <si>
    <t>EMP-2018-0766</t>
  </si>
  <si>
    <t>ivy.aguilar@saltcorp.com</t>
  </si>
  <si>
    <t>EMP-2020-0767</t>
  </si>
  <si>
    <t>EMP-2020-0768</t>
  </si>
  <si>
    <t>frank.matthews@saltcorp.com</t>
  </si>
  <si>
    <t>EMP-2020-0769</t>
  </si>
  <si>
    <t>EMP-2020-0770</t>
  </si>
  <si>
    <t>EMP-2020-0771</t>
  </si>
  <si>
    <t>EMP-2020-0772</t>
  </si>
  <si>
    <t>EMP-2019-0773</t>
  </si>
  <si>
    <t>EMP-2019-0774</t>
  </si>
  <si>
    <t>EMP-2020-0775</t>
  </si>
  <si>
    <t>EMP-2018-0776</t>
  </si>
  <si>
    <t>EMP-2018-0777</t>
  </si>
  <si>
    <t>EMP-2020-0778</t>
  </si>
  <si>
    <t>EMP-2019-0779</t>
  </si>
  <si>
    <t>frank.hoffman@saltcorp.com</t>
  </si>
  <si>
    <t>EMP-2020-0780</t>
  </si>
  <si>
    <t>jack.jordan@saltcorp.com</t>
  </si>
  <si>
    <t>EMP-2020-0781</t>
  </si>
  <si>
    <t>grace.bell@saltcorp.com</t>
  </si>
  <si>
    <t>EMP-2019-0782</t>
  </si>
  <si>
    <t>hannah.williamson@saltcorp.com</t>
  </si>
  <si>
    <t>EMP-2020-0783</t>
  </si>
  <si>
    <t>EMP-2018-0784</t>
  </si>
  <si>
    <t>EMP-2020-0785</t>
  </si>
  <si>
    <t>EMP-2020-0023</t>
  </si>
  <si>
    <t>EMP-2019-0786</t>
  </si>
  <si>
    <t>charlie.jordan@saltcorp.com</t>
  </si>
  <si>
    <t>EMP-2018-0090</t>
  </si>
  <si>
    <t>EMP-2019-0787</t>
  </si>
  <si>
    <t>EMP-2020-0788</t>
  </si>
  <si>
    <t>charlie.gomez@saltcorp.com</t>
  </si>
  <si>
    <t>EMP-2020-0034</t>
  </si>
  <si>
    <t>EMP-2018-0789</t>
  </si>
  <si>
    <t>grace.figueroa@saltcorp.com</t>
  </si>
  <si>
    <t>EMP-2020-0790</t>
  </si>
  <si>
    <t>EMP-2020-0791</t>
  </si>
  <si>
    <t>jack.andrews@saltcorp.com</t>
  </si>
  <si>
    <t>EMP-2020-0792</t>
  </si>
  <si>
    <t>EMP-2019-0793</t>
  </si>
  <si>
    <t>charlie.santos@saltcorp.com</t>
  </si>
  <si>
    <t>EMP-2019-0794</t>
  </si>
  <si>
    <t>charlie.knight@saltcorp.com</t>
  </si>
  <si>
    <t>EMP-2019-0795</t>
  </si>
  <si>
    <t>EMP-2020-0796</t>
  </si>
  <si>
    <t>grace.west@saltcorp.com</t>
  </si>
  <si>
    <t>EMP-2018-0797</t>
  </si>
  <si>
    <t>EMP-2020-0798</t>
  </si>
  <si>
    <t>EMP-2020-0799</t>
  </si>
  <si>
    <t>grace.le@saltcorp.com</t>
  </si>
  <si>
    <t>EMP-2020-0800</t>
  </si>
  <si>
    <t>EMP-2019-0801</t>
  </si>
  <si>
    <t>alice.pearson@saltcorp.com</t>
  </si>
  <si>
    <t>EMP-2018-0802</t>
  </si>
  <si>
    <t>grace.vega@saltcorp.com</t>
  </si>
  <si>
    <t>EMP-2019-0803</t>
  </si>
  <si>
    <t>EMP-2018-0804</t>
  </si>
  <si>
    <t>EMP-2020-0805</t>
  </si>
  <si>
    <t>EMP-2019-0806</t>
  </si>
  <si>
    <t>alice.medina@saltcorp.com</t>
  </si>
  <si>
    <t>EMP-2018-0807</t>
  </si>
  <si>
    <t>EMP-2018-0808</t>
  </si>
  <si>
    <t>ivy.thomas@saltcorp.com</t>
  </si>
  <si>
    <t>EMP-2019-0809</t>
  </si>
  <si>
    <t>david.powers@saltcorp.com</t>
  </si>
  <si>
    <t>EMP-2020-0810</t>
  </si>
  <si>
    <t>jack.gibson@saltcorp.com</t>
  </si>
  <si>
    <t>EMP-2018-0811</t>
  </si>
  <si>
    <t>EMP-2019-0099</t>
  </si>
  <si>
    <t>EMP-2019-0812</t>
  </si>
  <si>
    <t>EMP-2020-0098</t>
  </si>
  <si>
    <t>EMP-2020-0813</t>
  </si>
  <si>
    <t>bob.harrison@saltcorp.com</t>
  </si>
  <si>
    <t>EMP-2019-0004</t>
  </si>
  <si>
    <t>EMP-2019-0814</t>
  </si>
  <si>
    <t>david.harrison@saltcorp.com</t>
  </si>
  <si>
    <t>EMP-2020-0089</t>
  </si>
  <si>
    <t>EMP-2019-0815</t>
  </si>
  <si>
    <t>EMP-2018-0816</t>
  </si>
  <si>
    <t>EMP-2020-0817</t>
  </si>
  <si>
    <t>hannah.rivera@saltcorp.com</t>
  </si>
  <si>
    <t>EMP-2018-0818</t>
  </si>
  <si>
    <t>hannah.andrews@saltcorp.com</t>
  </si>
  <si>
    <t>EMP-2020-0819</t>
  </si>
  <si>
    <t>alice.davidson@saltcorp.com</t>
  </si>
  <si>
    <t>EMP-2020-0820</t>
  </si>
  <si>
    <t>charlie.bennett@saltcorp.com</t>
  </si>
  <si>
    <t>EMP-2020-0821</t>
  </si>
  <si>
    <t>EMP-2019-0822</t>
  </si>
  <si>
    <t>EMP-2018-0823</t>
  </si>
  <si>
    <t>eve.graham@saltcorp.com</t>
  </si>
  <si>
    <t>EMP-2018-0824</t>
  </si>
  <si>
    <t>frank.thomas@saltcorp.com</t>
  </si>
  <si>
    <t>EMP-2019-0085</t>
  </si>
  <si>
    <t>EMP-2020-0825</t>
  </si>
  <si>
    <t>EMP-2020-0826</t>
  </si>
  <si>
    <t>EMP-2020-0827</t>
  </si>
  <si>
    <t>EMP-2018-0010</t>
  </si>
  <si>
    <t>EMP-2019-0828</t>
  </si>
  <si>
    <t>hannah.garrett@saltcorp.com</t>
  </si>
  <si>
    <t>EMP-2020-0829</t>
  </si>
  <si>
    <t>frank.ross@saltcorp.com</t>
  </si>
  <si>
    <t>EMP-2019-0830</t>
  </si>
  <si>
    <t>eve.olson@saltcorp.com</t>
  </si>
  <si>
    <t>EMP-2020-0831</t>
  </si>
  <si>
    <t>EMP-2019-0034</t>
  </si>
  <si>
    <t>EMP-2019-0832</t>
  </si>
  <si>
    <t>alice.schmidt@saltcorp.com</t>
  </si>
  <si>
    <t>EMP-2019-0833</t>
  </si>
  <si>
    <t>eve.weber@saltcorp.com</t>
  </si>
  <si>
    <t>EMP-2020-0834</t>
  </si>
  <si>
    <t>frank.mccoy@saltcorp.com</t>
  </si>
  <si>
    <t>EMP-2020-0835</t>
  </si>
  <si>
    <t>EMP-2019-0836</t>
  </si>
  <si>
    <t>EMP-2020-0837</t>
  </si>
  <si>
    <t>frank.johnston@saltcorp.com</t>
  </si>
  <si>
    <t>EMP-2018-0838</t>
  </si>
  <si>
    <t>EMP-2020-0839</t>
  </si>
  <si>
    <t>EMP-2018-0840</t>
  </si>
  <si>
    <t>EMP-2018-0841</t>
  </si>
  <si>
    <t>EMP-2020-0842</t>
  </si>
  <si>
    <t>ivy.ross@saltcorp.com</t>
  </si>
  <si>
    <t>EMP-2019-0843</t>
  </si>
  <si>
    <t>EMP-2020-0844</t>
  </si>
  <si>
    <t>EMP-2020-0845</t>
  </si>
  <si>
    <t>EMP-2018-0846</t>
  </si>
  <si>
    <t>hannah.gibson@saltcorp.com</t>
  </si>
  <si>
    <t>EMP-2020-0847</t>
  </si>
  <si>
    <t>EMP-2020-0848</t>
  </si>
  <si>
    <t>EMP-2020-0849</t>
  </si>
  <si>
    <t>EMP-2020-0055</t>
  </si>
  <si>
    <t>EMP-2020-0850</t>
  </si>
  <si>
    <t>frank.garrett@saltcorp.com</t>
  </si>
  <si>
    <t>EMP-2019-0851</t>
  </si>
  <si>
    <t>bob.rogers@saltcorp.com</t>
  </si>
  <si>
    <t>EMP-2020-0852</t>
  </si>
  <si>
    <t>david.jordan@saltcorp.com</t>
  </si>
  <si>
    <t>EMP-2020-0853</t>
  </si>
  <si>
    <t>EMP-2018-0854</t>
  </si>
  <si>
    <t>EMP-2019-0855</t>
  </si>
  <si>
    <t>frank.olson@saltcorp.com</t>
  </si>
  <si>
    <t>EMP-2020-0856</t>
  </si>
  <si>
    <t>EMP-2019-0857</t>
  </si>
  <si>
    <t>hannah.mason@saltcorp.com</t>
  </si>
  <si>
    <t>EMP-2020-0858</t>
  </si>
  <si>
    <t>frank.jordan@saltcorp.com</t>
  </si>
  <si>
    <t>EMP-2020-0859</t>
  </si>
  <si>
    <t>charlie.graham@saltcorp.com</t>
  </si>
  <si>
    <t>EMP-2020-0860</t>
  </si>
  <si>
    <t>EMP-2019-0035</t>
  </si>
  <si>
    <t>EMP-2019-0861</t>
  </si>
  <si>
    <t>EMP-2020-0862</t>
  </si>
  <si>
    <t>hannah.young@saltcorp.com</t>
  </si>
  <si>
    <t>EMP-2018-0863</t>
  </si>
  <si>
    <t>jack.oliver@saltcorp.com</t>
  </si>
  <si>
    <t>EMP-2019-0864</t>
  </si>
  <si>
    <t>charlie.matthews@saltcorp.com</t>
  </si>
  <si>
    <t>EMP-2020-0030</t>
  </si>
  <si>
    <t>EMP-2019-0865</t>
  </si>
  <si>
    <t>eve.davidson@saltcorp.com</t>
  </si>
  <si>
    <t>EMP-2020-0866</t>
  </si>
  <si>
    <t>frank.ward@saltcorp.com</t>
  </si>
  <si>
    <t>EMP-2019-0867</t>
  </si>
  <si>
    <t>EMP-2020-0868</t>
  </si>
  <si>
    <t>frank.weber@saltcorp.com</t>
  </si>
  <si>
    <t>EMP-2019-0869</t>
  </si>
  <si>
    <t>EMP-2018-0870</t>
  </si>
  <si>
    <t>charlie.armstrong@saltcorp.com</t>
  </si>
  <si>
    <t>EMP-2019-0871</t>
  </si>
  <si>
    <t>david.walker@saltcorp.com</t>
  </si>
  <si>
    <t>EMP-2020-0872</t>
  </si>
  <si>
    <t>alice.gibson@saltcorp.com</t>
  </si>
  <si>
    <t>EMP-2019-0005</t>
  </si>
  <si>
    <t>EMP-2018-0873</t>
  </si>
  <si>
    <t>david.mccoy@saltcorp.com</t>
  </si>
  <si>
    <t>EMP-2020-0874</t>
  </si>
  <si>
    <t>alice.johnston@saltcorp.com</t>
  </si>
  <si>
    <t>EMP-2019-0875</t>
  </si>
  <si>
    <t>alice.riley@saltcorp.com</t>
  </si>
  <si>
    <t>EMP-2020-0876</t>
  </si>
  <si>
    <t>EMP-2020-0877</t>
  </si>
  <si>
    <t>frank.andrews@saltcorp.com</t>
  </si>
  <si>
    <t>EMP-2020-0878</t>
  </si>
  <si>
    <t>EMP-2018-0879</t>
  </si>
  <si>
    <t>david.dixon@saltcorp.com</t>
  </si>
  <si>
    <t>EMP-2020-0880</t>
  </si>
  <si>
    <t>EMP-2019-0881</t>
  </si>
  <si>
    <t>EMP-2020-0882</t>
  </si>
  <si>
    <t>frank.harrison@saltcorp.com</t>
  </si>
  <si>
    <t>EMP-2018-0883</t>
  </si>
  <si>
    <t>EMP-2020-0884</t>
  </si>
  <si>
    <t>EMP-2019-0885</t>
  </si>
  <si>
    <t>EMP-2020-0886</t>
  </si>
  <si>
    <t>EMP-2019-0017</t>
  </si>
  <si>
    <t>EMP-2019-0887</t>
  </si>
  <si>
    <t>EMP-2019-0888</t>
  </si>
  <si>
    <t>jack.navarro@saltcorp.com</t>
  </si>
  <si>
    <t>EMP-2020-0889</t>
  </si>
  <si>
    <t>bob.lucas@saltcorp.com</t>
  </si>
  <si>
    <t>EMP-2019-0890</t>
  </si>
  <si>
    <t>hannah.hanson@saltcorp.com</t>
  </si>
  <si>
    <t>EMP-2020-0891</t>
  </si>
  <si>
    <t>EMP-2018-0892</t>
  </si>
  <si>
    <t>david.knight@saltcorp.com</t>
  </si>
  <si>
    <t>EMP-2020-0893</t>
  </si>
  <si>
    <t>alice.aguilar@saltcorp.com</t>
  </si>
  <si>
    <t>EMP-2019-0894</t>
  </si>
  <si>
    <t>EMP-2019-0058</t>
  </si>
  <si>
    <t>EMP-2020-0895</t>
  </si>
  <si>
    <t>EMP-2018-0089</t>
  </si>
  <si>
    <t>EMP-2020-0896</t>
  </si>
  <si>
    <t>alice.castillo@saltcorp.com</t>
  </si>
  <si>
    <t>EMP-2018-0093</t>
  </si>
  <si>
    <t>EMP-2020-0897</t>
  </si>
  <si>
    <t>ivy.dominguez@saltcorp.com</t>
  </si>
  <si>
    <t>EMP-2019-0898</t>
  </si>
  <si>
    <t>hannah.santos@saltcorp.com</t>
  </si>
  <si>
    <t>EMP-2020-0899</t>
  </si>
  <si>
    <t>frank.schmidt@saltcorp.com</t>
  </si>
  <si>
    <t>EMP-2019-0900</t>
  </si>
  <si>
    <t>EMP-2019-0901</t>
  </si>
  <si>
    <t>charlie.walker@saltcorp.com</t>
  </si>
  <si>
    <t>EMP-2019-0902</t>
  </si>
  <si>
    <t>EMP-2019-0903</t>
  </si>
  <si>
    <t>EMP-2018-0038</t>
  </si>
  <si>
    <t>EMP-2020-0904</t>
  </si>
  <si>
    <t>EMP-2019-0905</t>
  </si>
  <si>
    <t>eve.castillo@saltcorp.com</t>
  </si>
  <si>
    <t>EMP-2020-0906</t>
  </si>
  <si>
    <t>hannah.thomas@saltcorp.com</t>
  </si>
  <si>
    <t>EMP-2020-0907</t>
  </si>
  <si>
    <t>ivy.mccoy@saltcorp.com</t>
  </si>
  <si>
    <t>EMP-2018-0908</t>
  </si>
  <si>
    <t>bob.hanson@saltcorp.com</t>
  </si>
  <si>
    <t>EMP-2020-0909</t>
  </si>
  <si>
    <t>EMP-2019-0910</t>
  </si>
  <si>
    <t>EMP-2019-0021</t>
  </si>
  <si>
    <t>EMP-2018-0911</t>
  </si>
  <si>
    <t>EMP-2018-0912</t>
  </si>
  <si>
    <t>EMP-2020-0913</t>
  </si>
  <si>
    <t>EMP-2019-0914</t>
  </si>
  <si>
    <t>hannah.hansen@saltcorp.com</t>
  </si>
  <si>
    <t>EMP-2019-0915</t>
  </si>
  <si>
    <t>EMP-2018-0916</t>
  </si>
  <si>
    <t>eve.bishop@saltcorp.com</t>
  </si>
  <si>
    <t>EMP-2020-0917</t>
  </si>
  <si>
    <t>charlie.gibson@saltcorp.com</t>
  </si>
  <si>
    <t>EMP-2019-0026</t>
  </si>
  <si>
    <t>EMP-2019-0918</t>
  </si>
  <si>
    <t>EMP-2020-0919</t>
  </si>
  <si>
    <t>eve.andrews@saltcorp.com</t>
  </si>
  <si>
    <t>EMP-2020-0920</t>
  </si>
  <si>
    <t>EMP-2018-0921</t>
  </si>
  <si>
    <t>EMP-2018-0922</t>
  </si>
  <si>
    <t>EMP-2020-0923</t>
  </si>
  <si>
    <t>EMP-2019-0924</t>
  </si>
  <si>
    <t>EMP-2019-0925</t>
  </si>
  <si>
    <t>jack.schmidt@saltcorp.com</t>
  </si>
  <si>
    <t>EMP-2019-0926</t>
  </si>
  <si>
    <t>ivy.ward@saltcorp.com</t>
  </si>
  <si>
    <t>EMP-2019-0927</t>
  </si>
  <si>
    <t>EMP-2020-0928</t>
  </si>
  <si>
    <t>EMP-2018-0929</t>
  </si>
  <si>
    <t>EMP-2019-0930</t>
  </si>
  <si>
    <t>EMP-2020-0931</t>
  </si>
  <si>
    <t>hannah.hudson@saltcorp.com</t>
  </si>
  <si>
    <t>EMP-2019-0932</t>
  </si>
  <si>
    <t>EMP-2020-0933</t>
  </si>
  <si>
    <t>EMP-2020-0934</t>
  </si>
  <si>
    <t>EMP-2018-0935</t>
  </si>
  <si>
    <t>EMP-2019-0936</t>
  </si>
  <si>
    <t>alice.harrison@saltcorp.com</t>
  </si>
  <si>
    <t>EMP-2018-0937</t>
  </si>
  <si>
    <t>ivy.oliver@saltcorp.com</t>
  </si>
  <si>
    <t>EMP-2019-0938</t>
  </si>
  <si>
    <t>alice.ross@saltcorp.com</t>
  </si>
  <si>
    <t>EMP-2020-0939</t>
  </si>
  <si>
    <t>EMP-2018-0940</t>
  </si>
  <si>
    <t>grace.powers@saltcorp.com</t>
  </si>
  <si>
    <t>EMP-2019-0941</t>
  </si>
  <si>
    <t>EMP-2018-0942</t>
  </si>
  <si>
    <t>eve.thomas@saltcorp.com</t>
  </si>
  <si>
    <t>EMP-2020-0943</t>
  </si>
  <si>
    <t>hannah.hoffman@saltcorp.com</t>
  </si>
  <si>
    <t>EMP-2019-0944</t>
  </si>
  <si>
    <t>EMP-2019-0945</t>
  </si>
  <si>
    <t>EMP-2019-0946</t>
  </si>
  <si>
    <t>EMP-2019-0947</t>
  </si>
  <si>
    <t>EMP-2019-0948</t>
  </si>
  <si>
    <t>EMP-2019-0949</t>
  </si>
  <si>
    <t>EMP-2020-0950</t>
  </si>
  <si>
    <t>charlie.navarro@saltcorp.com</t>
  </si>
  <si>
    <t>EMP-2019-0951</t>
  </si>
  <si>
    <t>EMP-2019-0952</t>
  </si>
  <si>
    <t>EMP-2019-0953</t>
  </si>
  <si>
    <t>EMP-2019-0954</t>
  </si>
  <si>
    <t>EMP-2018-0955</t>
  </si>
  <si>
    <t>EMP-2019-0956</t>
  </si>
  <si>
    <t>EMP-2020-0957</t>
  </si>
  <si>
    <t>EMP-2020-0958</t>
  </si>
  <si>
    <t>EMP-2018-0959</t>
  </si>
  <si>
    <t>EMP-2018-0960</t>
  </si>
  <si>
    <t>frank.hudson@saltcorp.com</t>
  </si>
  <si>
    <t>EMP-2020-0088</t>
  </si>
  <si>
    <t>EMP-2020-0961</t>
  </si>
  <si>
    <t>ivy.bennett@saltcorp.com</t>
  </si>
  <si>
    <t>EMP-2019-0962</t>
  </si>
  <si>
    <t>alice.weber@saltcorp.com</t>
  </si>
  <si>
    <t>EMP-2020-0963</t>
  </si>
  <si>
    <t>EMP-2018-0964</t>
  </si>
  <si>
    <t>EMP-2020-0012</t>
  </si>
  <si>
    <t>EMP-2020-0965</t>
  </si>
  <si>
    <t>EMP-2018-0966</t>
  </si>
  <si>
    <t>david.bennett@saltcorp.com</t>
  </si>
  <si>
    <t>EMP-2019-0967</t>
  </si>
  <si>
    <t>frank.barnett@saltcorp.com</t>
  </si>
  <si>
    <t>EMP-2018-0968</t>
  </si>
  <si>
    <t>EMP-2018-0969</t>
  </si>
  <si>
    <t>jack.knight@saltcorp.com</t>
  </si>
  <si>
    <t>EMP-2019-0970</t>
  </si>
  <si>
    <t>eve.gibson@saltcorp.com</t>
  </si>
  <si>
    <t>EMP-2018-0026</t>
  </si>
  <si>
    <t>EMP-2019-0971</t>
  </si>
  <si>
    <t>jack.wells@saltcorp.com</t>
  </si>
  <si>
    <t>EMP-2020-0972</t>
  </si>
  <si>
    <t>alice.hoffman@saltcorp.com</t>
  </si>
  <si>
    <t>EMP-2020-0973</t>
  </si>
  <si>
    <t>EMP-2019-0974</t>
  </si>
  <si>
    <t>EMP-2020-0975</t>
  </si>
  <si>
    <t>david.oliver@saltcorp.com</t>
  </si>
  <si>
    <t>EMP-2019-0976</t>
  </si>
  <si>
    <t>hannah.figueroa@saltcorp.com</t>
  </si>
  <si>
    <t>EMP-2020-0977</t>
  </si>
  <si>
    <t>EMP-2018-0037</t>
  </si>
  <si>
    <t>EMP-2019-0978</t>
  </si>
  <si>
    <t>EMP-2020-0979</t>
  </si>
  <si>
    <t>hannah.rogers@saltcorp.com</t>
  </si>
  <si>
    <t>EMP-2018-0980</t>
  </si>
  <si>
    <t>EMP-2019-0981</t>
  </si>
  <si>
    <t>EMP-2020-0982</t>
  </si>
  <si>
    <t>bob.williamson@saltcorp.com</t>
  </si>
  <si>
    <t>EMP-2020-0983</t>
  </si>
  <si>
    <t>charlie.hudson@saltcorp.com</t>
  </si>
  <si>
    <t>EMP-2019-0984</t>
  </si>
  <si>
    <t>EMP-2019-0985</t>
  </si>
  <si>
    <t>david.davidson@saltcorp.com</t>
  </si>
  <si>
    <t>EMP-2020-0986</t>
  </si>
  <si>
    <t>david.aguilar@saltcorp.com</t>
  </si>
  <si>
    <t>EMP-2019-0987</t>
  </si>
  <si>
    <t>jack.pearson@saltcorp.com</t>
  </si>
  <si>
    <t>EMP-2020-0988</t>
  </si>
  <si>
    <t>EMP-2019-0989</t>
  </si>
  <si>
    <t>EMP-2019-0990</t>
  </si>
  <si>
    <t>jack.mccoy@saltcorp.com</t>
  </si>
  <si>
    <t>EMP-2018-0062</t>
  </si>
  <si>
    <t>EMP-2019-0991</t>
  </si>
  <si>
    <t>EMP-2019-0992</t>
  </si>
  <si>
    <t>EMP-2020-0993</t>
  </si>
  <si>
    <t>EMP-2018-0994</t>
  </si>
  <si>
    <t>hannah.harrison@saltcorp.com</t>
  </si>
  <si>
    <t>EMP-2018-0995</t>
  </si>
  <si>
    <t>EMP-2020-0996</t>
  </si>
  <si>
    <t>jack.west@saltcorp.com</t>
  </si>
  <si>
    <t>EMP-2018-0997</t>
  </si>
  <si>
    <t>jack.hansen@saltcorp.com</t>
  </si>
  <si>
    <t>EMP-2020-0998</t>
  </si>
  <si>
    <t>EMP-2018-0999</t>
  </si>
  <si>
    <t>EMP-2020-1000</t>
  </si>
  <si>
    <t>ivy.garrett@saltcorp.com</t>
  </si>
  <si>
    <t>HR DATASET - COLUMN DICTIONARY</t>
  </si>
  <si>
    <t>column_name</t>
  </si>
  <si>
    <t>description</t>
  </si>
  <si>
    <t>data_type</t>
  </si>
  <si>
    <t>employee_id</t>
  </si>
  <si>
    <t>Unique identifier for each employee</t>
  </si>
  <si>
    <t>STRING</t>
  </si>
  <si>
    <t>first_name</t>
  </si>
  <si>
    <t>Employee's first name</t>
  </si>
  <si>
    <t>last_name</t>
  </si>
  <si>
    <t>Employee's family name or surname</t>
  </si>
  <si>
    <t>age</t>
  </si>
  <si>
    <t>Employee's age in years</t>
  </si>
  <si>
    <t>INTEGER</t>
  </si>
  <si>
    <t>birth_year</t>
  </si>
  <si>
    <t>Year the employee was born</t>
  </si>
  <si>
    <t>salary</t>
  </si>
  <si>
    <t>Annual salary in USD</t>
  </si>
  <si>
    <t>FLOAT</t>
  </si>
  <si>
    <t>gender</t>
  </si>
  <si>
    <t>Employee's gender identity</t>
  </si>
  <si>
    <t>department</t>
  </si>
  <si>
    <t>Company department where employee works</t>
  </si>
  <si>
    <t>position</t>
  </si>
  <si>
    <t>Employee's job title or role</t>
  </si>
  <si>
    <t>joining_date</t>
  </si>
  <si>
    <t>Date employee started at the company</t>
  </si>
  <si>
    <t>DATE</t>
  </si>
  <si>
    <t>performance_score</t>
  </si>
  <si>
    <t>Letter grade performance rating (A–F) A is the best F is the worst</t>
  </si>
  <si>
    <t>performance_score_numeric</t>
  </si>
  <si>
    <t>Performance rating on 0–100 scale( 0 is the least and 100 is the highest)</t>
  </si>
  <si>
    <t>email</t>
  </si>
  <si>
    <t>Employee's work email address</t>
  </si>
  <si>
    <t>phone_number</t>
  </si>
  <si>
    <t>Employee's contact phone number</t>
  </si>
  <si>
    <t>employment_status</t>
  </si>
  <si>
    <t>Type of employment (Full-Time/Part-Time/Contract)</t>
  </si>
  <si>
    <t>manager_id</t>
  </si>
  <si>
    <t>Employee ID of direct supervisor</t>
  </si>
  <si>
    <t>years_of_service</t>
  </si>
  <si>
    <t>Number of years employed at company</t>
  </si>
  <si>
    <t>sick_days_taken</t>
  </si>
  <si>
    <t>Sick days used in current year</t>
  </si>
  <si>
    <t>vacation_days_remaining</t>
  </si>
  <si>
    <t>Unused vacation days available</t>
  </si>
  <si>
    <t>last_promotion_date</t>
  </si>
  <si>
    <t>Date of most recent promotion</t>
  </si>
  <si>
    <t>training_hours</t>
  </si>
  <si>
    <t>Professional development hours completed</t>
  </si>
  <si>
    <t>benefits_enrolled</t>
  </si>
  <si>
    <t>Whether enrolled in company benefits program</t>
  </si>
  <si>
    <t>Whether employee left the company or not</t>
  </si>
  <si>
    <t>Job satisfaction rating from 1 to 5(1 – Very dissatisfied , 2 – Dissatisfied , 3 – Neutral , 4 – Satisfied , 5 – Very satisfied)</t>
  </si>
  <si>
    <t>Cleaned_age</t>
  </si>
  <si>
    <t>Cleaned_salary</t>
  </si>
  <si>
    <t>Cleaned_dept</t>
  </si>
  <si>
    <t>Cleaned_emp_status</t>
  </si>
  <si>
    <t>Cleaned_joining date</t>
  </si>
  <si>
    <t>Grand Total</t>
  </si>
  <si>
    <t>Gender Distribution</t>
  </si>
  <si>
    <t>Attrition Value</t>
  </si>
  <si>
    <t>Employees</t>
  </si>
  <si>
    <t>Average Salary per Department</t>
  </si>
  <si>
    <t>6-8</t>
  </si>
  <si>
    <t>0-2</t>
  </si>
  <si>
    <t>3-5</t>
  </si>
  <si>
    <t>Attrition Rate</t>
  </si>
  <si>
    <t>Cleaned_Benefits_Enrolled</t>
  </si>
  <si>
    <t>Employees per Department</t>
  </si>
  <si>
    <t>Employees Left</t>
  </si>
  <si>
    <t>Attrition Rate (%)</t>
  </si>
  <si>
    <t>2024.08.12</t>
  </si>
  <si>
    <t>24-33</t>
  </si>
  <si>
    <t>34-43</t>
  </si>
  <si>
    <t>44-53</t>
  </si>
  <si>
    <t>54-63</t>
  </si>
  <si>
    <t>Age Group</t>
  </si>
  <si>
    <t>Attrition</t>
  </si>
  <si>
    <t>Total Employees</t>
  </si>
  <si>
    <t>Analysis Area</t>
  </si>
  <si>
    <t>Key Finding</t>
  </si>
  <si>
    <t>Workforce is relatively balanced between male and female employees.</t>
  </si>
  <si>
    <t>Department Analysis</t>
  </si>
  <si>
    <t>Age Groups</t>
  </si>
  <si>
    <t>Attrition remained relatively consistent across employees aged 24–53 (38–40%). The 54–63 group had lower attrition but included only 12 employees.</t>
  </si>
  <si>
    <t>Average of Cleaned_salary</t>
  </si>
  <si>
    <t>Average Salary</t>
  </si>
  <si>
    <t>Job Satisfaction</t>
  </si>
  <si>
    <t>Metric</t>
  </si>
  <si>
    <t>Value</t>
  </si>
  <si>
    <t>Employees  Left</t>
  </si>
  <si>
    <t>Attrition Per Department</t>
  </si>
  <si>
    <t>Attrition Vs Years of Service</t>
  </si>
  <si>
    <t>Attrition by Employment Status</t>
  </si>
  <si>
    <t>Age Group Analysis</t>
  </si>
  <si>
    <t>Attrition Analysis</t>
  </si>
  <si>
    <t>WorkForce Overview</t>
  </si>
  <si>
    <t>Key Findings</t>
  </si>
  <si>
    <t>Attrition rates were broadly similar across employment types, ranging from 36.9% to 40.2%. Full-Time employees recorded the highest attrition rate (40.2%), while Part-Time employees recorded the lowest (36.9%). The relatively small differences suggest that employment status alone is unlikely to be a major driver of employee attrition.</t>
  </si>
  <si>
    <t>Employees who stayed</t>
  </si>
  <si>
    <t>Employees who left</t>
  </si>
  <si>
    <t>Marketing recorded the highest attrition rate (42.8%), while HR recorded the lowest (36.0%).</t>
  </si>
  <si>
    <t>Employees with 3–5 years of service recorded the highest attrition rate (41.1%). However, differences across years of service were relatively small, suggesting that tenure alone is unlikely to explain employee attrition.</t>
  </si>
  <si>
    <t>Job Satisfaction Score</t>
  </si>
  <si>
    <t>Job_Satisfaction/Department</t>
  </si>
  <si>
    <t>Employees scoring satisfaction at 1 or 2 are more than TWICE as likely to leave (56.0% combined attrition) compared to employees scoring 3+ (26.4%). Job dissatisfaction is the largest predictor of employee turnover.</t>
  </si>
  <si>
    <t>Finance reports the lowest job satisfaction rating (2.7/5), signaling a need for operational and workflow improvements in accounting/finance.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</si>
</sst>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14" fontId="5" fillId="0" borderId="0" xfId="0" applyNumberFormat="1" applyFont="1"/>
    <xf numFmtId="0" fontId="6" fillId="0" borderId="0" xfId="0" applyFont="1"/>
    <xf numFmtId="14" fontId="7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164" fontId="0" fillId="0" borderId="0" xfId="0" applyNumberFormat="1"/>
    <xf numFmtId="14" fontId="6" fillId="0" borderId="0" xfId="0" applyNumberFormat="1" applyFont="1"/>
    <xf numFmtId="0" fontId="9" fillId="0" borderId="0" xfId="0" applyFont="1"/>
    <xf numFmtId="165" fontId="9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4" fontId="0" fillId="0" borderId="0" xfId="0" applyNumberFormat="1"/>
    <xf numFmtId="14" fontId="3" fillId="0" borderId="0" xfId="0" applyNumberFormat="1" applyFont="1"/>
    <xf numFmtId="164" fontId="1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2" fillId="0" borderId="0" xfId="0" applyFont="1"/>
    <xf numFmtId="15" fontId="0" fillId="0" borderId="0" xfId="0" applyNumberFormat="1"/>
    <xf numFmtId="0" fontId="1" fillId="0" borderId="0" xfId="0" applyFont="1"/>
    <xf numFmtId="166" fontId="4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/>
    <xf numFmtId="0" fontId="11" fillId="0" borderId="0" xfId="0" applyFont="1"/>
    <xf numFmtId="0" fontId="13" fillId="0" borderId="0" xfId="0" applyFont="1"/>
    <xf numFmtId="3" fontId="0" fillId="0" borderId="0" xfId="0" applyNumberFormat="1"/>
    <xf numFmtId="6" fontId="0" fillId="0" borderId="0" xfId="0" applyNumberFormat="1"/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9" fontId="0" fillId="0" borderId="0" xfId="2" applyFont="1"/>
    <xf numFmtId="9" fontId="4" fillId="0" borderId="0" xfId="2" applyFont="1"/>
    <xf numFmtId="2" fontId="0" fillId="0" borderId="0" xfId="0" applyNumberFormat="1"/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8" fillId="0" borderId="0" xfId="0" applyFont="1"/>
    <xf numFmtId="0" fontId="0" fillId="0" borderId="0" xfId="0"/>
    <xf numFmtId="0" fontId="16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%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[HR_data.xlsx]Workforce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>
        <c:manualLayout>
          <c:xMode val="edge"/>
          <c:yMode val="edge"/>
          <c:x val="0.358995446356285"/>
          <c:y val="7.6676967857777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'Workforce Overview'!$B$11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DF-4C6A-9DFD-532A93A222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DF-4C6A-9DFD-532A93A222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'Workforce Overview'!$A$12:$A$14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'Workforce Overview'!$B$12:$B$14</c:f>
              <c:numCache>
                <c:formatCode>0.0%</c:formatCode>
                <c:ptCount val="2"/>
                <c:pt idx="0">
                  <c:v>0.49299999999999999</c:v>
                </c:pt>
                <c:pt idx="1">
                  <c:v>0.50700000000000001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126-8309-6CC025AEEA9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30069930069927"/>
          <c:y val="0.40923247213906572"/>
          <c:w val="0.15472027972027971"/>
          <c:h val="0.391563985811677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[HR_data.xlsx]Workforce 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per Department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93479330708665"/>
          <c:y val="0.114198411765693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'Workforce Overview'!$B$23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'Workforce Overview'!$A$24:$A$29</c:f>
              <c:strCache>
                <c:ptCount val="5"/>
                <c:pt idx="0">
                  <c:v>Sales</c:v>
                </c:pt>
                <c:pt idx="1">
                  <c:v>HR</c:v>
                </c:pt>
                <c:pt idx="2">
                  <c:v>Marketing</c:v>
                </c:pt>
                <c:pt idx="3">
                  <c:v>Finance</c:v>
                </c:pt>
                <c:pt idx="4">
                  <c:v>IT</c:v>
                </c:pt>
              </c:strCache>
            </c:strRef>
          </c:cat>
          <c:val>
            <c:numRef>
              <c:f>'Workforce Overview'!$B$24:$B$29</c:f>
              <c:numCache>
                <c:formatCode>_(* #,##0_);_(* \(#,##0\);_(* "-"??_);_(@_)</c:formatCode>
                <c:ptCount val="5"/>
                <c:pt idx="0">
                  <c:v>60992.793111357467</c:v>
                </c:pt>
                <c:pt idx="1">
                  <c:v>60236.40625</c:v>
                </c:pt>
                <c:pt idx="2">
                  <c:v>60107.486631016043</c:v>
                </c:pt>
                <c:pt idx="3">
                  <c:v>59983.944954128441</c:v>
                </c:pt>
                <c:pt idx="4">
                  <c:v>59712.716506291632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9-4BA6-8EBD-028CE0920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4467440"/>
        <c:axId val="1814471760"/>
      </c:barChart>
      <c:catAx>
        <c:axId val="18144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471760"/>
        <c:crosses val="autoZero"/>
        <c:auto val="1"/>
        <c:lblAlgn val="ctr"/>
        <c:lblOffset val="100"/>
        <c:noMultiLvlLbl val="0"/>
      </c:catAx>
      <c:valAx>
        <c:axId val="18144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46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[HR_data.xlsx]Attrition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vs Years of Service</a:t>
            </a:r>
          </a:p>
        </c:rich>
      </c:tx>
      <c:layout>
        <c:manualLayout>
          <c:xMode val="edge"/>
          <c:yMode val="edge"/>
          <c:x val="0.29675746432711142"/>
          <c:y val="4.5846096914125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Analysis'!$A$18:$A$21</c:f>
              <c:strCache>
                <c:ptCount val="3"/>
                <c:pt idx="0">
                  <c:v>0-2</c:v>
                </c:pt>
                <c:pt idx="1">
                  <c:v>3-5</c:v>
                </c:pt>
                <c:pt idx="2">
                  <c:v>6-8</c:v>
                </c:pt>
              </c:strCache>
            </c:strRef>
          </c:cat>
          <c:val>
            <c:numRef>
              <c:f>'Attrition Analysis'!$B$18:$B$21</c:f>
              <c:numCache>
                <c:formatCode>0.0%</c:formatCode>
                <c:ptCount val="3"/>
                <c:pt idx="0">
                  <c:v>0.36776859504132231</c:v>
                </c:pt>
                <c:pt idx="1">
                  <c:v>0.40909090909090912</c:v>
                </c:pt>
                <c:pt idx="2">
                  <c:v>0.390625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1-4548-A964-D0E1A622A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027520"/>
        <c:axId val="1215680432"/>
      </c:barChart>
      <c:catAx>
        <c:axId val="12960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of Service</a:t>
                </a:r>
              </a:p>
            </c:rich>
          </c:tx>
          <c:layout>
            <c:manualLayout>
              <c:xMode val="edge"/>
              <c:yMode val="edge"/>
              <c:x val="0.41272572178477684"/>
              <c:y val="0.8472936716243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80432"/>
        <c:crosses val="autoZero"/>
        <c:auto val="1"/>
        <c:lblAlgn val="ctr"/>
        <c:lblOffset val="100"/>
        <c:noMultiLvlLbl val="0"/>
      </c:catAx>
      <c:valAx>
        <c:axId val="12156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22781787693205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02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[HR_data.xlsx]Employment Status!PivotTable2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'Employment Status'!$B$4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'Employment Status'!$A$5:$A$8</c:f>
              <c:strCache>
                <c:ptCount val="3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</c:strCache>
            </c:strRef>
          </c:cat>
          <c:val>
            <c:numRef>
              <c:f>'Employment Status'!$B$5:$B$8</c:f>
              <c:numCache>
                <c:formatCode>0.0%</c:formatCode>
                <c:ptCount val="3"/>
                <c:pt idx="0">
                  <c:v>0.4</c:v>
                </c:pt>
                <c:pt idx="1">
                  <c:v>0.40186915887850466</c:v>
                </c:pt>
                <c:pt idx="2">
                  <c:v>0.36933797909407667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C-4E2E-A71C-EB8C2F2E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7111888"/>
        <c:axId val="1215700592"/>
      </c:barChart>
      <c:valAx>
        <c:axId val="121570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111888"/>
        <c:crosses val="autoZero"/>
        <c:crossBetween val="between"/>
      </c:valAx>
      <c:catAx>
        <c:axId val="115711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0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[HR_data.xlsx]Job Satisfaction!PivotTable2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 per Department</a:t>
            </a:r>
          </a:p>
        </c:rich>
      </c:tx>
      <c:layout>
        <c:manualLayout>
          <c:xMode val="edge"/>
          <c:yMode val="edge"/>
          <c:x val="0.29066666666666668"/>
          <c:y val="8.7492747617074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Satisfaction'!$A$6:$A$11</c:f>
              <c:strCache>
                <c:ptCount val="5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'Job Satisfaction'!$B$6:$B$11</c:f>
              <c:numCache>
                <c:formatCode>0.00</c:formatCode>
                <c:ptCount val="5"/>
                <c:pt idx="0">
                  <c:v>3.0053475935828877</c:v>
                </c:pt>
                <c:pt idx="1">
                  <c:v>2.99</c:v>
                </c:pt>
                <c:pt idx="2">
                  <c:v>2.9801980198019802</c:v>
                </c:pt>
                <c:pt idx="3">
                  <c:v>2.9067357512953369</c:v>
                </c:pt>
                <c:pt idx="4">
                  <c:v>2.7201834862385321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722-41F0-BB53-14B6FEAC09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9733295"/>
        <c:axId val="916473903"/>
      </c:barChart>
      <c:catAx>
        <c:axId val="105973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73903"/>
        <c:crosses val="autoZero"/>
        <c:auto val="1"/>
        <c:lblAlgn val="ctr"/>
        <c:lblOffset val="100"/>
        <c:noMultiLvlLbl val="0"/>
      </c:catAx>
      <c:valAx>
        <c:axId val="91647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3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337961</xdr:colOff>
      <xdr:row>7</xdr:row>
      <xdr:rowOff>169335</xdr:rowOff>
    </xdr:from>
    <xdr:to>
      <xdr:col>8</xdr:col>
      <xdr:colOff>134761</xdr:colOff>
      <xdr:row>19</xdr:row>
      <xdr:rowOff>87491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ECD5E-88D7-5B4B-3A65-45A23095E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162279</xdr:colOff>
      <xdr:row>19</xdr:row>
      <xdr:rowOff>91722</xdr:rowOff>
    </xdr:from>
    <xdr:to>
      <xdr:col>10</xdr:col>
      <xdr:colOff>297746</xdr:colOff>
      <xdr:row>34</xdr:row>
      <xdr:rowOff>49388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F50D7-F357-4951-8362-E42C9762B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15</xdr:row>
      <xdr:rowOff>120650</xdr:rowOff>
    </xdr:from>
    <xdr:to>
      <xdr:col>9</xdr:col>
      <xdr:colOff>336550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791B3-A477-9A3F-EB72-81FBBBC51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12700</xdr:rowOff>
    </xdr:from>
    <xdr:to>
      <xdr:col>5</xdr:col>
      <xdr:colOff>584200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E991C-8E51-1E16-0EF2-39349FE7F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133350</xdr:rowOff>
    </xdr:from>
    <xdr:to>
      <xdr:col>10</xdr:col>
      <xdr:colOff>63500</xdr:colOff>
      <xdr:row>18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36DE1A-3BC4-1E98-5615-D3C3F4AB4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21.718208564816" createdVersion="8" refreshedVersion="8" minRefreshableVersion="3" recordCount="1001" xr:uid="{6AC7171B-C6E8-4AAE-8E18-FF6BA4257800}">
  <cacheSource type="worksheet">
    <worksheetSource ref="A1:AD1048576" sheet="Cleaned_HR_data"/>
  </cacheSource>
  <cacheFields count="29">
    <cacheField name="Employee ID" numFmtId="0">
      <sharedItems containsBlank="1"/>
    </cacheField>
    <cacheField name="Name" numFmtId="0">
      <sharedItems containsBlank="1"/>
    </cacheField>
    <cacheField name="Last Name" numFmtId="0">
      <sharedItems containsBlank="1"/>
    </cacheField>
    <cacheField name="Age" numFmtId="0">
      <sharedItems containsBlank="1" containsMixedTypes="1" containsNumber="1" containsInteger="1" minValue="25" maxValue="50"/>
    </cacheField>
    <cacheField name="Cleaned_age" numFmtId="0">
      <sharedItems containsString="0" containsBlank="1" containsNumber="1" containsInteger="1" minValue="24" maxValue="61"/>
    </cacheField>
    <cacheField name="Birth Year" numFmtId="0">
      <sharedItems containsString="0" containsBlank="1" containsNumber="1" containsInteger="1" minValue="1963" maxValue="2000"/>
    </cacheField>
    <cacheField name="Salary" numFmtId="0">
      <sharedItems containsBlank="1" containsMixedTypes="1" containsNumber="1" containsInteger="1" minValue="50000" maxValue="70000"/>
    </cacheField>
    <cacheField name="Cleaned_salary" numFmtId="165">
      <sharedItems containsString="0" containsBlank="1" containsNumber="1" minValue="50000" maxValue="70000" count="28">
        <n v="50000"/>
        <n v="65000"/>
        <n v="60000"/>
        <n v="59500"/>
        <n v="58500"/>
        <n v="70000"/>
        <n v="55000"/>
        <n v="60500"/>
        <n v="58600"/>
        <n v="63000"/>
        <n v="60100"/>
        <n v="61500"/>
        <n v="58300"/>
        <n v="59300"/>
        <n v="60300"/>
        <n v="60900"/>
        <n v="61600"/>
        <n v="58800"/>
        <n v="61300"/>
        <n v="60800"/>
        <n v="59000"/>
        <n v="59800"/>
        <n v="60154.285714285717"/>
        <n v="60481.25"/>
        <n v="61851.351351351354"/>
        <n v="63892.857142857145"/>
        <n v="60400"/>
        <m/>
      </sharedItems>
    </cacheField>
    <cacheField name="Gender" numFmtId="0">
      <sharedItems containsBlank="1" count="3">
        <s v="Male"/>
        <s v="Female"/>
        <m/>
      </sharedItems>
    </cacheField>
    <cacheField name="Department" numFmtId="0">
      <sharedItems containsBlank="1" count="6">
        <s v="HR"/>
        <s v="finance"/>
        <s v="sales"/>
        <s v="it"/>
        <s v="Marketing"/>
        <m/>
      </sharedItems>
    </cacheField>
    <cacheField name="Cleaned_dept" numFmtId="0">
      <sharedItems containsBlank="1" count="6">
        <s v="HR"/>
        <s v="Finance"/>
        <s v="Sales"/>
        <s v="IT"/>
        <s v="Marketing"/>
        <m/>
      </sharedItems>
    </cacheField>
    <cacheField name="Position" numFmtId="0">
      <sharedItems containsBlank="1"/>
    </cacheField>
    <cacheField name="Joining Date" numFmtId="14">
      <sharedItems containsDate="1" containsBlank="1" containsMixedTypes="1" minDate="2018-04-05T00:00:00" maxDate="2020-02-21T00:00:00"/>
    </cacheField>
    <cacheField name="Cleaned_joining date" numFmtId="0">
      <sharedItems containsNonDate="0" containsDate="1" containsString="0" containsBlank="1" minDate="2018-04-05T00:00:00" maxDate="2020-02-21T00:00:00"/>
    </cacheField>
    <cacheField name="Performance Score" numFmtId="0">
      <sharedItems containsBlank="1" count="6">
        <s v="D"/>
        <s v="F"/>
        <s v="C"/>
        <s v="A"/>
        <s v="B"/>
        <m/>
      </sharedItems>
    </cacheField>
    <cacheField name="Performance Score Numeric" numFmtId="0">
      <sharedItems containsString="0" containsBlank="1" containsNumber="1" containsInteger="1" minValue="0" maxValue="100"/>
    </cacheField>
    <cacheField name="Email" numFmtId="0">
      <sharedItems containsBlank="1"/>
    </cacheField>
    <cacheField name="Phone Number" numFmtId="0">
      <sharedItems containsBlank="1"/>
    </cacheField>
    <cacheField name="Employment Status" numFmtId="0">
      <sharedItems containsBlank="1"/>
    </cacheField>
    <cacheField name="Cleaned_emp_status" numFmtId="0">
      <sharedItems containsBlank="1" count="4">
        <s v="Contract"/>
        <s v="Full-Time"/>
        <s v="Part-Time"/>
        <m/>
      </sharedItems>
    </cacheField>
    <cacheField name="Manager ID" numFmtId="0">
      <sharedItems containsBlank="1"/>
    </cacheField>
    <cacheField name="Years of Service" numFmtId="0">
      <sharedItems containsString="0" containsBlank="1" containsNumber="1" containsInteger="1" minValue="1" maxValue="8"/>
    </cacheField>
    <cacheField name="Sick Days Taken" numFmtId="0">
      <sharedItems containsBlank="1" containsMixedTypes="1" containsNumber="1" containsInteger="1" minValue="0" maxValue="15"/>
    </cacheField>
    <cacheField name="Vacation Days Remaining" numFmtId="0">
      <sharedItems containsString="0" containsBlank="1" containsNumber="1" containsInteger="1" minValue="0" maxValue="20"/>
    </cacheField>
    <cacheField name="Last Promotion Date" numFmtId="0">
      <sharedItems containsDate="1" containsBlank="1" containsMixedTypes="1" minDate="2021-10-01T00:00:00" maxDate="2024-08-13T00:00:00"/>
    </cacheField>
    <cacheField name="Training Hours" numFmtId="0">
      <sharedItems containsString="0" containsBlank="1" containsNumber="1" containsInteger="1" minValue="5" maxValue="80"/>
    </cacheField>
    <cacheField name="Benefits Enrolled" numFmtId="0">
      <sharedItems containsBlank="1"/>
    </cacheField>
    <cacheField name="job_satisfaction" numFmtId="0">
      <sharedItems containsString="0" containsBlank="1" containsNumber="1" containsInteger="1" minValue="1" maxValue="5" count="6">
        <n v="4"/>
        <n v="1"/>
        <n v="5"/>
        <n v="2"/>
        <n v="3"/>
        <m/>
      </sharedItems>
    </cacheField>
    <cacheField name="attritio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 pivotCacheId="75707512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29.593149884262" createdVersion="8" refreshedVersion="8" minRefreshableVersion="3" recordCount="1000" xr:uid="{E18D358D-4EF2-40BF-A9FB-172BB8F89F5A}">
  <cacheSource type="worksheet">
    <worksheetSource ref="A1:AD1001" sheet="Cleaned_HR_data"/>
  </cacheSource>
  <cacheFields count="30">
    <cacheField name="Employee ID" numFmtId="0">
      <sharedItems/>
    </cacheField>
    <cacheField name="Name" numFmtId="0">
      <sharedItems/>
    </cacheField>
    <cacheField name="Last Name" numFmtId="0">
      <sharedItems/>
    </cacheField>
    <cacheField name="Age" numFmtId="0">
      <sharedItems containsBlank="1" containsMixedTypes="1" containsNumber="1" containsInteger="1" minValue="25" maxValue="50"/>
    </cacheField>
    <cacheField name="Cleaned_age" numFmtId="0">
      <sharedItems containsSemiMixedTypes="0" containsString="0" containsNumber="1" containsInteger="1" minValue="24" maxValue="61"/>
    </cacheField>
    <cacheField name="Birth Year" numFmtId="0">
      <sharedItems containsSemiMixedTypes="0" containsString="0" containsNumber="1" containsInteger="1" minValue="1963" maxValue="2000"/>
    </cacheField>
    <cacheField name="Salary" numFmtId="0">
      <sharedItems containsMixedTypes="1" containsNumber="1" containsInteger="1" minValue="50000" maxValue="70000"/>
    </cacheField>
    <cacheField name="Cleaned_salary" numFmtId="165">
      <sharedItems containsSemiMixedTypes="0" containsString="0" containsNumber="1" minValue="50000" maxValue="70000"/>
    </cacheField>
    <cacheField name="Gender" numFmtId="0">
      <sharedItems count="2">
        <s v="Male"/>
        <s v="Female"/>
      </sharedItems>
    </cacheField>
    <cacheField name="Department" numFmtId="0">
      <sharedItems/>
    </cacheField>
    <cacheField name="Cleaned_dept" numFmtId="0">
      <sharedItems count="5">
        <s v="HR"/>
        <s v="Finance"/>
        <s v="Sales"/>
        <s v="IT"/>
        <s v="Marketing"/>
      </sharedItems>
    </cacheField>
    <cacheField name="Position" numFmtId="0">
      <sharedItems/>
    </cacheField>
    <cacheField name="Joining Date" numFmtId="14">
      <sharedItems containsDate="1" containsMixedTypes="1" minDate="2018-04-05T00:00:00" maxDate="2020-02-21T00:00:00"/>
    </cacheField>
    <cacheField name="Cleaned_joining date" numFmtId="14">
      <sharedItems containsSemiMixedTypes="0" containsNonDate="0" containsDate="1" containsString="0" minDate="2018-04-05T00:00:00" maxDate="2020-02-21T00:00:00"/>
    </cacheField>
    <cacheField name="Performance Score" numFmtId="0">
      <sharedItems/>
    </cacheField>
    <cacheField name="Performance Score Numeric" numFmtId="0">
      <sharedItems containsSemiMixedTypes="0" containsString="0" containsNumber="1" containsInteger="1" minValue="0" maxValue="100"/>
    </cacheField>
    <cacheField name="Email" numFmtId="0">
      <sharedItems/>
    </cacheField>
    <cacheField name="Phone Number" numFmtId="0">
      <sharedItems containsBlank="1"/>
    </cacheField>
    <cacheField name="Employment Status" numFmtId="0">
      <sharedItems/>
    </cacheField>
    <cacheField name="Cleaned_emp_status" numFmtId="0">
      <sharedItems/>
    </cacheField>
    <cacheField name="Manager ID" numFmtId="0">
      <sharedItems containsBlank="1"/>
    </cacheField>
    <cacheField name="Years of Service" numFmtId="0">
      <sharedItems containsSemiMixedTypes="0" containsString="0" containsNumber="1" containsInteger="1" minValue="1" maxValue="8"/>
    </cacheField>
    <cacheField name="Sick Days Taken" numFmtId="0">
      <sharedItems containsBlank="1" containsMixedTypes="1" containsNumber="1" containsInteger="1" minValue="0" maxValue="15"/>
    </cacheField>
    <cacheField name="Vacation Days Remaining" numFmtId="0">
      <sharedItems containsString="0" containsBlank="1" containsNumber="1" containsInteger="1" minValue="0" maxValue="20"/>
    </cacheField>
    <cacheField name="Last Promotion Date" numFmtId="0">
      <sharedItems containsDate="1" containsBlank="1" containsMixedTypes="1" minDate="2021-10-01T00:00:00" maxDate="2024-08-13T00:00:00"/>
    </cacheField>
    <cacheField name="Training Hours" numFmtId="0">
      <sharedItems containsString="0" containsBlank="1" containsNumber="1" containsInteger="1" minValue="5" maxValue="80"/>
    </cacheField>
    <cacheField name="Benefits Enrolled" numFmtId="0">
      <sharedItems containsBlank="1"/>
    </cacheField>
    <cacheField name="Cleaned_Benefits_Enrolled" numFmtId="0">
      <sharedItems/>
    </cacheField>
    <cacheField name="job_satisfaction" numFmtId="0">
      <sharedItems containsSemiMixedTypes="0" containsString="0" containsNumber="1" containsInteger="1" minValue="1" maxValue="5"/>
    </cacheField>
    <cacheField name="attri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29.593277777778" createdVersion="8" refreshedVersion="8" minRefreshableVersion="3" recordCount="1000" xr:uid="{F6355B0D-5B49-45AF-90DB-EC4A0F9BF8BD}">
  <cacheSource type="worksheet">
    <worksheetSource ref="A1:AE1001" sheet="Cleaned_HR_data"/>
  </cacheSource>
  <cacheFields count="31">
    <cacheField name="Employee ID" numFmtId="0">
      <sharedItems/>
    </cacheField>
    <cacheField name="Name" numFmtId="0">
      <sharedItems/>
    </cacheField>
    <cacheField name="Last Name" numFmtId="0">
      <sharedItems/>
    </cacheField>
    <cacheField name="Age" numFmtId="0">
      <sharedItems containsBlank="1" containsMixedTypes="1" containsNumber="1" containsInteger="1" minValue="25" maxValue="50"/>
    </cacheField>
    <cacheField name="Cleaned_age" numFmtId="0">
      <sharedItems containsSemiMixedTypes="0" containsString="0" containsNumber="1" containsInteger="1" minValue="24" maxValue="61"/>
    </cacheField>
    <cacheField name="Birth Year" numFmtId="0">
      <sharedItems containsSemiMixedTypes="0" containsString="0" containsNumber="1" containsInteger="1" minValue="1963" maxValue="2000"/>
    </cacheField>
    <cacheField name="Salary" numFmtId="0">
      <sharedItems containsMixedTypes="1" containsNumber="1" containsInteger="1" minValue="50000" maxValue="70000"/>
    </cacheField>
    <cacheField name="Cleaned_salary" numFmtId="165">
      <sharedItems containsSemiMixedTypes="0" containsString="0" containsNumber="1" minValue="50000" maxValue="70000"/>
    </cacheField>
    <cacheField name="Gender" numFmtId="0">
      <sharedItems/>
    </cacheField>
    <cacheField name="Department" numFmtId="0">
      <sharedItems/>
    </cacheField>
    <cacheField name="Cleaned_dept" numFmtId="0">
      <sharedItems count="5">
        <s v="HR"/>
        <s v="Finance"/>
        <s v="Sales"/>
        <s v="IT"/>
        <s v="Marketing"/>
      </sharedItems>
    </cacheField>
    <cacheField name="Position" numFmtId="0">
      <sharedItems/>
    </cacheField>
    <cacheField name="Joining Date" numFmtId="14">
      <sharedItems containsDate="1" containsMixedTypes="1" minDate="2018-04-05T00:00:00" maxDate="2020-02-21T00:00:00"/>
    </cacheField>
    <cacheField name="Cleaned_joining date" numFmtId="14">
      <sharedItems containsSemiMixedTypes="0" containsNonDate="0" containsDate="1" containsString="0" minDate="2018-04-05T00:00:00" maxDate="2020-02-21T00:00:00"/>
    </cacheField>
    <cacheField name="Performance Score" numFmtId="0">
      <sharedItems/>
    </cacheField>
    <cacheField name="Performance Score Numeric" numFmtId="0">
      <sharedItems containsSemiMixedTypes="0" containsString="0" containsNumber="1" containsInteger="1" minValue="0" maxValue="100"/>
    </cacheField>
    <cacheField name="Email" numFmtId="0">
      <sharedItems/>
    </cacheField>
    <cacheField name="Phone Number" numFmtId="0">
      <sharedItems containsBlank="1"/>
    </cacheField>
    <cacheField name="Employment Status" numFmtId="0">
      <sharedItems/>
    </cacheField>
    <cacheField name="Cleaned_emp_status" numFmtId="0">
      <sharedItems count="3">
        <s v="Contract"/>
        <s v="Full-Time"/>
        <s v="Part-Time"/>
      </sharedItems>
    </cacheField>
    <cacheField name="Manager ID" numFmtId="0">
      <sharedItems containsBlank="1"/>
    </cacheField>
    <cacheField name="Years of Service" numFmtId="0">
      <sharedItems containsSemiMixedTypes="0" containsString="0" containsNumber="1" containsInteger="1" minValue="1" maxValue="8" count="8">
        <n v="4"/>
        <n v="8"/>
        <n v="6"/>
        <n v="5"/>
        <n v="3"/>
        <n v="2"/>
        <n v="7"/>
        <n v="1"/>
      </sharedItems>
      <fieldGroup base="21">
        <rangePr autoStart="0" startNum="0" endNum="8" groupInterval="3"/>
        <groupItems count="5">
          <s v="&lt;0"/>
          <s v="0-2"/>
          <s v="3-5"/>
          <s v="6-8"/>
          <s v="&gt;9"/>
        </groupItems>
      </fieldGroup>
    </cacheField>
    <cacheField name="Sick Days Taken" numFmtId="0">
      <sharedItems containsBlank="1" containsMixedTypes="1" containsNumber="1" containsInteger="1" minValue="0" maxValue="15"/>
    </cacheField>
    <cacheField name="Vacation Days Remaining" numFmtId="0">
      <sharedItems containsString="0" containsBlank="1" containsNumber="1" containsInteger="1" minValue="0" maxValue="20"/>
    </cacheField>
    <cacheField name="Last Promotion Date" numFmtId="0">
      <sharedItems containsDate="1" containsBlank="1" containsMixedTypes="1" minDate="2021-10-01T00:00:00" maxDate="2024-08-13T00:00:00"/>
    </cacheField>
    <cacheField name="Training Hours" numFmtId="0">
      <sharedItems containsString="0" containsBlank="1" containsNumber="1" containsInteger="1" minValue="5" maxValue="80"/>
    </cacheField>
    <cacheField name="Benefits Enrolled" numFmtId="0">
      <sharedItems containsBlank="1"/>
    </cacheField>
    <cacheField name="Cleaned_Benefits_Enrolled" numFmtId="0">
      <sharedItems/>
    </cacheField>
    <cacheField name="job_satisfaction" numFmtId="0">
      <sharedItems containsSemiMixedTypes="0" containsString="0" containsNumber="1" containsInteger="1" minValue="1" maxValue="5" count="5">
        <n v="4"/>
        <n v="1"/>
        <n v="5"/>
        <n v="2"/>
        <n v="3"/>
      </sharedItems>
    </cacheField>
    <cacheField name="attrition" numFmtId="0">
      <sharedItems count="2">
        <s v="No"/>
        <s v="Yes"/>
      </sharedItems>
    </cacheField>
    <cacheField name="Attrition Valu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29.601704629633" createdVersion="8" refreshedVersion="8" minRefreshableVersion="3" recordCount="1001" xr:uid="{3AE33C3C-5D78-4679-838E-CB0590798569}">
  <cacheSource type="worksheet">
    <worksheetSource ref="A1:AE1048576" sheet="Cleaned_HR_data"/>
  </cacheSource>
  <cacheFields count="31">
    <cacheField name="Employee ID" numFmtId="0">
      <sharedItems containsBlank="1" count="1001">
        <s v="EMP-2018-0001"/>
        <s v="EMP-2020-0002"/>
        <s v="EMP-2020-0003"/>
        <s v="EMP-2018-0004"/>
        <s v="EMP-2020-0005"/>
        <s v="EMP-2019-0006"/>
        <s v="EMP-2019-0007"/>
        <s v="EMP-2019-0008"/>
        <s v="EMP-2020-0009"/>
        <s v="EMP-2020-0010"/>
        <s v="EMP-2019-0011"/>
        <s v="EMP-2019-0012"/>
        <s v="EMP-2018-0013"/>
        <s v="EMP-2020-0014"/>
        <s v="EMP-2019-0015"/>
        <s v="EMP-2018-0016"/>
        <s v="EMP-2020-0017"/>
        <s v="EMP-2018-0018"/>
        <s v="EMP-2019-0019"/>
        <s v="EMP-2019-0020"/>
        <s v="EMP-2020-0021"/>
        <s v="EMP-2018-0022"/>
        <s v="EMP-2018-0023"/>
        <s v="EMP-2020-0024"/>
        <s v="EMP-2018-0025"/>
        <s v="EMP-2020-0026"/>
        <s v="EMP-2020-0027"/>
        <s v="EMP-2019-0028"/>
        <s v="EMP-2020-0029"/>
        <s v="EMP-2019-0030"/>
        <s v="EMP-2019-0031"/>
        <s v="EMP-2019-0032"/>
        <s v="EMP-2020-0033"/>
        <s v="EMP-2018-0034"/>
        <s v="EMP-2020-0035"/>
        <s v="EMP-2020-0036"/>
        <s v="EMP-2020-0037"/>
        <s v="EMP-2020-0038"/>
        <s v="EMP-2019-0039"/>
        <s v="EMP-2020-0040"/>
        <s v="EMP-2018-0041"/>
        <s v="EMP-2019-0042"/>
        <s v="EMP-2020-0043"/>
        <s v="EMP-2020-0044"/>
        <s v="EMP-2019-0045"/>
        <s v="EMP-2019-0046"/>
        <s v="EMP-2019-0047"/>
        <s v="EMP-2019-0048"/>
        <s v="EMP-2020-0049"/>
        <s v="EMP-2019-0050"/>
        <s v="EMP-2018-0051"/>
        <s v="EMP-2020-0052"/>
        <s v="EMP-2020-0053"/>
        <s v="EMP-2019-0054"/>
        <s v="EMP-2019-0055"/>
        <s v="EMP-2019-0056"/>
        <s v="EMP-2020-0057"/>
        <s v="EMP-2018-0058"/>
        <s v="EMP-2018-0059"/>
        <s v="EMP-2018-0060"/>
        <s v="EMP-2018-0061"/>
        <s v="EMP-2019-0062"/>
        <s v="EMP-2020-0063"/>
        <s v="EMP-2019-0064"/>
        <s v="EMP-2018-0065"/>
        <s v="EMP-2019-0066"/>
        <s v="EMP-2018-0067"/>
        <s v="EMP-2019-0068"/>
        <s v="EMP-2020-0069"/>
        <s v="EMP-2019-0070"/>
        <s v="EMP-2020-0071"/>
        <s v="EMP-2019-0072"/>
        <s v="EMP-2020-0073"/>
        <s v="EMP-2019-0074"/>
        <s v="EMP-2019-0075"/>
        <s v="EMP-2018-0076"/>
        <s v="EMP-2018-0077"/>
        <s v="EMP-2019-0078"/>
        <s v="EMP-2018-0079"/>
        <s v="EMP-2019-0080"/>
        <s v="EMP-2018-0081"/>
        <s v="EMP-2019-0082"/>
        <s v="EMP-2020-0083"/>
        <s v="EMP-2019-0084"/>
        <s v="EMP-2020-0085"/>
        <s v="EMP-2020-0086"/>
        <s v="EMP-2020-0087"/>
        <s v="EMP-2019-0088"/>
        <s v="EMP-2019-0089"/>
        <s v="EMP-2019-0090"/>
        <s v="EMP-2019-0091"/>
        <s v="EMP-2019-0092"/>
        <s v="EMP-2020-0093"/>
        <s v="EMP-2020-0094"/>
        <s v="EMP-2019-0095"/>
        <s v="EMP-2020-0096"/>
        <s v="EMP-2019-0097"/>
        <s v="EMP-2019-0098"/>
        <s v="EMP-2018-0099"/>
        <s v="EMP-2020-0100"/>
        <s v="EMP-2019-0101"/>
        <s v="EMP-2019-0102"/>
        <s v="EMP-2020-0103"/>
        <s v="EMP-2020-0104"/>
        <s v="EMP-2018-0105"/>
        <s v="EMP-2019-0106"/>
        <s v="EMP-2019-0107"/>
        <s v="EMP-2020-0108"/>
        <s v="EMP-2019-0109"/>
        <s v="EMP-2019-0110"/>
        <s v="EMP-2020-0111"/>
        <s v="EMP-2019-0112"/>
        <s v="EMP-2020-0113"/>
        <s v="EMP-2019-0114"/>
        <s v="EMP-2019-0115"/>
        <s v="EMP-2020-0116"/>
        <s v="EMP-2018-0117"/>
        <s v="EMP-2019-0118"/>
        <s v="EMP-2019-0119"/>
        <s v="EMP-2018-0120"/>
        <s v="EMP-2020-0121"/>
        <s v="EMP-2018-0122"/>
        <s v="EMP-2020-0123"/>
        <s v="EMP-2020-0124"/>
        <s v="EMP-2020-0125"/>
        <s v="EMP-2020-0126"/>
        <s v="EMP-2020-0127"/>
        <s v="EMP-2020-0128"/>
        <s v="EMP-2019-0129"/>
        <s v="EMP-2020-0130"/>
        <s v="EMP-2019-0131"/>
        <s v="EMP-2019-0132"/>
        <s v="EMP-2019-0133"/>
        <s v="EMP-2020-0134"/>
        <s v="EMP-2019-0135"/>
        <s v="EMP-2019-0136"/>
        <s v="EMP-2019-0137"/>
        <s v="EMP-2020-0138"/>
        <s v="EMP-2019-0139"/>
        <s v="EMP-2020-0140"/>
        <s v="EMP-2020-0141"/>
        <s v="EMP-2018-0142"/>
        <s v="EMP-2019-0143"/>
        <s v="EMP-2019-0144"/>
        <s v="EMP-2019-0145"/>
        <s v="EMP-2020-0146"/>
        <s v="EMP-2018-0147"/>
        <s v="EMP-2020-0148"/>
        <s v="EMP-2019-0149"/>
        <s v="EMP-2020-0150"/>
        <s v="EMP-2018-0151"/>
        <s v="EMP-2019-0152"/>
        <s v="EMP-2020-0153"/>
        <s v="EMP-2020-0154"/>
        <s v="EMP-2020-0155"/>
        <s v="EMP-2019-0156"/>
        <s v="EMP-2019-0157"/>
        <s v="EMP-2019-0158"/>
        <s v="EMP-2020-0159"/>
        <s v="EMP-2019-0160"/>
        <s v="EMP-2020-0161"/>
        <s v="EMP-2020-0162"/>
        <s v="EMP-2020-0163"/>
        <s v="EMP-2019-0164"/>
        <s v="EMP-2020-0165"/>
        <s v="EMP-2020-0166"/>
        <s v="EMP-2018-0167"/>
        <s v="EMP-2020-0168"/>
        <s v="EMP-2020-0169"/>
        <s v="EMP-2020-0170"/>
        <s v="EMP-2019-0171"/>
        <s v="EMP-2019-0172"/>
        <s v="EMP-2019-0173"/>
        <s v="EMP-2020-0174"/>
        <s v="EMP-2020-0175"/>
        <s v="EMP-2019-0176"/>
        <s v="EMP-2020-0177"/>
        <s v="EMP-2020-0178"/>
        <s v="EMP-2020-0179"/>
        <s v="EMP-2018-0180"/>
        <s v="EMP-2020-0181"/>
        <s v="EMP-2018-0182"/>
        <s v="EMP-2018-0183"/>
        <s v="EMP-2019-0184"/>
        <s v="EMP-2020-0185"/>
        <s v="EMP-2018-0186"/>
        <s v="EMP-2020-0187"/>
        <s v="EMP-2019-0188"/>
        <s v="EMP-2020-0189"/>
        <s v="EMP-2020-0190"/>
        <s v="EMP-2018-0191"/>
        <s v="EMP-2020-0192"/>
        <s v="EMP-2019-0193"/>
        <s v="EMP-2020-0194"/>
        <s v="EMP-2018-0195"/>
        <s v="EMP-2019-0196"/>
        <s v="EMP-2019-0197"/>
        <s v="EMP-2018-0198"/>
        <s v="EMP-2020-0199"/>
        <s v="EMP-2020-0200"/>
        <s v="EMP-2019-0201"/>
        <s v="EMP-2019-0202"/>
        <s v="EMP-2018-0203"/>
        <s v="EMP-2020-0204"/>
        <s v="EMP-2019-0205"/>
        <s v="EMP-2020-0206"/>
        <s v="EMP-2019-0207"/>
        <s v="EMP-2020-0208"/>
        <s v="EMP-2019-0209"/>
        <s v="EMP-2020-0210"/>
        <s v="EMP-2019-0211"/>
        <s v="EMP-2019-0212"/>
        <s v="EMP-2019-0213"/>
        <s v="EMP-2019-0214"/>
        <s v="EMP-2019-0215"/>
        <s v="EMP-2020-0216"/>
        <s v="EMP-2019-0217"/>
        <s v="EMP-2018-0218"/>
        <s v="EMP-2019-0219"/>
        <s v="EMP-2018-0220"/>
        <s v="EMP-2019-0221"/>
        <s v="EMP-2020-0222"/>
        <s v="EMP-2018-0223"/>
        <s v="EMP-2020-0224"/>
        <s v="EMP-2018-0225"/>
        <s v="EMP-2020-0226"/>
        <s v="EMP-2018-0227"/>
        <s v="EMP-2019-0228"/>
        <s v="EMP-2019-0229"/>
        <s v="EMP-2020-0230"/>
        <s v="EMP-2019-0231"/>
        <s v="EMP-2019-0232"/>
        <s v="EMP-2020-0233"/>
        <s v="EMP-2020-0234"/>
        <s v="EMP-2018-0235"/>
        <s v="EMP-2018-0236"/>
        <s v="EMP-2020-0237"/>
        <s v="EMP-2019-0238"/>
        <s v="EMP-2020-0239"/>
        <s v="EMP-2020-0240"/>
        <s v="EMP-2019-0241"/>
        <s v="EMP-2020-0242"/>
        <s v="EMP-2018-0243"/>
        <s v="EMP-2020-0244"/>
        <s v="EMP-2019-0245"/>
        <s v="EMP-2020-0246"/>
        <s v="EMP-2019-0247"/>
        <s v="EMP-2020-0248"/>
        <s v="EMP-2019-0249"/>
        <s v="EMP-2018-0250"/>
        <s v="EMP-2019-0251"/>
        <s v="EMP-2019-0252"/>
        <s v="EMP-2019-0253"/>
        <s v="EMP-2018-0254"/>
        <s v="EMP-2019-0255"/>
        <s v="EMP-2020-0256"/>
        <s v="EMP-2018-0257"/>
        <s v="EMP-2020-0258"/>
        <s v="EMP-2018-0259"/>
        <s v="EMP-2019-0260"/>
        <s v="EMP-2020-0261"/>
        <s v="EMP-2019-0262"/>
        <s v="EMP-2018-0263"/>
        <s v="EMP-2019-0264"/>
        <s v="EMP-2020-0265"/>
        <s v="EMP-2020-0266"/>
        <s v="EMP-2019-0267"/>
        <s v="EMP-2020-0268"/>
        <s v="EMP-2018-0269"/>
        <s v="EMP-2018-0270"/>
        <s v="EMP-2019-0271"/>
        <s v="EMP-2020-0272"/>
        <s v="EMP-2020-0273"/>
        <s v="EMP-2019-0274"/>
        <s v="EMP-2019-0275"/>
        <s v="EMP-2019-0276"/>
        <s v="EMP-2020-0277"/>
        <s v="EMP-2020-0278"/>
        <s v="EMP-2018-0279"/>
        <s v="EMP-2020-0280"/>
        <s v="EMP-2020-0281"/>
        <s v="EMP-2019-0282"/>
        <s v="EMP-2020-0283"/>
        <s v="EMP-2020-0284"/>
        <s v="EMP-2019-0285"/>
        <s v="EMP-2020-0286"/>
        <s v="EMP-2019-0287"/>
        <s v="EMP-2020-0288"/>
        <s v="EMP-2018-0289"/>
        <s v="EMP-2019-0290"/>
        <s v="EMP-2019-0291"/>
        <s v="EMP-2019-0292"/>
        <s v="EMP-2019-0293"/>
        <s v="EMP-2020-0294"/>
        <s v="EMP-2019-0295"/>
        <s v="EMP-2019-0296"/>
        <s v="EMP-2019-0297"/>
        <s v="EMP-2018-0298"/>
        <s v="EMP-2019-0299"/>
        <s v="EMP-2020-0300"/>
        <s v="EMP-2019-0301"/>
        <s v="EMP-2020-0302"/>
        <s v="EMP-2019-0303"/>
        <s v="EMP-2018-0304"/>
        <s v="EMP-2019-0305"/>
        <s v="EMP-2019-0306"/>
        <s v="EMP-2019-0307"/>
        <s v="EMP-2019-0308"/>
        <s v="EMP-2019-0309"/>
        <s v="EMP-2020-0310"/>
        <s v="EMP-2019-0311"/>
        <s v="EMP-2018-0312"/>
        <s v="EMP-2020-0313"/>
        <s v="EMP-2019-0314"/>
        <s v="EMP-2019-0315"/>
        <s v="EMP-2020-0316"/>
        <s v="EMP-2019-0317"/>
        <s v="EMP-2020-0318"/>
        <s v="EMP-2020-0319"/>
        <s v="EMP-2018-0320"/>
        <s v="EMP-2019-0321"/>
        <s v="EMP-2020-0322"/>
        <s v="EMP-2019-0323"/>
        <s v="EMP-2020-0324"/>
        <s v="EMP-2019-0325"/>
        <s v="EMP-2019-0326"/>
        <s v="EMP-2019-0327"/>
        <s v="EMP-2018-0328"/>
        <s v="EMP-2019-0329"/>
        <s v="EMP-2018-0330"/>
        <s v="EMP-2019-0331"/>
        <s v="EMP-2019-0332"/>
        <s v="EMP-2020-0333"/>
        <s v="EMP-2018-0334"/>
        <s v="EMP-2018-0335"/>
        <s v="EMP-2020-0336"/>
        <s v="EMP-2020-0337"/>
        <s v="EMP-2020-0338"/>
        <s v="EMP-2019-0339"/>
        <s v="EMP-2020-0340"/>
        <s v="EMP-2018-0341"/>
        <s v="EMP-2019-0342"/>
        <s v="EMP-2019-0343"/>
        <s v="EMP-2020-0344"/>
        <s v="EMP-2020-0345"/>
        <s v="EMP-2019-0346"/>
        <s v="EMP-2018-0347"/>
        <s v="EMP-2020-0348"/>
        <s v="EMP-2019-0349"/>
        <s v="EMP-2020-0350"/>
        <s v="EMP-2020-0351"/>
        <s v="EMP-2018-0352"/>
        <s v="EMP-2020-0353"/>
        <s v="EMP-2019-0354"/>
        <s v="EMP-2020-0355"/>
        <s v="EMP-2020-0356"/>
        <s v="EMP-2019-0357"/>
        <s v="EMP-2019-0358"/>
        <s v="EMP-2020-0359"/>
        <s v="EMP-2019-0360"/>
        <s v="EMP-2020-0361"/>
        <s v="EMP-2020-0362"/>
        <s v="EMP-2019-0363"/>
        <s v="EMP-2020-0364"/>
        <s v="EMP-2019-0365"/>
        <s v="EMP-2018-0366"/>
        <s v="EMP-2019-0367"/>
        <s v="EMP-2019-0368"/>
        <s v="EMP-2019-0369"/>
        <s v="EMP-2019-0370"/>
        <s v="EMP-2019-0371"/>
        <s v="EMP-2020-0372"/>
        <s v="EMP-2020-0373"/>
        <s v="EMP-2020-0374"/>
        <s v="EMP-2019-0375"/>
        <s v="EMP-2020-0376"/>
        <s v="EMP-2020-0377"/>
        <s v="EMP-2020-0378"/>
        <s v="EMP-2018-0379"/>
        <s v="EMP-2019-0380"/>
        <s v="EMP-2020-0381"/>
        <s v="EMP-2020-0382"/>
        <s v="EMP-2020-0383"/>
        <s v="EMP-2019-0384"/>
        <s v="EMP-2019-0385"/>
        <s v="EMP-2018-0386"/>
        <s v="EMP-2019-0387"/>
        <s v="EMP-2020-0388"/>
        <s v="EMP-2019-0389"/>
        <s v="EMP-2020-0390"/>
        <s v="EMP-2019-0391"/>
        <s v="EMP-2020-0392"/>
        <s v="EMP-2020-0393"/>
        <s v="EMP-2020-0394"/>
        <s v="EMP-2020-0395"/>
        <s v="EMP-2019-0396"/>
        <s v="EMP-2018-0397"/>
        <s v="EMP-2020-0398"/>
        <s v="EMP-2019-0399"/>
        <s v="EMP-2019-0400"/>
        <s v="EMP-2020-0401"/>
        <s v="EMP-2020-0402"/>
        <s v="EMP-2020-0403"/>
        <s v="EMP-2020-0404"/>
        <s v="EMP-2020-0405"/>
        <s v="EMP-2018-0406"/>
        <s v="EMP-2018-0407"/>
        <s v="EMP-2019-0408"/>
        <s v="EMP-2020-0409"/>
        <s v="EMP-2019-0410"/>
        <s v="EMP-2019-0411"/>
        <s v="EMP-2019-0412"/>
        <s v="EMP-2020-0413"/>
        <s v="EMP-2018-0414"/>
        <s v="EMP-2020-0415"/>
        <s v="EMP-2020-0416"/>
        <s v="EMP-2018-0417"/>
        <s v="EMP-2018-0418"/>
        <s v="EMP-2020-0419"/>
        <s v="EMP-2020-0420"/>
        <s v="EMP-2020-0421"/>
        <s v="EMP-2020-0422"/>
        <s v="EMP-2019-0423"/>
        <s v="EMP-2020-0424"/>
        <s v="EMP-2019-0425"/>
        <s v="EMP-2020-0426"/>
        <s v="EMP-2019-0427"/>
        <s v="EMP-2019-0428"/>
        <s v="EMP-2019-0429"/>
        <s v="EMP-2020-0430"/>
        <s v="EMP-2020-0431"/>
        <s v="EMP-2020-0432"/>
        <s v="EMP-2019-0433"/>
        <s v="EMP-2020-0434"/>
        <s v="EMP-2020-0435"/>
        <s v="EMP-2020-0436"/>
        <s v="EMP-2018-0437"/>
        <s v="EMP-2019-0438"/>
        <s v="EMP-2020-0439"/>
        <s v="EMP-2020-0440"/>
        <s v="EMP-2020-0441"/>
        <s v="EMP-2020-0442"/>
        <s v="EMP-2018-0443"/>
        <s v="EMP-2020-0444"/>
        <s v="EMP-2018-0445"/>
        <s v="EMP-2020-0446"/>
        <s v="EMP-2019-0447"/>
        <s v="EMP-2019-0448"/>
        <s v="EMP-2019-0449"/>
        <s v="EMP-2020-0450"/>
        <s v="EMP-2020-0451"/>
        <s v="EMP-2019-0452"/>
        <s v="EMP-2018-0453"/>
        <s v="EMP-2020-0454"/>
        <s v="EMP-2019-0455"/>
        <s v="EMP-2019-0456"/>
        <s v="EMP-2018-0457"/>
        <s v="EMP-2019-0458"/>
        <s v="EMP-2020-0459"/>
        <s v="EMP-2020-0460"/>
        <s v="EMP-2020-0461"/>
        <s v="EMP-2019-0462"/>
        <s v="EMP-2020-0463"/>
        <s v="EMP-2018-0464"/>
        <s v="EMP-2019-0465"/>
        <s v="EMP-2019-0466"/>
        <s v="EMP-2019-0467"/>
        <s v="EMP-2018-0468"/>
        <s v="EMP-2019-0469"/>
        <s v="EMP-2019-0470"/>
        <s v="EMP-2020-0471"/>
        <s v="EMP-2020-0472"/>
        <s v="EMP-2020-0473"/>
        <s v="EMP-2020-0474"/>
        <s v="EMP-2020-0475"/>
        <s v="EMP-2020-0476"/>
        <s v="EMP-2020-0477"/>
        <s v="EMP-2020-0478"/>
        <s v="EMP-2019-0479"/>
        <s v="EMP-2019-0480"/>
        <s v="EMP-2020-0481"/>
        <s v="EMP-2018-0482"/>
        <s v="EMP-2020-0483"/>
        <s v="EMP-2019-0484"/>
        <s v="EMP-2020-0485"/>
        <s v="EMP-2019-0486"/>
        <s v="EMP-2020-0487"/>
        <s v="EMP-2018-0488"/>
        <s v="EMP-2019-0489"/>
        <s v="EMP-2019-0490"/>
        <s v="EMP-2019-0491"/>
        <s v="EMP-2020-0492"/>
        <s v="EMP-2019-0493"/>
        <s v="EMP-2020-0494"/>
        <s v="EMP-2019-0495"/>
        <s v="EMP-2019-0496"/>
        <s v="EMP-2019-0497"/>
        <s v="EMP-2018-0498"/>
        <s v="EMP-2019-0499"/>
        <s v="EMP-2019-0500"/>
        <s v="EMP-2020-0501"/>
        <s v="EMP-2018-0502"/>
        <s v="EMP-2020-0503"/>
        <s v="EMP-2018-0504"/>
        <s v="EMP-2020-0505"/>
        <s v="EMP-2019-0506"/>
        <s v="EMP-2020-0507"/>
        <s v="EMP-2020-0508"/>
        <s v="EMP-2019-0509"/>
        <s v="EMP-2018-0510"/>
        <s v="EMP-2019-0511"/>
        <s v="EMP-2018-0512"/>
        <s v="EMP-2020-0513"/>
        <s v="EMP-2019-0514"/>
        <s v="EMP-2018-0515"/>
        <s v="EMP-2019-0516"/>
        <s v="EMP-2020-0517"/>
        <s v="EMP-2020-0518"/>
        <s v="EMP-2020-0519"/>
        <s v="EMP-2019-0520"/>
        <s v="EMP-2020-0521"/>
        <s v="EMP-2019-0522"/>
        <s v="EMP-2018-0523"/>
        <s v="EMP-2020-0524"/>
        <s v="EMP-2018-0525"/>
        <s v="EMP-2020-0526"/>
        <s v="EMP-2019-0527"/>
        <s v="EMP-2020-0528"/>
        <s v="EMP-2019-0529"/>
        <s v="EMP-2020-0530"/>
        <s v="EMP-2019-0531"/>
        <s v="EMP-2020-0532"/>
        <s v="EMP-2020-0533"/>
        <s v="EMP-2019-0534"/>
        <s v="EMP-2018-0535"/>
        <s v="EMP-2019-0536"/>
        <s v="EMP-2020-0537"/>
        <s v="EMP-2020-0538"/>
        <s v="EMP-2018-0539"/>
        <s v="EMP-2019-0540"/>
        <s v="EMP-2019-0541"/>
        <s v="EMP-2020-0542"/>
        <s v="EMP-2019-0543"/>
        <s v="EMP-2019-0544"/>
        <s v="EMP-2020-0545"/>
        <s v="EMP-2020-0546"/>
        <s v="EMP-2020-0547"/>
        <s v="EMP-2019-0548"/>
        <s v="EMP-2020-0549"/>
        <s v="EMP-2019-0550"/>
        <s v="EMP-2019-0551"/>
        <s v="EMP-2019-0552"/>
        <s v="EMP-2020-0553"/>
        <s v="EMP-2020-0554"/>
        <s v="EMP-2020-0555"/>
        <s v="EMP-2020-0556"/>
        <s v="EMP-2019-0557"/>
        <s v="EMP-2020-0558"/>
        <s v="EMP-2020-0559"/>
        <s v="EMP-2019-0560"/>
        <s v="EMP-2020-0561"/>
        <s v="EMP-2020-0562"/>
        <s v="EMP-2019-0563"/>
        <s v="EMP-2018-0564"/>
        <s v="EMP-2020-0565"/>
        <s v="EMP-2020-0566"/>
        <s v="EMP-2020-0567"/>
        <s v="EMP-2018-0568"/>
        <s v="EMP-2019-0569"/>
        <s v="EMP-2018-0570"/>
        <s v="EMP-2020-0571"/>
        <s v="EMP-2020-0572"/>
        <s v="EMP-2020-0573"/>
        <s v="EMP-2019-0574"/>
        <s v="EMP-2020-0575"/>
        <s v="EMP-2019-0576"/>
        <s v="EMP-2018-0577"/>
        <s v="EMP-2020-0578"/>
        <s v="EMP-2019-0579"/>
        <s v="EMP-2018-0580"/>
        <s v="EMP-2020-0581"/>
        <s v="EMP-2019-0582"/>
        <s v="EMP-2020-0583"/>
        <s v="EMP-2020-0584"/>
        <s v="EMP-2020-0585"/>
        <s v="EMP-2018-0586"/>
        <s v="EMP-2020-0587"/>
        <s v="EMP-2019-0588"/>
        <s v="EMP-2020-0589"/>
        <s v="EMP-2018-0590"/>
        <s v="EMP-2020-0591"/>
        <s v="EMP-2020-0592"/>
        <s v="EMP-2019-0593"/>
        <s v="EMP-2020-0594"/>
        <s v="EMP-2020-0595"/>
        <s v="EMP-2019-0596"/>
        <s v="EMP-2019-0597"/>
        <s v="EMP-2019-0598"/>
        <s v="EMP-2020-0599"/>
        <s v="EMP-2019-0600"/>
        <s v="EMP-2020-0601"/>
        <s v="EMP-2020-0602"/>
        <s v="EMP-2019-0603"/>
        <s v="EMP-2020-0604"/>
        <s v="EMP-2020-0605"/>
        <s v="EMP-2020-0606"/>
        <s v="EMP-2018-0607"/>
        <s v="EMP-2020-0608"/>
        <s v="EMP-2018-0609"/>
        <s v="EMP-2020-0610"/>
        <s v="EMP-2020-0611"/>
        <s v="EMP-2019-0612"/>
        <s v="EMP-2020-0613"/>
        <s v="EMP-2020-0614"/>
        <s v="EMP-2019-0615"/>
        <s v="EMP-2019-0616"/>
        <s v="EMP-2019-0617"/>
        <s v="EMP-2020-0618"/>
        <s v="EMP-2019-0619"/>
        <s v="EMP-2020-0620"/>
        <s v="EMP-2019-0621"/>
        <s v="EMP-2020-0622"/>
        <s v="EMP-2020-0623"/>
        <s v="EMP-2020-0624"/>
        <s v="EMP-2018-0625"/>
        <s v="EMP-2019-0626"/>
        <s v="EMP-2019-0627"/>
        <s v="EMP-2020-0628"/>
        <s v="EMP-2020-0629"/>
        <s v="EMP-2020-0630"/>
        <s v="EMP-2020-0631"/>
        <s v="EMP-2019-0632"/>
        <s v="EMP-2018-0633"/>
        <s v="EMP-2020-0634"/>
        <s v="EMP-2019-0635"/>
        <s v="EMP-2018-0636"/>
        <s v="EMP-2019-0637"/>
        <s v="EMP-2018-0638"/>
        <s v="EMP-2020-0639"/>
        <s v="EMP-2019-0640"/>
        <s v="EMP-2019-0641"/>
        <s v="EMP-2018-0642"/>
        <s v="EMP-2019-0643"/>
        <s v="EMP-2019-0644"/>
        <s v="EMP-2020-0645"/>
        <s v="EMP-2018-0646"/>
        <s v="EMP-2020-0647"/>
        <s v="EMP-2020-0648"/>
        <s v="EMP-2020-0649"/>
        <s v="EMP-2020-0650"/>
        <s v="EMP-2018-0651"/>
        <s v="EMP-2020-0652"/>
        <s v="EMP-2020-0653"/>
        <s v="EMP-2019-0654"/>
        <s v="EMP-2019-0655"/>
        <s v="EMP-2020-0656"/>
        <s v="EMP-2020-0657"/>
        <s v="EMP-2020-0658"/>
        <s v="EMP-2019-0659"/>
        <s v="EMP-2020-0660"/>
        <s v="EMP-2018-0661"/>
        <s v="EMP-2020-0662"/>
        <s v="EMP-2018-0663"/>
        <s v="EMP-2020-0664"/>
        <s v="EMP-2019-0665"/>
        <s v="EMP-2019-0666"/>
        <s v="EMP-2020-0667"/>
        <s v="EMP-2020-0668"/>
        <s v="EMP-2019-0669"/>
        <s v="EMP-2018-0670"/>
        <s v="EMP-2018-0671"/>
        <s v="EMP-2019-0672"/>
        <s v="EMP-2018-0673"/>
        <s v="EMP-2019-0674"/>
        <s v="EMP-2020-0675"/>
        <s v="EMP-2020-0676"/>
        <s v="EMP-2020-0677"/>
        <s v="EMP-2020-0678"/>
        <s v="EMP-2020-0679"/>
        <s v="EMP-2019-0680"/>
        <s v="EMP-2018-0681"/>
        <s v="EMP-2018-0682"/>
        <s v="EMP-2020-0683"/>
        <s v="EMP-2019-0684"/>
        <s v="EMP-2020-0685"/>
        <s v="EMP-2020-0686"/>
        <s v="EMP-2020-0687"/>
        <s v="EMP-2020-0688"/>
        <s v="EMP-2020-0689"/>
        <s v="EMP-2019-0690"/>
        <s v="EMP-2018-0691"/>
        <s v="EMP-2019-0692"/>
        <s v="EMP-2018-0693"/>
        <s v="EMP-2018-0694"/>
        <s v="EMP-2019-0695"/>
        <s v="EMP-2020-0696"/>
        <s v="EMP-2019-0697"/>
        <s v="EMP-2020-0698"/>
        <s v="EMP-2018-0699"/>
        <s v="EMP-2020-0700"/>
        <s v="EMP-2018-0701"/>
        <s v="EMP-2020-0702"/>
        <s v="EMP-2018-0703"/>
        <s v="EMP-2020-0704"/>
        <s v="EMP-2019-0705"/>
        <s v="EMP-2020-0706"/>
        <s v="EMP-2018-0707"/>
        <s v="EMP-2020-0708"/>
        <s v="EMP-2019-0709"/>
        <s v="EMP-2018-0710"/>
        <s v="EMP-2018-0711"/>
        <s v="EMP-2020-0712"/>
        <s v="EMP-2020-0713"/>
        <s v="EMP-2020-0714"/>
        <s v="EMP-2019-0715"/>
        <s v="EMP-2020-0716"/>
        <s v="EMP-2018-0717"/>
        <s v="EMP-2020-0718"/>
        <s v="EMP-2018-0719"/>
        <s v="EMP-2018-0720"/>
        <s v="EMP-2019-0721"/>
        <s v="EMP-2019-0722"/>
        <s v="EMP-2018-0723"/>
        <s v="EMP-2020-0724"/>
        <s v="EMP-2018-0725"/>
        <s v="EMP-2019-0726"/>
        <s v="EMP-2020-0727"/>
        <s v="EMP-2018-0728"/>
        <s v="EMP-2019-0729"/>
        <s v="EMP-2019-0730"/>
        <s v="EMP-2018-0731"/>
        <s v="EMP-2020-0732"/>
        <s v="EMP-2018-0733"/>
        <s v="EMP-2018-0734"/>
        <s v="EMP-2019-0735"/>
        <s v="EMP-2019-0736"/>
        <s v="EMP-2019-0737"/>
        <s v="EMP-2019-0738"/>
        <s v="EMP-2018-0739"/>
        <s v="EMP-2019-0740"/>
        <s v="EMP-2019-0741"/>
        <s v="EMP-2019-0742"/>
        <s v="EMP-2019-0743"/>
        <s v="EMP-2019-0744"/>
        <s v="EMP-2019-0745"/>
        <s v="EMP-2019-0746"/>
        <s v="EMP-2019-0747"/>
        <s v="EMP-2020-0748"/>
        <s v="EMP-2019-0749"/>
        <s v="EMP-2019-0750"/>
        <s v="EMP-2019-0751"/>
        <s v="EMP-2020-0752"/>
        <s v="EMP-2019-0753"/>
        <s v="EMP-2019-0754"/>
        <s v="EMP-2020-0755"/>
        <s v="EMP-2020-0756"/>
        <s v="EMP-2019-0757"/>
        <s v="EMP-2019-0758"/>
        <s v="EMP-2020-0759"/>
        <s v="EMP-2019-0760"/>
        <s v="EMP-2020-0761"/>
        <s v="EMP-2019-0762"/>
        <s v="EMP-2019-0763"/>
        <s v="EMP-2020-0764"/>
        <s v="EMP-2018-0765"/>
        <s v="EMP-2018-0766"/>
        <s v="EMP-2020-0767"/>
        <s v="EMP-2020-0768"/>
        <s v="EMP-2020-0769"/>
        <s v="EMP-2020-0770"/>
        <s v="EMP-2020-0771"/>
        <s v="EMP-2020-0772"/>
        <s v="EMP-2019-0773"/>
        <s v="EMP-2019-0774"/>
        <s v="EMP-2020-0775"/>
        <s v="EMP-2018-0776"/>
        <s v="EMP-2018-0777"/>
        <s v="EMP-2020-0778"/>
        <s v="EMP-2019-0779"/>
        <s v="EMP-2020-0780"/>
        <s v="EMP-2020-0781"/>
        <s v="EMP-2019-0782"/>
        <s v="EMP-2020-0783"/>
        <s v="EMP-2018-0784"/>
        <s v="EMP-2020-0785"/>
        <s v="EMP-2019-0786"/>
        <s v="EMP-2019-0787"/>
        <s v="EMP-2020-0788"/>
        <s v="EMP-2018-0789"/>
        <s v="EMP-2020-0790"/>
        <s v="EMP-2020-0791"/>
        <s v="EMP-2020-0792"/>
        <s v="EMP-2019-0793"/>
        <s v="EMP-2019-0794"/>
        <s v="EMP-2019-0795"/>
        <s v="EMP-2020-0796"/>
        <s v="EMP-2018-0797"/>
        <s v="EMP-2020-0798"/>
        <s v="EMP-2020-0799"/>
        <s v="EMP-2020-0800"/>
        <s v="EMP-2019-0801"/>
        <s v="EMP-2018-0802"/>
        <s v="EMP-2019-0803"/>
        <s v="EMP-2018-0804"/>
        <s v="EMP-2020-0805"/>
        <s v="EMP-2019-0806"/>
        <s v="EMP-2018-0807"/>
        <s v="EMP-2018-0808"/>
        <s v="EMP-2019-0809"/>
        <s v="EMP-2020-0810"/>
        <s v="EMP-2018-0811"/>
        <s v="EMP-2019-0812"/>
        <s v="EMP-2020-0813"/>
        <s v="EMP-2019-0814"/>
        <s v="EMP-2019-0815"/>
        <s v="EMP-2018-0816"/>
        <s v="EMP-2020-0817"/>
        <s v="EMP-2018-0818"/>
        <s v="EMP-2020-0819"/>
        <s v="EMP-2020-0820"/>
        <s v="EMP-2020-0821"/>
        <s v="EMP-2019-0822"/>
        <s v="EMP-2018-0823"/>
        <s v="EMP-2018-0824"/>
        <s v="EMP-2020-0825"/>
        <s v="EMP-2020-0826"/>
        <s v="EMP-2020-0827"/>
        <s v="EMP-2019-0828"/>
        <s v="EMP-2020-0829"/>
        <s v="EMP-2019-0830"/>
        <s v="EMP-2020-0831"/>
        <s v="EMP-2019-0832"/>
        <s v="EMP-2019-0833"/>
        <s v="EMP-2020-0834"/>
        <s v="EMP-2020-0835"/>
        <s v="EMP-2019-0836"/>
        <s v="EMP-2020-0837"/>
        <s v="EMP-2018-0838"/>
        <s v="EMP-2020-0839"/>
        <s v="EMP-2018-0840"/>
        <s v="EMP-2018-0841"/>
        <s v="EMP-2020-0842"/>
        <s v="EMP-2019-0843"/>
        <s v="EMP-2020-0844"/>
        <s v="EMP-2020-0845"/>
        <s v="EMP-2018-0846"/>
        <s v="EMP-2020-0847"/>
        <s v="EMP-2020-0848"/>
        <s v="EMP-2020-0849"/>
        <s v="EMP-2020-0850"/>
        <s v="EMP-2019-0851"/>
        <s v="EMP-2020-0852"/>
        <s v="EMP-2020-0853"/>
        <s v="EMP-2018-0854"/>
        <s v="EMP-2019-0855"/>
        <s v="EMP-2020-0856"/>
        <s v="EMP-2019-0857"/>
        <s v="EMP-2020-0858"/>
        <s v="EMP-2020-0859"/>
        <s v="EMP-2020-0860"/>
        <s v="EMP-2019-0861"/>
        <s v="EMP-2020-0862"/>
        <s v="EMP-2018-0863"/>
        <s v="EMP-2019-0864"/>
        <s v="EMP-2019-0865"/>
        <s v="EMP-2020-0866"/>
        <s v="EMP-2019-0867"/>
        <s v="EMP-2020-0868"/>
        <s v="EMP-2019-0869"/>
        <s v="EMP-2018-0870"/>
        <s v="EMP-2019-0871"/>
        <s v="EMP-2020-0872"/>
        <s v="EMP-2018-0873"/>
        <s v="EMP-2020-0874"/>
        <s v="EMP-2019-0875"/>
        <s v="EMP-2020-0876"/>
        <s v="EMP-2020-0877"/>
        <s v="EMP-2020-0878"/>
        <s v="EMP-2018-0879"/>
        <s v="EMP-2020-0880"/>
        <s v="EMP-2019-0881"/>
        <s v="EMP-2020-0882"/>
        <s v="EMP-2018-0883"/>
        <s v="EMP-2020-0884"/>
        <s v="EMP-2019-0885"/>
        <s v="EMP-2020-0886"/>
        <s v="EMP-2019-0887"/>
        <s v="EMP-2019-0888"/>
        <s v="EMP-2020-0889"/>
        <s v="EMP-2019-0890"/>
        <s v="EMP-2020-0891"/>
        <s v="EMP-2018-0892"/>
        <s v="EMP-2020-0893"/>
        <s v="EMP-2019-0894"/>
        <s v="EMP-2020-0895"/>
        <s v="EMP-2020-0896"/>
        <s v="EMP-2020-0897"/>
        <s v="EMP-2019-0898"/>
        <s v="EMP-2020-0899"/>
        <s v="EMP-2019-0900"/>
        <s v="EMP-2019-0901"/>
        <s v="EMP-2019-0902"/>
        <s v="EMP-2019-0903"/>
        <s v="EMP-2020-0904"/>
        <s v="EMP-2019-0905"/>
        <s v="EMP-2020-0906"/>
        <s v="EMP-2020-0907"/>
        <s v="EMP-2018-0908"/>
        <s v="EMP-2020-0909"/>
        <s v="EMP-2019-0910"/>
        <s v="EMP-2018-0911"/>
        <s v="EMP-2018-0912"/>
        <s v="EMP-2020-0913"/>
        <s v="EMP-2019-0914"/>
        <s v="EMP-2019-0915"/>
        <s v="EMP-2018-0916"/>
        <s v="EMP-2020-0917"/>
        <s v="EMP-2019-0918"/>
        <s v="EMP-2020-0919"/>
        <s v="EMP-2020-0920"/>
        <s v="EMP-2018-0921"/>
        <s v="EMP-2018-0922"/>
        <s v="EMP-2020-0923"/>
        <s v="EMP-2019-0924"/>
        <s v="EMP-2019-0925"/>
        <s v="EMP-2019-0926"/>
        <s v="EMP-2019-0927"/>
        <s v="EMP-2020-0928"/>
        <s v="EMP-2018-0929"/>
        <s v="EMP-2019-0930"/>
        <s v="EMP-2020-0931"/>
        <s v="EMP-2019-0932"/>
        <s v="EMP-2020-0933"/>
        <s v="EMP-2020-0934"/>
        <s v="EMP-2018-0935"/>
        <s v="EMP-2019-0936"/>
        <s v="EMP-2018-0937"/>
        <s v="EMP-2019-0938"/>
        <s v="EMP-2020-0939"/>
        <s v="EMP-2018-0940"/>
        <s v="EMP-2019-0941"/>
        <s v="EMP-2018-0942"/>
        <s v="EMP-2020-0943"/>
        <s v="EMP-2019-0944"/>
        <s v="EMP-2019-0945"/>
        <s v="EMP-2019-0946"/>
        <s v="EMP-2019-0947"/>
        <s v="EMP-2019-0948"/>
        <s v="EMP-2019-0949"/>
        <s v="EMP-2020-0950"/>
        <s v="EMP-2019-0951"/>
        <s v="EMP-2019-0952"/>
        <s v="EMP-2019-0953"/>
        <s v="EMP-2019-0954"/>
        <s v="EMP-2018-0955"/>
        <s v="EMP-2019-0956"/>
        <s v="EMP-2020-0957"/>
        <s v="EMP-2020-0958"/>
        <s v="EMP-2018-0959"/>
        <s v="EMP-2018-0960"/>
        <s v="EMP-2020-0961"/>
        <s v="EMP-2019-0962"/>
        <s v="EMP-2020-0963"/>
        <s v="EMP-2018-0964"/>
        <s v="EMP-2020-0965"/>
        <s v="EMP-2018-0966"/>
        <s v="EMP-2019-0967"/>
        <s v="EMP-2018-0968"/>
        <s v="EMP-2018-0969"/>
        <s v="EMP-2019-0970"/>
        <s v="EMP-2019-0971"/>
        <s v="EMP-2020-0972"/>
        <s v="EMP-2020-0973"/>
        <s v="EMP-2019-0974"/>
        <s v="EMP-2020-0975"/>
        <s v="EMP-2019-0976"/>
        <s v="EMP-2020-0977"/>
        <s v="EMP-2019-0978"/>
        <s v="EMP-2020-0979"/>
        <s v="EMP-2018-0980"/>
        <s v="EMP-2019-0981"/>
        <s v="EMP-2020-0982"/>
        <s v="EMP-2020-0983"/>
        <s v="EMP-2019-0984"/>
        <s v="EMP-2019-0985"/>
        <s v="EMP-2020-0986"/>
        <s v="EMP-2019-0987"/>
        <s v="EMP-2020-0988"/>
        <s v="EMP-2019-0989"/>
        <s v="EMP-2019-0990"/>
        <s v="EMP-2019-0991"/>
        <s v="EMP-2019-0992"/>
        <s v="EMP-2020-0993"/>
        <s v="EMP-2018-0994"/>
        <s v="EMP-2018-0995"/>
        <s v="EMP-2020-0996"/>
        <s v="EMP-2018-0997"/>
        <s v="EMP-2020-0998"/>
        <s v="EMP-2018-0999"/>
        <s v="EMP-2020-1000"/>
        <m/>
      </sharedItems>
    </cacheField>
    <cacheField name="Name" numFmtId="0">
      <sharedItems containsBlank="1"/>
    </cacheField>
    <cacheField name="Last Name" numFmtId="0">
      <sharedItems containsBlank="1"/>
    </cacheField>
    <cacheField name="Age" numFmtId="0">
      <sharedItems containsBlank="1" containsMixedTypes="1" containsNumber="1" containsInteger="1" minValue="25" maxValue="50"/>
    </cacheField>
    <cacheField name="Cleaned_age" numFmtId="0">
      <sharedItems containsString="0" containsBlank="1" containsNumber="1" containsInteger="1" minValue="24" maxValue="61" count="36">
        <n v="25"/>
        <n v="41"/>
        <n v="35"/>
        <n v="48"/>
        <n v="51"/>
        <n v="53"/>
        <n v="33"/>
        <n v="40"/>
        <n v="30"/>
        <n v="37"/>
        <n v="50"/>
        <n v="39"/>
        <n v="28"/>
        <n v="45"/>
        <n v="44"/>
        <n v="38"/>
        <n v="24"/>
        <n v="46"/>
        <n v="47"/>
        <n v="29"/>
        <n v="31"/>
        <n v="42"/>
        <n v="54"/>
        <n v="56"/>
        <n v="43"/>
        <n v="26"/>
        <n v="36"/>
        <n v="59"/>
        <n v="49"/>
        <n v="34"/>
        <n v="27"/>
        <n v="58"/>
        <n v="32"/>
        <n v="61"/>
        <n v="55"/>
        <m/>
      </sharedItems>
      <fieldGroup base="4">
        <rangePr startNum="24" endNum="61" groupInterval="10"/>
        <groupItems count="6">
          <s v="(blank)"/>
          <s v="24-33"/>
          <s v="34-43"/>
          <s v="44-53"/>
          <s v="54-63"/>
          <s v="&gt;64"/>
        </groupItems>
      </fieldGroup>
    </cacheField>
    <cacheField name="Birth Year" numFmtId="0">
      <sharedItems containsString="0" containsBlank="1" containsNumber="1" containsInteger="1" minValue="1963" maxValue="2000"/>
    </cacheField>
    <cacheField name="Salary" numFmtId="0">
      <sharedItems containsBlank="1" containsMixedTypes="1" containsNumber="1" containsInteger="1" minValue="50000" maxValue="70000"/>
    </cacheField>
    <cacheField name="Cleaned_salary" numFmtId="165">
      <sharedItems containsString="0" containsBlank="1" containsNumber="1" minValue="50000" maxValue="70000" count="28">
        <n v="50000"/>
        <n v="65000"/>
        <n v="60000"/>
        <n v="59500"/>
        <n v="58500"/>
        <n v="70000"/>
        <n v="55000"/>
        <n v="60500"/>
        <n v="58600"/>
        <n v="63000"/>
        <n v="60100"/>
        <n v="61500"/>
        <n v="58300"/>
        <n v="59300"/>
        <n v="60300"/>
        <n v="60900"/>
        <n v="61600"/>
        <n v="58800"/>
        <n v="61300"/>
        <n v="60800"/>
        <n v="59000"/>
        <n v="59800"/>
        <n v="60154.285714285717"/>
        <n v="60481.25"/>
        <n v="61851.351351351354"/>
        <n v="63892.857142857145"/>
        <n v="60400"/>
        <m/>
      </sharedItems>
    </cacheField>
    <cacheField name="Gender" numFmtId="0">
      <sharedItems containsBlank="1"/>
    </cacheField>
    <cacheField name="Department" numFmtId="0">
      <sharedItems containsBlank="1"/>
    </cacheField>
    <cacheField name="Cleaned_dept" numFmtId="0">
      <sharedItems containsBlank="1"/>
    </cacheField>
    <cacheField name="Position" numFmtId="0">
      <sharedItems containsBlank="1"/>
    </cacheField>
    <cacheField name="Joining Date" numFmtId="14">
      <sharedItems containsDate="1" containsBlank="1" containsMixedTypes="1" minDate="2018-04-05T00:00:00" maxDate="2020-02-21T00:00:00"/>
    </cacheField>
    <cacheField name="Cleaned_joining date" numFmtId="0">
      <sharedItems containsNonDate="0" containsDate="1" containsString="0" containsBlank="1" minDate="2018-04-05T00:00:00" maxDate="2020-02-21T00:00:00"/>
    </cacheField>
    <cacheField name="Performance Score" numFmtId="0">
      <sharedItems containsBlank="1"/>
    </cacheField>
    <cacheField name="Performance Score Numeric" numFmtId="0">
      <sharedItems containsString="0" containsBlank="1" containsNumber="1" containsInteger="1" minValue="0" maxValue="100" count="99">
        <n v="64"/>
        <n v="5"/>
        <n v="70"/>
        <n v="93"/>
        <n v="14"/>
        <n v="48"/>
        <n v="86"/>
        <n v="71"/>
        <n v="75"/>
        <n v="90"/>
        <n v="81"/>
        <n v="100"/>
        <n v="29"/>
        <n v="40"/>
        <n v="88"/>
        <n v="63"/>
        <n v="80"/>
        <n v="61"/>
        <n v="67"/>
        <n v="8"/>
        <n v="77"/>
        <n v="87"/>
        <n v="68"/>
        <n v="74"/>
        <n v="62"/>
        <n v="98"/>
        <n v="83"/>
        <n v="60"/>
        <n v="15"/>
        <n v="73"/>
        <n v="66"/>
        <n v="72"/>
        <n v="94"/>
        <n v="3"/>
        <n v="69"/>
        <n v="82"/>
        <n v="56"/>
        <n v="42"/>
        <n v="32"/>
        <n v="0"/>
        <n v="35"/>
        <n v="92"/>
        <n v="13"/>
        <n v="65"/>
        <n v="79"/>
        <n v="85"/>
        <n v="54"/>
        <n v="25"/>
        <n v="7"/>
        <n v="89"/>
        <n v="91"/>
        <n v="96"/>
        <n v="97"/>
        <n v="52"/>
        <n v="84"/>
        <n v="9"/>
        <n v="28"/>
        <n v="4"/>
        <n v="76"/>
        <n v="58"/>
        <n v="1"/>
        <n v="41"/>
        <n v="6"/>
        <n v="39"/>
        <n v="12"/>
        <n v="50"/>
        <n v="30"/>
        <n v="47"/>
        <n v="17"/>
        <n v="78"/>
        <n v="99"/>
        <n v="43"/>
        <n v="22"/>
        <n v="21"/>
        <n v="55"/>
        <n v="2"/>
        <n v="95"/>
        <n v="18"/>
        <n v="11"/>
        <n v="38"/>
        <n v="33"/>
        <n v="19"/>
        <n v="57"/>
        <n v="44"/>
        <n v="23"/>
        <n v="45"/>
        <n v="53"/>
        <n v="46"/>
        <n v="20"/>
        <n v="34"/>
        <n v="16"/>
        <n v="59"/>
        <n v="31"/>
        <n v="51"/>
        <n v="49"/>
        <n v="27"/>
        <n v="36"/>
        <n v="37"/>
        <m/>
      </sharedItems>
      <fieldGroup base="15">
        <rangePr startNum="0" endNum="100" groupInterval="10"/>
        <groupItems count="12">
          <s v="(blank)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Email" numFmtId="0">
      <sharedItems containsBlank="1"/>
    </cacheField>
    <cacheField name="Phone Number" numFmtId="0">
      <sharedItems containsBlank="1"/>
    </cacheField>
    <cacheField name="Employment Status" numFmtId="0">
      <sharedItems containsBlank="1"/>
    </cacheField>
    <cacheField name="Cleaned_emp_status" numFmtId="0">
      <sharedItems containsBlank="1"/>
    </cacheField>
    <cacheField name="Manager ID" numFmtId="0">
      <sharedItems containsBlank="1"/>
    </cacheField>
    <cacheField name="Years of Service" numFmtId="0">
      <sharedItems containsString="0" containsBlank="1" containsNumber="1" containsInteger="1" minValue="1" maxValue="8"/>
    </cacheField>
    <cacheField name="Sick Days Taken" numFmtId="0">
      <sharedItems containsBlank="1" containsMixedTypes="1" containsNumber="1" containsInteger="1" minValue="0" maxValue="15"/>
    </cacheField>
    <cacheField name="Vacation Days Remaining" numFmtId="0">
      <sharedItems containsString="0" containsBlank="1" containsNumber="1" containsInteger="1" minValue="0" maxValue="20"/>
    </cacheField>
    <cacheField name="Last Promotion Date" numFmtId="0">
      <sharedItems containsDate="1" containsBlank="1" containsMixedTypes="1" minDate="2021-10-01T00:00:00" maxDate="2024-08-13T00:00:00"/>
    </cacheField>
    <cacheField name="Training Hours" numFmtId="0">
      <sharedItems containsString="0" containsBlank="1" containsNumber="1" containsInteger="1" minValue="5" maxValue="80"/>
    </cacheField>
    <cacheField name="Benefits Enrolled" numFmtId="0">
      <sharedItems containsBlank="1"/>
    </cacheField>
    <cacheField name="Cleaned_Benefits_Enrolled" numFmtId="0">
      <sharedItems containsBlank="1"/>
    </cacheField>
    <cacheField name="job_satisfaction" numFmtId="0">
      <sharedItems containsString="0" containsBlank="1" containsNumber="1" containsInteger="1" minValue="1" maxValue="5"/>
    </cacheField>
    <cacheField name="attrition" numFmtId="0">
      <sharedItems containsBlank="1" count="3">
        <s v="No"/>
        <s v="Yes"/>
        <m/>
      </sharedItems>
    </cacheField>
    <cacheField name="Attrition Value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EMP-2018-0001"/>
    <s v="Grace"/>
    <s v="Hansen"/>
    <n v="25"/>
    <n v="25"/>
    <n v="1999"/>
    <n v="50000"/>
    <x v="0"/>
    <x v="0"/>
    <x v="0"/>
    <x v="0"/>
    <s v="Manager"/>
    <d v="2018-04-05T00:00:00"/>
    <d v="2018-04-05T00:00:00"/>
    <x v="0"/>
    <n v="64"/>
    <s v="grace.hansen@saltcorp.com"/>
    <m/>
    <s v="contract"/>
    <x v="0"/>
    <m/>
    <n v="4"/>
    <m/>
    <n v="0"/>
    <m/>
    <m/>
    <s v="YES"/>
    <x v="0"/>
    <x v="0"/>
  </r>
  <r>
    <s v="EMP-2020-0002"/>
    <s v="David"/>
    <s v="Cohen"/>
    <m/>
    <n v="41"/>
    <n v="1983"/>
    <n v="65000"/>
    <x v="1"/>
    <x v="1"/>
    <x v="1"/>
    <x v="1"/>
    <s v="Director"/>
    <d v="2020-02-20T00:00:00"/>
    <d v="2020-02-20T00:00:00"/>
    <x v="1"/>
    <n v="5"/>
    <s v="david.cohen@saltcorp.com"/>
    <s v="123-456-7890"/>
    <s v="Full-Time"/>
    <x v="1"/>
    <m/>
    <n v="8"/>
    <n v="3"/>
    <n v="15"/>
    <m/>
    <n v="14"/>
    <s v="N"/>
    <x v="1"/>
    <x v="1"/>
  </r>
  <r>
    <s v="EMP-2020-0003"/>
    <s v="Hannah"/>
    <s v="Matthews"/>
    <n v="35"/>
    <n v="35"/>
    <n v="1989"/>
    <s v="SIXTY THOUSAND"/>
    <x v="2"/>
    <x v="1"/>
    <x v="2"/>
    <x v="2"/>
    <s v="Director"/>
    <d v="2020-01-15T00:00:00"/>
    <d v="2020-01-15T00:00:00"/>
    <x v="2"/>
    <n v="70"/>
    <s v="hannah.matthews@saltcorp.com"/>
    <s v="098-765-4321"/>
    <s v="Full-Time"/>
    <x v="1"/>
    <m/>
    <n v="6"/>
    <n v="15"/>
    <m/>
    <d v="2024-08-12T00:00:00"/>
    <m/>
    <s v="YES"/>
    <x v="2"/>
    <x v="0"/>
  </r>
  <r>
    <s v="EMP-2018-0004"/>
    <s v="Eve"/>
    <s v="Parker"/>
    <m/>
    <n v="48"/>
    <n v="1976"/>
    <n v="50000"/>
    <x v="0"/>
    <x v="1"/>
    <x v="3"/>
    <x v="3"/>
    <s v="Manager"/>
    <d v="2018-04-05T00:00:00"/>
    <d v="2018-04-05T00:00:00"/>
    <x v="3"/>
    <n v="93"/>
    <s v="eve.parker@saltcorp.com"/>
    <s v=" "/>
    <s v="contract"/>
    <x v="0"/>
    <m/>
    <n v="5"/>
    <n v="12"/>
    <n v="11"/>
    <d v="2024-08-12T00:00:00"/>
    <m/>
    <s v="YES"/>
    <x v="3"/>
    <x v="1"/>
  </r>
  <r>
    <s v="EMP-2020-0005"/>
    <s v="Grace"/>
    <s v="Liu"/>
    <m/>
    <n v="51"/>
    <n v="1973"/>
    <n v="59500"/>
    <x v="3"/>
    <x v="1"/>
    <x v="1"/>
    <x v="1"/>
    <s v="Manager"/>
    <d v="2020-01-15T00:00:00"/>
    <d v="2020-01-15T00:00:00"/>
    <x v="1"/>
    <n v="14"/>
    <s v="grace.liu@saltcorp.com"/>
    <s v="098-765-4321"/>
    <s v="contract"/>
    <x v="0"/>
    <m/>
    <n v="3"/>
    <n v="4"/>
    <m/>
    <d v="2023-01-15T00:00:00"/>
    <n v="47"/>
    <m/>
    <x v="1"/>
    <x v="0"/>
  </r>
  <r>
    <s v="EMP-2019-0006"/>
    <s v="Jack"/>
    <s v="Evans"/>
    <m/>
    <n v="53"/>
    <n v="1971"/>
    <n v="65000"/>
    <x v="1"/>
    <x v="0"/>
    <x v="4"/>
    <x v="4"/>
    <s v="Director"/>
    <d v="2019-03-25T00:00:00"/>
    <d v="2019-03-25T00:00:00"/>
    <x v="1"/>
    <n v="48"/>
    <s v="jack.evans@saltcorp.com"/>
    <m/>
    <s v="Part-Time"/>
    <x v="2"/>
    <m/>
    <n v="3"/>
    <m/>
    <m/>
    <d v="2022-06-20T00:00:00"/>
    <m/>
    <s v="no"/>
    <x v="2"/>
    <x v="0"/>
  </r>
  <r>
    <s v="EMP-2019-0007"/>
    <s v="Charlie"/>
    <s v="Moore"/>
    <m/>
    <n v="33"/>
    <n v="1991"/>
    <n v="50000"/>
    <x v="0"/>
    <x v="0"/>
    <x v="4"/>
    <x v="4"/>
    <s v="Clerk"/>
    <d v="2019-12-01T00:00:00"/>
    <d v="2019-12-01T00:00:00"/>
    <x v="4"/>
    <n v="86"/>
    <s v="charlie.moore@saltcorp.com"/>
    <s v="123-456-7890"/>
    <s v="Part-Time"/>
    <x v="2"/>
    <m/>
    <n v="5"/>
    <s v="N/A"/>
    <n v="0"/>
    <d v="2024-08-12T00:00:00"/>
    <m/>
    <s v="YES"/>
    <x v="0"/>
    <x v="1"/>
  </r>
  <r>
    <s v="EMP-2019-0008"/>
    <s v="Grace"/>
    <s v="Wang"/>
    <n v="40"/>
    <n v="40"/>
    <n v="1984"/>
    <n v="50000"/>
    <x v="0"/>
    <x v="1"/>
    <x v="0"/>
    <x v="0"/>
    <s v="Director"/>
    <d v="2019-03-25T00:00:00"/>
    <d v="2019-03-25T00:00:00"/>
    <x v="2"/>
    <n v="71"/>
    <s v="grace.wang@saltcorp.com"/>
    <s v=" "/>
    <s v="Part-Time"/>
    <x v="2"/>
    <m/>
    <n v="2"/>
    <m/>
    <m/>
    <m/>
    <m/>
    <s v="no"/>
    <x v="4"/>
    <x v="0"/>
  </r>
  <r>
    <s v="EMP-2020-0009"/>
    <s v="Hannah"/>
    <s v="McCoy"/>
    <n v="40"/>
    <n v="40"/>
    <n v="1984"/>
    <s v="SIXTY THOUSAND"/>
    <x v="2"/>
    <x v="1"/>
    <x v="4"/>
    <x v="4"/>
    <s v="Manager"/>
    <d v="2020-01-15T00:00:00"/>
    <d v="2020-01-15T00:00:00"/>
    <x v="2"/>
    <n v="75"/>
    <s v="hannah.mccoy@saltcorp.com"/>
    <s v="123-456-7890"/>
    <s v="contract"/>
    <x v="0"/>
    <m/>
    <n v="8"/>
    <m/>
    <m/>
    <m/>
    <m/>
    <m/>
    <x v="3"/>
    <x v="0"/>
  </r>
  <r>
    <s v="EMP-2020-0010"/>
    <s v="Eve"/>
    <s v="Stevens"/>
    <s v="thirty"/>
    <n v="30"/>
    <n v="1994"/>
    <n v="58500"/>
    <x v="4"/>
    <x v="1"/>
    <x v="1"/>
    <x v="1"/>
    <s v="Assistant"/>
    <d v="2020-02-20T00:00:00"/>
    <d v="2020-02-20T00:00:00"/>
    <x v="3"/>
    <n v="90"/>
    <s v="eve.stevens@saltcorp.com"/>
    <s v=" "/>
    <s v="Full-Time"/>
    <x v="1"/>
    <s v="EMP-2020-0025"/>
    <n v="3"/>
    <m/>
    <n v="4"/>
    <d v="2024-08-12T00:00:00"/>
    <n v="65"/>
    <s v="no"/>
    <x v="2"/>
    <x v="0"/>
  </r>
  <r>
    <s v="EMP-2019-0011"/>
    <s v="David"/>
    <s v="West"/>
    <n v="25"/>
    <n v="25"/>
    <n v="1999"/>
    <n v="70000"/>
    <x v="5"/>
    <x v="0"/>
    <x v="4"/>
    <x v="4"/>
    <s v="Analyst"/>
    <d v="2019-12-01T00:00:00"/>
    <d v="2019-12-01T00:00:00"/>
    <x v="4"/>
    <n v="81"/>
    <s v="david.west@saltcorp.com"/>
    <s v="123-456-7890"/>
    <s v="contract"/>
    <x v="0"/>
    <m/>
    <n v="5"/>
    <s v="N/A"/>
    <m/>
    <d v="2024-08-12T00:00:00"/>
    <m/>
    <s v="N"/>
    <x v="1"/>
    <x v="0"/>
  </r>
  <r>
    <s v="EMP-2019-0012"/>
    <s v="Hannah"/>
    <s v="Brooks"/>
    <m/>
    <n v="37"/>
    <n v="1987"/>
    <n v="70000"/>
    <x v="5"/>
    <x v="1"/>
    <x v="1"/>
    <x v="1"/>
    <s v="Assistant"/>
    <d v="2019-03-25T00:00:00"/>
    <d v="2019-03-25T00:00:00"/>
    <x v="3"/>
    <n v="100"/>
    <s v="hannah.brooks@saltcorp.com"/>
    <m/>
    <s v="contract"/>
    <x v="0"/>
    <m/>
    <n v="3"/>
    <n v="1"/>
    <n v="15"/>
    <m/>
    <m/>
    <s v="YES"/>
    <x v="4"/>
    <x v="1"/>
  </r>
  <r>
    <s v="EMP-2018-0013"/>
    <s v="Hannah"/>
    <s v="Gomez"/>
    <s v="thirty"/>
    <n v="30"/>
    <n v="1994"/>
    <n v="50000"/>
    <x v="0"/>
    <x v="0"/>
    <x v="3"/>
    <x v="3"/>
    <s v="Assistant"/>
    <d v="2018-04-05T00:00:00"/>
    <d v="2018-04-05T00:00:00"/>
    <x v="0"/>
    <n v="64"/>
    <s v="hannah.gomez@saltcorp.com"/>
    <s v=" "/>
    <s v="Part-Time"/>
    <x v="2"/>
    <s v="EMP-2019-0003"/>
    <n v="6"/>
    <m/>
    <m/>
    <d v="2021-10-01T00:00:00"/>
    <m/>
    <s v="N"/>
    <x v="3"/>
    <x v="0"/>
  </r>
  <r>
    <s v="EMP-2020-0014"/>
    <s v="Charlie"/>
    <s v="Martin"/>
    <n v="25"/>
    <n v="25"/>
    <n v="1999"/>
    <n v="55000"/>
    <x v="6"/>
    <x v="0"/>
    <x v="0"/>
    <x v="0"/>
    <s v="Manager"/>
    <d v="2020-02-20T00:00:00"/>
    <d v="2020-02-20T00:00:00"/>
    <x v="1"/>
    <n v="29"/>
    <s v="charlie.martin@saltcorp.com"/>
    <s v="555-555-5555"/>
    <s v="Full-Time"/>
    <x v="1"/>
    <s v="EMP-2019-0089"/>
    <n v="2"/>
    <n v="3"/>
    <n v="18"/>
    <m/>
    <m/>
    <s v="YES"/>
    <x v="3"/>
    <x v="0"/>
  </r>
  <r>
    <s v="EMP-2019-0015"/>
    <s v="Frank"/>
    <s v="Young"/>
    <n v="50"/>
    <n v="50"/>
    <n v="1974"/>
    <n v="60500"/>
    <x v="7"/>
    <x v="0"/>
    <x v="4"/>
    <x v="4"/>
    <s v="Director"/>
    <d v="2019-03-25T00:00:00"/>
    <d v="2019-03-25T00:00:00"/>
    <x v="3"/>
    <n v="100"/>
    <s v="frank.young@saltcorp.com"/>
    <s v="123-456-7890"/>
    <s v="Part-Time"/>
    <x v="2"/>
    <m/>
    <n v="4"/>
    <n v="7"/>
    <n v="20"/>
    <m/>
    <n v="23"/>
    <s v="no"/>
    <x v="0"/>
    <x v="0"/>
  </r>
  <r>
    <s v="EMP-2018-0016"/>
    <s v="Eve"/>
    <s v="Pearson"/>
    <n v="35"/>
    <n v="35"/>
    <n v="1989"/>
    <n v="65000"/>
    <x v="1"/>
    <x v="0"/>
    <x v="1"/>
    <x v="1"/>
    <s v="Clerk"/>
    <d v="2018-04-05T00:00:00"/>
    <d v="2018-04-05T00:00:00"/>
    <x v="1"/>
    <n v="40"/>
    <s v="eve.pearson@saltcorp.com"/>
    <s v="123-456-7890"/>
    <s v="Full-Time"/>
    <x v="1"/>
    <m/>
    <n v="6"/>
    <s v="N/A"/>
    <m/>
    <d v="2023-03-05T00:00:00"/>
    <n v="71"/>
    <s v="YES"/>
    <x v="3"/>
    <x v="0"/>
  </r>
  <r>
    <s v="EMP-2020-0017"/>
    <s v="Bob"/>
    <s v="Garcia"/>
    <n v="40"/>
    <n v="40"/>
    <n v="1984"/>
    <n v="55000"/>
    <x v="6"/>
    <x v="1"/>
    <x v="2"/>
    <x v="2"/>
    <s v="Assistant"/>
    <d v="2020-01-15T00:00:00"/>
    <d v="2020-01-15T00:00:00"/>
    <x v="4"/>
    <n v="88"/>
    <s v="bob.garcia@saltcorp.com"/>
    <s v="098-765-4321"/>
    <s v="Full-Time"/>
    <x v="1"/>
    <m/>
    <n v="4"/>
    <n v="9"/>
    <m/>
    <d v="2022-06-20T00:00:00"/>
    <m/>
    <m/>
    <x v="3"/>
    <x v="0"/>
  </r>
  <r>
    <s v="EMP-2018-0018"/>
    <s v="Hannah"/>
    <s v="Weber"/>
    <n v="50"/>
    <n v="50"/>
    <n v="1974"/>
    <n v="55000"/>
    <x v="6"/>
    <x v="0"/>
    <x v="0"/>
    <x v="0"/>
    <s v="Director"/>
    <d v="2018-04-05T00:00:00"/>
    <d v="2018-04-05T00:00:00"/>
    <x v="0"/>
    <n v="63"/>
    <s v="hannah.weber@saltcorp.com"/>
    <s v=" "/>
    <s v="Full-Time"/>
    <x v="1"/>
    <s v="EMP-2019-0030"/>
    <n v="5"/>
    <m/>
    <m/>
    <d v="2023-01-15T00:00:00"/>
    <m/>
    <m/>
    <x v="1"/>
    <x v="1"/>
  </r>
  <r>
    <s v="EMP-2019-0019"/>
    <s v="Frank"/>
    <s v="Flores"/>
    <n v="25"/>
    <n v="25"/>
    <n v="1999"/>
    <n v="58600"/>
    <x v="8"/>
    <x v="1"/>
    <x v="3"/>
    <x v="3"/>
    <s v="Clerk"/>
    <d v="2019-03-25T00:00:00"/>
    <d v="2019-03-25T00:00:00"/>
    <x v="4"/>
    <n v="80"/>
    <s v="frank.flores@saltcorp.com"/>
    <s v="555-555-5555"/>
    <s v="Full-Time"/>
    <x v="1"/>
    <m/>
    <n v="7"/>
    <s v="N/A"/>
    <n v="15"/>
    <m/>
    <n v="26"/>
    <s v="N"/>
    <x v="0"/>
    <x v="0"/>
  </r>
  <r>
    <s v="EMP-2019-0020"/>
    <s v="Bob"/>
    <s v="Miller"/>
    <n v="50"/>
    <n v="50"/>
    <n v="1974"/>
    <n v="50000"/>
    <x v="0"/>
    <x v="1"/>
    <x v="1"/>
    <x v="1"/>
    <s v="Assistant"/>
    <d v="2019-03-25T00:00:00"/>
    <d v="2019-03-25T00:00:00"/>
    <x v="0"/>
    <n v="61"/>
    <s v="bob.miller@saltcorp.com"/>
    <m/>
    <s v="Part-Time"/>
    <x v="2"/>
    <s v="EMP-2020-0024"/>
    <n v="6"/>
    <m/>
    <n v="1"/>
    <m/>
    <n v="53"/>
    <s v="YES"/>
    <x v="4"/>
    <x v="0"/>
  </r>
  <r>
    <s v="EMP-2020-0021"/>
    <s v="Eve"/>
    <s v="Stevens"/>
    <n v="35"/>
    <n v="35"/>
    <n v="1989"/>
    <n v="50000"/>
    <x v="0"/>
    <x v="1"/>
    <x v="3"/>
    <x v="3"/>
    <s v="Clerk"/>
    <d v="2020-01-15T00:00:00"/>
    <d v="2020-01-15T00:00:00"/>
    <x v="0"/>
    <n v="67"/>
    <s v="eve.stevens@saltcorp.com"/>
    <s v="098-765-4321"/>
    <s v="Part-Time"/>
    <x v="2"/>
    <m/>
    <n v="6"/>
    <s v="N/A"/>
    <n v="10"/>
    <d v="2022-06-20T00:00:00"/>
    <m/>
    <m/>
    <x v="1"/>
    <x v="1"/>
  </r>
  <r>
    <s v="EMP-2018-0022"/>
    <s v="Alice"/>
    <s v="Dixon"/>
    <n v="25"/>
    <n v="25"/>
    <n v="1999"/>
    <n v="50000"/>
    <x v="0"/>
    <x v="1"/>
    <x v="3"/>
    <x v="3"/>
    <s v="Director"/>
    <d v="2018-04-05T00:00:00"/>
    <d v="2018-04-05T00:00:00"/>
    <x v="1"/>
    <n v="8"/>
    <s v="alice.dixon@saltcorp.com"/>
    <s v="555-555-5555"/>
    <s v="Part-Time"/>
    <x v="2"/>
    <m/>
    <n v="5"/>
    <n v="1"/>
    <n v="13"/>
    <m/>
    <m/>
    <s v="YES"/>
    <x v="4"/>
    <x v="0"/>
  </r>
  <r>
    <s v="EMP-2018-0023"/>
    <s v="Jack"/>
    <s v="Barnett"/>
    <n v="50"/>
    <n v="50"/>
    <n v="1974"/>
    <n v="50000"/>
    <x v="0"/>
    <x v="0"/>
    <x v="4"/>
    <x v="4"/>
    <s v="Analyst"/>
    <d v="2018-04-05T00:00:00"/>
    <d v="2018-04-05T00:00:00"/>
    <x v="4"/>
    <n v="88"/>
    <s v="jack.barnett@saltcorp.com"/>
    <s v=" "/>
    <s v="Part-Time"/>
    <x v="2"/>
    <m/>
    <n v="5"/>
    <m/>
    <m/>
    <m/>
    <m/>
    <s v="YES"/>
    <x v="3"/>
    <x v="1"/>
  </r>
  <r>
    <s v="EMP-2020-0024"/>
    <s v="Frank"/>
    <s v="Oliver"/>
    <n v="40"/>
    <n v="40"/>
    <n v="1984"/>
    <n v="70000"/>
    <x v="5"/>
    <x v="0"/>
    <x v="4"/>
    <x v="4"/>
    <s v="Director"/>
    <d v="2020-01-15T00:00:00"/>
    <d v="2020-01-15T00:00:00"/>
    <x v="4"/>
    <n v="86"/>
    <s v="frank.oliver@saltcorp.com"/>
    <s v="555-555-5555"/>
    <s v="Full-Time"/>
    <x v="1"/>
    <m/>
    <n v="8"/>
    <s v="N/A"/>
    <m/>
    <d v="2021-10-01T00:00:00"/>
    <m/>
    <m/>
    <x v="3"/>
    <x v="0"/>
  </r>
  <r>
    <s v="EMP-2018-0025"/>
    <s v="Ivy"/>
    <s v="Olson"/>
    <n v="40"/>
    <n v="40"/>
    <n v="1984"/>
    <n v="50000"/>
    <x v="0"/>
    <x v="1"/>
    <x v="1"/>
    <x v="1"/>
    <s v="Manager"/>
    <d v="2018-04-05T00:00:00"/>
    <d v="2018-04-05T00:00:00"/>
    <x v="3"/>
    <n v="93"/>
    <s v="ivy.olson@saltcorp.com"/>
    <s v="123-456-7890"/>
    <s v="Part-Time"/>
    <x v="2"/>
    <m/>
    <n v="2"/>
    <n v="3"/>
    <m/>
    <m/>
    <n v="9"/>
    <s v="no"/>
    <x v="1"/>
    <x v="0"/>
  </r>
  <r>
    <s v="EMP-2020-0026"/>
    <s v="Alice"/>
    <s v="Martinez"/>
    <s v="thirty"/>
    <n v="30"/>
    <n v="1994"/>
    <n v="70000"/>
    <x v="5"/>
    <x v="0"/>
    <x v="2"/>
    <x v="2"/>
    <s v="Clerk"/>
    <d v="2020-01-15T00:00:00"/>
    <d v="2020-01-15T00:00:00"/>
    <x v="4"/>
    <n v="81"/>
    <s v="alice.martinez@saltcorp.com"/>
    <s v="123-456-7890"/>
    <s v="Part-Time"/>
    <x v="2"/>
    <m/>
    <n v="8"/>
    <s v="N/A"/>
    <m/>
    <m/>
    <m/>
    <m/>
    <x v="2"/>
    <x v="0"/>
  </r>
  <r>
    <s v="EMP-2020-0027"/>
    <s v="Jack"/>
    <s v="Sims"/>
    <n v="50"/>
    <n v="50"/>
    <n v="1974"/>
    <n v="70000"/>
    <x v="5"/>
    <x v="0"/>
    <x v="1"/>
    <x v="1"/>
    <s v="Analyst"/>
    <d v="2020-02-20T00:00:00"/>
    <d v="2020-02-20T00:00:00"/>
    <x v="3"/>
    <n v="100"/>
    <s v="jack.sims@saltcorp.com"/>
    <s v="098-765-4321"/>
    <s v="contract"/>
    <x v="0"/>
    <m/>
    <n v="1"/>
    <m/>
    <m/>
    <d v="2023-03-05T00:00:00"/>
    <n v="39"/>
    <m/>
    <x v="3"/>
    <x v="1"/>
  </r>
  <r>
    <s v="EMP-2019-0028"/>
    <s v="Charlie"/>
    <s v="Harris"/>
    <m/>
    <n v="25"/>
    <n v="1999"/>
    <n v="50000"/>
    <x v="0"/>
    <x v="0"/>
    <x v="2"/>
    <x v="2"/>
    <s v="Clerk"/>
    <d v="2019-03-25T00:00:00"/>
    <d v="2019-03-25T00:00:00"/>
    <x v="2"/>
    <n v="77"/>
    <s v="charlie.harris@saltcorp.com"/>
    <s v=" "/>
    <s v="contract"/>
    <x v="0"/>
    <m/>
    <n v="2"/>
    <n v="2"/>
    <m/>
    <m/>
    <m/>
    <s v="YES"/>
    <x v="3"/>
    <x v="0"/>
  </r>
  <r>
    <s v="EMP-2020-0029"/>
    <s v="Grace"/>
    <s v="Hudson"/>
    <n v="50"/>
    <n v="50"/>
    <n v="1974"/>
    <s v="SIXTY THOUSAND"/>
    <x v="2"/>
    <x v="0"/>
    <x v="3"/>
    <x v="3"/>
    <s v="Clerk"/>
    <d v="2020-02-20T00:00:00"/>
    <d v="2020-02-20T00:00:00"/>
    <x v="2"/>
    <n v="71"/>
    <s v="grace.hudson@saltcorp.com"/>
    <s v=" "/>
    <s v="contract"/>
    <x v="0"/>
    <s v="EMP-2019-0044"/>
    <n v="8"/>
    <m/>
    <m/>
    <d v="2024-08-12T00:00:00"/>
    <m/>
    <s v="no"/>
    <x v="1"/>
    <x v="1"/>
  </r>
  <r>
    <s v="EMP-2019-0030"/>
    <s v="David"/>
    <s v="Kim"/>
    <n v="25"/>
    <n v="25"/>
    <n v="1999"/>
    <n v="65000"/>
    <x v="1"/>
    <x v="0"/>
    <x v="0"/>
    <x v="0"/>
    <s v="Assistant"/>
    <d v="2019-12-01T00:00:00"/>
    <d v="2019-12-01T00:00:00"/>
    <x v="2"/>
    <n v="71"/>
    <s v="david.kim@saltcorp.com"/>
    <s v="555-555-5555"/>
    <s v="Part-Time"/>
    <x v="2"/>
    <m/>
    <n v="4"/>
    <s v="N/A"/>
    <m/>
    <d v="2024-08-12T00:00:00"/>
    <m/>
    <s v="no"/>
    <x v="4"/>
    <x v="0"/>
  </r>
  <r>
    <s v="EMP-2019-0031"/>
    <s v="Ivy"/>
    <s v="Williamson"/>
    <n v="25"/>
    <n v="25"/>
    <n v="1999"/>
    <n v="55000"/>
    <x v="6"/>
    <x v="1"/>
    <x v="1"/>
    <x v="1"/>
    <s v="Manager"/>
    <d v="2019-12-01T00:00:00"/>
    <d v="2019-12-01T00:00:00"/>
    <x v="4"/>
    <n v="87"/>
    <s v="ivy.williamson@saltcorp.com"/>
    <s v="098-765-4321"/>
    <s v="Full-Time"/>
    <x v="1"/>
    <s v="EMP-2019-0015"/>
    <n v="2"/>
    <n v="5"/>
    <m/>
    <s v="N/A"/>
    <m/>
    <s v="N"/>
    <x v="3"/>
    <x v="1"/>
  </r>
  <r>
    <s v="EMP-2019-0032"/>
    <s v="Charlie"/>
    <s v="Medina"/>
    <n v="50"/>
    <n v="50"/>
    <n v="1974"/>
    <n v="70000"/>
    <x v="5"/>
    <x v="1"/>
    <x v="1"/>
    <x v="1"/>
    <s v="Clerk"/>
    <d v="2019-12-01T00:00:00"/>
    <d v="2019-12-01T00:00:00"/>
    <x v="4"/>
    <n v="88"/>
    <s v="charlie.medina@saltcorp.com"/>
    <s v=" "/>
    <s v="Part-Time"/>
    <x v="2"/>
    <m/>
    <n v="7"/>
    <m/>
    <m/>
    <m/>
    <m/>
    <m/>
    <x v="1"/>
    <x v="0"/>
  </r>
  <r>
    <s v="EMP-2020-0033"/>
    <s v="Eve"/>
    <s v="Cooper"/>
    <n v="35"/>
    <n v="35"/>
    <n v="1989"/>
    <n v="63000"/>
    <x v="9"/>
    <x v="1"/>
    <x v="2"/>
    <x v="2"/>
    <s v="Director"/>
    <d v="2020-01-15T00:00:00"/>
    <d v="2020-01-15T00:00:00"/>
    <x v="3"/>
    <n v="100"/>
    <s v="eve.cooper@saltcorp.com"/>
    <s v="123-456-7890"/>
    <s v="Full-Time"/>
    <x v="1"/>
    <m/>
    <n v="5"/>
    <m/>
    <m/>
    <m/>
    <m/>
    <s v="YES"/>
    <x v="2"/>
    <x v="0"/>
  </r>
  <r>
    <s v="EMP-2018-0034"/>
    <s v="Charlie"/>
    <s v="Hanson"/>
    <n v="40"/>
    <n v="40"/>
    <n v="1984"/>
    <n v="60100"/>
    <x v="10"/>
    <x v="1"/>
    <x v="3"/>
    <x v="3"/>
    <s v="Director"/>
    <d v="2018-04-05T00:00:00"/>
    <d v="2018-04-05T00:00:00"/>
    <x v="0"/>
    <n v="68"/>
    <s v="charlie.hanson@saltcorp.com"/>
    <s v="555-555-5555"/>
    <s v="Part-Time"/>
    <x v="2"/>
    <m/>
    <n v="7"/>
    <m/>
    <n v="2"/>
    <m/>
    <m/>
    <s v="YES"/>
    <x v="1"/>
    <x v="1"/>
  </r>
  <r>
    <s v="EMP-2020-0035"/>
    <s v="Grace"/>
    <s v="Yang"/>
    <n v="25"/>
    <n v="25"/>
    <n v="1999"/>
    <n v="65000"/>
    <x v="1"/>
    <x v="0"/>
    <x v="3"/>
    <x v="3"/>
    <s v="Assistant"/>
    <d v="2020-02-20T00:00:00"/>
    <d v="2020-02-20T00:00:00"/>
    <x v="3"/>
    <n v="90"/>
    <s v="grace.yang@saltcorp.com"/>
    <m/>
    <s v="contract"/>
    <x v="0"/>
    <m/>
    <n v="1"/>
    <s v="N/A"/>
    <n v="5"/>
    <s v="N/A"/>
    <n v="66"/>
    <m/>
    <x v="3"/>
    <x v="1"/>
  </r>
  <r>
    <s v="EMP-2020-0036"/>
    <s v="Eve"/>
    <s v="Stevens"/>
    <n v="40"/>
    <n v="40"/>
    <n v="1984"/>
    <n v="61500"/>
    <x v="11"/>
    <x v="1"/>
    <x v="2"/>
    <x v="2"/>
    <s v="Manager"/>
    <d v="2020-02-20T00:00:00"/>
    <d v="2020-02-20T00:00:00"/>
    <x v="2"/>
    <n v="74"/>
    <s v="eve.stevens@saltcorp.com"/>
    <s v="123-456-7890"/>
    <s v="Full-Time"/>
    <x v="1"/>
    <m/>
    <n v="3"/>
    <m/>
    <m/>
    <m/>
    <n v="11"/>
    <s v="no"/>
    <x v="4"/>
    <x v="0"/>
  </r>
  <r>
    <s v="EMP-2020-0037"/>
    <s v="Ivy"/>
    <s v="Lucas"/>
    <n v="25"/>
    <n v="25"/>
    <n v="1999"/>
    <s v="SIXTY THOUSAND"/>
    <x v="2"/>
    <x v="0"/>
    <x v="3"/>
    <x v="3"/>
    <s v="Manager"/>
    <d v="2020-02-20T00:00:00"/>
    <d v="2020-02-20T00:00:00"/>
    <x v="3"/>
    <n v="93"/>
    <s v="ivy.lucas@saltcorp.com"/>
    <s v="098-765-4321"/>
    <s v="Full-Time"/>
    <x v="1"/>
    <m/>
    <n v="3"/>
    <n v="4"/>
    <n v="17"/>
    <m/>
    <n v="19"/>
    <s v="YES"/>
    <x v="2"/>
    <x v="0"/>
  </r>
  <r>
    <s v="EMP-2020-0038"/>
    <s v="Grace"/>
    <s v="Schmidt"/>
    <s v="thirty"/>
    <n v="30"/>
    <n v="1994"/>
    <n v="60500"/>
    <x v="7"/>
    <x v="0"/>
    <x v="4"/>
    <x v="4"/>
    <s v="Director"/>
    <d v="2020-02-20T00:00:00"/>
    <d v="2020-02-20T00:00:00"/>
    <x v="0"/>
    <n v="62"/>
    <s v="grace.schmidt@saltcorp.com"/>
    <s v=" "/>
    <s v="Full-Time"/>
    <x v="1"/>
    <m/>
    <n v="4"/>
    <s v="N/A"/>
    <m/>
    <m/>
    <m/>
    <s v="no"/>
    <x v="0"/>
    <x v="0"/>
  </r>
  <r>
    <s v="EMP-2019-0039"/>
    <s v="Bob"/>
    <s v="Garcia"/>
    <m/>
    <n v="39"/>
    <n v="1985"/>
    <n v="55000"/>
    <x v="6"/>
    <x v="0"/>
    <x v="0"/>
    <x v="0"/>
    <s v="Analyst"/>
    <d v="2019-12-01T00:00:00"/>
    <d v="2019-12-01T00:00:00"/>
    <x v="4"/>
    <n v="87"/>
    <s v="bob.garcia@saltcorp.com"/>
    <s v="123-456-7890"/>
    <s v="Full-Time"/>
    <x v="1"/>
    <m/>
    <n v="6"/>
    <n v="6"/>
    <n v="16"/>
    <m/>
    <n v="43"/>
    <s v="no"/>
    <x v="1"/>
    <x v="1"/>
  </r>
  <r>
    <s v="EMP-2020-0040"/>
    <s v="David"/>
    <s v="Kim"/>
    <n v="25"/>
    <n v="25"/>
    <n v="1999"/>
    <n v="55000"/>
    <x v="6"/>
    <x v="1"/>
    <x v="1"/>
    <x v="1"/>
    <s v="Assistant"/>
    <d v="2020-02-20T00:00:00"/>
    <d v="2020-02-20T00:00:00"/>
    <x v="3"/>
    <n v="98"/>
    <s v="david.kim@saltcorp.com"/>
    <m/>
    <s v="Full-Time"/>
    <x v="1"/>
    <m/>
    <n v="7"/>
    <m/>
    <m/>
    <d v="2023-01-15T00:00:00"/>
    <m/>
    <s v="YES"/>
    <x v="1"/>
    <x v="0"/>
  </r>
  <r>
    <s v="EMP-2018-0041"/>
    <s v="Ivy"/>
    <s v="Dixon"/>
    <n v="40"/>
    <n v="40"/>
    <n v="1984"/>
    <n v="70000"/>
    <x v="5"/>
    <x v="1"/>
    <x v="0"/>
    <x v="0"/>
    <s v="Assistant"/>
    <d v="2018-04-05T00:00:00"/>
    <d v="2018-04-05T00:00:00"/>
    <x v="2"/>
    <n v="74"/>
    <s v="ivy.dixon@saltcorp.com"/>
    <m/>
    <s v="Part-Time"/>
    <x v="2"/>
    <s v="EMP-2018-0081"/>
    <n v="8"/>
    <n v="4"/>
    <m/>
    <m/>
    <m/>
    <s v="no"/>
    <x v="2"/>
    <x v="0"/>
  </r>
  <r>
    <s v="EMP-2019-0042"/>
    <s v="Bob"/>
    <s v="Dominguez"/>
    <s v="thirty"/>
    <n v="30"/>
    <n v="1994"/>
    <n v="50000"/>
    <x v="0"/>
    <x v="1"/>
    <x v="1"/>
    <x v="1"/>
    <s v="Director"/>
    <d v="2019-12-01T00:00:00"/>
    <d v="2019-12-01T00:00:00"/>
    <x v="2"/>
    <n v="77"/>
    <s v="bob.dominguez@saltcorp.com"/>
    <s v="098-765-4321"/>
    <s v="contract"/>
    <x v="0"/>
    <s v="EMP-2018-0021"/>
    <n v="3"/>
    <n v="12"/>
    <m/>
    <d v="2021-10-01T00:00:00"/>
    <m/>
    <m/>
    <x v="0"/>
    <x v="1"/>
  </r>
  <r>
    <s v="EMP-2020-0043"/>
    <s v="Jack"/>
    <s v="O'Connor"/>
    <n v="25"/>
    <n v="25"/>
    <n v="1999"/>
    <s v="SIXTY THOUSAND"/>
    <x v="2"/>
    <x v="0"/>
    <x v="4"/>
    <x v="4"/>
    <s v="Director"/>
    <d v="2020-02-20T00:00:00"/>
    <d v="2020-02-20T00:00:00"/>
    <x v="4"/>
    <n v="83"/>
    <s v="jack.o'connor@saltcorp.com"/>
    <s v="123-456-7890"/>
    <s v="Full-Time"/>
    <x v="1"/>
    <s v="EMP-2018-0021"/>
    <n v="6"/>
    <m/>
    <m/>
    <m/>
    <m/>
    <s v="YES"/>
    <x v="1"/>
    <x v="1"/>
  </r>
  <r>
    <s v="EMP-2020-0044"/>
    <s v="Ivy"/>
    <s v="Shah"/>
    <n v="35"/>
    <n v="35"/>
    <n v="1989"/>
    <n v="70000"/>
    <x v="5"/>
    <x v="0"/>
    <x v="3"/>
    <x v="3"/>
    <s v="Analyst"/>
    <d v="2020-01-15T00:00:00"/>
    <d v="2020-01-15T00:00:00"/>
    <x v="3"/>
    <n v="90"/>
    <s v="ivy.shah@saltcorp.com"/>
    <s v="555-555-5555"/>
    <s v="contract"/>
    <x v="0"/>
    <m/>
    <n v="3"/>
    <m/>
    <m/>
    <d v="2023-03-05T00:00:00"/>
    <m/>
    <s v="no"/>
    <x v="3"/>
    <x v="0"/>
  </r>
  <r>
    <s v="EMP-2019-0045"/>
    <s v="Jack"/>
    <s v="Byrd"/>
    <m/>
    <n v="28"/>
    <n v="1996"/>
    <s v="SIXTY THOUSAND"/>
    <x v="2"/>
    <x v="0"/>
    <x v="2"/>
    <x v="2"/>
    <s v="Analyst"/>
    <d v="2019-03-25T00:00:00"/>
    <d v="2019-03-25T00:00:00"/>
    <x v="0"/>
    <n v="60"/>
    <s v="jack.byrd@saltcorp.com"/>
    <s v="123-456-7890"/>
    <s v="contract"/>
    <x v="0"/>
    <m/>
    <n v="2"/>
    <n v="12"/>
    <m/>
    <m/>
    <m/>
    <s v="YES"/>
    <x v="3"/>
    <x v="0"/>
  </r>
  <r>
    <s v="EMP-2019-0046"/>
    <s v="Eve"/>
    <s v="Parker"/>
    <n v="25"/>
    <n v="25"/>
    <n v="1999"/>
    <n v="50000"/>
    <x v="0"/>
    <x v="1"/>
    <x v="4"/>
    <x v="4"/>
    <s v="Manager"/>
    <d v="2019-03-25T00:00:00"/>
    <d v="2019-03-25T00:00:00"/>
    <x v="4"/>
    <n v="80"/>
    <s v="eve.parker@saltcorp.com"/>
    <m/>
    <s v="Part-Time"/>
    <x v="2"/>
    <m/>
    <n v="8"/>
    <s v="N/A"/>
    <n v="4"/>
    <d v="2024-08-12T00:00:00"/>
    <m/>
    <s v="YES"/>
    <x v="1"/>
    <x v="0"/>
  </r>
  <r>
    <s v="EMP-2019-0047"/>
    <s v="Bob"/>
    <s v="Le"/>
    <s v="thirty"/>
    <n v="30"/>
    <n v="1994"/>
    <n v="61500"/>
    <x v="11"/>
    <x v="0"/>
    <x v="0"/>
    <x v="0"/>
    <s v="Assistant"/>
    <d v="2019-03-25T00:00:00"/>
    <d v="2019-03-25T00:00:00"/>
    <x v="3"/>
    <n v="93"/>
    <s v="bob.le@saltcorp.com"/>
    <s v="098-765-4321"/>
    <s v="Part-Time"/>
    <x v="2"/>
    <m/>
    <n v="6"/>
    <m/>
    <n v="14"/>
    <m/>
    <n v="28"/>
    <s v="YES"/>
    <x v="4"/>
    <x v="0"/>
  </r>
  <r>
    <s v="EMP-2019-0048"/>
    <s v="David"/>
    <s v="Kim"/>
    <n v="35"/>
    <n v="35"/>
    <n v="1989"/>
    <n v="58300"/>
    <x v="12"/>
    <x v="0"/>
    <x v="2"/>
    <x v="2"/>
    <s v="Assistant"/>
    <d v="2019-12-01T00:00:00"/>
    <d v="2019-12-01T00:00:00"/>
    <x v="1"/>
    <n v="15"/>
    <s v="david.kim@saltcorp.com"/>
    <s v="098-765-4321"/>
    <s v="Full-Time"/>
    <x v="1"/>
    <s v="EMP-2018-0055"/>
    <n v="3"/>
    <m/>
    <m/>
    <d v="2023-01-15T00:00:00"/>
    <n v="65"/>
    <s v="YES"/>
    <x v="4"/>
    <x v="1"/>
  </r>
  <r>
    <s v="EMP-2020-0049"/>
    <s v="Grace"/>
    <s v="Liu"/>
    <n v="50"/>
    <n v="50"/>
    <n v="1974"/>
    <n v="50000"/>
    <x v="0"/>
    <x v="0"/>
    <x v="3"/>
    <x v="3"/>
    <s v="Director"/>
    <d v="2020-02-20T00:00:00"/>
    <d v="2020-02-20T00:00:00"/>
    <x v="2"/>
    <n v="73"/>
    <s v="grace.liu@saltcorp.com"/>
    <s v="555-555-5555"/>
    <s v="contract"/>
    <x v="0"/>
    <m/>
    <n v="6"/>
    <m/>
    <m/>
    <s v="N/A"/>
    <m/>
    <s v="YES"/>
    <x v="3"/>
    <x v="1"/>
  </r>
  <r>
    <s v="EMP-2019-0050"/>
    <s v="Hannah"/>
    <s v="Armstrong"/>
    <s v="thirty"/>
    <n v="30"/>
    <n v="1994"/>
    <n v="70000"/>
    <x v="5"/>
    <x v="1"/>
    <x v="4"/>
    <x v="4"/>
    <s v="Manager"/>
    <d v="2019-12-01T00:00:00"/>
    <d v="2019-12-01T00:00:00"/>
    <x v="0"/>
    <n v="66"/>
    <s v="hannah.armstrong@saltcorp.com"/>
    <s v="098-765-4321"/>
    <s v="Full-Time"/>
    <x v="1"/>
    <s v="EMP-2018-0008"/>
    <n v="1"/>
    <m/>
    <n v="3"/>
    <m/>
    <m/>
    <s v="no"/>
    <x v="1"/>
    <x v="0"/>
  </r>
  <r>
    <s v="EMP-2018-0051"/>
    <s v="Charlie"/>
    <s v="Clark"/>
    <s v="thirty"/>
    <n v="30"/>
    <n v="1994"/>
    <n v="50000"/>
    <x v="0"/>
    <x v="1"/>
    <x v="2"/>
    <x v="2"/>
    <s v="Assistant"/>
    <d v="2018-04-05T00:00:00"/>
    <d v="2018-04-05T00:00:00"/>
    <x v="0"/>
    <n v="60"/>
    <s v="charlie.clark@saltcorp.com"/>
    <s v="098-765-4321"/>
    <s v="Full-Time"/>
    <x v="1"/>
    <m/>
    <n v="1"/>
    <n v="1"/>
    <n v="5"/>
    <d v="2024-08-12T00:00:00"/>
    <m/>
    <s v="YES"/>
    <x v="1"/>
    <x v="0"/>
  </r>
  <r>
    <s v="EMP-2020-0052"/>
    <s v="Alice"/>
    <s v="Chen"/>
    <n v="35"/>
    <n v="35"/>
    <n v="1989"/>
    <n v="65000"/>
    <x v="1"/>
    <x v="1"/>
    <x v="4"/>
    <x v="4"/>
    <s v="Manager"/>
    <d v="2020-01-15T00:00:00"/>
    <d v="2020-01-15T00:00:00"/>
    <x v="0"/>
    <n v="63"/>
    <s v="alice.chen@saltcorp.com"/>
    <s v="098-765-4321"/>
    <s v="Full-Time"/>
    <x v="1"/>
    <m/>
    <n v="8"/>
    <m/>
    <m/>
    <m/>
    <n v="45"/>
    <s v="no"/>
    <x v="4"/>
    <x v="0"/>
  </r>
  <r>
    <s v="EMP-2020-0053"/>
    <s v="David"/>
    <s v="Ross"/>
    <s v="thirty"/>
    <n v="30"/>
    <n v="1994"/>
    <n v="55000"/>
    <x v="6"/>
    <x v="1"/>
    <x v="4"/>
    <x v="4"/>
    <s v="Manager"/>
    <d v="2020-01-15T00:00:00"/>
    <d v="2020-01-15T00:00:00"/>
    <x v="2"/>
    <n v="72"/>
    <s v="david.ross@saltcorp.com"/>
    <s v="098-765-4321"/>
    <s v="Full-Time"/>
    <x v="1"/>
    <m/>
    <n v="5"/>
    <m/>
    <m/>
    <m/>
    <m/>
    <s v="no"/>
    <x v="1"/>
    <x v="0"/>
  </r>
  <r>
    <s v="EMP-2019-0054"/>
    <s v="Bob"/>
    <s v="Wilson"/>
    <n v="35"/>
    <n v="35"/>
    <n v="1989"/>
    <n v="70000"/>
    <x v="5"/>
    <x v="1"/>
    <x v="3"/>
    <x v="3"/>
    <s v="Director"/>
    <d v="2019-03-25T00:00:00"/>
    <d v="2019-03-25T00:00:00"/>
    <x v="3"/>
    <n v="94"/>
    <s v="bob.wilson@saltcorp.com"/>
    <s v="098-765-4321"/>
    <s v="contract"/>
    <x v="0"/>
    <m/>
    <n v="4"/>
    <m/>
    <n v="14"/>
    <d v="2022-06-20T00:00:00"/>
    <m/>
    <s v="YES"/>
    <x v="3"/>
    <x v="1"/>
  </r>
  <r>
    <s v="EMP-2019-0055"/>
    <s v="Hannah"/>
    <s v="Gray"/>
    <n v="25"/>
    <n v="25"/>
    <n v="1999"/>
    <s v="SIXTY THOUSAND"/>
    <x v="2"/>
    <x v="0"/>
    <x v="1"/>
    <x v="1"/>
    <s v="Manager"/>
    <d v="2019-03-25T00:00:00"/>
    <d v="2019-03-25T00:00:00"/>
    <x v="4"/>
    <n v="81"/>
    <s v="hannah.gray@saltcorp.com"/>
    <m/>
    <s v="Full-Time"/>
    <x v="1"/>
    <s v="EMP-2018-0077"/>
    <n v="3"/>
    <m/>
    <m/>
    <m/>
    <m/>
    <s v="YES"/>
    <x v="1"/>
    <x v="1"/>
  </r>
  <r>
    <s v="EMP-2019-0056"/>
    <s v="David"/>
    <s v="Gibson"/>
    <n v="35"/>
    <n v="35"/>
    <n v="1989"/>
    <n v="65000"/>
    <x v="1"/>
    <x v="1"/>
    <x v="2"/>
    <x v="2"/>
    <s v="Analyst"/>
    <d v="2019-03-25T00:00:00"/>
    <d v="2019-03-25T00:00:00"/>
    <x v="3"/>
    <n v="90"/>
    <s v="david.gibson@saltcorp.com"/>
    <s v="123-456-7890"/>
    <s v="contract"/>
    <x v="0"/>
    <m/>
    <n v="3"/>
    <n v="8"/>
    <m/>
    <m/>
    <n v="46"/>
    <s v="no"/>
    <x v="1"/>
    <x v="1"/>
  </r>
  <r>
    <s v="EMP-2020-0057"/>
    <s v="Bob"/>
    <s v="Wilson"/>
    <n v="35"/>
    <n v="35"/>
    <n v="1989"/>
    <n v="70000"/>
    <x v="5"/>
    <x v="1"/>
    <x v="3"/>
    <x v="3"/>
    <s v="Analyst"/>
    <d v="2020-02-20T00:00:00"/>
    <d v="2020-02-20T00:00:00"/>
    <x v="4"/>
    <n v="87"/>
    <s v="bob.wilson@saltcorp.com"/>
    <s v=" "/>
    <s v="Part-Time"/>
    <x v="2"/>
    <s v="EMP-2020-0033"/>
    <n v="8"/>
    <n v="7"/>
    <m/>
    <m/>
    <m/>
    <s v="YES"/>
    <x v="3"/>
    <x v="0"/>
  </r>
  <r>
    <s v="EMP-2018-0058"/>
    <s v="Frank"/>
    <s v="Hansen"/>
    <m/>
    <n v="33"/>
    <n v="1991"/>
    <n v="50000"/>
    <x v="0"/>
    <x v="0"/>
    <x v="4"/>
    <x v="4"/>
    <s v="Clerk"/>
    <d v="2018-04-05T00:00:00"/>
    <d v="2018-04-05T00:00:00"/>
    <x v="0"/>
    <n v="60"/>
    <s v="frank.hansen@saltcorp.com"/>
    <s v="098-765-4321"/>
    <s v="contract"/>
    <x v="0"/>
    <m/>
    <n v="2"/>
    <m/>
    <m/>
    <d v="2023-01-15T00:00:00"/>
    <m/>
    <s v="YES"/>
    <x v="3"/>
    <x v="1"/>
  </r>
  <r>
    <s v="EMP-2018-0059"/>
    <s v="Frank"/>
    <s v="Dominguez"/>
    <n v="35"/>
    <n v="35"/>
    <n v="1989"/>
    <n v="50000"/>
    <x v="0"/>
    <x v="0"/>
    <x v="3"/>
    <x v="3"/>
    <s v="Director"/>
    <d v="2018-04-05T00:00:00"/>
    <d v="2018-04-05T00:00:00"/>
    <x v="3"/>
    <n v="94"/>
    <s v="frank.dominguez@saltcorp.com"/>
    <s v=" "/>
    <s v="Full-Time"/>
    <x v="1"/>
    <m/>
    <n v="3"/>
    <m/>
    <m/>
    <m/>
    <m/>
    <m/>
    <x v="0"/>
    <x v="0"/>
  </r>
  <r>
    <s v="EMP-2018-0060"/>
    <s v="Jack"/>
    <s v="Riley"/>
    <n v="35"/>
    <n v="35"/>
    <n v="1989"/>
    <n v="50000"/>
    <x v="0"/>
    <x v="0"/>
    <x v="1"/>
    <x v="1"/>
    <s v="Clerk"/>
    <d v="2018-04-05T00:00:00"/>
    <d v="2018-04-05T00:00:00"/>
    <x v="0"/>
    <n v="63"/>
    <s v="jack.riley@saltcorp.com"/>
    <s v=" "/>
    <s v="Full-Time"/>
    <x v="1"/>
    <m/>
    <n v="7"/>
    <m/>
    <m/>
    <s v="N/A"/>
    <m/>
    <m/>
    <x v="3"/>
    <x v="1"/>
  </r>
  <r>
    <s v="EMP-2018-0061"/>
    <s v="David"/>
    <s v="Patel"/>
    <n v="50"/>
    <n v="50"/>
    <n v="1974"/>
    <n v="50000"/>
    <x v="0"/>
    <x v="1"/>
    <x v="2"/>
    <x v="2"/>
    <s v="Analyst"/>
    <d v="2018-04-05T00:00:00"/>
    <d v="2018-04-05T00:00:00"/>
    <x v="1"/>
    <n v="3"/>
    <s v="david.patel@saltcorp.com"/>
    <m/>
    <s v="contract"/>
    <x v="0"/>
    <s v="EMP-2019-0074"/>
    <n v="7"/>
    <m/>
    <n v="4"/>
    <d v="2021-10-01T00:00:00"/>
    <m/>
    <s v="no"/>
    <x v="3"/>
    <x v="1"/>
  </r>
  <r>
    <s v="EMP-2019-0062"/>
    <s v="Frank"/>
    <s v="Perez"/>
    <n v="25"/>
    <n v="25"/>
    <n v="1999"/>
    <s v="SIXTY THOUSAND"/>
    <x v="2"/>
    <x v="0"/>
    <x v="1"/>
    <x v="1"/>
    <s v="Clerk"/>
    <d v="2019-03-25T00:00:00"/>
    <d v="2019-03-25T00:00:00"/>
    <x v="0"/>
    <n v="69"/>
    <s v="frank.perez@saltcorp.com"/>
    <s v="098-765-4321"/>
    <s v="Full-Time"/>
    <x v="1"/>
    <m/>
    <n v="7"/>
    <m/>
    <m/>
    <d v="2024-08-12T00:00:00"/>
    <m/>
    <s v="no"/>
    <x v="1"/>
    <x v="1"/>
  </r>
  <r>
    <s v="EMP-2020-0063"/>
    <s v="Bob"/>
    <s v="Hoffman"/>
    <m/>
    <n v="45"/>
    <n v="1979"/>
    <n v="65000"/>
    <x v="1"/>
    <x v="0"/>
    <x v="0"/>
    <x v="0"/>
    <s v="Director"/>
    <d v="2020-01-15T00:00:00"/>
    <d v="2020-01-15T00:00:00"/>
    <x v="0"/>
    <n v="60"/>
    <s v="bob.hoffman@saltcorp.com"/>
    <s v=" "/>
    <s v="Part-Time"/>
    <x v="2"/>
    <m/>
    <n v="7"/>
    <m/>
    <n v="13"/>
    <m/>
    <n v="59"/>
    <s v="YES"/>
    <x v="1"/>
    <x v="1"/>
  </r>
  <r>
    <s v="EMP-2019-0064"/>
    <s v="Jack"/>
    <s v="O'Neill"/>
    <n v="50"/>
    <n v="50"/>
    <n v="1974"/>
    <n v="63000"/>
    <x v="9"/>
    <x v="0"/>
    <x v="2"/>
    <x v="2"/>
    <s v="Director"/>
    <d v="2019-03-25T00:00:00"/>
    <d v="2019-03-25T00:00:00"/>
    <x v="4"/>
    <n v="82"/>
    <s v="jack.o'neill@saltcorp.com"/>
    <s v="098-765-4321"/>
    <s v="Full-Time"/>
    <x v="1"/>
    <m/>
    <n v="8"/>
    <m/>
    <m/>
    <m/>
    <m/>
    <s v="no"/>
    <x v="3"/>
    <x v="1"/>
  </r>
  <r>
    <s v="EMP-2018-0065"/>
    <s v="Bob"/>
    <s v="Powers"/>
    <n v="40"/>
    <n v="40"/>
    <n v="1984"/>
    <n v="55000"/>
    <x v="6"/>
    <x v="1"/>
    <x v="1"/>
    <x v="1"/>
    <s v="Manager"/>
    <d v="2018-04-05T00:00:00"/>
    <d v="2018-04-05T00:00:00"/>
    <x v="1"/>
    <n v="56"/>
    <s v="bob.powers@saltcorp.com"/>
    <s v="555-555-5555"/>
    <s v="Full-Time"/>
    <x v="1"/>
    <m/>
    <n v="7"/>
    <m/>
    <m/>
    <m/>
    <n v="12"/>
    <s v="YES"/>
    <x v="3"/>
    <x v="1"/>
  </r>
  <r>
    <s v="EMP-2019-0066"/>
    <s v="Jack"/>
    <s v="Sullivan"/>
    <n v="25"/>
    <n v="25"/>
    <n v="1999"/>
    <s v="SIXTY THOUSAND"/>
    <x v="2"/>
    <x v="1"/>
    <x v="4"/>
    <x v="4"/>
    <s v="Assistant"/>
    <d v="2019-03-25T00:00:00"/>
    <d v="2019-03-25T00:00:00"/>
    <x v="0"/>
    <n v="69"/>
    <s v="jack.sullivan@saltcorp.com"/>
    <s v="555-555-5555"/>
    <s v="Full-Time"/>
    <x v="1"/>
    <m/>
    <n v="1"/>
    <m/>
    <n v="0"/>
    <m/>
    <m/>
    <s v="no"/>
    <x v="2"/>
    <x v="0"/>
  </r>
  <r>
    <s v="EMP-2018-0067"/>
    <s v="David"/>
    <s v="Garrett"/>
    <n v="25"/>
    <n v="25"/>
    <n v="1999"/>
    <s v="SIXTY THOUSAND"/>
    <x v="2"/>
    <x v="0"/>
    <x v="2"/>
    <x v="2"/>
    <s v="Manager"/>
    <d v="2018-04-05T00:00:00"/>
    <d v="2018-04-05T00:00:00"/>
    <x v="0"/>
    <n v="69"/>
    <s v="david.garrett@saltcorp.com"/>
    <s v="555-555-5555"/>
    <s v="Part-Time"/>
    <x v="2"/>
    <m/>
    <n v="1"/>
    <m/>
    <n v="0"/>
    <d v="2022-06-20T00:00:00"/>
    <m/>
    <s v="no"/>
    <x v="1"/>
    <x v="1"/>
  </r>
  <r>
    <s v="EMP-2019-0068"/>
    <s v="Hannah"/>
    <s v="Powell"/>
    <n v="40"/>
    <n v="40"/>
    <n v="1984"/>
    <n v="63000"/>
    <x v="9"/>
    <x v="0"/>
    <x v="2"/>
    <x v="2"/>
    <s v="Director"/>
    <d v="2019-12-01T00:00:00"/>
    <d v="2019-12-01T00:00:00"/>
    <x v="1"/>
    <n v="42"/>
    <s v="hannah.powell@saltcorp.com"/>
    <s v=" "/>
    <s v="contract"/>
    <x v="0"/>
    <m/>
    <n v="4"/>
    <n v="6"/>
    <m/>
    <d v="2022-06-20T00:00:00"/>
    <m/>
    <s v="YES"/>
    <x v="1"/>
    <x v="0"/>
  </r>
  <r>
    <s v="EMP-2020-0069"/>
    <s v="Grace"/>
    <s v="Zhang"/>
    <n v="35"/>
    <n v="35"/>
    <n v="1989"/>
    <n v="59300"/>
    <x v="13"/>
    <x v="1"/>
    <x v="3"/>
    <x v="3"/>
    <s v="Analyst"/>
    <d v="2020-01-15T00:00:00"/>
    <d v="2020-01-15T00:00:00"/>
    <x v="1"/>
    <n v="8"/>
    <s v="grace.zhang@saltcorp.com"/>
    <s v="555-555-5555"/>
    <s v="Full-Time"/>
    <x v="1"/>
    <s v="EMP-2019-0042"/>
    <n v="6"/>
    <m/>
    <m/>
    <d v="2023-03-05T00:00:00"/>
    <m/>
    <s v="YES"/>
    <x v="2"/>
    <x v="0"/>
  </r>
  <r>
    <s v="EMP-2019-0070"/>
    <s v="Ivy"/>
    <s v="Kumar"/>
    <n v="50"/>
    <n v="50"/>
    <n v="1974"/>
    <n v="55000"/>
    <x v="6"/>
    <x v="1"/>
    <x v="4"/>
    <x v="4"/>
    <s v="Analyst"/>
    <d v="2019-12-01T00:00:00"/>
    <d v="2019-12-01T00:00:00"/>
    <x v="3"/>
    <n v="100"/>
    <s v="ivy.kumar@saltcorp.com"/>
    <m/>
    <s v="contract"/>
    <x v="0"/>
    <m/>
    <n v="1"/>
    <s v="N/A"/>
    <m/>
    <s v="N/A"/>
    <m/>
    <s v="no"/>
    <x v="4"/>
    <x v="0"/>
  </r>
  <r>
    <s v="EMP-2020-0071"/>
    <s v="Hannah"/>
    <s v="Bennett"/>
    <s v="thirty"/>
    <n v="30"/>
    <n v="1994"/>
    <n v="55000"/>
    <x v="6"/>
    <x v="0"/>
    <x v="0"/>
    <x v="0"/>
    <s v="Manager"/>
    <d v="2020-02-20T00:00:00"/>
    <d v="2020-02-20T00:00:00"/>
    <x v="4"/>
    <n v="80"/>
    <s v="hannah.bennett@saltcorp.com"/>
    <m/>
    <s v="Part-Time"/>
    <x v="2"/>
    <m/>
    <n v="6"/>
    <m/>
    <m/>
    <s v="N/A"/>
    <n v="61"/>
    <m/>
    <x v="0"/>
    <x v="0"/>
  </r>
  <r>
    <s v="EMP-2019-0072"/>
    <s v="Eve"/>
    <s v="Cooper"/>
    <m/>
    <n v="44"/>
    <n v="1980"/>
    <n v="60300"/>
    <x v="14"/>
    <x v="0"/>
    <x v="1"/>
    <x v="1"/>
    <s v="Director"/>
    <d v="2019-03-25T00:00:00"/>
    <d v="2019-03-25T00:00:00"/>
    <x v="1"/>
    <n v="32"/>
    <s v="eve.cooper@saltcorp.com"/>
    <s v=" "/>
    <s v="Full-Time"/>
    <x v="1"/>
    <m/>
    <n v="4"/>
    <m/>
    <m/>
    <d v="2022-06-20T00:00:00"/>
    <n v="46"/>
    <s v="YES"/>
    <x v="3"/>
    <x v="1"/>
  </r>
  <r>
    <s v="EMP-2020-0073"/>
    <s v="Bob"/>
    <s v="Garcia"/>
    <s v="thirty"/>
    <n v="30"/>
    <n v="1994"/>
    <n v="50000"/>
    <x v="0"/>
    <x v="0"/>
    <x v="3"/>
    <x v="3"/>
    <s v="Analyst"/>
    <d v="2020-02-20T00:00:00"/>
    <d v="2020-02-20T00:00:00"/>
    <x v="1"/>
    <n v="56"/>
    <s v="bob.garcia@saltcorp.com"/>
    <s v="098-765-4321"/>
    <s v="contract"/>
    <x v="0"/>
    <m/>
    <n v="1"/>
    <m/>
    <m/>
    <s v="N/A"/>
    <m/>
    <s v="no"/>
    <x v="1"/>
    <x v="1"/>
  </r>
  <r>
    <s v="EMP-2019-0074"/>
    <s v="Eve"/>
    <s v="McCoy"/>
    <n v="40"/>
    <n v="40"/>
    <n v="1984"/>
    <s v="SIXTY THOUSAND"/>
    <x v="2"/>
    <x v="1"/>
    <x v="1"/>
    <x v="1"/>
    <s v="Director"/>
    <d v="2019-03-25T00:00:00"/>
    <d v="2019-03-25T00:00:00"/>
    <x v="2"/>
    <n v="74"/>
    <s v="eve.mccoy@saltcorp.com"/>
    <s v="123-456-7890"/>
    <s v="Part-Time"/>
    <x v="2"/>
    <m/>
    <n v="1"/>
    <m/>
    <m/>
    <m/>
    <n v="54"/>
    <m/>
    <x v="4"/>
    <x v="0"/>
  </r>
  <r>
    <s v="EMP-2019-0075"/>
    <s v="Hannah"/>
    <s v="Davidson"/>
    <n v="25"/>
    <n v="25"/>
    <n v="1999"/>
    <n v="70000"/>
    <x v="5"/>
    <x v="1"/>
    <x v="0"/>
    <x v="0"/>
    <s v="Analyst"/>
    <s v="2019.12.01"/>
    <d v="2019-12-01T00:00:00"/>
    <x v="1"/>
    <n v="0"/>
    <s v="hannah.davidson@saltcorp.com"/>
    <s v="098-765-4321"/>
    <s v="Part-Time"/>
    <x v="2"/>
    <m/>
    <n v="4"/>
    <n v="5"/>
    <m/>
    <m/>
    <n v="80"/>
    <m/>
    <x v="1"/>
    <x v="1"/>
  </r>
  <r>
    <s v="EMP-2018-0076"/>
    <s v="Jack"/>
    <s v="O'Connor"/>
    <n v="25"/>
    <n v="25"/>
    <n v="1999"/>
    <n v="55000"/>
    <x v="6"/>
    <x v="0"/>
    <x v="0"/>
    <x v="0"/>
    <s v="Director"/>
    <d v="2018-04-05T00:00:00"/>
    <d v="2018-04-05T00:00:00"/>
    <x v="4"/>
    <n v="88"/>
    <s v="jack.o'connor@saltcorp.com"/>
    <s v="098-765-4321"/>
    <s v="contract"/>
    <x v="0"/>
    <m/>
    <n v="4"/>
    <m/>
    <m/>
    <m/>
    <m/>
    <m/>
    <x v="1"/>
    <x v="0"/>
  </r>
  <r>
    <s v="EMP-2018-0077"/>
    <s v="Ivy"/>
    <s v="Sharma"/>
    <m/>
    <n v="25"/>
    <n v="1999"/>
    <n v="55000"/>
    <x v="6"/>
    <x v="1"/>
    <x v="2"/>
    <x v="2"/>
    <s v="Clerk"/>
    <d v="2018-04-05T00:00:00"/>
    <d v="2018-04-05T00:00:00"/>
    <x v="0"/>
    <n v="61"/>
    <s v="ivy.sharma@saltcorp.com"/>
    <s v="098-765-4321"/>
    <s v="Full-Time"/>
    <x v="1"/>
    <m/>
    <n v="6"/>
    <m/>
    <n v="20"/>
    <s v="N/A"/>
    <n v="19"/>
    <m/>
    <x v="2"/>
    <x v="1"/>
  </r>
  <r>
    <s v="EMP-2019-0078"/>
    <s v="Ivy"/>
    <s v="Kumar"/>
    <n v="25"/>
    <n v="25"/>
    <n v="1999"/>
    <n v="60900"/>
    <x v="15"/>
    <x v="0"/>
    <x v="0"/>
    <x v="0"/>
    <s v="Director"/>
    <d v="2019-03-25T00:00:00"/>
    <d v="2019-03-25T00:00:00"/>
    <x v="0"/>
    <n v="64"/>
    <s v="ivy.kumar@saltcorp.com"/>
    <s v="098-765-4321"/>
    <s v="Full-Time"/>
    <x v="1"/>
    <m/>
    <n v="5"/>
    <n v="14"/>
    <m/>
    <m/>
    <n v="46"/>
    <s v="no"/>
    <x v="1"/>
    <x v="0"/>
  </r>
  <r>
    <s v="EMP-2018-0079"/>
    <s v="Alice"/>
    <s v="Lee"/>
    <n v="25"/>
    <n v="25"/>
    <n v="1999"/>
    <n v="65000"/>
    <x v="1"/>
    <x v="0"/>
    <x v="1"/>
    <x v="1"/>
    <s v="Director"/>
    <d v="2018-04-05T00:00:00"/>
    <d v="2018-04-05T00:00:00"/>
    <x v="0"/>
    <n v="64"/>
    <s v="alice.lee@saltcorp.com"/>
    <s v="123-456-7890"/>
    <s v="contract"/>
    <x v="0"/>
    <s v="EMP-2020-0053"/>
    <n v="3"/>
    <m/>
    <m/>
    <m/>
    <m/>
    <m/>
    <x v="4"/>
    <x v="1"/>
  </r>
  <r>
    <s v="EMP-2019-0080"/>
    <s v="Ivy"/>
    <s v="Gibson"/>
    <m/>
    <n v="38"/>
    <n v="1986"/>
    <n v="70000"/>
    <x v="5"/>
    <x v="1"/>
    <x v="4"/>
    <x v="4"/>
    <s v="Manager"/>
    <s v="2019.12.01"/>
    <d v="2019-12-01T00:00:00"/>
    <x v="0"/>
    <n v="61"/>
    <s v="ivy.gibson@saltcorp.com"/>
    <s v="555-555-5555"/>
    <s v="Part-Time"/>
    <x v="2"/>
    <s v="EMP-2018-0060"/>
    <n v="2"/>
    <n v="5"/>
    <n v="10"/>
    <d v="2023-01-15T00:00:00"/>
    <m/>
    <s v="YES"/>
    <x v="3"/>
    <x v="0"/>
  </r>
  <r>
    <s v="EMP-2018-0081"/>
    <s v="Grace"/>
    <s v="Zhou"/>
    <n v="50"/>
    <n v="50"/>
    <n v="1974"/>
    <n v="70000"/>
    <x v="5"/>
    <x v="1"/>
    <x v="4"/>
    <x v="4"/>
    <s v="Clerk"/>
    <d v="2018-04-05T00:00:00"/>
    <d v="2018-04-05T00:00:00"/>
    <x v="2"/>
    <n v="70"/>
    <s v="grace.zhou@saltcorp.com"/>
    <s v="098-765-4321"/>
    <s v="Full-Time"/>
    <x v="1"/>
    <m/>
    <n v="7"/>
    <m/>
    <m/>
    <d v="2023-03-05T00:00:00"/>
    <n v="78"/>
    <s v="no"/>
    <x v="2"/>
    <x v="1"/>
  </r>
  <r>
    <s v="EMP-2019-0082"/>
    <s v="Ivy"/>
    <s v="Reddy"/>
    <n v="50"/>
    <n v="50"/>
    <n v="1974"/>
    <n v="55000"/>
    <x v="6"/>
    <x v="1"/>
    <x v="2"/>
    <x v="2"/>
    <s v="Assistant"/>
    <s v="2019.12.01"/>
    <d v="2019-12-01T00:00:00"/>
    <x v="1"/>
    <n v="35"/>
    <s v="ivy.reddy@saltcorp.com"/>
    <m/>
    <s v="contract"/>
    <x v="0"/>
    <m/>
    <n v="5"/>
    <s v="N/A"/>
    <m/>
    <d v="2023-03-05T00:00:00"/>
    <m/>
    <s v="YES"/>
    <x v="3"/>
    <x v="1"/>
  </r>
  <r>
    <s v="EMP-2020-0083"/>
    <s v="Hannah"/>
    <s v="Jordan"/>
    <m/>
    <n v="44"/>
    <n v="1980"/>
    <n v="50000"/>
    <x v="0"/>
    <x v="1"/>
    <x v="1"/>
    <x v="1"/>
    <s v="Manager"/>
    <d v="2020-02-20T00:00:00"/>
    <d v="2020-02-20T00:00:00"/>
    <x v="0"/>
    <n v="61"/>
    <s v="hannah.jordan@saltcorp.com"/>
    <s v=" "/>
    <s v="Full-Time"/>
    <x v="1"/>
    <m/>
    <n v="3"/>
    <n v="5"/>
    <n v="20"/>
    <d v="2024-08-12T00:00:00"/>
    <m/>
    <s v="no"/>
    <x v="1"/>
    <x v="0"/>
  </r>
  <r>
    <s v="EMP-2019-0084"/>
    <s v="Alice"/>
    <s v="Martinez"/>
    <n v="40"/>
    <n v="40"/>
    <n v="1984"/>
    <n v="65000"/>
    <x v="1"/>
    <x v="1"/>
    <x v="1"/>
    <x v="1"/>
    <s v="Assistant"/>
    <s v="2019.12.01"/>
    <d v="2019-12-01T00:00:00"/>
    <x v="3"/>
    <n v="92"/>
    <s v="alice.martinez@saltcorp.com"/>
    <s v=" "/>
    <s v="Full-Time"/>
    <x v="1"/>
    <m/>
    <n v="2"/>
    <s v="N/A"/>
    <m/>
    <d v="2022-06-20T00:00:00"/>
    <m/>
    <s v="YES"/>
    <x v="0"/>
    <x v="0"/>
  </r>
  <r>
    <s v="EMP-2020-0085"/>
    <s v="Hannah"/>
    <s v="Knight"/>
    <n v="25"/>
    <n v="25"/>
    <n v="1999"/>
    <n v="70000"/>
    <x v="5"/>
    <x v="1"/>
    <x v="0"/>
    <x v="0"/>
    <s v="Analyst"/>
    <d v="2020-01-15T00:00:00"/>
    <d v="2020-01-15T00:00:00"/>
    <x v="0"/>
    <n v="62"/>
    <s v="hannah.knight@saltcorp.com"/>
    <m/>
    <s v="Part-Time"/>
    <x v="2"/>
    <m/>
    <n v="1"/>
    <n v="3"/>
    <n v="9"/>
    <m/>
    <n v="51"/>
    <s v="YES"/>
    <x v="3"/>
    <x v="0"/>
  </r>
  <r>
    <s v="EMP-2020-0086"/>
    <s v="Hannah"/>
    <s v="Pearson"/>
    <n v="25"/>
    <n v="25"/>
    <n v="1999"/>
    <n v="55000"/>
    <x v="6"/>
    <x v="0"/>
    <x v="1"/>
    <x v="1"/>
    <s v="Assistant"/>
    <d v="2020-01-15T00:00:00"/>
    <d v="2020-01-15T00:00:00"/>
    <x v="1"/>
    <n v="13"/>
    <s v="hannah.pearson@saltcorp.com"/>
    <s v="098-765-4321"/>
    <s v="Full-Time"/>
    <x v="1"/>
    <m/>
    <n v="5"/>
    <n v="2"/>
    <m/>
    <d v="2024-08-12T00:00:00"/>
    <m/>
    <s v="no"/>
    <x v="3"/>
    <x v="0"/>
  </r>
  <r>
    <s v="EMP-2020-0087"/>
    <s v="Charlie"/>
    <s v="Clark"/>
    <n v="40"/>
    <n v="40"/>
    <n v="1984"/>
    <n v="70000"/>
    <x v="5"/>
    <x v="0"/>
    <x v="3"/>
    <x v="3"/>
    <s v="Director"/>
    <d v="2020-01-15T00:00:00"/>
    <d v="2020-01-15T00:00:00"/>
    <x v="0"/>
    <n v="65"/>
    <s v="charlie.clark@saltcorp.com"/>
    <s v="123-456-7890"/>
    <s v="Full-Time"/>
    <x v="1"/>
    <m/>
    <n v="5"/>
    <m/>
    <n v="3"/>
    <d v="2022-06-20T00:00:00"/>
    <m/>
    <s v="no"/>
    <x v="3"/>
    <x v="1"/>
  </r>
  <r>
    <s v="EMP-2019-0088"/>
    <s v="Alice"/>
    <s v="Rivera"/>
    <n v="50"/>
    <n v="50"/>
    <n v="1974"/>
    <n v="65000"/>
    <x v="1"/>
    <x v="1"/>
    <x v="0"/>
    <x v="0"/>
    <s v="Assistant"/>
    <d v="2019-03-25T00:00:00"/>
    <d v="2019-03-25T00:00:00"/>
    <x v="2"/>
    <n v="79"/>
    <s v="alice.rivera@saltcorp.com"/>
    <s v="555-555-5555"/>
    <s v="Full-Time"/>
    <x v="1"/>
    <m/>
    <n v="8"/>
    <m/>
    <m/>
    <m/>
    <m/>
    <m/>
    <x v="3"/>
    <x v="0"/>
  </r>
  <r>
    <s v="EMP-2019-0089"/>
    <s v="Hannah"/>
    <s v="Powell"/>
    <n v="35"/>
    <n v="35"/>
    <n v="1989"/>
    <n v="65000"/>
    <x v="1"/>
    <x v="1"/>
    <x v="3"/>
    <x v="3"/>
    <s v="Manager"/>
    <d v="2019-03-25T00:00:00"/>
    <d v="2019-03-25T00:00:00"/>
    <x v="4"/>
    <n v="82"/>
    <s v="hannah.powell@saltcorp.com"/>
    <s v=" "/>
    <s v="contract"/>
    <x v="0"/>
    <m/>
    <n v="6"/>
    <n v="6"/>
    <m/>
    <d v="2024-08-12T00:00:00"/>
    <n v="7"/>
    <s v="YES"/>
    <x v="4"/>
    <x v="0"/>
  </r>
  <r>
    <s v="EMP-2019-0090"/>
    <s v="Charlie"/>
    <s v="Martin"/>
    <n v="35"/>
    <n v="35"/>
    <n v="1989"/>
    <s v="SIXTY THOUSAND"/>
    <x v="2"/>
    <x v="0"/>
    <x v="2"/>
    <x v="2"/>
    <s v="Manager"/>
    <d v="2019-03-25T00:00:00"/>
    <d v="2019-03-25T00:00:00"/>
    <x v="4"/>
    <n v="85"/>
    <s v="charlie.martin@saltcorp.com"/>
    <s v="555-555-5555"/>
    <s v="Full-Time"/>
    <x v="1"/>
    <m/>
    <n v="7"/>
    <s v="N/A"/>
    <m/>
    <m/>
    <n v="55"/>
    <s v="YES"/>
    <x v="2"/>
    <x v="1"/>
  </r>
  <r>
    <s v="EMP-2019-0091"/>
    <s v="Charlie"/>
    <s v="Jackson"/>
    <n v="35"/>
    <n v="35"/>
    <n v="1989"/>
    <n v="61600"/>
    <x v="16"/>
    <x v="0"/>
    <x v="4"/>
    <x v="4"/>
    <s v="Assistant"/>
    <s v="2019.12.01"/>
    <d v="2019-12-01T00:00:00"/>
    <x v="1"/>
    <n v="54"/>
    <s v="charlie.jackson@saltcorp.com"/>
    <s v="123-456-7890"/>
    <s v="contract"/>
    <x v="0"/>
    <m/>
    <n v="3"/>
    <n v="8"/>
    <m/>
    <d v="2024-08-12T00:00:00"/>
    <m/>
    <s v="no"/>
    <x v="3"/>
    <x v="0"/>
  </r>
  <r>
    <s v="EMP-2019-0092"/>
    <s v="Alice"/>
    <s v="Lucas"/>
    <n v="50"/>
    <n v="50"/>
    <n v="1974"/>
    <n v="61500"/>
    <x v="11"/>
    <x v="1"/>
    <x v="2"/>
    <x v="2"/>
    <s v="Manager"/>
    <d v="2019-03-25T00:00:00"/>
    <d v="2019-03-25T00:00:00"/>
    <x v="4"/>
    <n v="83"/>
    <s v="alice.lucas@saltcorp.com"/>
    <s v=" "/>
    <s v="Full-Time"/>
    <x v="1"/>
    <m/>
    <n v="6"/>
    <n v="2"/>
    <m/>
    <s v="N/A"/>
    <m/>
    <s v="no"/>
    <x v="0"/>
    <x v="0"/>
  </r>
  <r>
    <s v="EMP-2020-0093"/>
    <s v="Eve"/>
    <s v="Gutierrez"/>
    <n v="50"/>
    <n v="50"/>
    <n v="1974"/>
    <n v="55000"/>
    <x v="6"/>
    <x v="0"/>
    <x v="4"/>
    <x v="4"/>
    <s v="Manager"/>
    <d v="2020-02-20T00:00:00"/>
    <d v="2020-02-20T00:00:00"/>
    <x v="4"/>
    <n v="83"/>
    <s v="eve.gutierrez@saltcorp.com"/>
    <s v="555-555-5555"/>
    <s v="contract"/>
    <x v="0"/>
    <m/>
    <n v="8"/>
    <m/>
    <m/>
    <m/>
    <n v="70"/>
    <s v="YES"/>
    <x v="2"/>
    <x v="0"/>
  </r>
  <r>
    <s v="EMP-2020-0094"/>
    <s v="Jack"/>
    <s v="Murphy"/>
    <n v="40"/>
    <n v="40"/>
    <n v="1984"/>
    <n v="65000"/>
    <x v="1"/>
    <x v="0"/>
    <x v="2"/>
    <x v="2"/>
    <s v="Assistant"/>
    <d v="2020-01-15T00:00:00"/>
    <d v="2020-01-15T00:00:00"/>
    <x v="3"/>
    <n v="93"/>
    <s v="jack.murphy@saltcorp.com"/>
    <s v="123-456-7890"/>
    <s v="Part-Time"/>
    <x v="2"/>
    <m/>
    <n v="6"/>
    <n v="15"/>
    <n v="16"/>
    <m/>
    <m/>
    <s v="YES"/>
    <x v="1"/>
    <x v="1"/>
  </r>
  <r>
    <s v="EMP-2019-0095"/>
    <s v="Grace"/>
    <s v="Weber"/>
    <n v="25"/>
    <n v="25"/>
    <n v="1999"/>
    <s v="SIXTY THOUSAND"/>
    <x v="2"/>
    <x v="1"/>
    <x v="1"/>
    <x v="1"/>
    <s v="Clerk"/>
    <s v="2019.12.01"/>
    <d v="2019-12-01T00:00:00"/>
    <x v="1"/>
    <n v="25"/>
    <s v="grace.weber@saltcorp.com"/>
    <s v="555-555-5555"/>
    <s v="contract"/>
    <x v="0"/>
    <s v="EMP-2020-0084"/>
    <n v="4"/>
    <m/>
    <m/>
    <s v="N/A"/>
    <m/>
    <s v="YES"/>
    <x v="1"/>
    <x v="1"/>
  </r>
  <r>
    <s v="EMP-2020-0096"/>
    <s v="Jack"/>
    <s v="Ryan"/>
    <n v="40"/>
    <n v="40"/>
    <n v="1984"/>
    <s v="SIXTY THOUSAND"/>
    <x v="2"/>
    <x v="0"/>
    <x v="3"/>
    <x v="3"/>
    <s v="Clerk"/>
    <d v="2020-01-15T00:00:00"/>
    <d v="2020-01-15T00:00:00"/>
    <x v="1"/>
    <n v="7"/>
    <s v="jack.ryan@saltcorp.com"/>
    <s v="098-765-4321"/>
    <s v="contract"/>
    <x v="0"/>
    <m/>
    <n v="3"/>
    <m/>
    <n v="13"/>
    <d v="2021-10-01T00:00:00"/>
    <n v="78"/>
    <s v="YES"/>
    <x v="4"/>
    <x v="0"/>
  </r>
  <r>
    <s v="EMP-2019-0097"/>
    <s v="Ivy"/>
    <s v="Reddy"/>
    <n v="40"/>
    <n v="40"/>
    <n v="1984"/>
    <n v="70000"/>
    <x v="5"/>
    <x v="1"/>
    <x v="4"/>
    <x v="4"/>
    <s v="Analyst"/>
    <d v="2019-03-25T00:00:00"/>
    <d v="2019-03-25T00:00:00"/>
    <x v="4"/>
    <n v="82"/>
    <s v="ivy.reddy@saltcorp.com"/>
    <s v="123-456-7890"/>
    <s v="Part-Time"/>
    <x v="2"/>
    <m/>
    <n v="7"/>
    <m/>
    <m/>
    <d v="2023-03-05T00:00:00"/>
    <m/>
    <m/>
    <x v="2"/>
    <x v="1"/>
  </r>
  <r>
    <s v="EMP-2019-0098"/>
    <s v="Grace"/>
    <s v="Wu"/>
    <n v="50"/>
    <n v="50"/>
    <n v="1974"/>
    <n v="70000"/>
    <x v="5"/>
    <x v="0"/>
    <x v="0"/>
    <x v="0"/>
    <s v="Manager"/>
    <d v="2019-12-01T00:00:00"/>
    <d v="2019-12-01T00:00:00"/>
    <x v="4"/>
    <n v="89"/>
    <s v="grace.wu@saltcorp.com"/>
    <s v="555-555-5555"/>
    <s v="contract"/>
    <x v="0"/>
    <s v="EMP-2018-0057"/>
    <n v="1"/>
    <n v="8"/>
    <m/>
    <m/>
    <m/>
    <m/>
    <x v="0"/>
    <x v="0"/>
  </r>
  <r>
    <s v="EMP-2018-0099"/>
    <s v="Ivy"/>
    <s v="Hoffman"/>
    <n v="35"/>
    <n v="35"/>
    <n v="1989"/>
    <s v="SIXTY THOUSAND"/>
    <x v="2"/>
    <x v="1"/>
    <x v="3"/>
    <x v="3"/>
    <s v="Assistant"/>
    <d v="2018-04-05T00:00:00"/>
    <d v="2018-04-05T00:00:00"/>
    <x v="4"/>
    <n v="86"/>
    <s v="ivy.hoffman@saltcorp.com"/>
    <s v="098-765-4321"/>
    <s v="contract"/>
    <x v="0"/>
    <m/>
    <n v="4"/>
    <n v="4"/>
    <n v="18"/>
    <d v="2021-10-01T00:00:00"/>
    <m/>
    <s v="no"/>
    <x v="1"/>
    <x v="0"/>
  </r>
  <r>
    <s v="EMP-2020-0100"/>
    <s v="Hannah"/>
    <s v="Perry"/>
    <s v="thirty"/>
    <n v="30"/>
    <n v="1994"/>
    <n v="70000"/>
    <x v="5"/>
    <x v="0"/>
    <x v="0"/>
    <x v="0"/>
    <s v="Manager"/>
    <d v="2020-02-20T00:00:00"/>
    <d v="2020-02-20T00:00:00"/>
    <x v="2"/>
    <n v="73"/>
    <s v="hannah.perry@saltcorp.com"/>
    <s v="098-765-4321"/>
    <s v="contract"/>
    <x v="0"/>
    <s v="EMP-2020-0020"/>
    <n v="4"/>
    <m/>
    <m/>
    <m/>
    <m/>
    <m/>
    <x v="0"/>
    <x v="1"/>
  </r>
  <r>
    <s v="EMP-2019-0101"/>
    <s v="Bob"/>
    <s v="Aguilar"/>
    <n v="25"/>
    <n v="25"/>
    <n v="1999"/>
    <n v="65000"/>
    <x v="1"/>
    <x v="0"/>
    <x v="3"/>
    <x v="3"/>
    <s v="Director"/>
    <d v="2019-03-25T00:00:00"/>
    <d v="2019-03-25T00:00:00"/>
    <x v="0"/>
    <n v="68"/>
    <s v="bob.aguilar@saltcorp.com"/>
    <s v="123-456-7890"/>
    <s v="contract"/>
    <x v="0"/>
    <m/>
    <n v="3"/>
    <n v="6"/>
    <n v="13"/>
    <m/>
    <n v="64"/>
    <s v="YES"/>
    <x v="1"/>
    <x v="1"/>
  </r>
  <r>
    <s v="EMP-2019-0102"/>
    <s v="Alice"/>
    <s v="Byrd"/>
    <n v="50"/>
    <n v="50"/>
    <n v="1974"/>
    <n v="50000"/>
    <x v="0"/>
    <x v="0"/>
    <x v="3"/>
    <x v="3"/>
    <s v="Manager"/>
    <d v="2019-03-25T00:00:00"/>
    <d v="2019-03-25T00:00:00"/>
    <x v="2"/>
    <n v="75"/>
    <s v="alice.byrd@saltcorp.com"/>
    <m/>
    <s v="contract"/>
    <x v="0"/>
    <m/>
    <n v="4"/>
    <s v="N/A"/>
    <m/>
    <d v="2021-10-01T00:00:00"/>
    <m/>
    <s v="YES"/>
    <x v="4"/>
    <x v="0"/>
  </r>
  <r>
    <s v="EMP-2020-0103"/>
    <s v="Grace"/>
    <s v="Walker"/>
    <n v="35"/>
    <n v="35"/>
    <n v="1989"/>
    <n v="65000"/>
    <x v="1"/>
    <x v="1"/>
    <x v="2"/>
    <x v="2"/>
    <s v="Manager"/>
    <d v="2020-02-20T00:00:00"/>
    <d v="2020-02-20T00:00:00"/>
    <x v="1"/>
    <n v="42"/>
    <s v="grace.walker@saltcorp.com"/>
    <s v=" "/>
    <s v="Full-Time"/>
    <x v="1"/>
    <m/>
    <n v="1"/>
    <m/>
    <n v="15"/>
    <d v="2024-08-12T00:00:00"/>
    <n v="64"/>
    <s v="YES"/>
    <x v="3"/>
    <x v="0"/>
  </r>
  <r>
    <s v="EMP-2020-0104"/>
    <s v="Grace"/>
    <s v="Gibson"/>
    <s v="thirty"/>
    <n v="30"/>
    <n v="1994"/>
    <s v="SIXTY THOUSAND"/>
    <x v="2"/>
    <x v="1"/>
    <x v="4"/>
    <x v="4"/>
    <s v="Clerk"/>
    <d v="2020-02-20T00:00:00"/>
    <d v="2020-02-20T00:00:00"/>
    <x v="3"/>
    <n v="91"/>
    <s v="grace.gibson@saltcorp.com"/>
    <s v="123-456-7890"/>
    <s v="Part-Time"/>
    <x v="2"/>
    <m/>
    <n v="3"/>
    <n v="13"/>
    <n v="16"/>
    <m/>
    <m/>
    <s v="no"/>
    <x v="3"/>
    <x v="1"/>
  </r>
  <r>
    <s v="EMP-2018-0105"/>
    <s v="Hannah"/>
    <s v="West"/>
    <s v="thirty"/>
    <n v="30"/>
    <n v="1994"/>
    <s v="SIXTY THOUSAND"/>
    <x v="2"/>
    <x v="0"/>
    <x v="4"/>
    <x v="4"/>
    <s v="Assistant"/>
    <d v="2018-04-05T00:00:00"/>
    <d v="2018-04-05T00:00:00"/>
    <x v="0"/>
    <n v="64"/>
    <s v="hannah.west@saltcorp.com"/>
    <s v="098-765-4321"/>
    <s v="contract"/>
    <x v="0"/>
    <m/>
    <n v="2"/>
    <n v="2"/>
    <n v="14"/>
    <s v="N/A"/>
    <m/>
    <s v="no"/>
    <x v="1"/>
    <x v="0"/>
  </r>
  <r>
    <s v="EMP-2019-0106"/>
    <s v="Eve"/>
    <s v="Walker"/>
    <n v="50"/>
    <n v="50"/>
    <n v="1974"/>
    <n v="65000"/>
    <x v="1"/>
    <x v="1"/>
    <x v="3"/>
    <x v="3"/>
    <s v="Manager"/>
    <d v="2019-03-25T00:00:00"/>
    <d v="2019-03-25T00:00:00"/>
    <x v="3"/>
    <n v="92"/>
    <s v="eve.walker@saltcorp.com"/>
    <s v="098-765-4321"/>
    <s v="Part-Time"/>
    <x v="2"/>
    <m/>
    <n v="6"/>
    <s v="N/A"/>
    <n v="17"/>
    <s v="N/A"/>
    <m/>
    <s v="no"/>
    <x v="0"/>
    <x v="0"/>
  </r>
  <r>
    <s v="EMP-2019-0107"/>
    <s v="Charlie"/>
    <s v="Pearson"/>
    <m/>
    <n v="24"/>
    <n v="2000"/>
    <n v="70000"/>
    <x v="5"/>
    <x v="0"/>
    <x v="1"/>
    <x v="1"/>
    <s v="Clerk"/>
    <d v="2019-03-25T00:00:00"/>
    <d v="2019-03-25T00:00:00"/>
    <x v="1"/>
    <n v="25"/>
    <s v="charlie.pearson@saltcorp.com"/>
    <s v="123-456-7890"/>
    <s v="Part-Time"/>
    <x v="2"/>
    <m/>
    <n v="1"/>
    <m/>
    <n v="13"/>
    <m/>
    <n v="63"/>
    <m/>
    <x v="3"/>
    <x v="0"/>
  </r>
  <r>
    <s v="EMP-2020-0108"/>
    <s v="Hannah"/>
    <s v="Brooks"/>
    <n v="25"/>
    <n v="25"/>
    <n v="1999"/>
    <n v="70000"/>
    <x v="5"/>
    <x v="1"/>
    <x v="1"/>
    <x v="1"/>
    <s v="Analyst"/>
    <d v="2020-01-15T00:00:00"/>
    <d v="2020-01-15T00:00:00"/>
    <x v="1"/>
    <n v="13"/>
    <s v="hannah.brooks@saltcorp.com"/>
    <m/>
    <s v="contract"/>
    <x v="0"/>
    <m/>
    <n v="7"/>
    <s v="N/A"/>
    <m/>
    <d v="2024-08-12T00:00:00"/>
    <m/>
    <s v="no"/>
    <x v="4"/>
    <x v="0"/>
  </r>
  <r>
    <s v="EMP-2019-0109"/>
    <s v="Frank"/>
    <s v="Sanchez"/>
    <s v="thirty"/>
    <n v="30"/>
    <n v="1994"/>
    <n v="58800"/>
    <x v="17"/>
    <x v="0"/>
    <x v="0"/>
    <x v="0"/>
    <s v="Clerk"/>
    <d v="2019-12-01T00:00:00"/>
    <d v="2019-12-01T00:00:00"/>
    <x v="3"/>
    <n v="96"/>
    <s v="frank.sanchez@saltcorp.com"/>
    <s v=" "/>
    <s v="Part-Time"/>
    <x v="2"/>
    <m/>
    <n v="5"/>
    <s v="N/A"/>
    <m/>
    <m/>
    <n v="5"/>
    <s v="no"/>
    <x v="1"/>
    <x v="0"/>
  </r>
  <r>
    <s v="EMP-2019-0110"/>
    <s v="Charlie"/>
    <s v="Clark"/>
    <n v="50"/>
    <n v="50"/>
    <n v="1974"/>
    <s v="SIXTY THOUSAND"/>
    <x v="2"/>
    <x v="0"/>
    <x v="0"/>
    <x v="0"/>
    <s v="Clerk"/>
    <d v="2019-12-01T00:00:00"/>
    <d v="2019-12-01T00:00:00"/>
    <x v="3"/>
    <n v="97"/>
    <s v="charlie.clark@saltcorp.com"/>
    <s v="555-555-5555"/>
    <s v="Part-Time"/>
    <x v="2"/>
    <m/>
    <n v="1"/>
    <m/>
    <m/>
    <m/>
    <n v="46"/>
    <s v="YES"/>
    <x v="1"/>
    <x v="0"/>
  </r>
  <r>
    <s v="EMP-2020-0111"/>
    <s v="Alice"/>
    <s v="Wallace"/>
    <n v="50"/>
    <n v="50"/>
    <n v="1974"/>
    <n v="55000"/>
    <x v="6"/>
    <x v="1"/>
    <x v="2"/>
    <x v="2"/>
    <s v="Clerk"/>
    <d v="2020-01-15T00:00:00"/>
    <d v="2020-01-15T00:00:00"/>
    <x v="3"/>
    <n v="92"/>
    <s v="alice.wallace@saltcorp.com"/>
    <s v="123-456-7890"/>
    <s v="Full-Time"/>
    <x v="1"/>
    <s v="EMP-2018-0057"/>
    <n v="1"/>
    <m/>
    <m/>
    <m/>
    <m/>
    <s v="no"/>
    <x v="4"/>
    <x v="0"/>
  </r>
  <r>
    <s v="EMP-2019-0112"/>
    <s v="Charlie"/>
    <s v="Lewis"/>
    <n v="35"/>
    <n v="35"/>
    <n v="1989"/>
    <n v="60900"/>
    <x v="15"/>
    <x v="0"/>
    <x v="3"/>
    <x v="3"/>
    <s v="Manager"/>
    <d v="2019-12-01T00:00:00"/>
    <d v="2019-12-01T00:00:00"/>
    <x v="1"/>
    <n v="52"/>
    <s v="charlie.lewis@saltcorp.com"/>
    <s v=" "/>
    <s v="Full-Time"/>
    <x v="1"/>
    <m/>
    <n v="2"/>
    <m/>
    <m/>
    <d v="2023-01-15T00:00:00"/>
    <m/>
    <m/>
    <x v="0"/>
    <x v="1"/>
  </r>
  <r>
    <s v="EMP-2020-0113"/>
    <s v="Eve"/>
    <s v="Hudson"/>
    <m/>
    <n v="46"/>
    <n v="1978"/>
    <n v="70000"/>
    <x v="5"/>
    <x v="0"/>
    <x v="0"/>
    <x v="0"/>
    <s v="Manager"/>
    <d v="2020-02-20T00:00:00"/>
    <d v="2020-02-20T00:00:00"/>
    <x v="4"/>
    <n v="84"/>
    <s v="eve.hudson@saltcorp.com"/>
    <s v=" "/>
    <s v="contract"/>
    <x v="0"/>
    <m/>
    <n v="1"/>
    <m/>
    <n v="15"/>
    <m/>
    <m/>
    <s v="no"/>
    <x v="4"/>
    <x v="0"/>
  </r>
  <r>
    <s v="EMP-2019-0114"/>
    <s v="Charlie"/>
    <s v="Harrison"/>
    <n v="25"/>
    <n v="25"/>
    <n v="1999"/>
    <n v="65000"/>
    <x v="1"/>
    <x v="1"/>
    <x v="0"/>
    <x v="0"/>
    <s v="Analyst"/>
    <d v="2019-12-01T00:00:00"/>
    <d v="2019-12-01T00:00:00"/>
    <x v="3"/>
    <n v="90"/>
    <s v="charlie.harrison@saltcorp.com"/>
    <s v="098-765-4321"/>
    <s v="contract"/>
    <x v="0"/>
    <m/>
    <n v="1"/>
    <n v="14"/>
    <n v="1"/>
    <d v="2022-06-20T00:00:00"/>
    <m/>
    <s v="no"/>
    <x v="1"/>
    <x v="0"/>
  </r>
  <r>
    <s v="EMP-2019-0115"/>
    <s v="Alice"/>
    <s v="Martinez"/>
    <n v="40"/>
    <n v="40"/>
    <n v="1984"/>
    <n v="70000"/>
    <x v="5"/>
    <x v="1"/>
    <x v="3"/>
    <x v="3"/>
    <s v="Director"/>
    <d v="2019-12-01T00:00:00"/>
    <d v="2019-12-01T00:00:00"/>
    <x v="0"/>
    <n v="69"/>
    <s v="alice.martinez@saltcorp.com"/>
    <s v="555-555-5555"/>
    <s v="contract"/>
    <x v="0"/>
    <s v="EMP-2018-0022"/>
    <n v="2"/>
    <m/>
    <n v="18"/>
    <m/>
    <m/>
    <m/>
    <x v="0"/>
    <x v="0"/>
  </r>
  <r>
    <s v="EMP-2020-0116"/>
    <s v="Eve"/>
    <s v="Williamson"/>
    <n v="35"/>
    <n v="35"/>
    <n v="1989"/>
    <n v="65000"/>
    <x v="1"/>
    <x v="1"/>
    <x v="2"/>
    <x v="2"/>
    <s v="Director"/>
    <d v="2020-01-15T00:00:00"/>
    <d v="2020-01-15T00:00:00"/>
    <x v="1"/>
    <n v="9"/>
    <s v="eve.williamson@saltcorp.com"/>
    <s v="123-456-7890"/>
    <s v="Part-Time"/>
    <x v="2"/>
    <m/>
    <n v="7"/>
    <m/>
    <m/>
    <s v="N/A"/>
    <n v="17"/>
    <m/>
    <x v="3"/>
    <x v="1"/>
  </r>
  <r>
    <s v="EMP-2018-0117"/>
    <s v="Jack"/>
    <s v="Powers"/>
    <s v="thirty"/>
    <n v="30"/>
    <n v="1994"/>
    <n v="60900"/>
    <x v="15"/>
    <x v="0"/>
    <x v="0"/>
    <x v="0"/>
    <s v="Director"/>
    <d v="2018-04-05T00:00:00"/>
    <d v="2018-04-05T00:00:00"/>
    <x v="2"/>
    <n v="71"/>
    <s v="jack.powers@saltcorp.com"/>
    <s v="098-765-4321"/>
    <s v="Part-Time"/>
    <x v="2"/>
    <s v="EMP-2020-0019"/>
    <n v="8"/>
    <s v="N/A"/>
    <m/>
    <d v="2023-03-05T00:00:00"/>
    <m/>
    <m/>
    <x v="0"/>
    <x v="0"/>
  </r>
  <r>
    <s v="EMP-2019-0118"/>
    <s v="Grace"/>
    <s v="Liu"/>
    <s v="thirty"/>
    <n v="30"/>
    <n v="1994"/>
    <s v="SIXTY THOUSAND"/>
    <x v="2"/>
    <x v="1"/>
    <x v="2"/>
    <x v="2"/>
    <s v="Analyst"/>
    <d v="2019-12-01T00:00:00"/>
    <d v="2019-12-01T00:00:00"/>
    <x v="2"/>
    <n v="77"/>
    <s v="grace.liu@saltcorp.com"/>
    <s v="098-765-4321"/>
    <s v="contract"/>
    <x v="0"/>
    <m/>
    <n v="7"/>
    <m/>
    <m/>
    <m/>
    <m/>
    <s v="no"/>
    <x v="0"/>
    <x v="1"/>
  </r>
  <r>
    <s v="EMP-2019-0119"/>
    <s v="Grace"/>
    <s v="Li"/>
    <n v="35"/>
    <n v="35"/>
    <n v="1989"/>
    <n v="70000"/>
    <x v="5"/>
    <x v="1"/>
    <x v="4"/>
    <x v="4"/>
    <s v="Director"/>
    <d v="2019-12-01T00:00:00"/>
    <d v="2019-12-01T00:00:00"/>
    <x v="0"/>
    <n v="62"/>
    <s v="grace.li@saltcorp.com"/>
    <m/>
    <s v="contract"/>
    <x v="0"/>
    <m/>
    <n v="2"/>
    <m/>
    <n v="14"/>
    <m/>
    <m/>
    <s v="YES"/>
    <x v="1"/>
    <x v="0"/>
  </r>
  <r>
    <s v="EMP-2018-0120"/>
    <s v="Ivy"/>
    <s v="Figueroa"/>
    <n v="50"/>
    <n v="50"/>
    <n v="1974"/>
    <n v="65000"/>
    <x v="1"/>
    <x v="1"/>
    <x v="2"/>
    <x v="2"/>
    <s v="Director"/>
    <d v="2018-04-05T00:00:00"/>
    <d v="2018-04-05T00:00:00"/>
    <x v="4"/>
    <n v="88"/>
    <s v="ivy.figueroa@saltcorp.com"/>
    <s v=" "/>
    <s v="Full-Time"/>
    <x v="1"/>
    <m/>
    <n v="5"/>
    <m/>
    <n v="2"/>
    <m/>
    <m/>
    <s v="YES"/>
    <x v="0"/>
    <x v="1"/>
  </r>
  <r>
    <s v="EMP-2020-0121"/>
    <s v="Jack"/>
    <s v="Ryan"/>
    <s v="thirty"/>
    <n v="30"/>
    <n v="1994"/>
    <s v="SIXTY THOUSAND"/>
    <x v="2"/>
    <x v="1"/>
    <x v="1"/>
    <x v="1"/>
    <s v="Clerk"/>
    <d v="2020-01-15T00:00:00"/>
    <d v="2020-01-15T00:00:00"/>
    <x v="3"/>
    <n v="97"/>
    <s v="jack.ryan@saltcorp.com"/>
    <s v="123-456-7890"/>
    <s v="Full-Time"/>
    <x v="1"/>
    <m/>
    <n v="8"/>
    <m/>
    <n v="12"/>
    <d v="2021-10-01T00:00:00"/>
    <m/>
    <s v="no"/>
    <x v="4"/>
    <x v="0"/>
  </r>
  <r>
    <s v="EMP-2018-0122"/>
    <s v="Jack"/>
    <s v="Murphy"/>
    <m/>
    <n v="47"/>
    <n v="1977"/>
    <n v="55000"/>
    <x v="6"/>
    <x v="1"/>
    <x v="1"/>
    <x v="1"/>
    <s v="Manager"/>
    <d v="2018-04-05T00:00:00"/>
    <d v="2018-04-05T00:00:00"/>
    <x v="1"/>
    <n v="28"/>
    <s v="jack.murphy@saltcorp.com"/>
    <s v="123-456-7890"/>
    <s v="Full-Time"/>
    <x v="1"/>
    <m/>
    <n v="3"/>
    <m/>
    <m/>
    <m/>
    <n v="32"/>
    <s v="YES"/>
    <x v="3"/>
    <x v="1"/>
  </r>
  <r>
    <s v="EMP-2020-0123"/>
    <s v="Charlie"/>
    <s v="Harris"/>
    <n v="25"/>
    <n v="25"/>
    <n v="1999"/>
    <n v="65000"/>
    <x v="1"/>
    <x v="1"/>
    <x v="2"/>
    <x v="2"/>
    <s v="Manager"/>
    <d v="2020-01-15T00:00:00"/>
    <d v="2020-01-15T00:00:00"/>
    <x v="3"/>
    <n v="94"/>
    <s v="charlie.harris@saltcorp.com"/>
    <s v="123-456-7890"/>
    <s v="Full-Time"/>
    <x v="1"/>
    <m/>
    <n v="4"/>
    <m/>
    <m/>
    <m/>
    <n v="20"/>
    <s v="YES"/>
    <x v="0"/>
    <x v="0"/>
  </r>
  <r>
    <s v="EMP-2020-0124"/>
    <s v="Grace"/>
    <s v="Zhou"/>
    <m/>
    <n v="33"/>
    <n v="1991"/>
    <n v="61300"/>
    <x v="18"/>
    <x v="0"/>
    <x v="1"/>
    <x v="1"/>
    <s v="Clerk"/>
    <d v="2020-02-20T00:00:00"/>
    <d v="2020-02-20T00:00:00"/>
    <x v="1"/>
    <n v="4"/>
    <s v="grace.zhou@saltcorp.com"/>
    <s v="098-765-4321"/>
    <s v="Part-Time"/>
    <x v="2"/>
    <m/>
    <n v="1"/>
    <m/>
    <m/>
    <m/>
    <n v="31"/>
    <m/>
    <x v="1"/>
    <x v="1"/>
  </r>
  <r>
    <s v="EMP-2020-0125"/>
    <s v="Alice"/>
    <s v="Williamson"/>
    <s v="thirty"/>
    <n v="30"/>
    <n v="1994"/>
    <n v="55000"/>
    <x v="6"/>
    <x v="1"/>
    <x v="4"/>
    <x v="4"/>
    <s v="Clerk"/>
    <d v="2020-01-15T00:00:00"/>
    <d v="2020-01-15T00:00:00"/>
    <x v="2"/>
    <n v="74"/>
    <s v="alice.williamson@saltcorp.com"/>
    <m/>
    <s v="Full-Time"/>
    <x v="1"/>
    <m/>
    <n v="5"/>
    <m/>
    <m/>
    <d v="2024-08-12T00:00:00"/>
    <m/>
    <s v="no"/>
    <x v="1"/>
    <x v="1"/>
  </r>
  <r>
    <s v="EMP-2020-0126"/>
    <s v="David"/>
    <s v="Kim"/>
    <n v="40"/>
    <n v="40"/>
    <n v="1984"/>
    <n v="55000"/>
    <x v="6"/>
    <x v="0"/>
    <x v="3"/>
    <x v="3"/>
    <s v="Clerk"/>
    <d v="2020-02-20T00:00:00"/>
    <d v="2020-02-20T00:00:00"/>
    <x v="3"/>
    <n v="98"/>
    <s v="david.kim@saltcorp.com"/>
    <s v="555-555-5555"/>
    <s v="Full-Time"/>
    <x v="1"/>
    <s v="EMP-2020-0038"/>
    <n v="7"/>
    <m/>
    <n v="3"/>
    <d v="2022-06-20T00:00:00"/>
    <m/>
    <s v="YES"/>
    <x v="4"/>
    <x v="0"/>
  </r>
  <r>
    <s v="EMP-2020-0127"/>
    <s v="David"/>
    <s v="Weber"/>
    <n v="25"/>
    <n v="25"/>
    <n v="1999"/>
    <n v="50000"/>
    <x v="0"/>
    <x v="0"/>
    <x v="1"/>
    <x v="1"/>
    <s v="Manager"/>
    <d v="2020-02-20T00:00:00"/>
    <d v="2020-02-20T00:00:00"/>
    <x v="0"/>
    <n v="61"/>
    <s v="david.weber@saltcorp.com"/>
    <s v="098-765-4321"/>
    <s v="Full-Time"/>
    <x v="1"/>
    <m/>
    <n v="2"/>
    <m/>
    <n v="19"/>
    <m/>
    <m/>
    <s v="YES"/>
    <x v="4"/>
    <x v="0"/>
  </r>
  <r>
    <s v="EMP-2020-0128"/>
    <s v="Eve"/>
    <s v="Bennett"/>
    <n v="25"/>
    <n v="25"/>
    <n v="1999"/>
    <n v="70000"/>
    <x v="5"/>
    <x v="1"/>
    <x v="1"/>
    <x v="1"/>
    <s v="Director"/>
    <d v="2020-01-15T00:00:00"/>
    <d v="2020-01-15T00:00:00"/>
    <x v="4"/>
    <n v="85"/>
    <s v="eve.bennett@saltcorp.com"/>
    <s v="555-555-5555"/>
    <s v="contract"/>
    <x v="0"/>
    <m/>
    <n v="5"/>
    <m/>
    <m/>
    <m/>
    <n v="79"/>
    <s v="YES"/>
    <x v="0"/>
    <x v="0"/>
  </r>
  <r>
    <s v="EMP-2019-0129"/>
    <s v="Grace"/>
    <s v="Liu"/>
    <n v="35"/>
    <n v="35"/>
    <n v="1989"/>
    <n v="65000"/>
    <x v="1"/>
    <x v="1"/>
    <x v="2"/>
    <x v="2"/>
    <s v="Clerk"/>
    <d v="2019-03-25T00:00:00"/>
    <d v="2019-03-25T00:00:00"/>
    <x v="0"/>
    <n v="66"/>
    <s v="grace.liu@saltcorp.com"/>
    <m/>
    <s v="Full-Time"/>
    <x v="1"/>
    <m/>
    <n v="3"/>
    <m/>
    <n v="15"/>
    <m/>
    <n v="20"/>
    <s v="YES"/>
    <x v="2"/>
    <x v="0"/>
  </r>
  <r>
    <s v="EMP-2020-0130"/>
    <s v="Grace"/>
    <s v="Rogers"/>
    <n v="35"/>
    <n v="35"/>
    <n v="1989"/>
    <n v="55000"/>
    <x v="6"/>
    <x v="1"/>
    <x v="4"/>
    <x v="4"/>
    <s v="Analyst"/>
    <d v="2020-01-15T00:00:00"/>
    <d v="2020-01-15T00:00:00"/>
    <x v="4"/>
    <n v="80"/>
    <s v="grace.rogers@saltcorp.com"/>
    <s v=" "/>
    <s v="contract"/>
    <x v="0"/>
    <m/>
    <n v="7"/>
    <m/>
    <n v="17"/>
    <m/>
    <m/>
    <s v="YES"/>
    <x v="3"/>
    <x v="1"/>
  </r>
  <r>
    <s v="EMP-2019-0131"/>
    <s v="David"/>
    <s v="Dominguez"/>
    <n v="40"/>
    <n v="40"/>
    <n v="1984"/>
    <n v="50000"/>
    <x v="0"/>
    <x v="0"/>
    <x v="3"/>
    <x v="3"/>
    <s v="Clerk"/>
    <d v="2019-12-01T00:00:00"/>
    <d v="2019-12-01T00:00:00"/>
    <x v="3"/>
    <n v="90"/>
    <s v="david.dominguez@saltcorp.com"/>
    <s v="123-456-7890"/>
    <s v="Full-Time"/>
    <x v="1"/>
    <s v="EMP-2019-0100"/>
    <n v="2"/>
    <m/>
    <n v="7"/>
    <s v="N/A"/>
    <m/>
    <s v="no"/>
    <x v="4"/>
    <x v="0"/>
  </r>
  <r>
    <s v="EMP-2019-0132"/>
    <s v="Grace"/>
    <s v="Wang"/>
    <n v="50"/>
    <n v="50"/>
    <n v="1974"/>
    <n v="58300"/>
    <x v="12"/>
    <x v="0"/>
    <x v="2"/>
    <x v="2"/>
    <s v="Assistant"/>
    <d v="2019-12-01T00:00:00"/>
    <d v="2019-12-01T00:00:00"/>
    <x v="3"/>
    <n v="96"/>
    <s v="grace.wang@saltcorp.com"/>
    <s v="555-555-5555"/>
    <s v="Part-Time"/>
    <x v="2"/>
    <m/>
    <n v="2"/>
    <m/>
    <m/>
    <d v="2023-03-05T00:00:00"/>
    <m/>
    <s v="YES"/>
    <x v="0"/>
    <x v="1"/>
  </r>
  <r>
    <s v="EMP-2019-0133"/>
    <s v="Charlie"/>
    <s v="Mason"/>
    <n v="25"/>
    <n v="25"/>
    <n v="1999"/>
    <s v="SIXTY THOUSAND"/>
    <x v="2"/>
    <x v="0"/>
    <x v="2"/>
    <x v="2"/>
    <s v="Clerk"/>
    <d v="2019-03-25T00:00:00"/>
    <d v="2019-03-25T00:00:00"/>
    <x v="4"/>
    <n v="87"/>
    <s v="charlie.mason@saltcorp.com"/>
    <s v="098-765-4321"/>
    <s v="Part-Time"/>
    <x v="2"/>
    <m/>
    <n v="5"/>
    <n v="12"/>
    <n v="1"/>
    <s v="N/A"/>
    <n v="19"/>
    <s v="YES"/>
    <x v="2"/>
    <x v="0"/>
  </r>
  <r>
    <s v="EMP-2020-0134"/>
    <s v="Frank"/>
    <s v="Wallace"/>
    <n v="40"/>
    <n v="40"/>
    <n v="1984"/>
    <n v="65000"/>
    <x v="1"/>
    <x v="1"/>
    <x v="4"/>
    <x v="4"/>
    <s v="Manager"/>
    <d v="2020-02-20T00:00:00"/>
    <d v="2020-02-20T00:00:00"/>
    <x v="2"/>
    <n v="76"/>
    <s v="frank.wallace@saltcorp.com"/>
    <s v="555-555-5555"/>
    <s v="contract"/>
    <x v="0"/>
    <m/>
    <n v="2"/>
    <m/>
    <n v="5"/>
    <d v="2024-08-12T00:00:00"/>
    <n v="58"/>
    <m/>
    <x v="0"/>
    <x v="1"/>
  </r>
  <r>
    <s v="EMP-2019-0135"/>
    <s v="Bob"/>
    <s v="Dixon"/>
    <n v="35"/>
    <n v="35"/>
    <n v="1989"/>
    <n v="55000"/>
    <x v="6"/>
    <x v="1"/>
    <x v="3"/>
    <x v="3"/>
    <s v="Clerk"/>
    <d v="2019-03-25T00:00:00"/>
    <d v="2019-03-25T00:00:00"/>
    <x v="1"/>
    <n v="58"/>
    <s v="bob.dixon@saltcorp.com"/>
    <s v=" "/>
    <s v="contract"/>
    <x v="0"/>
    <s v="EMP-2020-0083"/>
    <n v="2"/>
    <m/>
    <m/>
    <d v="2021-10-01T00:00:00"/>
    <m/>
    <s v="no"/>
    <x v="3"/>
    <x v="0"/>
  </r>
  <r>
    <s v="EMP-2019-0136"/>
    <s v="Jack"/>
    <s v="Ryan"/>
    <n v="35"/>
    <n v="35"/>
    <n v="1989"/>
    <n v="70000"/>
    <x v="5"/>
    <x v="1"/>
    <x v="4"/>
    <x v="4"/>
    <s v="Assistant"/>
    <d v="2019-12-01T00:00:00"/>
    <d v="2019-12-01T00:00:00"/>
    <x v="0"/>
    <n v="60"/>
    <s v="jack.ryan@saltcorp.com"/>
    <s v="123-456-7890"/>
    <s v="Part-Time"/>
    <x v="2"/>
    <m/>
    <n v="8"/>
    <s v="N/A"/>
    <n v="8"/>
    <d v="2023-03-05T00:00:00"/>
    <n v="51"/>
    <s v="YES"/>
    <x v="1"/>
    <x v="0"/>
  </r>
  <r>
    <s v="EMP-2019-0137"/>
    <s v="Ivy"/>
    <s v="Barnett"/>
    <n v="25"/>
    <n v="25"/>
    <n v="1999"/>
    <n v="50000"/>
    <x v="0"/>
    <x v="1"/>
    <x v="3"/>
    <x v="3"/>
    <s v="Analyst"/>
    <d v="2019-03-25T00:00:00"/>
    <d v="2019-03-25T00:00:00"/>
    <x v="0"/>
    <n v="60"/>
    <s v="ivy.barnett@saltcorp.com"/>
    <s v="555-555-5555"/>
    <s v="contract"/>
    <x v="0"/>
    <m/>
    <n v="4"/>
    <m/>
    <m/>
    <d v="2023-01-15T00:00:00"/>
    <n v="43"/>
    <s v="no"/>
    <x v="3"/>
    <x v="1"/>
  </r>
  <r>
    <s v="EMP-2020-0138"/>
    <s v="Eve"/>
    <s v="Bell"/>
    <m/>
    <n v="51"/>
    <n v="1973"/>
    <n v="55000"/>
    <x v="6"/>
    <x v="1"/>
    <x v="4"/>
    <x v="4"/>
    <s v="Director"/>
    <d v="2020-01-15T00:00:00"/>
    <d v="2020-01-15T00:00:00"/>
    <x v="0"/>
    <n v="67"/>
    <s v="eve.bell@saltcorp.com"/>
    <s v=" "/>
    <s v="Full-Time"/>
    <x v="1"/>
    <s v="EMP-2019-0023"/>
    <n v="4"/>
    <n v="7"/>
    <m/>
    <m/>
    <m/>
    <m/>
    <x v="2"/>
    <x v="0"/>
  </r>
  <r>
    <s v="EMP-2019-0139"/>
    <s v="Frank"/>
    <s v="Bell"/>
    <s v="thirty"/>
    <n v="30"/>
    <n v="1994"/>
    <n v="70000"/>
    <x v="5"/>
    <x v="0"/>
    <x v="2"/>
    <x v="2"/>
    <s v="Clerk"/>
    <d v="2019-03-25T00:00:00"/>
    <d v="2019-03-25T00:00:00"/>
    <x v="3"/>
    <n v="90"/>
    <s v="frank.bell@saltcorp.com"/>
    <s v="098-765-4321"/>
    <s v="Full-Time"/>
    <x v="1"/>
    <m/>
    <n v="5"/>
    <n v="12"/>
    <m/>
    <m/>
    <m/>
    <m/>
    <x v="3"/>
    <x v="0"/>
  </r>
  <r>
    <s v="EMP-2020-0140"/>
    <s v="David"/>
    <s v="Murphy"/>
    <n v="35"/>
    <n v="35"/>
    <n v="1989"/>
    <n v="55000"/>
    <x v="6"/>
    <x v="0"/>
    <x v="2"/>
    <x v="2"/>
    <s v="Assistant"/>
    <d v="2020-02-20T00:00:00"/>
    <d v="2020-02-20T00:00:00"/>
    <x v="0"/>
    <n v="66"/>
    <s v="david.murphy@saltcorp.com"/>
    <m/>
    <s v="contract"/>
    <x v="0"/>
    <m/>
    <n v="4"/>
    <m/>
    <m/>
    <d v="2021-10-01T00:00:00"/>
    <m/>
    <s v="no"/>
    <x v="0"/>
    <x v="0"/>
  </r>
  <r>
    <s v="EMP-2020-0141"/>
    <s v="Jack"/>
    <s v="McCarthy"/>
    <n v="50"/>
    <n v="50"/>
    <n v="1974"/>
    <n v="65000"/>
    <x v="1"/>
    <x v="1"/>
    <x v="0"/>
    <x v="0"/>
    <s v="Assistant"/>
    <d v="2020-01-15T00:00:00"/>
    <d v="2020-01-15T00:00:00"/>
    <x v="1"/>
    <n v="1"/>
    <s v="jack.mccarthy@saltcorp.com"/>
    <s v="098-765-4321"/>
    <s v="Full-Time"/>
    <x v="1"/>
    <m/>
    <n v="6"/>
    <m/>
    <m/>
    <m/>
    <n v="40"/>
    <s v="YES"/>
    <x v="3"/>
    <x v="1"/>
  </r>
  <r>
    <s v="EMP-2018-0142"/>
    <s v="Grace"/>
    <s v="Liu"/>
    <n v="50"/>
    <n v="50"/>
    <n v="1974"/>
    <n v="65000"/>
    <x v="1"/>
    <x v="1"/>
    <x v="1"/>
    <x v="1"/>
    <s v="Analyst"/>
    <d v="2018-04-05T00:00:00"/>
    <d v="2018-04-05T00:00:00"/>
    <x v="1"/>
    <n v="41"/>
    <s v="grace.liu@saltcorp.com"/>
    <s v="123-456-7890"/>
    <s v="Part-Time"/>
    <x v="2"/>
    <m/>
    <n v="7"/>
    <m/>
    <n v="9"/>
    <m/>
    <n v="36"/>
    <m/>
    <x v="1"/>
    <x v="0"/>
  </r>
  <r>
    <s v="EMP-2019-0143"/>
    <s v="Ivy"/>
    <s v="Gomez"/>
    <n v="35"/>
    <n v="35"/>
    <n v="1989"/>
    <n v="65000"/>
    <x v="1"/>
    <x v="1"/>
    <x v="4"/>
    <x v="4"/>
    <s v="Manager"/>
    <d v="2019-12-01T00:00:00"/>
    <d v="2019-12-01T00:00:00"/>
    <x v="4"/>
    <n v="80"/>
    <s v="ivy.gomez@saltcorp.com"/>
    <s v="098-765-4321"/>
    <s v="contract"/>
    <x v="0"/>
    <m/>
    <n v="5"/>
    <s v="N/A"/>
    <m/>
    <d v="2022-06-20T00:00:00"/>
    <n v="22"/>
    <m/>
    <x v="0"/>
    <x v="1"/>
  </r>
  <r>
    <s v="EMP-2019-0144"/>
    <s v="Grace"/>
    <s v="Ross"/>
    <m/>
    <n v="35"/>
    <n v="1989"/>
    <n v="58800"/>
    <x v="17"/>
    <x v="1"/>
    <x v="0"/>
    <x v="0"/>
    <s v="Clerk"/>
    <d v="2019-12-01T00:00:00"/>
    <d v="2019-12-01T00:00:00"/>
    <x v="3"/>
    <n v="90"/>
    <s v="grace.ross@saltcorp.com"/>
    <s v="098-765-4321"/>
    <s v="Part-Time"/>
    <x v="2"/>
    <m/>
    <n v="3"/>
    <m/>
    <m/>
    <s v="N/A"/>
    <m/>
    <m/>
    <x v="2"/>
    <x v="0"/>
  </r>
  <r>
    <s v="EMP-2019-0145"/>
    <s v="Alice"/>
    <s v="Evans"/>
    <m/>
    <n v="29"/>
    <n v="1995"/>
    <n v="58500"/>
    <x v="4"/>
    <x v="1"/>
    <x v="1"/>
    <x v="1"/>
    <s v="Assistant"/>
    <d v="2019-03-25T00:00:00"/>
    <d v="2019-03-25T00:00:00"/>
    <x v="1"/>
    <n v="29"/>
    <s v="alice.evans@saltcorp.com"/>
    <s v="098-765-4321"/>
    <s v="Part-Time"/>
    <x v="2"/>
    <m/>
    <n v="1"/>
    <m/>
    <m/>
    <d v="2023-03-05T00:00:00"/>
    <m/>
    <m/>
    <x v="1"/>
    <x v="0"/>
  </r>
  <r>
    <s v="EMP-2020-0146"/>
    <s v="Alice"/>
    <s v="Morris"/>
    <n v="40"/>
    <n v="40"/>
    <n v="1984"/>
    <n v="50000"/>
    <x v="0"/>
    <x v="0"/>
    <x v="4"/>
    <x v="4"/>
    <s v="Analyst"/>
    <d v="2020-01-15T00:00:00"/>
    <d v="2020-01-15T00:00:00"/>
    <x v="2"/>
    <n v="72"/>
    <s v="alice.morris@saltcorp.com"/>
    <s v="098-765-4321"/>
    <s v="contract"/>
    <x v="0"/>
    <m/>
    <n v="8"/>
    <m/>
    <n v="16"/>
    <s v="N/A"/>
    <m/>
    <s v="YES"/>
    <x v="3"/>
    <x v="1"/>
  </r>
  <r>
    <s v="EMP-2018-0147"/>
    <s v="Ivy"/>
    <s v="Harrison"/>
    <n v="50"/>
    <n v="50"/>
    <n v="1974"/>
    <n v="65000"/>
    <x v="1"/>
    <x v="0"/>
    <x v="3"/>
    <x v="3"/>
    <s v="Director"/>
    <d v="2018-04-05T00:00:00"/>
    <d v="2018-04-05T00:00:00"/>
    <x v="3"/>
    <n v="91"/>
    <s v="ivy.harrison@saltcorp.com"/>
    <s v="123-456-7890"/>
    <s v="Part-Time"/>
    <x v="2"/>
    <m/>
    <n v="4"/>
    <s v="N/A"/>
    <n v="14"/>
    <m/>
    <m/>
    <s v="no"/>
    <x v="2"/>
    <x v="0"/>
  </r>
  <r>
    <s v="EMP-2020-0148"/>
    <s v="Ivy"/>
    <s v="Desai"/>
    <n v="40"/>
    <n v="40"/>
    <n v="1984"/>
    <n v="70000"/>
    <x v="5"/>
    <x v="1"/>
    <x v="1"/>
    <x v="1"/>
    <s v="Assistant"/>
    <d v="2020-01-15T00:00:00"/>
    <d v="2020-01-15T00:00:00"/>
    <x v="3"/>
    <n v="90"/>
    <s v="ivy.desai@saltcorp.com"/>
    <s v=" "/>
    <s v="Part-Time"/>
    <x v="2"/>
    <m/>
    <n v="8"/>
    <s v="N/A"/>
    <m/>
    <m/>
    <n v="19"/>
    <s v="YES"/>
    <x v="2"/>
    <x v="0"/>
  </r>
  <r>
    <s v="EMP-2019-0149"/>
    <s v="David"/>
    <s v="Pearson"/>
    <n v="50"/>
    <n v="50"/>
    <n v="1974"/>
    <n v="55000"/>
    <x v="6"/>
    <x v="1"/>
    <x v="2"/>
    <x v="2"/>
    <s v="Analyst"/>
    <d v="2019-12-01T00:00:00"/>
    <d v="2019-12-01T00:00:00"/>
    <x v="1"/>
    <n v="6"/>
    <s v="david.pearson@saltcorp.com"/>
    <s v="555-555-5555"/>
    <s v="contract"/>
    <x v="0"/>
    <m/>
    <n v="6"/>
    <s v="N/A"/>
    <m/>
    <d v="2021-10-01T00:00:00"/>
    <m/>
    <s v="YES"/>
    <x v="1"/>
    <x v="1"/>
  </r>
  <r>
    <s v="EMP-2020-0150"/>
    <s v="Ivy"/>
    <s v="Weber"/>
    <s v="thirty"/>
    <n v="30"/>
    <n v="1994"/>
    <s v="SIXTY THOUSAND"/>
    <x v="2"/>
    <x v="1"/>
    <x v="0"/>
    <x v="0"/>
    <s v="Manager"/>
    <d v="2020-01-15T00:00:00"/>
    <d v="2020-01-15T00:00:00"/>
    <x v="2"/>
    <n v="71"/>
    <s v="ivy.weber@saltcorp.com"/>
    <m/>
    <s v="contract"/>
    <x v="0"/>
    <m/>
    <n v="4"/>
    <m/>
    <n v="17"/>
    <m/>
    <m/>
    <s v="no"/>
    <x v="3"/>
    <x v="0"/>
  </r>
  <r>
    <s v="EMP-2018-0151"/>
    <s v="Charlie"/>
    <s v="Williamson"/>
    <s v="thirty"/>
    <n v="30"/>
    <n v="1994"/>
    <n v="70000"/>
    <x v="5"/>
    <x v="0"/>
    <x v="1"/>
    <x v="1"/>
    <s v="Manager"/>
    <d v="2018-04-05T00:00:00"/>
    <d v="2018-04-05T00:00:00"/>
    <x v="4"/>
    <n v="85"/>
    <s v="charlie.williamson@saltcorp.com"/>
    <s v="555-555-5555"/>
    <s v="Part-Time"/>
    <x v="2"/>
    <m/>
    <n v="1"/>
    <s v="N/A"/>
    <m/>
    <m/>
    <n v="46"/>
    <s v="YES"/>
    <x v="2"/>
    <x v="0"/>
  </r>
  <r>
    <s v="EMP-2019-0152"/>
    <s v="Grace"/>
    <s v="Wang"/>
    <n v="25"/>
    <n v="25"/>
    <n v="1999"/>
    <n v="58500"/>
    <x v="4"/>
    <x v="1"/>
    <x v="1"/>
    <x v="1"/>
    <s v="Assistant"/>
    <d v="2019-03-25T00:00:00"/>
    <d v="2019-03-25T00:00:00"/>
    <x v="1"/>
    <n v="0"/>
    <s v="grace.wang@saltcorp.com"/>
    <s v="555-555-5555"/>
    <s v="Full-Time"/>
    <x v="1"/>
    <m/>
    <n v="1"/>
    <s v="N/A"/>
    <n v="13"/>
    <m/>
    <m/>
    <m/>
    <x v="0"/>
    <x v="0"/>
  </r>
  <r>
    <s v="EMP-2020-0153"/>
    <s v="Frank"/>
    <s v="Ramirez"/>
    <n v="40"/>
    <n v="40"/>
    <n v="1984"/>
    <n v="58300"/>
    <x v="12"/>
    <x v="0"/>
    <x v="2"/>
    <x v="2"/>
    <s v="Assistant"/>
    <d v="2020-02-20T00:00:00"/>
    <d v="2020-02-20T00:00:00"/>
    <x v="2"/>
    <n v="71"/>
    <s v="frank.ramirez@saltcorp.com"/>
    <m/>
    <s v="Part-Time"/>
    <x v="2"/>
    <m/>
    <n v="2"/>
    <m/>
    <m/>
    <d v="2021-10-01T00:00:00"/>
    <m/>
    <s v="no"/>
    <x v="3"/>
    <x v="0"/>
  </r>
  <r>
    <s v="EMP-2020-0154"/>
    <s v="Hannah"/>
    <s v="Evans"/>
    <n v="35"/>
    <n v="35"/>
    <n v="1989"/>
    <n v="70000"/>
    <x v="5"/>
    <x v="0"/>
    <x v="4"/>
    <x v="4"/>
    <s v="Clerk"/>
    <d v="2020-01-15T00:00:00"/>
    <d v="2020-01-15T00:00:00"/>
    <x v="3"/>
    <n v="100"/>
    <s v="hannah.evans@saltcorp.com"/>
    <s v="123-456-7890"/>
    <s v="Full-Time"/>
    <x v="1"/>
    <m/>
    <n v="2"/>
    <s v="N/A"/>
    <m/>
    <m/>
    <m/>
    <s v="YES"/>
    <x v="1"/>
    <x v="0"/>
  </r>
  <r>
    <s v="EMP-2020-0155"/>
    <s v="Ivy"/>
    <s v="Kumar"/>
    <n v="40"/>
    <n v="40"/>
    <n v="1984"/>
    <n v="59300"/>
    <x v="13"/>
    <x v="1"/>
    <x v="3"/>
    <x v="3"/>
    <s v="Analyst"/>
    <d v="2020-02-20T00:00:00"/>
    <d v="2020-02-20T00:00:00"/>
    <x v="2"/>
    <n v="79"/>
    <s v="ivy.kumar@saltcorp.com"/>
    <m/>
    <s v="contract"/>
    <x v="0"/>
    <s v="EMP-2018-0018"/>
    <n v="8"/>
    <n v="2"/>
    <m/>
    <d v="2022-06-20T00:00:00"/>
    <m/>
    <s v="YES"/>
    <x v="4"/>
    <x v="0"/>
  </r>
  <r>
    <s v="EMP-2019-0156"/>
    <s v="Eve"/>
    <s v="Parker"/>
    <n v="35"/>
    <n v="35"/>
    <n v="1989"/>
    <n v="65000"/>
    <x v="1"/>
    <x v="1"/>
    <x v="2"/>
    <x v="2"/>
    <s v="Assistant"/>
    <d v="2019-12-01T00:00:00"/>
    <d v="2019-12-01T00:00:00"/>
    <x v="3"/>
    <n v="97"/>
    <s v="eve.parker@saltcorp.com"/>
    <s v="123-456-7890"/>
    <s v="Part-Time"/>
    <x v="2"/>
    <m/>
    <n v="3"/>
    <m/>
    <n v="17"/>
    <d v="2023-01-15T00:00:00"/>
    <n v="19"/>
    <s v="no"/>
    <x v="1"/>
    <x v="0"/>
  </r>
  <r>
    <s v="EMP-2019-0157"/>
    <s v="Alice"/>
    <s v="Oliver"/>
    <m/>
    <n v="31"/>
    <n v="1993"/>
    <n v="50000"/>
    <x v="0"/>
    <x v="1"/>
    <x v="3"/>
    <x v="3"/>
    <s v="Clerk"/>
    <d v="2019-03-25T00:00:00"/>
    <d v="2019-03-25T00:00:00"/>
    <x v="1"/>
    <n v="56"/>
    <s v="alice.oliver@saltcorp.com"/>
    <s v="555-555-5555"/>
    <s v="Part-Time"/>
    <x v="2"/>
    <s v="EMP-2019-0015"/>
    <n v="2"/>
    <m/>
    <m/>
    <m/>
    <n v="73"/>
    <s v="YES"/>
    <x v="4"/>
    <x v="0"/>
  </r>
  <r>
    <s v="EMP-2019-0158"/>
    <s v="Charlie"/>
    <s v="Dixon"/>
    <n v="40"/>
    <n v="40"/>
    <n v="1984"/>
    <n v="55000"/>
    <x v="6"/>
    <x v="1"/>
    <x v="4"/>
    <x v="4"/>
    <s v="Clerk"/>
    <d v="2019-03-25T00:00:00"/>
    <d v="2019-03-25T00:00:00"/>
    <x v="1"/>
    <n v="39"/>
    <s v="charlie.dixon@saltcorp.com"/>
    <s v="123-456-7890"/>
    <s v="Part-Time"/>
    <x v="2"/>
    <m/>
    <n v="2"/>
    <m/>
    <n v="5"/>
    <d v="2023-03-05T00:00:00"/>
    <n v="44"/>
    <s v="YES"/>
    <x v="1"/>
    <x v="0"/>
  </r>
  <r>
    <s v="EMP-2020-0159"/>
    <s v="Jack"/>
    <s v="Lucas"/>
    <m/>
    <n v="33"/>
    <n v="1991"/>
    <n v="50000"/>
    <x v="0"/>
    <x v="0"/>
    <x v="1"/>
    <x v="1"/>
    <s v="Assistant"/>
    <d v="2020-01-15T00:00:00"/>
    <d v="2020-01-15T00:00:00"/>
    <x v="0"/>
    <n v="60"/>
    <s v="jack.lucas@saltcorp.com"/>
    <s v=" "/>
    <s v="Full-Time"/>
    <x v="1"/>
    <m/>
    <n v="2"/>
    <s v="N/A"/>
    <m/>
    <m/>
    <m/>
    <s v="YES"/>
    <x v="3"/>
    <x v="0"/>
  </r>
  <r>
    <s v="EMP-2019-0160"/>
    <s v="Hannah"/>
    <s v="Foster"/>
    <s v="thirty"/>
    <n v="30"/>
    <n v="1994"/>
    <n v="55000"/>
    <x v="6"/>
    <x v="0"/>
    <x v="3"/>
    <x v="3"/>
    <s v="Manager"/>
    <d v="2019-03-25T00:00:00"/>
    <d v="2019-03-25T00:00:00"/>
    <x v="0"/>
    <n v="63"/>
    <s v="hannah.foster@saltcorp.com"/>
    <m/>
    <s v="Full-Time"/>
    <x v="1"/>
    <m/>
    <n v="5"/>
    <n v="14"/>
    <n v="8"/>
    <d v="2024-08-12T00:00:00"/>
    <m/>
    <s v="YES"/>
    <x v="2"/>
    <x v="0"/>
  </r>
  <r>
    <s v="EMP-2020-0161"/>
    <s v="Frank"/>
    <s v="Vega"/>
    <s v="thirty"/>
    <n v="30"/>
    <n v="1994"/>
    <n v="55000"/>
    <x v="6"/>
    <x v="0"/>
    <x v="0"/>
    <x v="0"/>
    <s v="Analyst"/>
    <d v="2020-01-15T00:00:00"/>
    <d v="2020-01-15T00:00:00"/>
    <x v="0"/>
    <n v="69"/>
    <s v="frank.vega@saltcorp.com"/>
    <s v=" "/>
    <s v="Full-Time"/>
    <x v="1"/>
    <s v="EMP-2020-0094"/>
    <n v="4"/>
    <m/>
    <m/>
    <m/>
    <n v="66"/>
    <s v="no"/>
    <x v="1"/>
    <x v="1"/>
  </r>
  <r>
    <s v="EMP-2020-0162"/>
    <s v="Hannah"/>
    <s v="Johnston"/>
    <n v="25"/>
    <n v="25"/>
    <n v="1999"/>
    <n v="50000"/>
    <x v="0"/>
    <x v="1"/>
    <x v="0"/>
    <x v="0"/>
    <s v="Analyst"/>
    <d v="2020-01-15T00:00:00"/>
    <d v="2020-01-15T00:00:00"/>
    <x v="1"/>
    <n v="12"/>
    <s v="hannah.johnston@saltcorp.com"/>
    <s v="555-555-5555"/>
    <s v="Full-Time"/>
    <x v="1"/>
    <m/>
    <n v="8"/>
    <m/>
    <m/>
    <d v="2021-10-01T00:00:00"/>
    <m/>
    <s v="YES"/>
    <x v="1"/>
    <x v="1"/>
  </r>
  <r>
    <s v="EMP-2020-0163"/>
    <s v="Ivy"/>
    <s v="Armstrong"/>
    <n v="40"/>
    <n v="40"/>
    <n v="1984"/>
    <n v="70000"/>
    <x v="5"/>
    <x v="0"/>
    <x v="2"/>
    <x v="2"/>
    <s v="Manager"/>
    <d v="2020-02-20T00:00:00"/>
    <d v="2020-02-20T00:00:00"/>
    <x v="4"/>
    <n v="83"/>
    <s v="ivy.armstrong@saltcorp.com"/>
    <m/>
    <s v="Full-Time"/>
    <x v="1"/>
    <m/>
    <n v="5"/>
    <m/>
    <n v="16"/>
    <m/>
    <m/>
    <s v="YES"/>
    <x v="2"/>
    <x v="0"/>
  </r>
  <r>
    <s v="EMP-2019-0164"/>
    <s v="David"/>
    <s v="Matthews"/>
    <m/>
    <n v="38"/>
    <n v="1986"/>
    <n v="55000"/>
    <x v="6"/>
    <x v="0"/>
    <x v="4"/>
    <x v="4"/>
    <s v="Assistant"/>
    <d v="2019-03-25T00:00:00"/>
    <d v="2019-03-25T00:00:00"/>
    <x v="1"/>
    <n v="50"/>
    <s v="david.matthews@saltcorp.com"/>
    <s v="555-555-5555"/>
    <s v="Full-Time"/>
    <x v="1"/>
    <m/>
    <n v="5"/>
    <m/>
    <n v="17"/>
    <d v="2023-03-05T00:00:00"/>
    <m/>
    <s v="YES"/>
    <x v="1"/>
    <x v="1"/>
  </r>
  <r>
    <s v="EMP-2020-0165"/>
    <s v="Alice"/>
    <s v="Williams"/>
    <n v="35"/>
    <n v="35"/>
    <n v="1989"/>
    <n v="50000"/>
    <x v="0"/>
    <x v="0"/>
    <x v="2"/>
    <x v="2"/>
    <s v="Analyst"/>
    <d v="2020-01-15T00:00:00"/>
    <d v="2020-01-15T00:00:00"/>
    <x v="2"/>
    <n v="74"/>
    <s v="alice.williams@saltcorp.com"/>
    <s v=" "/>
    <s v="Part-Time"/>
    <x v="2"/>
    <s v="EMP-2020-0048"/>
    <n v="8"/>
    <m/>
    <m/>
    <m/>
    <m/>
    <s v="no"/>
    <x v="0"/>
    <x v="1"/>
  </r>
  <r>
    <s v="EMP-2020-0166"/>
    <s v="Alice"/>
    <s v="Chen"/>
    <s v="thirty"/>
    <n v="30"/>
    <n v="1994"/>
    <n v="55000"/>
    <x v="6"/>
    <x v="1"/>
    <x v="2"/>
    <x v="2"/>
    <s v="Assistant"/>
    <d v="2020-02-20T00:00:00"/>
    <d v="2020-02-20T00:00:00"/>
    <x v="1"/>
    <n v="30"/>
    <s v="alice.chen@saltcorp.com"/>
    <s v="555-555-5555"/>
    <s v="contract"/>
    <x v="0"/>
    <s v="EMP-2018-0047"/>
    <n v="1"/>
    <m/>
    <m/>
    <m/>
    <n v="17"/>
    <s v="no"/>
    <x v="1"/>
    <x v="1"/>
  </r>
  <r>
    <s v="EMP-2018-0167"/>
    <s v="Jack"/>
    <s v="O'Neill"/>
    <s v="thirty"/>
    <n v="30"/>
    <n v="1994"/>
    <s v="SIXTY THOUSAND"/>
    <x v="2"/>
    <x v="0"/>
    <x v="2"/>
    <x v="2"/>
    <s v="Assistant"/>
    <d v="2018-04-05T00:00:00"/>
    <d v="2018-04-05T00:00:00"/>
    <x v="1"/>
    <n v="47"/>
    <s v="jack.o'neill@saltcorp.com"/>
    <m/>
    <s v="Part-Time"/>
    <x v="2"/>
    <m/>
    <n v="2"/>
    <m/>
    <m/>
    <m/>
    <m/>
    <m/>
    <x v="2"/>
    <x v="0"/>
  </r>
  <r>
    <s v="EMP-2020-0168"/>
    <s v="David"/>
    <s v="Walsh"/>
    <n v="35"/>
    <n v="35"/>
    <n v="1989"/>
    <n v="70000"/>
    <x v="5"/>
    <x v="0"/>
    <x v="0"/>
    <x v="0"/>
    <s v="Clerk"/>
    <d v="2020-02-20T00:00:00"/>
    <d v="2020-02-20T00:00:00"/>
    <x v="3"/>
    <n v="98"/>
    <s v="david.walsh@saltcorp.com"/>
    <m/>
    <s v="Full-Time"/>
    <x v="1"/>
    <s v="EMP-2020-0046"/>
    <n v="3"/>
    <m/>
    <m/>
    <m/>
    <n v="47"/>
    <s v="Y"/>
    <x v="1"/>
    <x v="1"/>
  </r>
  <r>
    <s v="EMP-2020-0169"/>
    <s v="Grace"/>
    <s v="Barnett"/>
    <m/>
    <n v="42"/>
    <n v="1982"/>
    <n v="65000"/>
    <x v="1"/>
    <x v="1"/>
    <x v="0"/>
    <x v="0"/>
    <s v="Manager"/>
    <d v="2020-02-20T00:00:00"/>
    <d v="2020-02-20T00:00:00"/>
    <x v="3"/>
    <n v="94"/>
    <s v="grace.barnett@saltcorp.com"/>
    <s v="555-555-5555"/>
    <s v="contract"/>
    <x v="0"/>
    <m/>
    <n v="1"/>
    <m/>
    <m/>
    <d v="2022-06-20T00:00:00"/>
    <m/>
    <s v="no"/>
    <x v="0"/>
    <x v="0"/>
  </r>
  <r>
    <s v="EMP-2020-0170"/>
    <s v="Bob"/>
    <s v="Figueroa"/>
    <m/>
    <n v="30"/>
    <n v="1994"/>
    <n v="55000"/>
    <x v="6"/>
    <x v="0"/>
    <x v="2"/>
    <x v="2"/>
    <s v="Assistant"/>
    <d v="2020-01-15T00:00:00"/>
    <d v="2020-01-15T00:00:00"/>
    <x v="3"/>
    <n v="93"/>
    <s v="bob.figueroa@saltcorp.com"/>
    <m/>
    <s v="Full-Time"/>
    <x v="1"/>
    <m/>
    <n v="5"/>
    <m/>
    <m/>
    <d v="2024-08-12T00:00:00"/>
    <m/>
    <m/>
    <x v="1"/>
    <x v="0"/>
  </r>
  <r>
    <s v="EMP-2019-0171"/>
    <s v="Charlie"/>
    <s v="Martin"/>
    <n v="40"/>
    <n v="40"/>
    <n v="1984"/>
    <s v="SIXTY THOUSAND"/>
    <x v="2"/>
    <x v="0"/>
    <x v="0"/>
    <x v="0"/>
    <s v="Director"/>
    <d v="2019-12-01T00:00:00"/>
    <d v="2019-12-01T00:00:00"/>
    <x v="1"/>
    <n v="17"/>
    <s v="charlie.martin@saltcorp.com"/>
    <m/>
    <s v="Part-Time"/>
    <x v="2"/>
    <m/>
    <n v="6"/>
    <m/>
    <n v="4"/>
    <m/>
    <n v="52"/>
    <s v="YES"/>
    <x v="2"/>
    <x v="0"/>
  </r>
  <r>
    <s v="EMP-2019-0172"/>
    <s v="Alice"/>
    <s v="Hansen"/>
    <n v="40"/>
    <n v="40"/>
    <n v="1984"/>
    <n v="65000"/>
    <x v="1"/>
    <x v="1"/>
    <x v="4"/>
    <x v="4"/>
    <s v="Manager"/>
    <d v="2019-12-01T00:00:00"/>
    <d v="2019-12-01T00:00:00"/>
    <x v="4"/>
    <n v="88"/>
    <s v="alice.hansen@saltcorp.com"/>
    <s v="555-555-5555"/>
    <s v="Full-Time"/>
    <x v="1"/>
    <s v="EMP-2018-0073"/>
    <n v="6"/>
    <m/>
    <m/>
    <m/>
    <m/>
    <s v="YES"/>
    <x v="2"/>
    <x v="0"/>
  </r>
  <r>
    <s v="EMP-2019-0173"/>
    <s v="Eve"/>
    <s v="Johnston"/>
    <n v="50"/>
    <n v="50"/>
    <n v="1974"/>
    <n v="65000"/>
    <x v="1"/>
    <x v="1"/>
    <x v="2"/>
    <x v="2"/>
    <s v="Analyst"/>
    <d v="2019-12-01T00:00:00"/>
    <d v="2019-12-01T00:00:00"/>
    <x v="2"/>
    <n v="73"/>
    <s v="eve.johnston@saltcorp.com"/>
    <s v=" "/>
    <s v="Full-Time"/>
    <x v="1"/>
    <m/>
    <n v="7"/>
    <s v="N/A"/>
    <n v="15"/>
    <m/>
    <m/>
    <s v="no"/>
    <x v="1"/>
    <x v="1"/>
  </r>
  <r>
    <s v="EMP-2020-0174"/>
    <s v="Alice"/>
    <s v="Williams"/>
    <n v="50"/>
    <n v="50"/>
    <n v="1974"/>
    <n v="55000"/>
    <x v="6"/>
    <x v="0"/>
    <x v="0"/>
    <x v="0"/>
    <s v="Clerk"/>
    <d v="2020-02-20T00:00:00"/>
    <d v="2020-02-20T00:00:00"/>
    <x v="2"/>
    <n v="78"/>
    <s v="alice.williams@saltcorp.com"/>
    <m/>
    <s v="Full-Time"/>
    <x v="1"/>
    <s v="EMP-2018-0043"/>
    <n v="2"/>
    <n v="4"/>
    <m/>
    <m/>
    <n v="30"/>
    <s v="YES"/>
    <x v="1"/>
    <x v="0"/>
  </r>
  <r>
    <s v="EMP-2020-0175"/>
    <s v="Hannah"/>
    <s v="Ward"/>
    <n v="25"/>
    <n v="25"/>
    <n v="1999"/>
    <n v="50000"/>
    <x v="0"/>
    <x v="1"/>
    <x v="3"/>
    <x v="3"/>
    <s v="Analyst"/>
    <d v="2020-01-15T00:00:00"/>
    <d v="2020-01-15T00:00:00"/>
    <x v="4"/>
    <n v="80"/>
    <s v="hannah.ward@saltcorp.com"/>
    <m/>
    <s v="Part-Time"/>
    <x v="2"/>
    <m/>
    <n v="2"/>
    <m/>
    <n v="2"/>
    <d v="2023-03-05T00:00:00"/>
    <m/>
    <s v="YES"/>
    <x v="1"/>
    <x v="1"/>
  </r>
  <r>
    <s v="EMP-2019-0176"/>
    <s v="Alice"/>
    <s v="Andrews"/>
    <s v="thirty"/>
    <n v="30"/>
    <n v="1994"/>
    <n v="55000"/>
    <x v="6"/>
    <x v="1"/>
    <x v="2"/>
    <x v="2"/>
    <s v="Analyst"/>
    <d v="2019-03-25T00:00:00"/>
    <d v="2019-03-25T00:00:00"/>
    <x v="4"/>
    <n v="87"/>
    <s v="alice.andrews@saltcorp.com"/>
    <m/>
    <s v="Full-Time"/>
    <x v="1"/>
    <m/>
    <n v="1"/>
    <m/>
    <m/>
    <m/>
    <n v="78"/>
    <s v="YES"/>
    <x v="3"/>
    <x v="1"/>
  </r>
  <r>
    <s v="EMP-2020-0177"/>
    <s v="Alice"/>
    <s v="Rivera"/>
    <n v="40"/>
    <n v="40"/>
    <n v="1984"/>
    <s v="SIXTY THOUSAND"/>
    <x v="2"/>
    <x v="0"/>
    <x v="2"/>
    <x v="2"/>
    <s v="Manager"/>
    <d v="2020-02-20T00:00:00"/>
    <d v="2020-02-20T00:00:00"/>
    <x v="2"/>
    <n v="77"/>
    <s v="alice.rivera@saltcorp.com"/>
    <m/>
    <s v="Part-Time"/>
    <x v="2"/>
    <m/>
    <n v="1"/>
    <m/>
    <m/>
    <m/>
    <n v="29"/>
    <s v="Y"/>
    <x v="1"/>
    <x v="0"/>
  </r>
  <r>
    <s v="EMP-2020-0178"/>
    <s v="Bob"/>
    <s v="Wilson"/>
    <m/>
    <n v="39"/>
    <n v="1985"/>
    <n v="65000"/>
    <x v="1"/>
    <x v="0"/>
    <x v="4"/>
    <x v="4"/>
    <s v="Analyst"/>
    <d v="2020-02-20T00:00:00"/>
    <d v="2020-02-20T00:00:00"/>
    <x v="0"/>
    <n v="67"/>
    <s v="bob.wilson@saltcorp.com"/>
    <s v="555-555-5555"/>
    <s v="contract"/>
    <x v="0"/>
    <s v="EMP-2018-0085"/>
    <n v="3"/>
    <s v="N/A"/>
    <n v="11"/>
    <m/>
    <m/>
    <s v="YES"/>
    <x v="0"/>
    <x v="0"/>
  </r>
  <r>
    <s v="EMP-2020-0179"/>
    <s v="Bob"/>
    <s v="Garcia"/>
    <n v="35"/>
    <n v="35"/>
    <n v="1989"/>
    <n v="55000"/>
    <x v="6"/>
    <x v="1"/>
    <x v="1"/>
    <x v="1"/>
    <s v="Assistant"/>
    <d v="2020-01-15T00:00:00"/>
    <d v="2020-01-15T00:00:00"/>
    <x v="3"/>
    <n v="91"/>
    <s v="bob.garcia@saltcorp.com"/>
    <s v=" "/>
    <s v="Part-Time"/>
    <x v="2"/>
    <m/>
    <n v="3"/>
    <n v="0"/>
    <m/>
    <m/>
    <m/>
    <s v="no"/>
    <x v="2"/>
    <x v="0"/>
  </r>
  <r>
    <s v="EMP-2018-0180"/>
    <s v="Frank"/>
    <s v="West"/>
    <m/>
    <n v="40"/>
    <n v="1984"/>
    <n v="50000"/>
    <x v="0"/>
    <x v="1"/>
    <x v="1"/>
    <x v="1"/>
    <s v="Analyst"/>
    <d v="2018-04-05T00:00:00"/>
    <d v="2018-04-05T00:00:00"/>
    <x v="3"/>
    <n v="100"/>
    <s v="frank.west@saltcorp.com"/>
    <s v=" "/>
    <s v="Full-Time"/>
    <x v="1"/>
    <s v="EMP-2018-0034"/>
    <n v="6"/>
    <m/>
    <n v="5"/>
    <d v="2022-06-20T00:00:00"/>
    <m/>
    <s v="YES"/>
    <x v="4"/>
    <x v="1"/>
  </r>
  <r>
    <s v="EMP-2020-0181"/>
    <s v="Grace"/>
    <s v="Zhou"/>
    <s v="thirty"/>
    <n v="30"/>
    <n v="1994"/>
    <n v="55000"/>
    <x v="6"/>
    <x v="0"/>
    <x v="4"/>
    <x v="4"/>
    <s v="Clerk"/>
    <d v="2020-02-20T00:00:00"/>
    <d v="2020-02-20T00:00:00"/>
    <x v="2"/>
    <n v="71"/>
    <s v="grace.zhou@saltcorp.com"/>
    <s v="123-456-7890"/>
    <s v="Full-Time"/>
    <x v="1"/>
    <s v="EMP-2019-0068"/>
    <n v="6"/>
    <m/>
    <n v="6"/>
    <m/>
    <m/>
    <m/>
    <x v="0"/>
    <x v="1"/>
  </r>
  <r>
    <s v="EMP-2018-0182"/>
    <s v="Eve"/>
    <s v="Stevens"/>
    <n v="50"/>
    <n v="50"/>
    <n v="1974"/>
    <n v="70000"/>
    <x v="5"/>
    <x v="1"/>
    <x v="4"/>
    <x v="4"/>
    <s v="Clerk"/>
    <d v="2018-04-05T00:00:00"/>
    <d v="2018-04-05T00:00:00"/>
    <x v="4"/>
    <n v="86"/>
    <s v="eve.stevens@saltcorp.com"/>
    <m/>
    <s v="contract"/>
    <x v="0"/>
    <m/>
    <n v="8"/>
    <m/>
    <m/>
    <d v="2023-01-15T00:00:00"/>
    <n v="75"/>
    <s v="no"/>
    <x v="2"/>
    <x v="0"/>
  </r>
  <r>
    <s v="EMP-2018-0183"/>
    <s v="Alice"/>
    <s v="Walker"/>
    <m/>
    <n v="54"/>
    <n v="1970"/>
    <n v="50000"/>
    <x v="0"/>
    <x v="1"/>
    <x v="4"/>
    <x v="4"/>
    <s v="Director"/>
    <d v="2018-04-05T00:00:00"/>
    <d v="2018-04-05T00:00:00"/>
    <x v="0"/>
    <n v="66"/>
    <s v="alice.walker@saltcorp.com"/>
    <m/>
    <s v="contract"/>
    <x v="0"/>
    <m/>
    <n v="5"/>
    <m/>
    <m/>
    <d v="2022-06-20T00:00:00"/>
    <m/>
    <s v="Y"/>
    <x v="1"/>
    <x v="1"/>
  </r>
  <r>
    <s v="EMP-2019-0184"/>
    <s v="Alice"/>
    <s v="West"/>
    <n v="25"/>
    <n v="25"/>
    <n v="1999"/>
    <s v="SIXTY THOUSAND"/>
    <x v="2"/>
    <x v="1"/>
    <x v="1"/>
    <x v="1"/>
    <s v="Clerk"/>
    <d v="2019-12-01T00:00:00"/>
    <d v="2019-12-01T00:00:00"/>
    <x v="2"/>
    <n v="79"/>
    <s v="alice.west@saltcorp.com"/>
    <s v="123-456-7890"/>
    <s v="Full-Time"/>
    <x v="1"/>
    <m/>
    <n v="2"/>
    <m/>
    <m/>
    <m/>
    <n v="71"/>
    <s v="no"/>
    <x v="0"/>
    <x v="0"/>
  </r>
  <r>
    <s v="EMP-2020-0185"/>
    <s v="Charlie"/>
    <s v="Clark"/>
    <s v="thirty"/>
    <n v="30"/>
    <n v="1994"/>
    <n v="65000"/>
    <x v="1"/>
    <x v="0"/>
    <x v="4"/>
    <x v="4"/>
    <s v="Analyst"/>
    <d v="2020-01-15T00:00:00"/>
    <d v="2020-01-15T00:00:00"/>
    <x v="3"/>
    <n v="99"/>
    <s v="charlie.clark@saltcorp.com"/>
    <s v=" "/>
    <s v="contract"/>
    <x v="0"/>
    <m/>
    <n v="6"/>
    <m/>
    <n v="15"/>
    <d v="2022-06-20T00:00:00"/>
    <m/>
    <s v="no"/>
    <x v="4"/>
    <x v="0"/>
  </r>
  <r>
    <s v="EMP-2018-0186"/>
    <s v="Bob"/>
    <s v="Wilson"/>
    <n v="50"/>
    <n v="50"/>
    <n v="1974"/>
    <n v="55000"/>
    <x v="6"/>
    <x v="1"/>
    <x v="0"/>
    <x v="0"/>
    <s v="Clerk"/>
    <d v="2018-04-05T00:00:00"/>
    <d v="2018-04-05T00:00:00"/>
    <x v="1"/>
    <n v="42"/>
    <s v="bob.wilson@saltcorp.com"/>
    <s v="098-765-4321"/>
    <s v="Part-Time"/>
    <x v="2"/>
    <m/>
    <n v="6"/>
    <n v="14"/>
    <n v="19"/>
    <m/>
    <m/>
    <s v="YES"/>
    <x v="2"/>
    <x v="0"/>
  </r>
  <r>
    <s v="EMP-2020-0187"/>
    <s v="Eve"/>
    <s v="Oliver"/>
    <n v="35"/>
    <n v="35"/>
    <n v="1989"/>
    <n v="50000"/>
    <x v="0"/>
    <x v="0"/>
    <x v="2"/>
    <x v="2"/>
    <s v="Manager"/>
    <d v="2020-01-15T00:00:00"/>
    <d v="2020-01-15T00:00:00"/>
    <x v="4"/>
    <n v="82"/>
    <s v="eve.oliver@saltcorp.com"/>
    <s v="098-765-4321"/>
    <s v="Full-Time"/>
    <x v="1"/>
    <s v="EMP-2019-0088"/>
    <n v="3"/>
    <m/>
    <n v="20"/>
    <d v="2021-10-01T00:00:00"/>
    <n v="63"/>
    <s v="Y"/>
    <x v="2"/>
    <x v="0"/>
  </r>
  <r>
    <s v="EMP-2019-0188"/>
    <s v="Jack"/>
    <s v="Matthews"/>
    <n v="50"/>
    <n v="50"/>
    <n v="1974"/>
    <n v="70000"/>
    <x v="5"/>
    <x v="1"/>
    <x v="2"/>
    <x v="2"/>
    <s v="Clerk"/>
    <d v="2019-12-01T00:00:00"/>
    <d v="2019-12-01T00:00:00"/>
    <x v="1"/>
    <n v="28"/>
    <s v="jack.matthews@saltcorp.com"/>
    <s v=" "/>
    <s v="contract"/>
    <x v="0"/>
    <s v="EMP-2019-0010"/>
    <n v="2"/>
    <n v="5"/>
    <m/>
    <d v="2023-01-15T00:00:00"/>
    <m/>
    <s v="Y"/>
    <x v="0"/>
    <x v="0"/>
  </r>
  <r>
    <s v="EMP-2020-0189"/>
    <s v="Frank"/>
    <s v="Sims"/>
    <n v="25"/>
    <n v="25"/>
    <n v="1999"/>
    <n v="50000"/>
    <x v="0"/>
    <x v="0"/>
    <x v="3"/>
    <x v="3"/>
    <s v="Assistant"/>
    <d v="2020-01-15T00:00:00"/>
    <d v="2020-01-15T00:00:00"/>
    <x v="2"/>
    <n v="74"/>
    <s v="frank.sims@saltcorp.com"/>
    <m/>
    <s v="Full-Time"/>
    <x v="1"/>
    <s v="EMP-2018-0009"/>
    <n v="7"/>
    <m/>
    <m/>
    <s v="N/A"/>
    <n v="60"/>
    <s v="no"/>
    <x v="3"/>
    <x v="0"/>
  </r>
  <r>
    <s v="EMP-2020-0190"/>
    <s v="Grace"/>
    <s v="Thomas"/>
    <s v="thirty"/>
    <n v="30"/>
    <n v="1994"/>
    <n v="60900"/>
    <x v="15"/>
    <x v="1"/>
    <x v="3"/>
    <x v="3"/>
    <s v="Manager"/>
    <d v="2020-02-20T00:00:00"/>
    <d v="2020-02-20T00:00:00"/>
    <x v="3"/>
    <n v="94"/>
    <s v="grace.thomas@saltcorp.com"/>
    <s v="098-765-4321"/>
    <s v="contract"/>
    <x v="0"/>
    <m/>
    <n v="7"/>
    <m/>
    <m/>
    <m/>
    <m/>
    <s v="YES"/>
    <x v="2"/>
    <x v="0"/>
  </r>
  <r>
    <s v="EMP-2018-0191"/>
    <s v="David"/>
    <s v="Mason"/>
    <n v="35"/>
    <n v="35"/>
    <n v="1989"/>
    <n v="70000"/>
    <x v="5"/>
    <x v="1"/>
    <x v="2"/>
    <x v="2"/>
    <s v="Director"/>
    <d v="2018-04-05T00:00:00"/>
    <d v="2018-04-05T00:00:00"/>
    <x v="0"/>
    <n v="63"/>
    <s v="david.mason@saltcorp.com"/>
    <s v="555-555-5555"/>
    <s v="contract"/>
    <x v="0"/>
    <m/>
    <n v="8"/>
    <m/>
    <m/>
    <d v="2024-08-12T00:00:00"/>
    <m/>
    <s v="no"/>
    <x v="3"/>
    <x v="0"/>
  </r>
  <r>
    <s v="EMP-2020-0192"/>
    <s v="Grace"/>
    <s v="Li"/>
    <n v="25"/>
    <n v="25"/>
    <n v="1999"/>
    <s v="SIXTY THOUSAND"/>
    <x v="2"/>
    <x v="1"/>
    <x v="0"/>
    <x v="0"/>
    <s v="Assistant"/>
    <d v="2020-01-15T00:00:00"/>
    <d v="2020-01-15T00:00:00"/>
    <x v="1"/>
    <n v="58"/>
    <s v="grace.li@saltcorp.com"/>
    <s v="555-555-5555"/>
    <s v="Full-Time"/>
    <x v="1"/>
    <m/>
    <n v="5"/>
    <n v="12"/>
    <m/>
    <m/>
    <m/>
    <s v="no"/>
    <x v="0"/>
    <x v="0"/>
  </r>
  <r>
    <s v="EMP-2019-0193"/>
    <s v="Hannah"/>
    <s v="Perry"/>
    <n v="50"/>
    <n v="50"/>
    <n v="1974"/>
    <n v="65000"/>
    <x v="1"/>
    <x v="0"/>
    <x v="1"/>
    <x v="1"/>
    <s v="Analyst"/>
    <d v="2019-03-25T00:00:00"/>
    <d v="2019-03-25T00:00:00"/>
    <x v="0"/>
    <n v="60"/>
    <s v="hannah.perry@saltcorp.com"/>
    <s v="123-456-7890"/>
    <s v="contract"/>
    <x v="0"/>
    <m/>
    <n v="7"/>
    <m/>
    <m/>
    <m/>
    <m/>
    <s v="no"/>
    <x v="1"/>
    <x v="1"/>
  </r>
  <r>
    <s v="EMP-2020-0194"/>
    <s v="Alice"/>
    <s v="Martinez"/>
    <n v="25"/>
    <n v="25"/>
    <n v="1999"/>
    <s v="SIXTY THOUSAND"/>
    <x v="2"/>
    <x v="1"/>
    <x v="1"/>
    <x v="1"/>
    <s v="Analyst"/>
    <d v="2020-01-15T00:00:00"/>
    <d v="2020-01-15T00:00:00"/>
    <x v="3"/>
    <n v="94"/>
    <s v="alice.martinez@saltcorp.com"/>
    <s v=" "/>
    <s v="Full-Time"/>
    <x v="1"/>
    <s v="EMP-2020-0093"/>
    <n v="8"/>
    <m/>
    <n v="0"/>
    <d v="2023-01-15T00:00:00"/>
    <m/>
    <s v="YES"/>
    <x v="3"/>
    <x v="1"/>
  </r>
  <r>
    <s v="EMP-2018-0195"/>
    <s v="Frank"/>
    <s v="Byrd"/>
    <s v="thirty"/>
    <n v="30"/>
    <n v="1994"/>
    <n v="55000"/>
    <x v="6"/>
    <x v="0"/>
    <x v="0"/>
    <x v="0"/>
    <s v="Analyst"/>
    <d v="2018-04-05T00:00:00"/>
    <d v="2018-04-05T00:00:00"/>
    <x v="1"/>
    <n v="17"/>
    <s v="frank.byrd@saltcorp.com"/>
    <s v=" "/>
    <s v="Part-Time"/>
    <x v="2"/>
    <m/>
    <n v="7"/>
    <s v="N/A"/>
    <m/>
    <d v="2023-03-05T00:00:00"/>
    <n v="24"/>
    <s v="YES"/>
    <x v="2"/>
    <x v="0"/>
  </r>
  <r>
    <s v="EMP-2019-0196"/>
    <s v="Hannah"/>
    <s v="Long"/>
    <n v="40"/>
    <n v="40"/>
    <n v="1984"/>
    <n v="50000"/>
    <x v="0"/>
    <x v="0"/>
    <x v="1"/>
    <x v="1"/>
    <s v="Assistant"/>
    <d v="2019-12-01T00:00:00"/>
    <d v="2019-12-01T00:00:00"/>
    <x v="0"/>
    <n v="67"/>
    <s v="hannah.long@saltcorp.com"/>
    <s v="098-765-4321"/>
    <s v="Full-Time"/>
    <x v="1"/>
    <m/>
    <n v="3"/>
    <s v="N/A"/>
    <n v="13"/>
    <m/>
    <m/>
    <s v="YES"/>
    <x v="1"/>
    <x v="1"/>
  </r>
  <r>
    <s v="EMP-2019-0197"/>
    <s v="Eve"/>
    <s v="Le"/>
    <n v="25"/>
    <n v="25"/>
    <n v="1999"/>
    <n v="61600"/>
    <x v="16"/>
    <x v="0"/>
    <x v="4"/>
    <x v="4"/>
    <s v="Assistant"/>
    <d v="2019-12-01T00:00:00"/>
    <d v="2019-12-01T00:00:00"/>
    <x v="0"/>
    <n v="65"/>
    <s v="eve.le@saltcorp.com"/>
    <m/>
    <s v="Full-Time"/>
    <x v="1"/>
    <m/>
    <n v="2"/>
    <s v="N/A"/>
    <m/>
    <m/>
    <m/>
    <m/>
    <x v="0"/>
    <x v="0"/>
  </r>
  <r>
    <s v="EMP-2018-0198"/>
    <s v="David"/>
    <s v="Kim"/>
    <n v="25"/>
    <n v="25"/>
    <n v="1999"/>
    <n v="70000"/>
    <x v="5"/>
    <x v="0"/>
    <x v="2"/>
    <x v="2"/>
    <s v="Assistant"/>
    <d v="2018-04-05T00:00:00"/>
    <d v="2018-04-05T00:00:00"/>
    <x v="1"/>
    <n v="43"/>
    <s v="david.kim@saltcorp.com"/>
    <s v=" "/>
    <s v="contract"/>
    <x v="0"/>
    <m/>
    <n v="3"/>
    <s v="N/A"/>
    <n v="1"/>
    <m/>
    <m/>
    <m/>
    <x v="1"/>
    <x v="1"/>
  </r>
  <r>
    <s v="EMP-2020-0199"/>
    <s v="Bob"/>
    <s v="Rodriguez"/>
    <n v="50"/>
    <n v="50"/>
    <n v="1974"/>
    <n v="70000"/>
    <x v="5"/>
    <x v="0"/>
    <x v="2"/>
    <x v="2"/>
    <s v="Manager"/>
    <d v="2020-02-20T00:00:00"/>
    <d v="2020-02-20T00:00:00"/>
    <x v="3"/>
    <n v="99"/>
    <s v="bob.rodriguez@saltcorp.com"/>
    <s v="098-765-4321"/>
    <s v="contract"/>
    <x v="0"/>
    <m/>
    <n v="1"/>
    <m/>
    <n v="17"/>
    <d v="2023-01-15T00:00:00"/>
    <m/>
    <s v="no"/>
    <x v="0"/>
    <x v="0"/>
  </r>
  <r>
    <s v="EMP-2020-0200"/>
    <s v="Frank"/>
    <s v="Lopez"/>
    <n v="50"/>
    <n v="50"/>
    <n v="1974"/>
    <n v="50000"/>
    <x v="0"/>
    <x v="0"/>
    <x v="0"/>
    <x v="0"/>
    <s v="Manager"/>
    <d v="2020-02-20T00:00:00"/>
    <d v="2020-02-20T00:00:00"/>
    <x v="0"/>
    <n v="68"/>
    <s v="frank.lopez@saltcorp.com"/>
    <s v="098-765-4321"/>
    <s v="contract"/>
    <x v="0"/>
    <s v="EMP-2020-0048"/>
    <n v="3"/>
    <m/>
    <m/>
    <m/>
    <m/>
    <m/>
    <x v="2"/>
    <x v="0"/>
  </r>
  <r>
    <s v="EMP-2019-0201"/>
    <s v="Frank"/>
    <s v="Santos"/>
    <n v="35"/>
    <n v="35"/>
    <n v="1989"/>
    <n v="60800"/>
    <x v="19"/>
    <x v="0"/>
    <x v="1"/>
    <x v="1"/>
    <s v="Analyst"/>
    <d v="2019-12-01T00:00:00"/>
    <d v="2019-12-01T00:00:00"/>
    <x v="2"/>
    <n v="72"/>
    <s v="frank.santos@saltcorp.com"/>
    <s v=" "/>
    <s v="Part-Time"/>
    <x v="2"/>
    <m/>
    <n v="2"/>
    <m/>
    <m/>
    <m/>
    <m/>
    <m/>
    <x v="4"/>
    <x v="0"/>
  </r>
  <r>
    <s v="EMP-2019-0202"/>
    <s v="Alice"/>
    <s v="Armstrong"/>
    <n v="50"/>
    <n v="50"/>
    <n v="1974"/>
    <n v="50000"/>
    <x v="0"/>
    <x v="0"/>
    <x v="3"/>
    <x v="3"/>
    <s v="Clerk"/>
    <d v="2019-12-01T00:00:00"/>
    <d v="2019-12-01T00:00:00"/>
    <x v="1"/>
    <n v="22"/>
    <s v="alice.armstrong@saltcorp.com"/>
    <s v="098-765-4321"/>
    <s v="Full-Time"/>
    <x v="1"/>
    <m/>
    <n v="7"/>
    <m/>
    <m/>
    <m/>
    <n v="42"/>
    <s v="YES"/>
    <x v="1"/>
    <x v="0"/>
  </r>
  <r>
    <s v="EMP-2018-0203"/>
    <s v="Ivy"/>
    <s v="Walker"/>
    <m/>
    <n v="38"/>
    <n v="1986"/>
    <n v="55000"/>
    <x v="6"/>
    <x v="0"/>
    <x v="3"/>
    <x v="3"/>
    <s v="Analyst"/>
    <d v="2018-04-05T00:00:00"/>
    <d v="2018-04-05T00:00:00"/>
    <x v="4"/>
    <n v="85"/>
    <s v="ivy.walker@saltcorp.com"/>
    <s v="123-456-7890"/>
    <s v="Part-Time"/>
    <x v="2"/>
    <m/>
    <n v="8"/>
    <s v="N/A"/>
    <m/>
    <d v="2022-06-20T00:00:00"/>
    <m/>
    <m/>
    <x v="0"/>
    <x v="1"/>
  </r>
  <r>
    <s v="EMP-2020-0204"/>
    <s v="Frank"/>
    <s v="Knight"/>
    <s v="thirty"/>
    <n v="30"/>
    <n v="1994"/>
    <s v="SIXTY THOUSAND"/>
    <x v="2"/>
    <x v="0"/>
    <x v="1"/>
    <x v="1"/>
    <s v="Director"/>
    <d v="2020-02-20T00:00:00"/>
    <d v="2020-02-20T00:00:00"/>
    <x v="4"/>
    <n v="85"/>
    <s v="frank.knight@saltcorp.com"/>
    <s v="123-456-7890"/>
    <s v="Part-Time"/>
    <x v="2"/>
    <m/>
    <n v="8"/>
    <m/>
    <n v="9"/>
    <m/>
    <m/>
    <s v="YES"/>
    <x v="1"/>
    <x v="1"/>
  </r>
  <r>
    <s v="EMP-2019-0205"/>
    <s v="Charlie"/>
    <s v="Jackson"/>
    <s v="thirty"/>
    <n v="30"/>
    <n v="1994"/>
    <n v="70000"/>
    <x v="5"/>
    <x v="0"/>
    <x v="3"/>
    <x v="3"/>
    <s v="Manager"/>
    <d v="2019-12-01T00:00:00"/>
    <d v="2019-12-01T00:00:00"/>
    <x v="3"/>
    <n v="100"/>
    <s v="charlie.jackson@saltcorp.com"/>
    <s v=" "/>
    <s v="Full-Time"/>
    <x v="1"/>
    <m/>
    <n v="3"/>
    <m/>
    <m/>
    <m/>
    <m/>
    <s v="no"/>
    <x v="3"/>
    <x v="1"/>
  </r>
  <r>
    <s v="EMP-2020-0206"/>
    <s v="David"/>
    <s v="O'Brien"/>
    <n v="40"/>
    <n v="40"/>
    <n v="1984"/>
    <n v="55000"/>
    <x v="6"/>
    <x v="0"/>
    <x v="0"/>
    <x v="0"/>
    <s v="Assistant"/>
    <d v="2020-02-20T00:00:00"/>
    <d v="2020-02-20T00:00:00"/>
    <x v="2"/>
    <n v="74"/>
    <s v="david.o'brien@saltcorp.com"/>
    <m/>
    <s v="Full-Time"/>
    <x v="1"/>
    <m/>
    <n v="7"/>
    <m/>
    <m/>
    <d v="2023-01-15T00:00:00"/>
    <n v="22"/>
    <s v="no"/>
    <x v="0"/>
    <x v="0"/>
  </r>
  <r>
    <s v="EMP-2019-0207"/>
    <s v="David"/>
    <s v="Vega"/>
    <n v="40"/>
    <n v="40"/>
    <n v="1984"/>
    <s v="SIXTY THOUSAND"/>
    <x v="2"/>
    <x v="1"/>
    <x v="0"/>
    <x v="0"/>
    <s v="Manager"/>
    <d v="2019-12-01T00:00:00"/>
    <d v="2019-12-01T00:00:00"/>
    <x v="0"/>
    <n v="68"/>
    <s v="david.vega@saltcorp.com"/>
    <s v="123-456-7890"/>
    <s v="contract"/>
    <x v="0"/>
    <m/>
    <n v="6"/>
    <m/>
    <m/>
    <d v="2022-06-20T00:00:00"/>
    <m/>
    <s v="YES"/>
    <x v="4"/>
    <x v="0"/>
  </r>
  <r>
    <s v="EMP-2020-0208"/>
    <s v="Charlie"/>
    <s v="Riley"/>
    <s v="thirty"/>
    <n v="30"/>
    <n v="1994"/>
    <n v="55000"/>
    <x v="6"/>
    <x v="0"/>
    <x v="1"/>
    <x v="1"/>
    <s v="Assistant"/>
    <d v="2020-01-15T00:00:00"/>
    <d v="2020-01-15T00:00:00"/>
    <x v="4"/>
    <n v="80"/>
    <s v="charlie.riley@saltcorp.com"/>
    <s v="123-456-7890"/>
    <s v="contract"/>
    <x v="0"/>
    <m/>
    <n v="1"/>
    <n v="4"/>
    <m/>
    <d v="2023-03-05T00:00:00"/>
    <m/>
    <s v="YES"/>
    <x v="4"/>
    <x v="0"/>
  </r>
  <r>
    <s v="EMP-2019-0209"/>
    <s v="Jack"/>
    <s v="O'Connor"/>
    <n v="40"/>
    <n v="40"/>
    <n v="1984"/>
    <n v="60100"/>
    <x v="10"/>
    <x v="0"/>
    <x v="3"/>
    <x v="3"/>
    <s v="Director"/>
    <d v="2019-03-25T00:00:00"/>
    <d v="2019-03-25T00:00:00"/>
    <x v="3"/>
    <n v="99"/>
    <s v="jack.o'connor@saltcorp.com"/>
    <s v=" "/>
    <s v="Full-Time"/>
    <x v="1"/>
    <s v="EMP-2019-0074"/>
    <n v="3"/>
    <m/>
    <m/>
    <d v="2023-01-15T00:00:00"/>
    <n v="12"/>
    <s v="no"/>
    <x v="1"/>
    <x v="0"/>
  </r>
  <r>
    <s v="EMP-2020-0210"/>
    <s v="Charlie"/>
    <s v="Powers"/>
    <n v="35"/>
    <n v="35"/>
    <n v="1989"/>
    <n v="70000"/>
    <x v="5"/>
    <x v="0"/>
    <x v="0"/>
    <x v="0"/>
    <s v="Director"/>
    <d v="2020-01-15T00:00:00"/>
    <d v="2020-01-15T00:00:00"/>
    <x v="2"/>
    <n v="72"/>
    <s v="charlie.powers@saltcorp.com"/>
    <s v="555-555-5555"/>
    <s v="contract"/>
    <x v="0"/>
    <m/>
    <n v="8"/>
    <m/>
    <n v="2"/>
    <m/>
    <m/>
    <s v="no"/>
    <x v="2"/>
    <x v="0"/>
  </r>
  <r>
    <s v="EMP-2019-0211"/>
    <s v="Charlie"/>
    <s v="Johnston"/>
    <n v="50"/>
    <n v="50"/>
    <n v="1974"/>
    <n v="50000"/>
    <x v="0"/>
    <x v="0"/>
    <x v="0"/>
    <x v="0"/>
    <s v="Manager"/>
    <d v="2019-12-01T00:00:00"/>
    <d v="2019-12-01T00:00:00"/>
    <x v="2"/>
    <n v="70"/>
    <s v="charlie.johnston@saltcorp.com"/>
    <s v="098-765-4321"/>
    <s v="Part-Time"/>
    <x v="2"/>
    <s v="EMP-2020-0072"/>
    <n v="8"/>
    <m/>
    <m/>
    <d v="2023-03-05T00:00:00"/>
    <n v="58"/>
    <s v="Y"/>
    <x v="1"/>
    <x v="0"/>
  </r>
  <r>
    <s v="EMP-2019-0212"/>
    <s v="David"/>
    <s v="Patel"/>
    <s v="thirty"/>
    <n v="30"/>
    <n v="1994"/>
    <n v="50000"/>
    <x v="0"/>
    <x v="1"/>
    <x v="4"/>
    <x v="4"/>
    <s v="Assistant"/>
    <d v="2019-03-25T00:00:00"/>
    <d v="2019-03-25T00:00:00"/>
    <x v="3"/>
    <n v="93"/>
    <s v="david.patel@saltcorp.com"/>
    <s v="123-456-7890"/>
    <s v="Part-Time"/>
    <x v="2"/>
    <m/>
    <n v="2"/>
    <m/>
    <n v="18"/>
    <m/>
    <n v="36"/>
    <s v="YES"/>
    <x v="0"/>
    <x v="0"/>
  </r>
  <r>
    <s v="EMP-2019-0213"/>
    <s v="Grace"/>
    <s v="Wu"/>
    <n v="40"/>
    <n v="40"/>
    <n v="1984"/>
    <s v="SIXTY THOUSAND"/>
    <x v="2"/>
    <x v="1"/>
    <x v="4"/>
    <x v="4"/>
    <s v="Director"/>
    <d v="2019-03-25T00:00:00"/>
    <d v="2019-03-25T00:00:00"/>
    <x v="3"/>
    <n v="98"/>
    <s v="grace.wu@saltcorp.com"/>
    <s v="555-555-5555"/>
    <s v="Part-Time"/>
    <x v="2"/>
    <m/>
    <n v="7"/>
    <m/>
    <m/>
    <d v="2021-10-01T00:00:00"/>
    <n v="22"/>
    <s v="YES"/>
    <x v="1"/>
    <x v="0"/>
  </r>
  <r>
    <s v="EMP-2019-0214"/>
    <s v="David"/>
    <s v="Santos"/>
    <s v="thirty"/>
    <n v="30"/>
    <n v="1994"/>
    <n v="65000"/>
    <x v="1"/>
    <x v="0"/>
    <x v="0"/>
    <x v="0"/>
    <s v="Analyst"/>
    <d v="2019-12-01T00:00:00"/>
    <d v="2019-12-01T00:00:00"/>
    <x v="0"/>
    <n v="62"/>
    <s v="david.santos@saltcorp.com"/>
    <m/>
    <s v="Part-Time"/>
    <x v="2"/>
    <m/>
    <n v="8"/>
    <n v="5"/>
    <m/>
    <d v="2024-08-12T00:00:00"/>
    <m/>
    <s v="YES"/>
    <x v="1"/>
    <x v="0"/>
  </r>
  <r>
    <s v="EMP-2019-0215"/>
    <s v="Ivy"/>
    <s v="Gutierrez"/>
    <m/>
    <n v="30"/>
    <n v="1994"/>
    <n v="60800"/>
    <x v="19"/>
    <x v="1"/>
    <x v="1"/>
    <x v="1"/>
    <s v="Analyst"/>
    <d v="2019-12-01T00:00:00"/>
    <d v="2019-12-01T00:00:00"/>
    <x v="3"/>
    <n v="94"/>
    <s v="ivy.gutierrez@saltcorp.com"/>
    <s v="555-555-5555"/>
    <s v="contract"/>
    <x v="0"/>
    <m/>
    <n v="1"/>
    <m/>
    <n v="2"/>
    <m/>
    <n v="40"/>
    <s v="no"/>
    <x v="3"/>
    <x v="0"/>
  </r>
  <r>
    <s v="EMP-2020-0216"/>
    <s v="Alice"/>
    <s v="Jordan"/>
    <n v="25"/>
    <n v="25"/>
    <n v="1999"/>
    <s v="SIXTY THOUSAND"/>
    <x v="2"/>
    <x v="0"/>
    <x v="2"/>
    <x v="2"/>
    <s v="Assistant"/>
    <d v="2020-02-20T00:00:00"/>
    <d v="2020-02-20T00:00:00"/>
    <x v="0"/>
    <n v="67"/>
    <s v="alice.jordan@saltcorp.com"/>
    <s v=" "/>
    <s v="Full-Time"/>
    <x v="1"/>
    <m/>
    <n v="2"/>
    <m/>
    <m/>
    <m/>
    <n v="71"/>
    <s v="no"/>
    <x v="0"/>
    <x v="0"/>
  </r>
  <r>
    <s v="EMP-2019-0217"/>
    <s v="Hannah"/>
    <s v="Oliver"/>
    <n v="50"/>
    <n v="50"/>
    <n v="1974"/>
    <n v="65000"/>
    <x v="1"/>
    <x v="1"/>
    <x v="2"/>
    <x v="2"/>
    <s v="Manager"/>
    <d v="2019-12-01T00:00:00"/>
    <d v="2019-12-01T00:00:00"/>
    <x v="0"/>
    <n v="69"/>
    <s v="hannah.oliver@saltcorp.com"/>
    <m/>
    <s v="Part-Time"/>
    <x v="2"/>
    <m/>
    <n v="5"/>
    <n v="7"/>
    <n v="19"/>
    <m/>
    <m/>
    <s v="YES"/>
    <x v="0"/>
    <x v="0"/>
  </r>
  <r>
    <s v="EMP-2018-0218"/>
    <s v="Grace"/>
    <s v="Yang"/>
    <s v="thirty"/>
    <n v="30"/>
    <n v="1994"/>
    <n v="55000"/>
    <x v="6"/>
    <x v="1"/>
    <x v="0"/>
    <x v="0"/>
    <s v="Director"/>
    <d v="2018-04-05T00:00:00"/>
    <d v="2018-04-05T00:00:00"/>
    <x v="1"/>
    <n v="21"/>
    <s v="grace.yang@saltcorp.com"/>
    <m/>
    <s v="Part-Time"/>
    <x v="2"/>
    <m/>
    <n v="6"/>
    <m/>
    <n v="1"/>
    <m/>
    <m/>
    <s v="no"/>
    <x v="0"/>
    <x v="0"/>
  </r>
  <r>
    <s v="EMP-2019-0219"/>
    <s v="Bob"/>
    <s v="Rivera"/>
    <n v="25"/>
    <n v="25"/>
    <n v="1999"/>
    <n v="59000"/>
    <x v="20"/>
    <x v="0"/>
    <x v="0"/>
    <x v="0"/>
    <s v="Manager"/>
    <d v="2019-12-01T00:00:00"/>
    <d v="2019-12-01T00:00:00"/>
    <x v="2"/>
    <n v="70"/>
    <s v="bob.rivera@saltcorp.com"/>
    <s v="555-555-5555"/>
    <s v="Full-Time"/>
    <x v="1"/>
    <m/>
    <n v="1"/>
    <m/>
    <n v="12"/>
    <m/>
    <m/>
    <m/>
    <x v="2"/>
    <x v="1"/>
  </r>
  <r>
    <s v="EMP-2018-0220"/>
    <s v="Hannah"/>
    <s v="Long"/>
    <n v="40"/>
    <n v="40"/>
    <n v="1984"/>
    <n v="55000"/>
    <x v="6"/>
    <x v="1"/>
    <x v="0"/>
    <x v="0"/>
    <s v="Analyst"/>
    <d v="2018-04-05T00:00:00"/>
    <d v="2018-04-05T00:00:00"/>
    <x v="2"/>
    <n v="79"/>
    <s v="hannah.long@saltcorp.com"/>
    <s v=" "/>
    <s v="Part-Time"/>
    <x v="2"/>
    <s v="EMP-2020-0077"/>
    <n v="4"/>
    <s v="N/A"/>
    <n v="13"/>
    <d v="2022-06-20T00:00:00"/>
    <n v="63"/>
    <s v="YES"/>
    <x v="1"/>
    <x v="1"/>
  </r>
  <r>
    <s v="EMP-2019-0221"/>
    <s v="Alice"/>
    <s v="Vega"/>
    <n v="25"/>
    <n v="25"/>
    <n v="1999"/>
    <n v="70000"/>
    <x v="5"/>
    <x v="0"/>
    <x v="1"/>
    <x v="1"/>
    <s v="Director"/>
    <d v="2019-12-01T00:00:00"/>
    <d v="2019-12-01T00:00:00"/>
    <x v="2"/>
    <n v="78"/>
    <s v="alice.vega@saltcorp.com"/>
    <s v="123-456-7890"/>
    <s v="Full-Time"/>
    <x v="1"/>
    <m/>
    <n v="6"/>
    <m/>
    <n v="14"/>
    <m/>
    <m/>
    <m/>
    <x v="0"/>
    <x v="0"/>
  </r>
  <r>
    <s v="EMP-2020-0222"/>
    <s v="Ivy"/>
    <s v="Rivera"/>
    <n v="50"/>
    <n v="50"/>
    <n v="1974"/>
    <n v="60000"/>
    <x v="2"/>
    <x v="1"/>
    <x v="4"/>
    <x v="4"/>
    <s v="Manager"/>
    <d v="2020-02-20T00:00:00"/>
    <d v="2020-02-20T00:00:00"/>
    <x v="1"/>
    <n v="29"/>
    <s v="ivy.rivera@saltcorp.com"/>
    <s v="555-555-5555"/>
    <s v="Part-Time"/>
    <x v="2"/>
    <m/>
    <n v="2"/>
    <n v="13"/>
    <m/>
    <d v="2023-03-05T00:00:00"/>
    <m/>
    <s v="Y"/>
    <x v="2"/>
    <x v="1"/>
  </r>
  <r>
    <s v="EMP-2018-0223"/>
    <s v="Ivy"/>
    <s v="Singh"/>
    <s v="thirty"/>
    <n v="30"/>
    <n v="1994"/>
    <n v="65000"/>
    <x v="1"/>
    <x v="1"/>
    <x v="0"/>
    <x v="0"/>
    <s v="Clerk"/>
    <d v="2018-04-05T00:00:00"/>
    <d v="2018-04-05T00:00:00"/>
    <x v="0"/>
    <n v="69"/>
    <s v="ivy.singh@saltcorp.com"/>
    <s v="123-456-7890"/>
    <s v="contract"/>
    <x v="0"/>
    <m/>
    <n v="7"/>
    <m/>
    <n v="3"/>
    <m/>
    <m/>
    <s v="no"/>
    <x v="2"/>
    <x v="0"/>
  </r>
  <r>
    <s v="EMP-2020-0224"/>
    <s v="Bob"/>
    <s v="Davis"/>
    <m/>
    <n v="33"/>
    <n v="1991"/>
    <n v="70000"/>
    <x v="5"/>
    <x v="0"/>
    <x v="0"/>
    <x v="0"/>
    <s v="Assistant"/>
    <d v="2020-01-15T00:00:00"/>
    <d v="2020-01-15T00:00:00"/>
    <x v="0"/>
    <n v="65"/>
    <s v="bob.davis@saltcorp.com"/>
    <s v="555-555-5555"/>
    <s v="Full-Time"/>
    <x v="1"/>
    <m/>
    <n v="4"/>
    <m/>
    <m/>
    <m/>
    <m/>
    <m/>
    <x v="3"/>
    <x v="1"/>
  </r>
  <r>
    <s v="EMP-2018-0225"/>
    <s v="Grace"/>
    <s v="Zhang"/>
    <n v="40"/>
    <n v="40"/>
    <n v="1984"/>
    <n v="50000"/>
    <x v="0"/>
    <x v="0"/>
    <x v="3"/>
    <x v="3"/>
    <s v="Assistant"/>
    <d v="2018-04-05T00:00:00"/>
    <d v="2018-04-05T00:00:00"/>
    <x v="3"/>
    <n v="97"/>
    <s v="grace.zhang@saltcorp.com"/>
    <s v="123-456-7890"/>
    <s v="Full-Time"/>
    <x v="1"/>
    <m/>
    <n v="8"/>
    <m/>
    <m/>
    <m/>
    <m/>
    <s v="no"/>
    <x v="2"/>
    <x v="0"/>
  </r>
  <r>
    <s v="EMP-2020-0226"/>
    <s v="Jack"/>
    <s v="Murphy"/>
    <s v="thirty"/>
    <n v="30"/>
    <n v="1994"/>
    <n v="65000"/>
    <x v="1"/>
    <x v="0"/>
    <x v="1"/>
    <x v="1"/>
    <s v="Clerk"/>
    <d v="2020-02-20T00:00:00"/>
    <d v="2020-02-20T00:00:00"/>
    <x v="1"/>
    <n v="21"/>
    <s v="jack.murphy@saltcorp.com"/>
    <s v="555-555-5555"/>
    <s v="Full-Time"/>
    <x v="1"/>
    <m/>
    <n v="6"/>
    <s v="N/A"/>
    <m/>
    <d v="2024-08-12T00:00:00"/>
    <n v="19"/>
    <s v="YES"/>
    <x v="1"/>
    <x v="1"/>
  </r>
  <r>
    <s v="EMP-2018-0227"/>
    <s v="Charlie"/>
    <s v="Sims"/>
    <n v="50"/>
    <n v="50"/>
    <n v="1974"/>
    <s v="SIXTY THOUSAND"/>
    <x v="2"/>
    <x v="0"/>
    <x v="0"/>
    <x v="0"/>
    <s v="Analyst"/>
    <d v="2018-04-05T00:00:00"/>
    <d v="2018-04-05T00:00:00"/>
    <x v="3"/>
    <n v="91"/>
    <s v="charlie.sims@saltcorp.com"/>
    <m/>
    <s v="contract"/>
    <x v="0"/>
    <m/>
    <n v="7"/>
    <m/>
    <m/>
    <m/>
    <m/>
    <s v="YES"/>
    <x v="2"/>
    <x v="0"/>
  </r>
  <r>
    <s v="EMP-2019-0228"/>
    <s v="Grace"/>
    <s v="Zhang"/>
    <n v="40"/>
    <n v="40"/>
    <n v="1984"/>
    <n v="50000"/>
    <x v="0"/>
    <x v="1"/>
    <x v="3"/>
    <x v="3"/>
    <s v="Director"/>
    <d v="2019-12-01T00:00:00"/>
    <d v="2019-12-01T00:00:00"/>
    <x v="1"/>
    <n v="55"/>
    <s v="grace.zhang@saltcorp.com"/>
    <s v="098-765-4321"/>
    <s v="Full-Time"/>
    <x v="1"/>
    <s v="EMP-2019-0077"/>
    <n v="3"/>
    <s v="N/A"/>
    <m/>
    <m/>
    <m/>
    <m/>
    <x v="3"/>
    <x v="0"/>
  </r>
  <r>
    <s v="EMP-2019-0229"/>
    <s v="Jack"/>
    <s v="Murphy"/>
    <n v="35"/>
    <n v="35"/>
    <n v="1989"/>
    <n v="50000"/>
    <x v="0"/>
    <x v="1"/>
    <x v="2"/>
    <x v="2"/>
    <s v="Assistant"/>
    <d v="2019-12-01T00:00:00"/>
    <d v="2019-12-01T00:00:00"/>
    <x v="3"/>
    <n v="100"/>
    <s v="jack.murphy@saltcorp.com"/>
    <m/>
    <s v="Full-Time"/>
    <x v="1"/>
    <s v="EMP-2019-0028"/>
    <n v="1"/>
    <m/>
    <m/>
    <d v="2023-03-05T00:00:00"/>
    <n v="60"/>
    <s v="no"/>
    <x v="2"/>
    <x v="0"/>
  </r>
  <r>
    <s v="EMP-2020-0230"/>
    <s v="Ivy"/>
    <s v="Desai"/>
    <n v="25"/>
    <n v="25"/>
    <n v="1999"/>
    <s v="SIXTY THOUSAND"/>
    <x v="2"/>
    <x v="0"/>
    <x v="0"/>
    <x v="0"/>
    <s v="Clerk"/>
    <d v="2020-02-20T00:00:00"/>
    <d v="2020-02-20T00:00:00"/>
    <x v="4"/>
    <n v="85"/>
    <s v="ivy.desai@saltcorp.com"/>
    <s v="123-456-7890"/>
    <s v="contract"/>
    <x v="0"/>
    <s v="EMP-2019-0042"/>
    <n v="1"/>
    <n v="1"/>
    <m/>
    <d v="2024-08-12T00:00:00"/>
    <m/>
    <s v="no"/>
    <x v="2"/>
    <x v="0"/>
  </r>
  <r>
    <s v="EMP-2019-0231"/>
    <s v="David"/>
    <s v="Sims"/>
    <n v="50"/>
    <n v="50"/>
    <n v="1974"/>
    <n v="58800"/>
    <x v="17"/>
    <x v="0"/>
    <x v="0"/>
    <x v="0"/>
    <s v="Clerk"/>
    <d v="2019-03-25T00:00:00"/>
    <d v="2019-03-25T00:00:00"/>
    <x v="2"/>
    <n v="78"/>
    <s v="david.sims@saltcorp.com"/>
    <s v=" "/>
    <s v="Part-Time"/>
    <x v="2"/>
    <s v="EMP-2020-0056"/>
    <n v="3"/>
    <m/>
    <m/>
    <d v="2022-06-20T00:00:00"/>
    <m/>
    <s v="Y"/>
    <x v="2"/>
    <x v="0"/>
  </r>
  <r>
    <s v="EMP-2019-0232"/>
    <s v="Alice"/>
    <s v="Figueroa"/>
    <n v="35"/>
    <n v="35"/>
    <n v="1989"/>
    <n v="50000"/>
    <x v="0"/>
    <x v="1"/>
    <x v="3"/>
    <x v="3"/>
    <s v="Analyst"/>
    <d v="2019-12-01T00:00:00"/>
    <d v="2019-12-01T00:00:00"/>
    <x v="2"/>
    <n v="78"/>
    <s v="alice.figueroa@saltcorp.com"/>
    <m/>
    <s v="Full-Time"/>
    <x v="1"/>
    <s v="EMP-2020-0091"/>
    <n v="8"/>
    <n v="12"/>
    <m/>
    <m/>
    <m/>
    <s v="YES"/>
    <x v="3"/>
    <x v="1"/>
  </r>
  <r>
    <s v="EMP-2020-0233"/>
    <s v="Bob"/>
    <s v="Smith"/>
    <s v="thirty"/>
    <n v="30"/>
    <n v="1994"/>
    <n v="65000"/>
    <x v="1"/>
    <x v="1"/>
    <x v="1"/>
    <x v="1"/>
    <s v="Analyst"/>
    <d v="2020-01-15T00:00:00"/>
    <d v="2020-01-15T00:00:00"/>
    <x v="0"/>
    <n v="63"/>
    <s v="bob.smith@saltcorp.com"/>
    <s v="098-765-4321"/>
    <s v="Part-Time"/>
    <x v="2"/>
    <s v="EMP-2020-0046"/>
    <n v="8"/>
    <m/>
    <n v="16"/>
    <m/>
    <m/>
    <s v="YES"/>
    <x v="1"/>
    <x v="1"/>
  </r>
  <r>
    <s v="EMP-2020-0234"/>
    <s v="Alice"/>
    <s v="Martinez"/>
    <m/>
    <n v="46"/>
    <n v="1978"/>
    <n v="70000"/>
    <x v="5"/>
    <x v="1"/>
    <x v="0"/>
    <x v="0"/>
    <s v="Manager"/>
    <d v="2020-02-20T00:00:00"/>
    <d v="2020-02-20T00:00:00"/>
    <x v="4"/>
    <n v="86"/>
    <s v="alice.martinez@saltcorp.com"/>
    <s v="123-456-7890"/>
    <s v="Part-Time"/>
    <x v="2"/>
    <m/>
    <n v="3"/>
    <m/>
    <m/>
    <m/>
    <m/>
    <s v="no"/>
    <x v="3"/>
    <x v="1"/>
  </r>
  <r>
    <s v="EMP-2018-0235"/>
    <s v="Eve"/>
    <s v="Carter"/>
    <n v="40"/>
    <n v="40"/>
    <n v="1984"/>
    <n v="50000"/>
    <x v="0"/>
    <x v="1"/>
    <x v="2"/>
    <x v="2"/>
    <s v="Assistant"/>
    <d v="2018-04-05T00:00:00"/>
    <d v="2018-04-05T00:00:00"/>
    <x v="2"/>
    <n v="70"/>
    <s v="eve.carter@saltcorp.com"/>
    <m/>
    <s v="Full-Time"/>
    <x v="1"/>
    <m/>
    <n v="2"/>
    <m/>
    <m/>
    <d v="2023-03-05T00:00:00"/>
    <n v="80"/>
    <s v="YES"/>
    <x v="4"/>
    <x v="0"/>
  </r>
  <r>
    <s v="EMP-2018-0236"/>
    <s v="Eve"/>
    <s v="Wallace"/>
    <n v="25"/>
    <n v="25"/>
    <n v="1999"/>
    <n v="65000"/>
    <x v="1"/>
    <x v="1"/>
    <x v="0"/>
    <x v="0"/>
    <s v="Manager"/>
    <d v="2018-04-05T00:00:00"/>
    <d v="2018-04-05T00:00:00"/>
    <x v="0"/>
    <n v="65"/>
    <s v="eve.wallace@saltcorp.com"/>
    <s v="555-555-5555"/>
    <s v="Full-Time"/>
    <x v="1"/>
    <m/>
    <n v="8"/>
    <s v="N/A"/>
    <m/>
    <m/>
    <m/>
    <m/>
    <x v="2"/>
    <x v="0"/>
  </r>
  <r>
    <s v="EMP-2020-0237"/>
    <s v="Grace"/>
    <s v="McCoy"/>
    <n v="40"/>
    <n v="40"/>
    <n v="1984"/>
    <n v="55000"/>
    <x v="6"/>
    <x v="0"/>
    <x v="2"/>
    <x v="2"/>
    <s v="Clerk"/>
    <d v="2020-01-15T00:00:00"/>
    <d v="2020-01-15T00:00:00"/>
    <x v="4"/>
    <n v="83"/>
    <s v="grace.mccoy@saltcorp.com"/>
    <s v=" "/>
    <s v="contract"/>
    <x v="0"/>
    <s v="EMP-2018-0052"/>
    <n v="6"/>
    <m/>
    <m/>
    <m/>
    <n v="76"/>
    <s v="no"/>
    <x v="1"/>
    <x v="1"/>
  </r>
  <r>
    <s v="EMP-2019-0238"/>
    <s v="Ivy"/>
    <s v="Gupta"/>
    <s v="thirty"/>
    <n v="30"/>
    <n v="1994"/>
    <n v="65000"/>
    <x v="1"/>
    <x v="0"/>
    <x v="4"/>
    <x v="4"/>
    <s v="Director"/>
    <d v="2019-12-01T00:00:00"/>
    <d v="2019-12-01T00:00:00"/>
    <x v="2"/>
    <n v="72"/>
    <s v="ivy.gupta@saltcorp.com"/>
    <s v="123-456-7890"/>
    <s v="Full-Time"/>
    <x v="1"/>
    <m/>
    <n v="4"/>
    <n v="14"/>
    <m/>
    <d v="2024-08-12T00:00:00"/>
    <n v="53"/>
    <s v="YES"/>
    <x v="2"/>
    <x v="0"/>
  </r>
  <r>
    <s v="EMP-2020-0239"/>
    <s v="Ivy"/>
    <s v="Shah"/>
    <n v="40"/>
    <n v="40"/>
    <n v="1984"/>
    <n v="70000"/>
    <x v="5"/>
    <x v="1"/>
    <x v="4"/>
    <x v="4"/>
    <s v="Director"/>
    <d v="2020-02-20T00:00:00"/>
    <d v="2020-02-20T00:00:00"/>
    <x v="3"/>
    <n v="99"/>
    <s v="ivy.shah@saltcorp.com"/>
    <m/>
    <s v="Full-Time"/>
    <x v="1"/>
    <m/>
    <n v="6"/>
    <m/>
    <n v="3"/>
    <m/>
    <n v="17"/>
    <s v="YES"/>
    <x v="0"/>
    <x v="0"/>
  </r>
  <r>
    <s v="EMP-2020-0240"/>
    <s v="Charlie"/>
    <s v="Martin"/>
    <n v="25"/>
    <n v="25"/>
    <n v="1999"/>
    <n v="65000"/>
    <x v="1"/>
    <x v="1"/>
    <x v="2"/>
    <x v="2"/>
    <s v="Analyst"/>
    <d v="2020-01-15T00:00:00"/>
    <d v="2020-01-15T00:00:00"/>
    <x v="1"/>
    <n v="40"/>
    <s v="charlie.martin@saltcorp.com"/>
    <s v="123-456-7890"/>
    <s v="Full-Time"/>
    <x v="1"/>
    <m/>
    <n v="5"/>
    <s v="N/A"/>
    <m/>
    <m/>
    <n v="51"/>
    <m/>
    <x v="0"/>
    <x v="0"/>
  </r>
  <r>
    <s v="EMP-2019-0241"/>
    <s v="Charlie"/>
    <s v="Taylor"/>
    <s v="thirty"/>
    <n v="30"/>
    <n v="1994"/>
    <s v="SIXTY THOUSAND"/>
    <x v="2"/>
    <x v="1"/>
    <x v="1"/>
    <x v="1"/>
    <s v="Director"/>
    <d v="2019-12-01T00:00:00"/>
    <d v="2019-12-01T00:00:00"/>
    <x v="4"/>
    <n v="87"/>
    <s v="charlie.taylor@saltcorp.com"/>
    <s v="555-555-5555"/>
    <s v="Full-Time"/>
    <x v="1"/>
    <m/>
    <n v="1"/>
    <n v="14"/>
    <m/>
    <m/>
    <m/>
    <s v="no"/>
    <x v="2"/>
    <x v="0"/>
  </r>
  <r>
    <s v="EMP-2020-0242"/>
    <s v="Charlie"/>
    <s v="Olson"/>
    <n v="40"/>
    <n v="40"/>
    <n v="1984"/>
    <n v="70000"/>
    <x v="5"/>
    <x v="1"/>
    <x v="0"/>
    <x v="0"/>
    <s v="Director"/>
    <d v="2020-02-20T00:00:00"/>
    <d v="2020-02-20T00:00:00"/>
    <x v="0"/>
    <n v="62"/>
    <s v="charlie.olson@saltcorp.com"/>
    <s v="098-765-4321"/>
    <s v="Part-Time"/>
    <x v="2"/>
    <m/>
    <n v="4"/>
    <s v="N/A"/>
    <m/>
    <m/>
    <m/>
    <s v="no"/>
    <x v="4"/>
    <x v="1"/>
  </r>
  <r>
    <s v="EMP-2018-0243"/>
    <s v="David"/>
    <s v="O'Brien"/>
    <m/>
    <n v="56"/>
    <n v="1968"/>
    <n v="60900"/>
    <x v="15"/>
    <x v="0"/>
    <x v="0"/>
    <x v="0"/>
    <s v="Director"/>
    <d v="2018-04-05T00:00:00"/>
    <d v="2018-04-05T00:00:00"/>
    <x v="4"/>
    <n v="85"/>
    <s v="david.o'brien@saltcorp.com"/>
    <m/>
    <s v="Full-Time"/>
    <x v="1"/>
    <m/>
    <n v="7"/>
    <m/>
    <m/>
    <d v="2023-03-05T00:00:00"/>
    <n v="61"/>
    <s v="YES"/>
    <x v="0"/>
    <x v="0"/>
  </r>
  <r>
    <s v="EMP-2020-0244"/>
    <s v="Hannah"/>
    <s v="Dominguez"/>
    <n v="50"/>
    <n v="50"/>
    <n v="1974"/>
    <n v="55000"/>
    <x v="6"/>
    <x v="1"/>
    <x v="4"/>
    <x v="4"/>
    <s v="Clerk"/>
    <d v="2020-02-20T00:00:00"/>
    <d v="2020-02-20T00:00:00"/>
    <x v="0"/>
    <n v="64"/>
    <s v="hannah.dominguez@saltcorp.com"/>
    <s v="123-456-7890"/>
    <s v="Part-Time"/>
    <x v="2"/>
    <s v="EMP-2018-0043"/>
    <n v="7"/>
    <m/>
    <m/>
    <m/>
    <m/>
    <m/>
    <x v="1"/>
    <x v="1"/>
  </r>
  <r>
    <s v="EMP-2019-0245"/>
    <s v="Frank"/>
    <s v="Sanchez"/>
    <s v="thirty"/>
    <n v="30"/>
    <n v="1994"/>
    <s v="SIXTY THOUSAND"/>
    <x v="2"/>
    <x v="0"/>
    <x v="2"/>
    <x v="2"/>
    <s v="Director"/>
    <d v="2019-03-25T00:00:00"/>
    <d v="2019-03-25T00:00:00"/>
    <x v="4"/>
    <n v="87"/>
    <s v="frank.sanchez@saltcorp.com"/>
    <s v="123-456-7890"/>
    <s v="Part-Time"/>
    <x v="2"/>
    <m/>
    <n v="4"/>
    <s v="N/A"/>
    <n v="0"/>
    <m/>
    <m/>
    <s v="YES"/>
    <x v="1"/>
    <x v="0"/>
  </r>
  <r>
    <s v="EMP-2020-0246"/>
    <s v="Hannah"/>
    <s v="Foster"/>
    <n v="50"/>
    <n v="50"/>
    <n v="1974"/>
    <n v="60900"/>
    <x v="15"/>
    <x v="0"/>
    <x v="0"/>
    <x v="0"/>
    <s v="Director"/>
    <d v="2020-02-20T00:00:00"/>
    <d v="2020-02-20T00:00:00"/>
    <x v="0"/>
    <n v="64"/>
    <s v="hannah.foster@saltcorp.com"/>
    <s v="123-456-7890"/>
    <s v="contract"/>
    <x v="0"/>
    <m/>
    <n v="2"/>
    <s v="N/A"/>
    <n v="0"/>
    <d v="2022-06-20T00:00:00"/>
    <m/>
    <s v="no"/>
    <x v="1"/>
    <x v="0"/>
  </r>
  <r>
    <s v="EMP-2019-0247"/>
    <s v="Alice"/>
    <s v="Baker"/>
    <s v="thirty"/>
    <n v="30"/>
    <n v="1994"/>
    <n v="65000"/>
    <x v="1"/>
    <x v="1"/>
    <x v="0"/>
    <x v="0"/>
    <s v="Director"/>
    <d v="2019-03-25T00:00:00"/>
    <d v="2019-03-25T00:00:00"/>
    <x v="2"/>
    <n v="76"/>
    <s v="alice.baker@saltcorp.com"/>
    <s v="098-765-4321"/>
    <s v="Full-Time"/>
    <x v="1"/>
    <m/>
    <n v="8"/>
    <m/>
    <m/>
    <d v="2023-01-15T00:00:00"/>
    <n v="8"/>
    <m/>
    <x v="0"/>
    <x v="0"/>
  </r>
  <r>
    <s v="EMP-2020-0248"/>
    <s v="Hannah"/>
    <s v="Foster"/>
    <m/>
    <n v="43"/>
    <n v="1981"/>
    <n v="70000"/>
    <x v="5"/>
    <x v="1"/>
    <x v="1"/>
    <x v="1"/>
    <s v="Manager"/>
    <d v="2020-02-20T00:00:00"/>
    <d v="2020-02-20T00:00:00"/>
    <x v="3"/>
    <n v="99"/>
    <s v="hannah.foster@saltcorp.com"/>
    <s v="123-456-7890"/>
    <s v="Part-Time"/>
    <x v="2"/>
    <s v="EMP-2018-0031"/>
    <n v="8"/>
    <m/>
    <m/>
    <m/>
    <n v="8"/>
    <m/>
    <x v="2"/>
    <x v="1"/>
  </r>
  <r>
    <s v="EMP-2019-0249"/>
    <s v="David"/>
    <s v="Murphy"/>
    <n v="50"/>
    <n v="50"/>
    <n v="1974"/>
    <n v="55000"/>
    <x v="6"/>
    <x v="0"/>
    <x v="3"/>
    <x v="3"/>
    <s v="Clerk"/>
    <d v="2019-03-25T00:00:00"/>
    <d v="2019-03-25T00:00:00"/>
    <x v="2"/>
    <n v="79"/>
    <s v="david.murphy@saltcorp.com"/>
    <s v=" "/>
    <s v="Part-Time"/>
    <x v="2"/>
    <m/>
    <n v="8"/>
    <s v="N/A"/>
    <m/>
    <d v="2022-06-20T00:00:00"/>
    <m/>
    <s v="no"/>
    <x v="3"/>
    <x v="1"/>
  </r>
  <r>
    <s v="EMP-2018-0250"/>
    <s v="Alice"/>
    <s v="Rivera"/>
    <n v="35"/>
    <n v="35"/>
    <n v="1989"/>
    <s v="SIXTY THOUSAND"/>
    <x v="2"/>
    <x v="1"/>
    <x v="4"/>
    <x v="4"/>
    <s v="Analyst"/>
    <d v="2018-04-05T00:00:00"/>
    <d v="2018-04-05T00:00:00"/>
    <x v="3"/>
    <n v="100"/>
    <s v="alice.rivera@saltcorp.com"/>
    <s v=" "/>
    <s v="contract"/>
    <x v="0"/>
    <s v="EMP-2020-0010"/>
    <n v="2"/>
    <m/>
    <m/>
    <m/>
    <m/>
    <s v="YES"/>
    <x v="3"/>
    <x v="1"/>
  </r>
  <r>
    <s v="EMP-2019-0251"/>
    <s v="Hannah"/>
    <s v="Gray"/>
    <n v="25"/>
    <n v="25"/>
    <n v="1999"/>
    <n v="60000"/>
    <x v="2"/>
    <x v="1"/>
    <x v="4"/>
    <x v="4"/>
    <s v="Manager"/>
    <d v="2019-12-01T00:00:00"/>
    <d v="2019-12-01T00:00:00"/>
    <x v="2"/>
    <n v="71"/>
    <s v="hannah.gray@saltcorp.com"/>
    <s v="123-456-7890"/>
    <s v="Part-Time"/>
    <x v="2"/>
    <m/>
    <n v="8"/>
    <m/>
    <n v="5"/>
    <m/>
    <n v="46"/>
    <s v="no"/>
    <x v="4"/>
    <x v="0"/>
  </r>
  <r>
    <s v="EMP-2019-0252"/>
    <s v="David"/>
    <s v="Schmidt"/>
    <n v="35"/>
    <n v="35"/>
    <n v="1989"/>
    <n v="59800"/>
    <x v="21"/>
    <x v="0"/>
    <x v="3"/>
    <x v="3"/>
    <s v="Assistant"/>
    <d v="2019-03-25T00:00:00"/>
    <d v="2019-03-25T00:00:00"/>
    <x v="2"/>
    <n v="79"/>
    <s v="david.schmidt@saltcorp.com"/>
    <s v=" "/>
    <s v="Full-Time"/>
    <x v="1"/>
    <m/>
    <n v="8"/>
    <m/>
    <n v="4"/>
    <d v="2023-01-15T00:00:00"/>
    <m/>
    <s v="no"/>
    <x v="3"/>
    <x v="0"/>
  </r>
  <r>
    <s v="EMP-2019-0253"/>
    <s v="Frank"/>
    <s v="Flores"/>
    <n v="40"/>
    <n v="40"/>
    <n v="1984"/>
    <n v="55000"/>
    <x v="6"/>
    <x v="0"/>
    <x v="0"/>
    <x v="0"/>
    <s v="Clerk"/>
    <d v="2019-03-25T00:00:00"/>
    <d v="2019-03-25T00:00:00"/>
    <x v="4"/>
    <n v="81"/>
    <s v="frank.flores@saltcorp.com"/>
    <m/>
    <s v="Part-Time"/>
    <x v="2"/>
    <m/>
    <n v="6"/>
    <m/>
    <n v="9"/>
    <m/>
    <m/>
    <s v="no"/>
    <x v="0"/>
    <x v="1"/>
  </r>
  <r>
    <s v="EMP-2018-0254"/>
    <s v="Hannah"/>
    <s v="Schmidt"/>
    <m/>
    <n v="26"/>
    <n v="1998"/>
    <n v="65000"/>
    <x v="1"/>
    <x v="0"/>
    <x v="1"/>
    <x v="1"/>
    <s v="Clerk"/>
    <d v="2018-04-05T00:00:00"/>
    <d v="2018-04-05T00:00:00"/>
    <x v="1"/>
    <n v="50"/>
    <s v="hannah.schmidt@saltcorp.com"/>
    <s v=" "/>
    <s v="Full-Time"/>
    <x v="1"/>
    <m/>
    <n v="2"/>
    <s v="N/A"/>
    <n v="5"/>
    <m/>
    <m/>
    <s v="no"/>
    <x v="4"/>
    <x v="1"/>
  </r>
  <r>
    <s v="EMP-2019-0255"/>
    <s v="David"/>
    <s v="Thomas"/>
    <n v="35"/>
    <n v="35"/>
    <n v="1989"/>
    <n v="55000"/>
    <x v="6"/>
    <x v="0"/>
    <x v="1"/>
    <x v="1"/>
    <s v="Assistant"/>
    <d v="2019-03-25T00:00:00"/>
    <d v="2019-03-25T00:00:00"/>
    <x v="0"/>
    <n v="68"/>
    <s v="david.thomas@saltcorp.com"/>
    <s v="123-456-7890"/>
    <s v="Part-Time"/>
    <x v="2"/>
    <m/>
    <n v="8"/>
    <m/>
    <m/>
    <d v="2024-08-12T00:00:00"/>
    <m/>
    <m/>
    <x v="4"/>
    <x v="0"/>
  </r>
  <r>
    <s v="EMP-2020-0256"/>
    <s v="Charlie"/>
    <s v="Taylor"/>
    <s v="thirty"/>
    <n v="30"/>
    <n v="1994"/>
    <n v="61600"/>
    <x v="16"/>
    <x v="0"/>
    <x v="4"/>
    <x v="4"/>
    <s v="Assistant"/>
    <d v="2020-01-15T00:00:00"/>
    <d v="2020-01-15T00:00:00"/>
    <x v="0"/>
    <n v="67"/>
    <s v="charlie.taylor@saltcorp.com"/>
    <s v="555-555-5555"/>
    <s v="Part-Time"/>
    <x v="2"/>
    <m/>
    <n v="1"/>
    <m/>
    <m/>
    <m/>
    <m/>
    <s v="YES"/>
    <x v="4"/>
    <x v="1"/>
  </r>
  <r>
    <s v="EMP-2018-0257"/>
    <s v="Ivy"/>
    <s v="Pearson"/>
    <n v="40"/>
    <n v="40"/>
    <n v="1984"/>
    <n v="50000"/>
    <x v="0"/>
    <x v="1"/>
    <x v="1"/>
    <x v="1"/>
    <s v="Assistant"/>
    <d v="2018-04-05T00:00:00"/>
    <d v="2018-04-05T00:00:00"/>
    <x v="0"/>
    <n v="67"/>
    <s v="ivy.pearson@saltcorp.com"/>
    <m/>
    <s v="Full-Time"/>
    <x v="1"/>
    <m/>
    <n v="2"/>
    <m/>
    <m/>
    <m/>
    <m/>
    <s v="Y"/>
    <x v="3"/>
    <x v="1"/>
  </r>
  <r>
    <s v="EMP-2020-0258"/>
    <s v="Charlie"/>
    <s v="Moore"/>
    <n v="40"/>
    <n v="40"/>
    <n v="1984"/>
    <s v="SIXTY THOUSAND"/>
    <x v="2"/>
    <x v="1"/>
    <x v="3"/>
    <x v="3"/>
    <s v="Analyst"/>
    <d v="2020-01-15T00:00:00"/>
    <d v="2020-01-15T00:00:00"/>
    <x v="3"/>
    <n v="92"/>
    <s v="charlie.moore@saltcorp.com"/>
    <s v="098-765-4321"/>
    <s v="contract"/>
    <x v="0"/>
    <m/>
    <n v="7"/>
    <n v="8"/>
    <n v="20"/>
    <m/>
    <m/>
    <s v="YES"/>
    <x v="1"/>
    <x v="0"/>
  </r>
  <r>
    <s v="EMP-2018-0259"/>
    <s v="Ivy"/>
    <s v="Sims"/>
    <n v="35"/>
    <n v="35"/>
    <n v="1989"/>
    <n v="55000"/>
    <x v="6"/>
    <x v="1"/>
    <x v="0"/>
    <x v="0"/>
    <s v="Director"/>
    <d v="2018-04-05T00:00:00"/>
    <d v="2018-04-05T00:00:00"/>
    <x v="0"/>
    <n v="64"/>
    <s v="ivy.sims@saltcorp.com"/>
    <s v="123-456-7890"/>
    <s v="contract"/>
    <x v="0"/>
    <s v="EMP-2018-0083"/>
    <n v="7"/>
    <n v="15"/>
    <m/>
    <m/>
    <m/>
    <s v="no"/>
    <x v="3"/>
    <x v="1"/>
  </r>
  <r>
    <s v="EMP-2019-0260"/>
    <s v="Bob"/>
    <s v="Mason"/>
    <n v="35"/>
    <n v="35"/>
    <n v="1989"/>
    <n v="58600"/>
    <x v="8"/>
    <x v="0"/>
    <x v="3"/>
    <x v="3"/>
    <s v="Clerk"/>
    <d v="2019-03-25T00:00:00"/>
    <d v="2019-03-25T00:00:00"/>
    <x v="0"/>
    <n v="64"/>
    <s v="bob.mason@saltcorp.com"/>
    <s v="098-765-4321"/>
    <s v="Part-Time"/>
    <x v="2"/>
    <m/>
    <n v="1"/>
    <m/>
    <m/>
    <d v="2024-08-12T00:00:00"/>
    <m/>
    <s v="no"/>
    <x v="0"/>
    <x v="0"/>
  </r>
  <r>
    <s v="EMP-2020-0261"/>
    <s v="Bob"/>
    <s v="Thomas"/>
    <m/>
    <n v="51"/>
    <n v="1973"/>
    <n v="65000"/>
    <x v="1"/>
    <x v="0"/>
    <x v="2"/>
    <x v="2"/>
    <s v="Director"/>
    <d v="2020-01-15T00:00:00"/>
    <d v="2020-01-15T00:00:00"/>
    <x v="4"/>
    <n v="85"/>
    <s v="bob.thomas@saltcorp.com"/>
    <s v="555-555-5555"/>
    <s v="contract"/>
    <x v="0"/>
    <m/>
    <n v="1"/>
    <s v="N/A"/>
    <m/>
    <m/>
    <m/>
    <s v="YES"/>
    <x v="4"/>
    <x v="0"/>
  </r>
  <r>
    <s v="EMP-2019-0262"/>
    <s v="Bob"/>
    <s v="Brown"/>
    <n v="25"/>
    <n v="25"/>
    <n v="1999"/>
    <n v="60500"/>
    <x v="7"/>
    <x v="0"/>
    <x v="4"/>
    <x v="4"/>
    <s v="Director"/>
    <d v="2019-03-25T00:00:00"/>
    <d v="2019-03-25T00:00:00"/>
    <x v="2"/>
    <n v="78"/>
    <s v="bob.brown@saltcorp.com"/>
    <s v="098-765-4321"/>
    <s v="contract"/>
    <x v="0"/>
    <m/>
    <n v="2"/>
    <n v="2"/>
    <m/>
    <d v="2023-01-15T00:00:00"/>
    <m/>
    <s v="YES"/>
    <x v="3"/>
    <x v="1"/>
  </r>
  <r>
    <s v="EMP-2018-0263"/>
    <s v="Frank"/>
    <s v="Williamson"/>
    <n v="35"/>
    <n v="35"/>
    <n v="1989"/>
    <n v="65000"/>
    <x v="1"/>
    <x v="0"/>
    <x v="1"/>
    <x v="1"/>
    <s v="Assistant"/>
    <d v="2018-04-05T00:00:00"/>
    <d v="2018-04-05T00:00:00"/>
    <x v="0"/>
    <n v="67"/>
    <s v="frank.williamson@saltcorp.com"/>
    <s v="123-456-7890"/>
    <s v="Full-Time"/>
    <x v="1"/>
    <m/>
    <n v="5"/>
    <m/>
    <m/>
    <m/>
    <m/>
    <s v="no"/>
    <x v="1"/>
    <x v="0"/>
  </r>
  <r>
    <s v="EMP-2019-0264"/>
    <s v="Charlie"/>
    <s v="Moore"/>
    <n v="35"/>
    <n v="35"/>
    <n v="1989"/>
    <n v="55000"/>
    <x v="6"/>
    <x v="1"/>
    <x v="2"/>
    <x v="2"/>
    <s v="Analyst"/>
    <d v="2019-03-25T00:00:00"/>
    <d v="2019-03-25T00:00:00"/>
    <x v="1"/>
    <n v="2"/>
    <s v="charlie.moore@saltcorp.com"/>
    <s v="123-456-7890"/>
    <s v="contract"/>
    <x v="0"/>
    <m/>
    <n v="4"/>
    <n v="4"/>
    <m/>
    <m/>
    <m/>
    <s v="no"/>
    <x v="3"/>
    <x v="0"/>
  </r>
  <r>
    <s v="EMP-2020-0265"/>
    <s v="Ivy"/>
    <s v="Kumar"/>
    <n v="50"/>
    <n v="50"/>
    <n v="1974"/>
    <n v="65000"/>
    <x v="1"/>
    <x v="0"/>
    <x v="1"/>
    <x v="1"/>
    <s v="Manager"/>
    <d v="2020-01-15T00:00:00"/>
    <d v="2020-01-15T00:00:00"/>
    <x v="0"/>
    <n v="61"/>
    <s v="ivy.kumar@saltcorp.com"/>
    <s v="555-555-5555"/>
    <s v="contract"/>
    <x v="0"/>
    <s v="EMP-2019-0092"/>
    <n v="8"/>
    <m/>
    <m/>
    <m/>
    <m/>
    <s v="no"/>
    <x v="0"/>
    <x v="0"/>
  </r>
  <r>
    <s v="EMP-2020-0266"/>
    <s v="David"/>
    <s v="Sullivan"/>
    <s v="thirty"/>
    <n v="30"/>
    <n v="1994"/>
    <n v="70000"/>
    <x v="5"/>
    <x v="1"/>
    <x v="0"/>
    <x v="0"/>
    <s v="Analyst"/>
    <d v="2020-01-15T00:00:00"/>
    <d v="2020-01-15T00:00:00"/>
    <x v="3"/>
    <n v="93"/>
    <s v="david.sullivan@saltcorp.com"/>
    <s v="123-456-7890"/>
    <s v="contract"/>
    <x v="0"/>
    <s v="EMP-2018-0006"/>
    <n v="6"/>
    <m/>
    <n v="2"/>
    <m/>
    <m/>
    <s v="YES"/>
    <x v="3"/>
    <x v="1"/>
  </r>
  <r>
    <s v="EMP-2019-0267"/>
    <s v="Alice"/>
    <s v="Garrett"/>
    <n v="50"/>
    <n v="50"/>
    <n v="1974"/>
    <n v="70000"/>
    <x v="5"/>
    <x v="0"/>
    <x v="0"/>
    <x v="0"/>
    <s v="Director"/>
    <d v="2019-03-25T00:00:00"/>
    <d v="2019-03-25T00:00:00"/>
    <x v="3"/>
    <n v="95"/>
    <s v="alice.garrett@saltcorp.com"/>
    <s v="555-555-5555"/>
    <s v="Full-Time"/>
    <x v="1"/>
    <m/>
    <n v="6"/>
    <m/>
    <m/>
    <m/>
    <m/>
    <m/>
    <x v="1"/>
    <x v="1"/>
  </r>
  <r>
    <s v="EMP-2020-0268"/>
    <s v="David"/>
    <s v="Patel"/>
    <n v="50"/>
    <n v="50"/>
    <n v="1974"/>
    <n v="70000"/>
    <x v="5"/>
    <x v="1"/>
    <x v="0"/>
    <x v="0"/>
    <s v="Analyst"/>
    <d v="2020-02-20T00:00:00"/>
    <d v="2020-02-20T00:00:00"/>
    <x v="3"/>
    <n v="92"/>
    <s v="david.patel@saltcorp.com"/>
    <s v="555-555-5555"/>
    <s v="Part-Time"/>
    <x v="2"/>
    <m/>
    <n v="1"/>
    <m/>
    <m/>
    <m/>
    <m/>
    <s v="YES"/>
    <x v="0"/>
    <x v="0"/>
  </r>
  <r>
    <s v="EMP-2018-0269"/>
    <s v="Alice"/>
    <s v="Lee"/>
    <n v="40"/>
    <n v="40"/>
    <n v="1984"/>
    <n v="50000"/>
    <x v="0"/>
    <x v="1"/>
    <x v="1"/>
    <x v="1"/>
    <s v="Assistant"/>
    <d v="2018-04-05T00:00:00"/>
    <d v="2018-04-05T00:00:00"/>
    <x v="0"/>
    <n v="65"/>
    <s v="alice.lee@saltcorp.com"/>
    <s v="123-456-7890"/>
    <s v="Full-Time"/>
    <x v="1"/>
    <m/>
    <n v="4"/>
    <m/>
    <n v="15"/>
    <d v="2024-08-12T00:00:00"/>
    <m/>
    <s v="no"/>
    <x v="3"/>
    <x v="1"/>
  </r>
  <r>
    <s v="EMP-2018-0270"/>
    <s v="Eve"/>
    <s v="Turner"/>
    <n v="25"/>
    <n v="25"/>
    <n v="1999"/>
    <n v="55000"/>
    <x v="6"/>
    <x v="0"/>
    <x v="2"/>
    <x v="2"/>
    <s v="Manager"/>
    <d v="2018-04-05T00:00:00"/>
    <d v="2018-04-05T00:00:00"/>
    <x v="4"/>
    <n v="87"/>
    <s v="eve.turner@saltcorp.com"/>
    <s v=" "/>
    <s v="Full-Time"/>
    <x v="1"/>
    <m/>
    <n v="8"/>
    <m/>
    <n v="18"/>
    <m/>
    <m/>
    <s v="no"/>
    <x v="1"/>
    <x v="1"/>
  </r>
  <r>
    <s v="EMP-2019-0271"/>
    <s v="David"/>
    <s v="Barnett"/>
    <s v="thirty"/>
    <n v="30"/>
    <n v="1994"/>
    <n v="61500"/>
    <x v="11"/>
    <x v="1"/>
    <x v="0"/>
    <x v="0"/>
    <s v="Assistant"/>
    <d v="2019-03-25T00:00:00"/>
    <d v="2019-03-25T00:00:00"/>
    <x v="1"/>
    <n v="3"/>
    <s v="david.barnett@saltcorp.com"/>
    <s v="555-555-5555"/>
    <s v="Part-Time"/>
    <x v="2"/>
    <m/>
    <n v="6"/>
    <m/>
    <m/>
    <m/>
    <n v="14"/>
    <s v="no"/>
    <x v="4"/>
    <x v="1"/>
  </r>
  <r>
    <s v="EMP-2020-0272"/>
    <s v="Hannah"/>
    <s v="Hughes"/>
    <m/>
    <n v="50"/>
    <n v="1974"/>
    <n v="61500"/>
    <x v="11"/>
    <x v="1"/>
    <x v="2"/>
    <x v="2"/>
    <s v="Manager"/>
    <d v="2020-02-20T00:00:00"/>
    <d v="2020-02-20T00:00:00"/>
    <x v="0"/>
    <n v="61"/>
    <s v="hannah.hughes@saltcorp.com"/>
    <s v="123-456-7890"/>
    <s v="Part-Time"/>
    <x v="2"/>
    <m/>
    <n v="8"/>
    <m/>
    <n v="13"/>
    <d v="2024-08-12T00:00:00"/>
    <m/>
    <s v="YES"/>
    <x v="3"/>
    <x v="0"/>
  </r>
  <r>
    <s v="EMP-2020-0273"/>
    <s v="Hannah"/>
    <s v="Barnett"/>
    <m/>
    <n v="51"/>
    <n v="1973"/>
    <n v="50000"/>
    <x v="0"/>
    <x v="0"/>
    <x v="1"/>
    <x v="1"/>
    <s v="Director"/>
    <d v="2020-01-15T00:00:00"/>
    <d v="2020-01-15T00:00:00"/>
    <x v="4"/>
    <n v="81"/>
    <s v="hannah.barnett@saltcorp.com"/>
    <s v=" "/>
    <s v="Full-Time"/>
    <x v="1"/>
    <m/>
    <n v="6"/>
    <n v="1"/>
    <n v="11"/>
    <m/>
    <m/>
    <s v="YES"/>
    <x v="0"/>
    <x v="0"/>
  </r>
  <r>
    <s v="EMP-2019-0274"/>
    <s v="Grace"/>
    <s v="Li"/>
    <n v="35"/>
    <n v="35"/>
    <n v="1989"/>
    <n v="65000"/>
    <x v="1"/>
    <x v="0"/>
    <x v="2"/>
    <x v="2"/>
    <s v="Manager"/>
    <d v="2019-12-01T00:00:00"/>
    <d v="2019-12-01T00:00:00"/>
    <x v="4"/>
    <n v="85"/>
    <s v="grace.li@saltcorp.com"/>
    <s v="555-555-5555"/>
    <s v="contract"/>
    <x v="0"/>
    <s v="EMP-2018-0043"/>
    <n v="8"/>
    <m/>
    <n v="9"/>
    <d v="2023-03-05T00:00:00"/>
    <n v="22"/>
    <s v="YES"/>
    <x v="3"/>
    <x v="1"/>
  </r>
  <r>
    <s v="EMP-2019-0275"/>
    <s v="Charlie"/>
    <s v="Hoffman"/>
    <n v="35"/>
    <n v="35"/>
    <n v="1989"/>
    <n v="50000"/>
    <x v="0"/>
    <x v="0"/>
    <x v="1"/>
    <x v="1"/>
    <s v="Manager"/>
    <d v="2019-12-01T00:00:00"/>
    <d v="2019-12-01T00:00:00"/>
    <x v="0"/>
    <n v="68"/>
    <s v="charlie.hoffman@saltcorp.com"/>
    <s v=" "/>
    <s v="Full-Time"/>
    <x v="1"/>
    <m/>
    <n v="2"/>
    <n v="12"/>
    <n v="7"/>
    <d v="2023-01-15T00:00:00"/>
    <n v="42"/>
    <s v="no"/>
    <x v="4"/>
    <x v="0"/>
  </r>
  <r>
    <s v="EMP-2019-0276"/>
    <s v="Alice"/>
    <s v="Welch"/>
    <m/>
    <n v="39"/>
    <n v="1985"/>
    <n v="65000"/>
    <x v="1"/>
    <x v="1"/>
    <x v="1"/>
    <x v="1"/>
    <s v="Manager"/>
    <d v="2019-03-25T00:00:00"/>
    <d v="2019-03-25T00:00:00"/>
    <x v="0"/>
    <n v="65"/>
    <s v="alice.welch@saltcorp.com"/>
    <m/>
    <s v="Part-Time"/>
    <x v="2"/>
    <m/>
    <n v="2"/>
    <m/>
    <n v="10"/>
    <d v="2024-08-12T00:00:00"/>
    <n v="33"/>
    <s v="no"/>
    <x v="4"/>
    <x v="0"/>
  </r>
  <r>
    <s v="EMP-2020-0277"/>
    <s v="Alice"/>
    <s v="Thompson"/>
    <n v="35"/>
    <n v="35"/>
    <n v="1989"/>
    <n v="65000"/>
    <x v="1"/>
    <x v="1"/>
    <x v="4"/>
    <x v="4"/>
    <s v="Analyst"/>
    <d v="2020-02-20T00:00:00"/>
    <d v="2020-02-20T00:00:00"/>
    <x v="4"/>
    <n v="89"/>
    <s v="alice.thompson@saltcorp.com"/>
    <m/>
    <s v="Part-Time"/>
    <x v="2"/>
    <m/>
    <n v="4"/>
    <m/>
    <m/>
    <d v="2023-03-05T00:00:00"/>
    <n v="24"/>
    <s v="YES"/>
    <x v="1"/>
    <x v="1"/>
  </r>
  <r>
    <s v="EMP-2020-0278"/>
    <s v="Charlie"/>
    <s v="Jackson"/>
    <n v="25"/>
    <n v="25"/>
    <n v="1999"/>
    <s v="SIXTY THOUSAND"/>
    <x v="2"/>
    <x v="0"/>
    <x v="1"/>
    <x v="1"/>
    <s v="Analyst"/>
    <d v="2020-02-20T00:00:00"/>
    <d v="2020-02-20T00:00:00"/>
    <x v="4"/>
    <n v="82"/>
    <s v="charlie.jackson@saltcorp.com"/>
    <s v=" "/>
    <s v="Part-Time"/>
    <x v="2"/>
    <m/>
    <n v="1"/>
    <m/>
    <m/>
    <m/>
    <m/>
    <s v="YES"/>
    <x v="0"/>
    <x v="0"/>
  </r>
  <r>
    <s v="EMP-2018-0279"/>
    <s v="Frank"/>
    <s v="Sanchez"/>
    <n v="50"/>
    <n v="50"/>
    <n v="1974"/>
    <n v="60300"/>
    <x v="14"/>
    <x v="1"/>
    <x v="1"/>
    <x v="1"/>
    <s v="Director"/>
    <d v="2018-04-05T00:00:00"/>
    <d v="2018-04-05T00:00:00"/>
    <x v="4"/>
    <n v="81"/>
    <s v="frank.sanchez@saltcorp.com"/>
    <s v="555-555-5555"/>
    <s v="Part-Time"/>
    <x v="2"/>
    <m/>
    <n v="6"/>
    <m/>
    <m/>
    <m/>
    <n v="32"/>
    <s v="no"/>
    <x v="1"/>
    <x v="1"/>
  </r>
  <r>
    <s v="EMP-2020-0280"/>
    <s v="Grace"/>
    <s v="Yang"/>
    <n v="35"/>
    <n v="35"/>
    <n v="1989"/>
    <n v="70000"/>
    <x v="5"/>
    <x v="1"/>
    <x v="3"/>
    <x v="3"/>
    <s v="Manager"/>
    <d v="2020-01-15T00:00:00"/>
    <d v="2020-01-15T00:00:00"/>
    <x v="0"/>
    <n v="65"/>
    <s v="grace.yang@saltcorp.com"/>
    <s v="123-456-7890"/>
    <s v="Part-Time"/>
    <x v="2"/>
    <m/>
    <n v="6"/>
    <m/>
    <n v="8"/>
    <d v="2024-08-12T00:00:00"/>
    <n v="66"/>
    <s v="no"/>
    <x v="3"/>
    <x v="1"/>
  </r>
  <r>
    <s v="EMP-2020-0281"/>
    <s v="Frank"/>
    <s v="Gomez"/>
    <n v="40"/>
    <n v="40"/>
    <n v="1984"/>
    <n v="65000"/>
    <x v="1"/>
    <x v="0"/>
    <x v="0"/>
    <x v="0"/>
    <s v="Clerk"/>
    <d v="2020-02-20T00:00:00"/>
    <d v="2020-02-20T00:00:00"/>
    <x v="4"/>
    <n v="84"/>
    <s v="frank.gomez@saltcorp.com"/>
    <s v="098-765-4321"/>
    <s v="Full-Time"/>
    <x v="1"/>
    <m/>
    <n v="5"/>
    <n v="3"/>
    <n v="2"/>
    <d v="2024-08-12T00:00:00"/>
    <m/>
    <s v="YES"/>
    <x v="3"/>
    <x v="1"/>
  </r>
  <r>
    <s v="EMP-2019-0282"/>
    <s v="Frank"/>
    <s v="Gutierrez"/>
    <n v="35"/>
    <n v="35"/>
    <n v="1989"/>
    <s v="SIXTY THOUSAND"/>
    <x v="2"/>
    <x v="0"/>
    <x v="4"/>
    <x v="4"/>
    <s v="Director"/>
    <d v="2019-12-01T00:00:00"/>
    <d v="2019-12-01T00:00:00"/>
    <x v="3"/>
    <n v="96"/>
    <s v="frank.gutierrez@saltcorp.com"/>
    <s v="123-456-7890"/>
    <s v="Full-Time"/>
    <x v="1"/>
    <s v="EMP-2019-0040"/>
    <n v="6"/>
    <s v="N/A"/>
    <m/>
    <m/>
    <n v="79"/>
    <s v="no"/>
    <x v="4"/>
    <x v="0"/>
  </r>
  <r>
    <s v="EMP-2020-0283"/>
    <s v="Frank"/>
    <s v="Perez"/>
    <s v="thirty"/>
    <n v="30"/>
    <n v="1994"/>
    <n v="60000"/>
    <x v="2"/>
    <x v="0"/>
    <x v="4"/>
    <x v="4"/>
    <s v="Manager"/>
    <d v="2020-01-15T00:00:00"/>
    <d v="2020-01-15T00:00:00"/>
    <x v="0"/>
    <n v="69"/>
    <s v="frank.perez@saltcorp.com"/>
    <s v="098-765-4321"/>
    <s v="contract"/>
    <x v="0"/>
    <m/>
    <n v="2"/>
    <m/>
    <m/>
    <m/>
    <m/>
    <s v="no"/>
    <x v="2"/>
    <x v="0"/>
  </r>
  <r>
    <s v="EMP-2020-0284"/>
    <s v="Charlie"/>
    <s v="Thomas"/>
    <n v="25"/>
    <n v="25"/>
    <n v="1999"/>
    <n v="70000"/>
    <x v="5"/>
    <x v="0"/>
    <x v="4"/>
    <x v="4"/>
    <s v="Manager"/>
    <d v="2020-01-15T00:00:00"/>
    <d v="2020-01-15T00:00:00"/>
    <x v="3"/>
    <n v="97"/>
    <s v="charlie.thomas@saltcorp.com"/>
    <s v="098-765-4321"/>
    <s v="contract"/>
    <x v="0"/>
    <s v="EMP-2019-0025"/>
    <n v="1"/>
    <m/>
    <n v="2"/>
    <m/>
    <m/>
    <s v="YES"/>
    <x v="2"/>
    <x v="1"/>
  </r>
  <r>
    <s v="EMP-2019-0285"/>
    <s v="Frank"/>
    <s v="Rogers"/>
    <s v="thirty"/>
    <n v="30"/>
    <n v="1994"/>
    <n v="65000"/>
    <x v="1"/>
    <x v="0"/>
    <x v="3"/>
    <x v="3"/>
    <s v="Analyst"/>
    <d v="2019-03-25T00:00:00"/>
    <d v="2019-03-25T00:00:00"/>
    <x v="2"/>
    <n v="74"/>
    <s v="frank.rogers@saltcorp.com"/>
    <s v="555-555-5555"/>
    <s v="Full-Time"/>
    <x v="1"/>
    <m/>
    <n v="3"/>
    <s v="N/A"/>
    <m/>
    <m/>
    <m/>
    <s v="no"/>
    <x v="1"/>
    <x v="0"/>
  </r>
  <r>
    <s v="EMP-2020-0286"/>
    <s v="Hannah"/>
    <s v="Hughes"/>
    <s v="thirty"/>
    <n v="30"/>
    <n v="1994"/>
    <n v="65000"/>
    <x v="1"/>
    <x v="0"/>
    <x v="1"/>
    <x v="1"/>
    <s v="Director"/>
    <d v="2020-02-20T00:00:00"/>
    <d v="2020-02-20T00:00:00"/>
    <x v="0"/>
    <n v="66"/>
    <s v="hannah.hughes@saltcorp.com"/>
    <s v=" "/>
    <s v="Part-Time"/>
    <x v="2"/>
    <m/>
    <n v="8"/>
    <m/>
    <m/>
    <m/>
    <m/>
    <s v="YES"/>
    <x v="4"/>
    <x v="0"/>
  </r>
  <r>
    <s v="EMP-2019-0287"/>
    <s v="Bob"/>
    <s v="Johnson"/>
    <n v="40"/>
    <n v="40"/>
    <n v="1984"/>
    <n v="50000"/>
    <x v="0"/>
    <x v="0"/>
    <x v="0"/>
    <x v="0"/>
    <s v="Manager"/>
    <d v="2019-03-25T00:00:00"/>
    <d v="2019-03-25T00:00:00"/>
    <x v="2"/>
    <n v="77"/>
    <s v="bob.johnson@saltcorp.com"/>
    <s v="123-456-7890"/>
    <s v="Full-Time"/>
    <x v="1"/>
    <s v="EMP-2020-0068"/>
    <n v="3"/>
    <m/>
    <m/>
    <m/>
    <m/>
    <s v="no"/>
    <x v="1"/>
    <x v="1"/>
  </r>
  <r>
    <s v="EMP-2020-0288"/>
    <s v="Eve"/>
    <s v="Figueroa"/>
    <n v="25"/>
    <n v="25"/>
    <n v="1999"/>
    <n v="50000"/>
    <x v="0"/>
    <x v="1"/>
    <x v="2"/>
    <x v="2"/>
    <s v="Manager"/>
    <d v="2020-02-20T00:00:00"/>
    <d v="2020-02-20T00:00:00"/>
    <x v="4"/>
    <n v="85"/>
    <s v="eve.figueroa@saltcorp.com"/>
    <s v=" "/>
    <s v="Full-Time"/>
    <x v="1"/>
    <m/>
    <n v="7"/>
    <m/>
    <m/>
    <d v="2023-01-15T00:00:00"/>
    <m/>
    <s v="YES"/>
    <x v="1"/>
    <x v="1"/>
  </r>
  <r>
    <s v="EMP-2018-0289"/>
    <s v="Alice"/>
    <s v="Rivera"/>
    <n v="25"/>
    <n v="25"/>
    <n v="1999"/>
    <n v="60300"/>
    <x v="14"/>
    <x v="1"/>
    <x v="1"/>
    <x v="1"/>
    <s v="Director"/>
    <d v="2018-04-05T00:00:00"/>
    <d v="2018-04-05T00:00:00"/>
    <x v="4"/>
    <n v="84"/>
    <s v="alice.rivera@saltcorp.com"/>
    <m/>
    <s v="Full-Time"/>
    <x v="1"/>
    <m/>
    <n v="2"/>
    <s v="N/A"/>
    <m/>
    <s v="N/A"/>
    <m/>
    <s v="no"/>
    <x v="0"/>
    <x v="0"/>
  </r>
  <r>
    <s v="EMP-2019-0290"/>
    <s v="Alice"/>
    <s v="Chen"/>
    <n v="25"/>
    <n v="25"/>
    <n v="1999"/>
    <n v="70000"/>
    <x v="5"/>
    <x v="1"/>
    <x v="3"/>
    <x v="3"/>
    <s v="Clerk"/>
    <d v="2019-03-25T00:00:00"/>
    <d v="2019-03-25T00:00:00"/>
    <x v="1"/>
    <n v="18"/>
    <s v="alice.chen@saltcorp.com"/>
    <s v="555-555-5555"/>
    <s v="contract"/>
    <x v="0"/>
    <m/>
    <n v="5"/>
    <m/>
    <n v="12"/>
    <m/>
    <n v="11"/>
    <s v="no"/>
    <x v="2"/>
    <x v="1"/>
  </r>
  <r>
    <s v="EMP-2019-0291"/>
    <s v="Eve"/>
    <s v="Powers"/>
    <n v="25"/>
    <n v="25"/>
    <n v="1999"/>
    <n v="65000"/>
    <x v="1"/>
    <x v="1"/>
    <x v="1"/>
    <x v="1"/>
    <s v="Director"/>
    <d v="2019-03-25T00:00:00"/>
    <d v="2019-03-25T00:00:00"/>
    <x v="4"/>
    <n v="88"/>
    <s v="eve.powers@saltcorp.com"/>
    <s v="555-555-5555"/>
    <s v="Full-Time"/>
    <x v="1"/>
    <m/>
    <n v="4"/>
    <m/>
    <m/>
    <d v="2023-03-05T00:00:00"/>
    <n v="80"/>
    <s v="YES"/>
    <x v="4"/>
    <x v="0"/>
  </r>
  <r>
    <s v="EMP-2019-0292"/>
    <s v="Charlie"/>
    <s v="Evans"/>
    <n v="25"/>
    <n v="25"/>
    <n v="1999"/>
    <n v="60300"/>
    <x v="14"/>
    <x v="0"/>
    <x v="1"/>
    <x v="1"/>
    <s v="Director"/>
    <d v="2019-12-01T00:00:00"/>
    <d v="2019-12-01T00:00:00"/>
    <x v="2"/>
    <n v="73"/>
    <s v="charlie.evans@saltcorp.com"/>
    <m/>
    <s v="Part-Time"/>
    <x v="2"/>
    <m/>
    <n v="4"/>
    <m/>
    <m/>
    <d v="2022-06-20T00:00:00"/>
    <n v="7"/>
    <s v="no"/>
    <x v="4"/>
    <x v="0"/>
  </r>
  <r>
    <s v="EMP-2019-0293"/>
    <s v="David"/>
    <s v="Hansen"/>
    <n v="40"/>
    <n v="40"/>
    <n v="1984"/>
    <n v="58600"/>
    <x v="8"/>
    <x v="0"/>
    <x v="3"/>
    <x v="3"/>
    <s v="Clerk"/>
    <d v="2019-03-25T00:00:00"/>
    <d v="2019-03-25T00:00:00"/>
    <x v="4"/>
    <n v="86"/>
    <s v="david.hansen@saltcorp.com"/>
    <s v="123-456-7890"/>
    <s v="Part-Time"/>
    <x v="2"/>
    <m/>
    <n v="2"/>
    <m/>
    <m/>
    <m/>
    <n v="49"/>
    <s v="no"/>
    <x v="2"/>
    <x v="0"/>
  </r>
  <r>
    <s v="EMP-2020-0294"/>
    <s v="Charlie"/>
    <s v="Jackson"/>
    <n v="35"/>
    <n v="35"/>
    <n v="1989"/>
    <n v="55000"/>
    <x v="6"/>
    <x v="0"/>
    <x v="4"/>
    <x v="4"/>
    <s v="Director"/>
    <d v="2020-02-20T00:00:00"/>
    <d v="2020-02-20T00:00:00"/>
    <x v="0"/>
    <n v="66"/>
    <s v="charlie.jackson@saltcorp.com"/>
    <m/>
    <s v="contract"/>
    <x v="0"/>
    <m/>
    <n v="7"/>
    <n v="6"/>
    <m/>
    <m/>
    <m/>
    <s v="Y"/>
    <x v="2"/>
    <x v="0"/>
  </r>
  <r>
    <s v="EMP-2019-0295"/>
    <s v="Alice"/>
    <s v="Chen"/>
    <s v="thirty"/>
    <n v="30"/>
    <n v="1994"/>
    <n v="50000"/>
    <x v="0"/>
    <x v="1"/>
    <x v="4"/>
    <x v="4"/>
    <s v="Manager"/>
    <d v="2019-12-01T00:00:00"/>
    <d v="2019-12-01T00:00:00"/>
    <x v="4"/>
    <n v="84"/>
    <s v="alice.chen@saltcorp.com"/>
    <s v="123-456-7890"/>
    <s v="contract"/>
    <x v="0"/>
    <m/>
    <n v="4"/>
    <m/>
    <m/>
    <d v="2024-08-12T00:00:00"/>
    <m/>
    <s v="no"/>
    <x v="2"/>
    <x v="1"/>
  </r>
  <r>
    <s v="EMP-2019-0296"/>
    <s v="Alice"/>
    <s v="Martinez"/>
    <n v="25"/>
    <n v="25"/>
    <n v="1999"/>
    <n v="70000"/>
    <x v="5"/>
    <x v="1"/>
    <x v="0"/>
    <x v="0"/>
    <s v="Director"/>
    <d v="2019-03-25T00:00:00"/>
    <d v="2019-03-25T00:00:00"/>
    <x v="1"/>
    <n v="5"/>
    <s v="alice.martinez@saltcorp.com"/>
    <s v="098-765-4321"/>
    <s v="Full-Time"/>
    <x v="1"/>
    <m/>
    <n v="8"/>
    <m/>
    <n v="14"/>
    <m/>
    <n v="67"/>
    <m/>
    <x v="4"/>
    <x v="0"/>
  </r>
  <r>
    <s v="EMP-2019-0297"/>
    <s v="Eve"/>
    <s v="Dixon"/>
    <n v="35"/>
    <n v="35"/>
    <n v="1989"/>
    <n v="65000"/>
    <x v="1"/>
    <x v="1"/>
    <x v="0"/>
    <x v="0"/>
    <s v="Clerk"/>
    <d v="2019-03-25T00:00:00"/>
    <d v="2019-03-25T00:00:00"/>
    <x v="4"/>
    <n v="81"/>
    <s v="eve.dixon@saltcorp.com"/>
    <s v="555-555-5555"/>
    <s v="Part-Time"/>
    <x v="2"/>
    <m/>
    <n v="4"/>
    <n v="10"/>
    <m/>
    <s v="N/A"/>
    <m/>
    <s v="YES"/>
    <x v="2"/>
    <x v="0"/>
  </r>
  <r>
    <s v="EMP-2018-0298"/>
    <s v="Frank"/>
    <s v="Torres"/>
    <n v="35"/>
    <n v="35"/>
    <n v="1989"/>
    <n v="61600"/>
    <x v="16"/>
    <x v="0"/>
    <x v="4"/>
    <x v="4"/>
    <s v="Assistant"/>
    <d v="2018-04-05T00:00:00"/>
    <d v="2018-04-05T00:00:00"/>
    <x v="2"/>
    <n v="78"/>
    <s v="frank.torres@saltcorp.com"/>
    <s v="123-456-7890"/>
    <s v="Part-Time"/>
    <x v="2"/>
    <m/>
    <n v="6"/>
    <m/>
    <n v="6"/>
    <d v="2021-10-01T00:00:00"/>
    <m/>
    <s v="YES"/>
    <x v="4"/>
    <x v="0"/>
  </r>
  <r>
    <s v="EMP-2019-0299"/>
    <s v="Charlie"/>
    <s v="Wells"/>
    <s v="thirty"/>
    <n v="30"/>
    <n v="1994"/>
    <n v="65000"/>
    <x v="1"/>
    <x v="0"/>
    <x v="2"/>
    <x v="2"/>
    <s v="Director"/>
    <d v="2019-03-25T00:00:00"/>
    <d v="2019-03-25T00:00:00"/>
    <x v="2"/>
    <n v="76"/>
    <s v="charlie.wells@saltcorp.com"/>
    <s v=" "/>
    <s v="Part-Time"/>
    <x v="2"/>
    <s v="EMP-2019-0071"/>
    <n v="2"/>
    <m/>
    <m/>
    <d v="2023-01-15T00:00:00"/>
    <m/>
    <s v="no"/>
    <x v="1"/>
    <x v="1"/>
  </r>
  <r>
    <s v="EMP-2020-0300"/>
    <s v="Ivy"/>
    <s v="Andrews"/>
    <n v="40"/>
    <n v="40"/>
    <n v="1984"/>
    <n v="55000"/>
    <x v="6"/>
    <x v="1"/>
    <x v="1"/>
    <x v="1"/>
    <s v="Analyst"/>
    <d v="2020-01-15T00:00:00"/>
    <d v="2020-01-15T00:00:00"/>
    <x v="4"/>
    <n v="86"/>
    <s v="ivy.andrews@saltcorp.com"/>
    <s v=" "/>
    <s v="contract"/>
    <x v="0"/>
    <m/>
    <n v="7"/>
    <s v="N/A"/>
    <n v="4"/>
    <d v="2023-01-15T00:00:00"/>
    <m/>
    <s v="Y"/>
    <x v="0"/>
    <x v="0"/>
  </r>
  <r>
    <s v="EMP-2019-0301"/>
    <s v="Eve"/>
    <s v="Carter"/>
    <m/>
    <n v="36"/>
    <n v="1988"/>
    <n v="70000"/>
    <x v="5"/>
    <x v="1"/>
    <x v="2"/>
    <x v="2"/>
    <s v="Manager"/>
    <d v="2019-12-01T00:00:00"/>
    <d v="2019-12-01T00:00:00"/>
    <x v="2"/>
    <n v="71"/>
    <s v="eve.carter@saltcorp.com"/>
    <s v="555-555-5555"/>
    <s v="Part-Time"/>
    <x v="2"/>
    <m/>
    <n v="1"/>
    <m/>
    <m/>
    <s v="N/A"/>
    <n v="70"/>
    <s v="Y"/>
    <x v="4"/>
    <x v="1"/>
  </r>
  <r>
    <s v="EMP-2020-0302"/>
    <s v="Hannah"/>
    <s v="Gray"/>
    <m/>
    <n v="39"/>
    <n v="1985"/>
    <n v="59500"/>
    <x v="3"/>
    <x v="0"/>
    <x v="1"/>
    <x v="1"/>
    <s v="Manager"/>
    <d v="2020-01-15T00:00:00"/>
    <d v="2020-01-15T00:00:00"/>
    <x v="2"/>
    <n v="77"/>
    <s v="hannah.gray@saltcorp.com"/>
    <m/>
    <s v="Part-Time"/>
    <x v="2"/>
    <m/>
    <n v="2"/>
    <m/>
    <m/>
    <d v="2023-01-15T00:00:00"/>
    <m/>
    <s v="no"/>
    <x v="0"/>
    <x v="0"/>
  </r>
  <r>
    <s v="EMP-2019-0303"/>
    <s v="Alice"/>
    <s v="Anderson"/>
    <n v="35"/>
    <n v="35"/>
    <n v="1989"/>
    <n v="65000"/>
    <x v="1"/>
    <x v="0"/>
    <x v="4"/>
    <x v="4"/>
    <s v="Analyst"/>
    <d v="2019-12-01T00:00:00"/>
    <d v="2019-12-01T00:00:00"/>
    <x v="1"/>
    <n v="7"/>
    <s v="alice.anderson@saltcorp.com"/>
    <m/>
    <s v="Full-Time"/>
    <x v="1"/>
    <s v="EMP-2019-0012"/>
    <n v="8"/>
    <m/>
    <n v="0"/>
    <d v="2023-03-05T00:00:00"/>
    <m/>
    <s v="no"/>
    <x v="1"/>
    <x v="1"/>
  </r>
  <r>
    <s v="EMP-2018-0304"/>
    <s v="Eve"/>
    <s v="Santos"/>
    <n v="50"/>
    <n v="50"/>
    <n v="1974"/>
    <n v="50000"/>
    <x v="0"/>
    <x v="1"/>
    <x v="0"/>
    <x v="0"/>
    <s v="Analyst"/>
    <d v="2018-04-05T00:00:00"/>
    <d v="2018-04-05T00:00:00"/>
    <x v="0"/>
    <n v="66"/>
    <s v="eve.santos@saltcorp.com"/>
    <s v="123-456-7890"/>
    <s v="Part-Time"/>
    <x v="2"/>
    <m/>
    <n v="8"/>
    <s v="N/A"/>
    <m/>
    <d v="2024-08-12T00:00:00"/>
    <m/>
    <m/>
    <x v="0"/>
    <x v="0"/>
  </r>
  <r>
    <s v="EMP-2019-0305"/>
    <s v="Charlie"/>
    <s v="Young"/>
    <n v="50"/>
    <n v="50"/>
    <n v="1974"/>
    <n v="55000"/>
    <x v="6"/>
    <x v="0"/>
    <x v="0"/>
    <x v="0"/>
    <s v="Director"/>
    <d v="2019-03-25T00:00:00"/>
    <d v="2019-03-25T00:00:00"/>
    <x v="1"/>
    <n v="1"/>
    <s v="charlie.young@saltcorp.com"/>
    <m/>
    <s v="Full-Time"/>
    <x v="1"/>
    <s v="EMP-2020-0048"/>
    <n v="3"/>
    <n v="5"/>
    <n v="18"/>
    <m/>
    <n v="50"/>
    <s v="YES"/>
    <x v="4"/>
    <x v="0"/>
  </r>
  <r>
    <s v="EMP-2019-0306"/>
    <s v="Alice"/>
    <s v="Graham"/>
    <s v="thirty"/>
    <n v="30"/>
    <n v="1994"/>
    <n v="70000"/>
    <x v="5"/>
    <x v="0"/>
    <x v="2"/>
    <x v="2"/>
    <s v="Analyst"/>
    <d v="2019-03-25T00:00:00"/>
    <d v="2019-03-25T00:00:00"/>
    <x v="3"/>
    <n v="99"/>
    <s v="alice.graham@saltcorp.com"/>
    <s v="555-555-5555"/>
    <s v="Full-Time"/>
    <x v="1"/>
    <s v="EMP-2018-0048"/>
    <n v="8"/>
    <m/>
    <m/>
    <m/>
    <m/>
    <m/>
    <x v="0"/>
    <x v="0"/>
  </r>
  <r>
    <s v="EMP-2019-0307"/>
    <s v="David"/>
    <s v="Patel"/>
    <m/>
    <n v="37"/>
    <n v="1987"/>
    <n v="55000"/>
    <x v="6"/>
    <x v="0"/>
    <x v="0"/>
    <x v="0"/>
    <s v="Assistant"/>
    <d v="2019-03-25T00:00:00"/>
    <d v="2019-03-25T00:00:00"/>
    <x v="1"/>
    <n v="11"/>
    <s v="david.patel@saltcorp.com"/>
    <s v="123-456-7890"/>
    <s v="Full-Time"/>
    <x v="1"/>
    <m/>
    <n v="1"/>
    <n v="10"/>
    <n v="2"/>
    <d v="2023-01-15T00:00:00"/>
    <n v="72"/>
    <s v="no"/>
    <x v="0"/>
    <x v="0"/>
  </r>
  <r>
    <s v="EMP-2019-0308"/>
    <s v="Eve"/>
    <s v="Rivera"/>
    <n v="35"/>
    <n v="35"/>
    <n v="1989"/>
    <n v="50000"/>
    <x v="0"/>
    <x v="0"/>
    <x v="4"/>
    <x v="4"/>
    <s v="Clerk"/>
    <d v="2019-12-01T00:00:00"/>
    <d v="2019-12-01T00:00:00"/>
    <x v="4"/>
    <n v="89"/>
    <s v="eve.rivera@saltcorp.com"/>
    <s v="098-765-4321"/>
    <s v="Full-Time"/>
    <x v="1"/>
    <s v="EMP-2018-0018"/>
    <n v="1"/>
    <n v="3"/>
    <n v="10"/>
    <m/>
    <m/>
    <s v="YES"/>
    <x v="0"/>
    <x v="0"/>
  </r>
  <r>
    <s v="EMP-2019-0309"/>
    <s v="Grace"/>
    <s v="Bennett"/>
    <n v="40"/>
    <n v="40"/>
    <n v="1984"/>
    <n v="70000"/>
    <x v="5"/>
    <x v="0"/>
    <x v="2"/>
    <x v="2"/>
    <s v="Analyst"/>
    <d v="2019-03-25T00:00:00"/>
    <d v="2019-03-25T00:00:00"/>
    <x v="0"/>
    <n v="68"/>
    <s v="grace.bennett@saltcorp.com"/>
    <m/>
    <s v="Part-Time"/>
    <x v="2"/>
    <s v="EMP-2019-0090"/>
    <n v="7"/>
    <m/>
    <m/>
    <d v="2022-06-20T00:00:00"/>
    <m/>
    <s v="no"/>
    <x v="4"/>
    <x v="0"/>
  </r>
  <r>
    <s v="EMP-2020-0310"/>
    <s v="Alice"/>
    <s v="Garza"/>
    <m/>
    <n v="33"/>
    <n v="1991"/>
    <n v="55000"/>
    <x v="6"/>
    <x v="0"/>
    <x v="1"/>
    <x v="1"/>
    <s v="Analyst"/>
    <d v="2020-01-15T00:00:00"/>
    <d v="2020-01-15T00:00:00"/>
    <x v="4"/>
    <n v="86"/>
    <s v="alice.garza@saltcorp.com"/>
    <m/>
    <s v="Full-Time"/>
    <x v="1"/>
    <m/>
    <n v="8"/>
    <m/>
    <n v="17"/>
    <d v="2022-06-20T00:00:00"/>
    <n v="27"/>
    <s v="no"/>
    <x v="4"/>
    <x v="1"/>
  </r>
  <r>
    <s v="EMP-2019-0311"/>
    <s v="Charlie"/>
    <s v="Taylor"/>
    <n v="35"/>
    <n v="35"/>
    <n v="1989"/>
    <s v="SIXTY THOUSAND"/>
    <x v="2"/>
    <x v="1"/>
    <x v="0"/>
    <x v="0"/>
    <s v="Assistant"/>
    <d v="2019-03-25T00:00:00"/>
    <d v="2019-03-25T00:00:00"/>
    <x v="3"/>
    <n v="95"/>
    <s v="charlie.taylor@saltcorp.com"/>
    <s v="123-456-7890"/>
    <s v="Full-Time"/>
    <x v="1"/>
    <m/>
    <n v="3"/>
    <m/>
    <m/>
    <d v="2023-03-05T00:00:00"/>
    <m/>
    <s v="Y"/>
    <x v="3"/>
    <x v="1"/>
  </r>
  <r>
    <s v="EMP-2018-0312"/>
    <s v="Bob"/>
    <s v="Wilson"/>
    <n v="35"/>
    <n v="35"/>
    <n v="1989"/>
    <n v="50000"/>
    <x v="0"/>
    <x v="0"/>
    <x v="3"/>
    <x v="3"/>
    <s v="Manager"/>
    <d v="2018-04-05T00:00:00"/>
    <d v="2018-04-05T00:00:00"/>
    <x v="0"/>
    <n v="62"/>
    <s v="bob.wilson@saltcorp.com"/>
    <s v=" "/>
    <s v="contract"/>
    <x v="0"/>
    <m/>
    <n v="3"/>
    <m/>
    <m/>
    <m/>
    <n v="78"/>
    <s v="no"/>
    <x v="0"/>
    <x v="1"/>
  </r>
  <r>
    <s v="EMP-2020-0313"/>
    <s v="Ivy"/>
    <s v="Kumar"/>
    <n v="25"/>
    <n v="25"/>
    <n v="1999"/>
    <n v="50000"/>
    <x v="0"/>
    <x v="1"/>
    <x v="0"/>
    <x v="0"/>
    <s v="Manager"/>
    <d v="2020-01-15T00:00:00"/>
    <d v="2020-01-15T00:00:00"/>
    <x v="2"/>
    <n v="71"/>
    <s v="ivy.kumar@saltcorp.com"/>
    <m/>
    <s v="Full-Time"/>
    <x v="1"/>
    <m/>
    <n v="3"/>
    <m/>
    <m/>
    <m/>
    <m/>
    <s v="no"/>
    <x v="4"/>
    <x v="1"/>
  </r>
  <r>
    <s v="EMP-2019-0314"/>
    <s v="Jack"/>
    <s v="Thomas"/>
    <n v="40"/>
    <n v="40"/>
    <n v="1984"/>
    <n v="50000"/>
    <x v="0"/>
    <x v="0"/>
    <x v="1"/>
    <x v="1"/>
    <s v="Director"/>
    <d v="2019-03-25T00:00:00"/>
    <d v="2019-03-25T00:00:00"/>
    <x v="1"/>
    <n v="28"/>
    <s v="jack.thomas@saltcorp.com"/>
    <s v="555-555-5555"/>
    <s v="contract"/>
    <x v="0"/>
    <s v="EMP-2018-0007"/>
    <n v="2"/>
    <m/>
    <n v="2"/>
    <m/>
    <m/>
    <m/>
    <x v="2"/>
    <x v="0"/>
  </r>
  <r>
    <s v="EMP-2019-0315"/>
    <s v="Frank"/>
    <s v="Walker"/>
    <n v="25"/>
    <n v="25"/>
    <n v="1999"/>
    <s v="SIXTY THOUSAND"/>
    <x v="2"/>
    <x v="0"/>
    <x v="2"/>
    <x v="2"/>
    <s v="Assistant"/>
    <d v="2019-03-25T00:00:00"/>
    <d v="2019-03-25T00:00:00"/>
    <x v="4"/>
    <n v="84"/>
    <s v="frank.walker@saltcorp.com"/>
    <m/>
    <s v="Full-Time"/>
    <x v="1"/>
    <s v="EMP-2020-0059"/>
    <n v="7"/>
    <s v="N/A"/>
    <m/>
    <m/>
    <m/>
    <m/>
    <x v="2"/>
    <x v="0"/>
  </r>
  <r>
    <s v="EMP-2020-0316"/>
    <s v="Jack"/>
    <s v="Walsh"/>
    <s v="thirty"/>
    <n v="30"/>
    <n v="1994"/>
    <s v="SIXTY THOUSAND"/>
    <x v="2"/>
    <x v="0"/>
    <x v="1"/>
    <x v="1"/>
    <s v="Clerk"/>
    <d v="2020-02-20T00:00:00"/>
    <d v="2020-02-20T00:00:00"/>
    <x v="3"/>
    <n v="95"/>
    <s v="jack.walsh@saltcorp.com"/>
    <s v="098-765-4321"/>
    <s v="Full-Time"/>
    <x v="1"/>
    <m/>
    <n v="6"/>
    <m/>
    <m/>
    <m/>
    <m/>
    <s v="YES"/>
    <x v="1"/>
    <x v="0"/>
  </r>
  <r>
    <s v="EMP-2019-0317"/>
    <s v="Charlie"/>
    <s v="Clark"/>
    <n v="25"/>
    <n v="25"/>
    <n v="1999"/>
    <n v="65000"/>
    <x v="1"/>
    <x v="1"/>
    <x v="3"/>
    <x v="3"/>
    <s v="Clerk"/>
    <d v="2019-12-01T00:00:00"/>
    <d v="2019-12-01T00:00:00"/>
    <x v="2"/>
    <n v="77"/>
    <s v="charlie.clark@saltcorp.com"/>
    <m/>
    <s v="Full-Time"/>
    <x v="1"/>
    <s v="EMP-2020-0074"/>
    <n v="7"/>
    <m/>
    <m/>
    <m/>
    <m/>
    <s v="no"/>
    <x v="1"/>
    <x v="1"/>
  </r>
  <r>
    <s v="EMP-2020-0318"/>
    <s v="Hannah"/>
    <s v="Vega"/>
    <n v="25"/>
    <n v="25"/>
    <n v="1999"/>
    <n v="61600"/>
    <x v="16"/>
    <x v="1"/>
    <x v="4"/>
    <x v="4"/>
    <s v="Assistant"/>
    <d v="2020-01-15T00:00:00"/>
    <d v="2020-01-15T00:00:00"/>
    <x v="1"/>
    <n v="38"/>
    <s v="hannah.vega@saltcorp.com"/>
    <s v=" "/>
    <s v="Full-Time"/>
    <x v="1"/>
    <s v="EMP-2019-0055"/>
    <n v="7"/>
    <n v="5"/>
    <n v="13"/>
    <m/>
    <n v="38"/>
    <s v="YES"/>
    <x v="4"/>
    <x v="0"/>
  </r>
  <r>
    <s v="EMP-2020-0319"/>
    <s v="Hannah"/>
    <s v="Foster"/>
    <m/>
    <n v="33"/>
    <n v="1991"/>
    <n v="55000"/>
    <x v="6"/>
    <x v="1"/>
    <x v="0"/>
    <x v="0"/>
    <s v="Clerk"/>
    <d v="2020-02-20T00:00:00"/>
    <d v="2020-02-20T00:00:00"/>
    <x v="2"/>
    <n v="73"/>
    <s v="hannah.foster@saltcorp.com"/>
    <m/>
    <s v="contract"/>
    <x v="0"/>
    <m/>
    <n v="4"/>
    <m/>
    <m/>
    <m/>
    <m/>
    <s v="YES"/>
    <x v="1"/>
    <x v="1"/>
  </r>
  <r>
    <s v="EMP-2018-0320"/>
    <s v="Bob"/>
    <s v="Ross"/>
    <n v="50"/>
    <n v="50"/>
    <n v="1974"/>
    <n v="65000"/>
    <x v="1"/>
    <x v="0"/>
    <x v="2"/>
    <x v="2"/>
    <s v="Manager"/>
    <d v="2018-04-05T00:00:00"/>
    <d v="2018-04-05T00:00:00"/>
    <x v="1"/>
    <n v="7"/>
    <s v="bob.ross@saltcorp.com"/>
    <s v="123-456-7890"/>
    <s v="Full-Time"/>
    <x v="1"/>
    <m/>
    <n v="5"/>
    <m/>
    <m/>
    <m/>
    <m/>
    <s v="YES"/>
    <x v="2"/>
    <x v="0"/>
  </r>
  <r>
    <s v="EMP-2019-0321"/>
    <s v="Frank"/>
    <s v="Gonzalez"/>
    <n v="35"/>
    <n v="35"/>
    <n v="1989"/>
    <n v="55000"/>
    <x v="6"/>
    <x v="0"/>
    <x v="4"/>
    <x v="4"/>
    <s v="Clerk"/>
    <d v="2019-12-01T00:00:00"/>
    <d v="2019-12-01T00:00:00"/>
    <x v="0"/>
    <n v="62"/>
    <s v="frank.gonzalez@saltcorp.com"/>
    <m/>
    <s v="contract"/>
    <x v="0"/>
    <m/>
    <n v="7"/>
    <s v="N/A"/>
    <m/>
    <d v="2024-08-12T00:00:00"/>
    <n v="12"/>
    <s v="no"/>
    <x v="4"/>
    <x v="1"/>
  </r>
  <r>
    <s v="EMP-2020-0322"/>
    <s v="Grace"/>
    <s v="Jordan"/>
    <n v="40"/>
    <n v="40"/>
    <n v="1984"/>
    <n v="61300"/>
    <x v="18"/>
    <x v="1"/>
    <x v="1"/>
    <x v="1"/>
    <s v="Clerk"/>
    <d v="2020-01-15T00:00:00"/>
    <d v="2020-01-15T00:00:00"/>
    <x v="2"/>
    <n v="73"/>
    <s v="grace.jordan@saltcorp.com"/>
    <s v=" "/>
    <s v="contract"/>
    <x v="0"/>
    <m/>
    <n v="6"/>
    <m/>
    <n v="4"/>
    <m/>
    <m/>
    <m/>
    <x v="1"/>
    <x v="0"/>
  </r>
  <r>
    <s v="EMP-2019-0323"/>
    <s v="Bob"/>
    <s v="Johnson"/>
    <n v="25"/>
    <n v="25"/>
    <n v="1999"/>
    <s v="SIXTY THOUSAND"/>
    <x v="2"/>
    <x v="0"/>
    <x v="2"/>
    <x v="2"/>
    <s v="Assistant"/>
    <d v="2019-03-25T00:00:00"/>
    <d v="2019-03-25T00:00:00"/>
    <x v="2"/>
    <n v="71"/>
    <s v="bob.johnson@saltcorp.com"/>
    <s v="123-456-7890"/>
    <s v="contract"/>
    <x v="0"/>
    <s v="EMP-2020-0071"/>
    <n v="5"/>
    <s v="N/A"/>
    <m/>
    <d v="2023-01-15T00:00:00"/>
    <n v="5"/>
    <s v="YES"/>
    <x v="1"/>
    <x v="1"/>
  </r>
  <r>
    <s v="EMP-2020-0324"/>
    <s v="Jack"/>
    <s v="Castillo"/>
    <n v="40"/>
    <n v="40"/>
    <n v="1984"/>
    <n v="61600"/>
    <x v="16"/>
    <x v="0"/>
    <x v="4"/>
    <x v="4"/>
    <s v="Assistant"/>
    <d v="2020-01-15T00:00:00"/>
    <d v="2020-01-15T00:00:00"/>
    <x v="2"/>
    <n v="70"/>
    <s v="jack.castillo@saltcorp.com"/>
    <s v="555-555-5555"/>
    <s v="Full-Time"/>
    <x v="1"/>
    <m/>
    <n v="8"/>
    <m/>
    <m/>
    <d v="2021-10-01T00:00:00"/>
    <n v="54"/>
    <s v="YES"/>
    <x v="3"/>
    <x v="1"/>
  </r>
  <r>
    <s v="EMP-2019-0325"/>
    <s v="Bob"/>
    <s v="Schmidt"/>
    <n v="50"/>
    <n v="50"/>
    <n v="1974"/>
    <s v="SIXTY THOUSAND"/>
    <x v="2"/>
    <x v="1"/>
    <x v="2"/>
    <x v="2"/>
    <s v="Clerk"/>
    <d v="2019-03-25T00:00:00"/>
    <d v="2019-03-25T00:00:00"/>
    <x v="0"/>
    <n v="66"/>
    <s v="bob.schmidt@saltcorp.com"/>
    <s v="123-456-7890"/>
    <s v="Full-Time"/>
    <x v="1"/>
    <m/>
    <n v="3"/>
    <m/>
    <m/>
    <m/>
    <m/>
    <s v="YES"/>
    <x v="0"/>
    <x v="0"/>
  </r>
  <r>
    <s v="EMP-2019-0326"/>
    <s v="Jack"/>
    <s v="McCarthy"/>
    <n v="50"/>
    <n v="50"/>
    <n v="1974"/>
    <n v="59300"/>
    <x v="13"/>
    <x v="1"/>
    <x v="3"/>
    <x v="3"/>
    <s v="Analyst"/>
    <d v="2019-12-01T00:00:00"/>
    <d v="2019-12-01T00:00:00"/>
    <x v="3"/>
    <n v="96"/>
    <s v="jack.mccarthy@saltcorp.com"/>
    <s v="098-765-4321"/>
    <s v="Full-Time"/>
    <x v="1"/>
    <s v="EMP-2018-0045"/>
    <n v="3"/>
    <m/>
    <m/>
    <d v="2023-03-05T00:00:00"/>
    <m/>
    <m/>
    <x v="0"/>
    <x v="0"/>
  </r>
  <r>
    <s v="EMP-2019-0327"/>
    <s v="Alice"/>
    <s v="Williams"/>
    <n v="25"/>
    <n v="25"/>
    <n v="1999"/>
    <n v="65000"/>
    <x v="1"/>
    <x v="1"/>
    <x v="3"/>
    <x v="3"/>
    <s v="Assistant"/>
    <d v="2019-03-25T00:00:00"/>
    <d v="2019-03-25T00:00:00"/>
    <x v="1"/>
    <n v="29"/>
    <s v="alice.williams@saltcorp.com"/>
    <s v="123-456-7890"/>
    <s v="contract"/>
    <x v="0"/>
    <m/>
    <n v="7"/>
    <n v="3"/>
    <n v="18"/>
    <m/>
    <m/>
    <m/>
    <x v="3"/>
    <x v="1"/>
  </r>
  <r>
    <s v="EMP-2018-0328"/>
    <s v="Hannah"/>
    <s v="Hughes"/>
    <s v="thirty"/>
    <n v="30"/>
    <n v="1994"/>
    <n v="70000"/>
    <x v="5"/>
    <x v="1"/>
    <x v="0"/>
    <x v="0"/>
    <s v="Director"/>
    <d v="2018-04-05T00:00:00"/>
    <d v="2018-04-05T00:00:00"/>
    <x v="2"/>
    <n v="76"/>
    <s v="hannah.hughes@saltcorp.com"/>
    <s v="555-555-5555"/>
    <s v="contract"/>
    <x v="0"/>
    <s v="EMP-2019-0018"/>
    <n v="5"/>
    <m/>
    <m/>
    <m/>
    <m/>
    <s v="YES"/>
    <x v="2"/>
    <x v="0"/>
  </r>
  <r>
    <s v="EMP-2019-0329"/>
    <s v="Alice"/>
    <s v="Martinez"/>
    <n v="25"/>
    <n v="25"/>
    <n v="1999"/>
    <n v="65000"/>
    <x v="1"/>
    <x v="0"/>
    <x v="0"/>
    <x v="0"/>
    <s v="Director"/>
    <d v="2019-03-25T00:00:00"/>
    <d v="2019-03-25T00:00:00"/>
    <x v="0"/>
    <n v="68"/>
    <s v="alice.martinez@saltcorp.com"/>
    <m/>
    <s v="Full-Time"/>
    <x v="1"/>
    <s v="EMP-2019-0083"/>
    <n v="6"/>
    <n v="3"/>
    <m/>
    <m/>
    <m/>
    <s v="no"/>
    <x v="2"/>
    <x v="1"/>
  </r>
  <r>
    <s v="EMP-2018-0330"/>
    <s v="Ivy"/>
    <s v="Shah"/>
    <m/>
    <n v="43"/>
    <n v="1981"/>
    <n v="55000"/>
    <x v="6"/>
    <x v="1"/>
    <x v="3"/>
    <x v="3"/>
    <s v="Manager"/>
    <d v="2018-04-05T00:00:00"/>
    <d v="2018-04-05T00:00:00"/>
    <x v="3"/>
    <n v="96"/>
    <s v="ivy.shah@saltcorp.com"/>
    <s v="123-456-7890"/>
    <s v="Full-Time"/>
    <x v="1"/>
    <m/>
    <n v="4"/>
    <n v="1"/>
    <n v="13"/>
    <d v="2023-01-15T00:00:00"/>
    <m/>
    <s v="no"/>
    <x v="4"/>
    <x v="0"/>
  </r>
  <r>
    <s v="EMP-2019-0331"/>
    <s v="Frank"/>
    <s v="Davidson"/>
    <n v="35"/>
    <n v="35"/>
    <n v="1989"/>
    <n v="65000"/>
    <x v="1"/>
    <x v="1"/>
    <x v="2"/>
    <x v="2"/>
    <s v="Clerk"/>
    <d v="2019-12-01T00:00:00"/>
    <d v="2019-12-01T00:00:00"/>
    <x v="1"/>
    <n v="33"/>
    <s v="frank.davidson@saltcorp.com"/>
    <s v="123-456-7890"/>
    <s v="Full-Time"/>
    <x v="1"/>
    <s v="EMP-2018-0018"/>
    <n v="4"/>
    <n v="1"/>
    <n v="5"/>
    <m/>
    <m/>
    <s v="no"/>
    <x v="4"/>
    <x v="0"/>
  </r>
  <r>
    <s v="EMP-2019-0332"/>
    <s v="Grace"/>
    <s v="Dixon"/>
    <s v="thirty"/>
    <n v="30"/>
    <n v="1994"/>
    <n v="50000"/>
    <x v="0"/>
    <x v="0"/>
    <x v="3"/>
    <x v="3"/>
    <s v="Analyst"/>
    <d v="2019-12-01T00:00:00"/>
    <d v="2019-12-01T00:00:00"/>
    <x v="0"/>
    <n v="65"/>
    <s v="grace.dixon@saltcorp.com"/>
    <s v="123-456-7890"/>
    <s v="Part-Time"/>
    <x v="2"/>
    <m/>
    <n v="4"/>
    <n v="9"/>
    <m/>
    <d v="2022-06-20T00:00:00"/>
    <m/>
    <s v="YES"/>
    <x v="4"/>
    <x v="1"/>
  </r>
  <r>
    <s v="EMP-2020-0333"/>
    <s v="Jack"/>
    <s v="Vega"/>
    <n v="25"/>
    <n v="25"/>
    <n v="1999"/>
    <n v="55000"/>
    <x v="6"/>
    <x v="0"/>
    <x v="0"/>
    <x v="0"/>
    <s v="Manager"/>
    <d v="2020-01-15T00:00:00"/>
    <d v="2020-01-15T00:00:00"/>
    <x v="1"/>
    <n v="9"/>
    <s v="jack.vega@saltcorp.com"/>
    <s v="123-456-7890"/>
    <s v="Part-Time"/>
    <x v="2"/>
    <m/>
    <n v="5"/>
    <m/>
    <m/>
    <m/>
    <n v="24"/>
    <s v="YES"/>
    <x v="2"/>
    <x v="1"/>
  </r>
  <r>
    <s v="EMP-2018-0334"/>
    <s v="Grace"/>
    <s v="Matthews"/>
    <n v="40"/>
    <n v="40"/>
    <n v="1984"/>
    <n v="58600"/>
    <x v="8"/>
    <x v="1"/>
    <x v="3"/>
    <x v="3"/>
    <s v="Clerk"/>
    <d v="2018-04-05T00:00:00"/>
    <d v="2018-04-05T00:00:00"/>
    <x v="2"/>
    <n v="72"/>
    <s v="grace.matthews@saltcorp.com"/>
    <s v="555-555-5555"/>
    <s v="Part-Time"/>
    <x v="2"/>
    <m/>
    <n v="6"/>
    <m/>
    <n v="6"/>
    <m/>
    <m/>
    <s v="YES"/>
    <x v="2"/>
    <x v="0"/>
  </r>
  <r>
    <s v="EMP-2018-0335"/>
    <s v="Jack"/>
    <s v="O'Connor"/>
    <s v="thirty"/>
    <n v="30"/>
    <n v="1994"/>
    <n v="55000"/>
    <x v="6"/>
    <x v="0"/>
    <x v="3"/>
    <x v="3"/>
    <s v="Assistant"/>
    <d v="2018-04-05T00:00:00"/>
    <d v="2018-04-05T00:00:00"/>
    <x v="3"/>
    <n v="100"/>
    <s v="jack.o'connor@saltcorp.com"/>
    <s v=" "/>
    <s v="Part-Time"/>
    <x v="2"/>
    <m/>
    <n v="3"/>
    <s v="N/A"/>
    <m/>
    <m/>
    <m/>
    <s v="YES"/>
    <x v="2"/>
    <x v="1"/>
  </r>
  <r>
    <s v="EMP-2020-0336"/>
    <s v="Charlie"/>
    <s v="Lewis"/>
    <s v="thirty"/>
    <n v="30"/>
    <n v="1994"/>
    <n v="70000"/>
    <x v="5"/>
    <x v="0"/>
    <x v="2"/>
    <x v="2"/>
    <s v="Director"/>
    <d v="2020-02-20T00:00:00"/>
    <d v="2020-02-20T00:00:00"/>
    <x v="0"/>
    <n v="69"/>
    <s v="charlie.lewis@saltcorp.com"/>
    <s v=" "/>
    <s v="Full-Time"/>
    <x v="1"/>
    <m/>
    <n v="3"/>
    <m/>
    <m/>
    <m/>
    <m/>
    <s v="YES"/>
    <x v="0"/>
    <x v="0"/>
  </r>
  <r>
    <s v="EMP-2020-0337"/>
    <s v="Bob"/>
    <s v="Wilson"/>
    <n v="25"/>
    <n v="25"/>
    <n v="1999"/>
    <s v="SIXTY THOUSAND"/>
    <x v="2"/>
    <x v="1"/>
    <x v="4"/>
    <x v="4"/>
    <s v="Analyst"/>
    <d v="2020-02-20T00:00:00"/>
    <d v="2020-02-20T00:00:00"/>
    <x v="3"/>
    <n v="100"/>
    <s v="bob.wilson@saltcorp.com"/>
    <s v="123-456-7890"/>
    <s v="Part-Time"/>
    <x v="2"/>
    <m/>
    <n v="6"/>
    <n v="3"/>
    <m/>
    <d v="2022-06-20T00:00:00"/>
    <m/>
    <s v="no"/>
    <x v="2"/>
    <x v="0"/>
  </r>
  <r>
    <s v="EMP-2020-0338"/>
    <s v="Ivy"/>
    <s v="Medina"/>
    <s v="thirty"/>
    <n v="30"/>
    <n v="1994"/>
    <n v="60900"/>
    <x v="15"/>
    <x v="1"/>
    <x v="0"/>
    <x v="0"/>
    <s v="Director"/>
    <d v="2020-02-20T00:00:00"/>
    <d v="2020-02-20T00:00:00"/>
    <x v="2"/>
    <n v="77"/>
    <s v="ivy.medina@saltcorp.com"/>
    <s v="555-555-5555"/>
    <s v="Full-Time"/>
    <x v="1"/>
    <m/>
    <n v="2"/>
    <m/>
    <n v="14"/>
    <m/>
    <n v="48"/>
    <s v="YES"/>
    <x v="4"/>
    <x v="1"/>
  </r>
  <r>
    <s v="EMP-2019-0339"/>
    <s v="Hannah"/>
    <s v="Foster"/>
    <n v="40"/>
    <n v="40"/>
    <n v="1984"/>
    <n v="55000"/>
    <x v="6"/>
    <x v="1"/>
    <x v="2"/>
    <x v="2"/>
    <s v="Assistant"/>
    <d v="2019-03-25T00:00:00"/>
    <d v="2019-03-25T00:00:00"/>
    <x v="3"/>
    <n v="94"/>
    <s v="hannah.foster@saltcorp.com"/>
    <s v="555-555-5555"/>
    <s v="Part-Time"/>
    <x v="2"/>
    <s v="EMP-2019-0044"/>
    <n v="6"/>
    <m/>
    <m/>
    <d v="2023-01-15T00:00:00"/>
    <m/>
    <m/>
    <x v="3"/>
    <x v="0"/>
  </r>
  <r>
    <s v="EMP-2020-0340"/>
    <s v="Jack"/>
    <s v="O'Connor"/>
    <n v="50"/>
    <n v="50"/>
    <n v="1974"/>
    <n v="58600"/>
    <x v="8"/>
    <x v="0"/>
    <x v="3"/>
    <x v="3"/>
    <s v="Clerk"/>
    <d v="2020-02-20T00:00:00"/>
    <d v="2020-02-20T00:00:00"/>
    <x v="3"/>
    <n v="98"/>
    <s v="jack.o'connor@saltcorp.com"/>
    <s v="123-456-7890"/>
    <s v="contract"/>
    <x v="0"/>
    <m/>
    <n v="8"/>
    <n v="7"/>
    <n v="6"/>
    <m/>
    <n v="54"/>
    <m/>
    <x v="0"/>
    <x v="1"/>
  </r>
  <r>
    <s v="EMP-2018-0341"/>
    <s v="Grace"/>
    <s v="Medina"/>
    <s v="thirty"/>
    <n v="30"/>
    <n v="1994"/>
    <n v="59800"/>
    <x v="21"/>
    <x v="1"/>
    <x v="3"/>
    <x v="3"/>
    <s v="Assistant"/>
    <d v="2018-04-05T00:00:00"/>
    <d v="2018-04-05T00:00:00"/>
    <x v="4"/>
    <n v="80"/>
    <s v="grace.medina@saltcorp.com"/>
    <s v="098-765-4321"/>
    <s v="Full-Time"/>
    <x v="1"/>
    <m/>
    <n v="7"/>
    <m/>
    <m/>
    <m/>
    <m/>
    <s v="no"/>
    <x v="4"/>
    <x v="0"/>
  </r>
  <r>
    <s v="EMP-2019-0342"/>
    <s v="Ivy"/>
    <s v="Kumar"/>
    <n v="50"/>
    <n v="50"/>
    <n v="1974"/>
    <n v="61600"/>
    <x v="16"/>
    <x v="1"/>
    <x v="4"/>
    <x v="4"/>
    <s v="Assistant"/>
    <d v="2019-03-25T00:00:00"/>
    <d v="2019-03-25T00:00:00"/>
    <x v="3"/>
    <n v="100"/>
    <s v="ivy.kumar@saltcorp.com"/>
    <s v="123-456-7890"/>
    <s v="Part-Time"/>
    <x v="2"/>
    <m/>
    <n v="5"/>
    <m/>
    <n v="15"/>
    <m/>
    <m/>
    <m/>
    <x v="3"/>
    <x v="1"/>
  </r>
  <r>
    <s v="EMP-2019-0343"/>
    <s v="David"/>
    <s v="Wallace"/>
    <n v="40"/>
    <n v="40"/>
    <n v="1984"/>
    <s v="SIXTY THOUSAND"/>
    <x v="2"/>
    <x v="0"/>
    <x v="0"/>
    <x v="0"/>
    <s v="Director"/>
    <d v="2019-12-01T00:00:00"/>
    <d v="2019-12-01T00:00:00"/>
    <x v="1"/>
    <n v="50"/>
    <s v="david.wallace@saltcorp.com"/>
    <s v="098-765-4321"/>
    <s v="Full-Time"/>
    <x v="1"/>
    <m/>
    <n v="7"/>
    <m/>
    <n v="7"/>
    <d v="2024-08-12T00:00:00"/>
    <n v="29"/>
    <s v="Y"/>
    <x v="3"/>
    <x v="0"/>
  </r>
  <r>
    <s v="EMP-2020-0344"/>
    <s v="David"/>
    <s v="Sullivan"/>
    <n v="25"/>
    <n v="25"/>
    <n v="1999"/>
    <n v="65000"/>
    <x v="1"/>
    <x v="0"/>
    <x v="0"/>
    <x v="0"/>
    <s v="Analyst"/>
    <d v="2020-01-15T00:00:00"/>
    <d v="2020-01-15T00:00:00"/>
    <x v="0"/>
    <n v="63"/>
    <s v="david.sullivan@saltcorp.com"/>
    <s v="123-456-7890"/>
    <s v="Full-Time"/>
    <x v="1"/>
    <m/>
    <n v="1"/>
    <n v="1"/>
    <m/>
    <m/>
    <n v="12"/>
    <s v="YES"/>
    <x v="4"/>
    <x v="0"/>
  </r>
  <r>
    <s v="EMP-2020-0345"/>
    <s v="Alice"/>
    <s v="Chen"/>
    <n v="35"/>
    <n v="35"/>
    <n v="1989"/>
    <n v="58500"/>
    <x v="4"/>
    <x v="0"/>
    <x v="1"/>
    <x v="1"/>
    <s v="Assistant"/>
    <d v="2020-02-20T00:00:00"/>
    <d v="2020-02-20T00:00:00"/>
    <x v="4"/>
    <n v="87"/>
    <s v="alice.chen@saltcorp.com"/>
    <s v="098-765-4321"/>
    <s v="Full-Time"/>
    <x v="1"/>
    <m/>
    <n v="2"/>
    <s v="N/A"/>
    <m/>
    <m/>
    <m/>
    <s v="no"/>
    <x v="1"/>
    <x v="0"/>
  </r>
  <r>
    <s v="EMP-2019-0346"/>
    <s v="Hannah"/>
    <s v="Brooks"/>
    <s v="thirty"/>
    <n v="30"/>
    <n v="1994"/>
    <n v="50000"/>
    <x v="0"/>
    <x v="1"/>
    <x v="0"/>
    <x v="0"/>
    <s v="Director"/>
    <d v="2019-12-01T00:00:00"/>
    <d v="2019-12-01T00:00:00"/>
    <x v="0"/>
    <n v="61"/>
    <s v="hannah.brooks@saltcorp.com"/>
    <s v="098-765-4321"/>
    <s v="Full-Time"/>
    <x v="1"/>
    <m/>
    <n v="1"/>
    <m/>
    <n v="5"/>
    <m/>
    <n v="72"/>
    <m/>
    <x v="1"/>
    <x v="1"/>
  </r>
  <r>
    <s v="EMP-2018-0347"/>
    <s v="Charlie"/>
    <s v="White"/>
    <n v="35"/>
    <n v="35"/>
    <n v="1989"/>
    <n v="70000"/>
    <x v="5"/>
    <x v="1"/>
    <x v="4"/>
    <x v="4"/>
    <s v="Analyst"/>
    <d v="2018-04-05T00:00:00"/>
    <d v="2018-04-05T00:00:00"/>
    <x v="0"/>
    <n v="63"/>
    <s v="charlie.white@saltcorp.com"/>
    <s v="123-456-7890"/>
    <s v="Full-Time"/>
    <x v="1"/>
    <m/>
    <n v="7"/>
    <n v="6"/>
    <n v="12"/>
    <m/>
    <m/>
    <s v="no"/>
    <x v="1"/>
    <x v="1"/>
  </r>
  <r>
    <s v="EMP-2020-0348"/>
    <s v="Grace"/>
    <s v="Santos"/>
    <n v="40"/>
    <n v="40"/>
    <n v="1984"/>
    <s v="SIXTY THOUSAND"/>
    <x v="2"/>
    <x v="1"/>
    <x v="1"/>
    <x v="1"/>
    <s v="Clerk"/>
    <d v="2020-01-15T00:00:00"/>
    <d v="2020-01-15T00:00:00"/>
    <x v="2"/>
    <n v="78"/>
    <s v="grace.santos@saltcorp.com"/>
    <s v="098-765-4321"/>
    <s v="Full-Time"/>
    <x v="1"/>
    <m/>
    <n v="3"/>
    <m/>
    <m/>
    <d v="2023-03-05T00:00:00"/>
    <m/>
    <s v="YES"/>
    <x v="3"/>
    <x v="1"/>
  </r>
  <r>
    <s v="EMP-2019-0349"/>
    <s v="Bob"/>
    <s v="Weber"/>
    <s v="thirty"/>
    <n v="30"/>
    <n v="1994"/>
    <n v="55000"/>
    <x v="6"/>
    <x v="0"/>
    <x v="1"/>
    <x v="1"/>
    <s v="Clerk"/>
    <d v="2019-12-01T00:00:00"/>
    <d v="2019-12-01T00:00:00"/>
    <x v="2"/>
    <n v="75"/>
    <s v="bob.weber@saltcorp.com"/>
    <m/>
    <s v="Part-Time"/>
    <x v="2"/>
    <m/>
    <n v="1"/>
    <m/>
    <n v="5"/>
    <m/>
    <n v="42"/>
    <m/>
    <x v="4"/>
    <x v="1"/>
  </r>
  <r>
    <s v="EMP-2020-0350"/>
    <s v="Bob"/>
    <s v="Hudson"/>
    <n v="50"/>
    <n v="50"/>
    <n v="1974"/>
    <s v="SIXTY THOUSAND"/>
    <x v="2"/>
    <x v="0"/>
    <x v="3"/>
    <x v="3"/>
    <s v="Manager"/>
    <d v="2020-01-15T00:00:00"/>
    <d v="2020-01-15T00:00:00"/>
    <x v="4"/>
    <n v="85"/>
    <s v="bob.hudson@saltcorp.com"/>
    <s v=" "/>
    <s v="Full-Time"/>
    <x v="1"/>
    <m/>
    <n v="1"/>
    <n v="4"/>
    <m/>
    <m/>
    <n v="15"/>
    <s v="no"/>
    <x v="3"/>
    <x v="1"/>
  </r>
  <r>
    <s v="EMP-2020-0351"/>
    <s v="Grace"/>
    <s v="Zhang"/>
    <m/>
    <n v="59"/>
    <n v="1965"/>
    <n v="55000"/>
    <x v="6"/>
    <x v="1"/>
    <x v="3"/>
    <x v="3"/>
    <s v="Director"/>
    <d v="2020-02-20T00:00:00"/>
    <d v="2020-02-20T00:00:00"/>
    <x v="2"/>
    <n v="71"/>
    <s v="grace.zhang@saltcorp.com"/>
    <s v="555-555-5555"/>
    <s v="Full-Time"/>
    <x v="1"/>
    <s v="EMP-2020-0087"/>
    <n v="4"/>
    <m/>
    <n v="14"/>
    <d v="2022-06-20T00:00:00"/>
    <n v="46"/>
    <s v="YES"/>
    <x v="0"/>
    <x v="0"/>
  </r>
  <r>
    <s v="EMP-2018-0352"/>
    <s v="Frank"/>
    <s v="Lopez"/>
    <n v="35"/>
    <n v="35"/>
    <n v="1989"/>
    <s v="SIXTY THOUSAND"/>
    <x v="2"/>
    <x v="1"/>
    <x v="0"/>
    <x v="0"/>
    <s v="Analyst"/>
    <d v="2018-04-05T00:00:00"/>
    <d v="2018-04-05T00:00:00"/>
    <x v="2"/>
    <n v="74"/>
    <s v="frank.lopez@saltcorp.com"/>
    <s v="098-765-4321"/>
    <s v="contract"/>
    <x v="0"/>
    <m/>
    <n v="5"/>
    <m/>
    <n v="9"/>
    <m/>
    <m/>
    <s v="YES"/>
    <x v="4"/>
    <x v="0"/>
  </r>
  <r>
    <s v="EMP-2020-0353"/>
    <s v="Charlie"/>
    <s v="Le"/>
    <s v="thirty"/>
    <n v="30"/>
    <n v="1994"/>
    <n v="55000"/>
    <x v="6"/>
    <x v="1"/>
    <x v="1"/>
    <x v="1"/>
    <s v="Assistant"/>
    <d v="2020-01-15T00:00:00"/>
    <d v="2020-01-15T00:00:00"/>
    <x v="2"/>
    <n v="72"/>
    <s v="charlie.le@saltcorp.com"/>
    <s v="098-765-4321"/>
    <s v="Part-Time"/>
    <x v="2"/>
    <m/>
    <n v="3"/>
    <m/>
    <m/>
    <m/>
    <m/>
    <m/>
    <x v="1"/>
    <x v="0"/>
  </r>
  <r>
    <s v="EMP-2019-0354"/>
    <s v="Ivy"/>
    <s v="West"/>
    <n v="35"/>
    <n v="35"/>
    <n v="1989"/>
    <n v="58600"/>
    <x v="8"/>
    <x v="1"/>
    <x v="3"/>
    <x v="3"/>
    <s v="Clerk"/>
    <d v="2019-12-01T00:00:00"/>
    <d v="2019-12-01T00:00:00"/>
    <x v="0"/>
    <n v="64"/>
    <s v="ivy.west@saltcorp.com"/>
    <s v="555-555-5555"/>
    <s v="Full-Time"/>
    <x v="1"/>
    <m/>
    <n v="5"/>
    <s v="N/A"/>
    <m/>
    <m/>
    <m/>
    <s v="no"/>
    <x v="1"/>
    <x v="0"/>
  </r>
  <r>
    <s v="EMP-2020-0355"/>
    <s v="Jack"/>
    <s v="Gomez"/>
    <s v="thirty"/>
    <n v="30"/>
    <n v="1994"/>
    <n v="65000"/>
    <x v="1"/>
    <x v="1"/>
    <x v="4"/>
    <x v="4"/>
    <s v="Analyst"/>
    <d v="2020-02-20T00:00:00"/>
    <d v="2020-02-20T00:00:00"/>
    <x v="4"/>
    <n v="86"/>
    <s v="jack.gomez@saltcorp.com"/>
    <s v="098-765-4321"/>
    <s v="Full-Time"/>
    <x v="1"/>
    <s v="EMP-2019-0073"/>
    <n v="5"/>
    <m/>
    <n v="7"/>
    <m/>
    <n v="10"/>
    <m/>
    <x v="4"/>
    <x v="1"/>
  </r>
  <r>
    <s v="EMP-2020-0356"/>
    <s v="Frank"/>
    <s v="Hernandez"/>
    <n v="25"/>
    <n v="25"/>
    <n v="1999"/>
    <n v="55000"/>
    <x v="6"/>
    <x v="0"/>
    <x v="3"/>
    <x v="3"/>
    <s v="Director"/>
    <d v="2020-02-20T00:00:00"/>
    <d v="2020-02-20T00:00:00"/>
    <x v="0"/>
    <n v="66"/>
    <s v="frank.hernandez@saltcorp.com"/>
    <s v="555-555-5555"/>
    <s v="Full-Time"/>
    <x v="1"/>
    <m/>
    <n v="3"/>
    <m/>
    <m/>
    <d v="2021-10-01T00:00:00"/>
    <m/>
    <s v="YES"/>
    <x v="0"/>
    <x v="0"/>
  </r>
  <r>
    <s v="EMP-2019-0357"/>
    <s v="Jack"/>
    <s v="Bishop"/>
    <n v="50"/>
    <n v="50"/>
    <n v="1974"/>
    <n v="55000"/>
    <x v="6"/>
    <x v="0"/>
    <x v="3"/>
    <x v="3"/>
    <s v="Manager"/>
    <d v="2019-12-01T00:00:00"/>
    <d v="2019-12-01T00:00:00"/>
    <x v="1"/>
    <n v="41"/>
    <s v="jack.bishop@saltcorp.com"/>
    <s v="123-456-7890"/>
    <s v="Full-Time"/>
    <x v="1"/>
    <s v="EMP-2018-0074"/>
    <n v="1"/>
    <s v="N/A"/>
    <m/>
    <m/>
    <n v="11"/>
    <s v="YES"/>
    <x v="0"/>
    <x v="0"/>
  </r>
  <r>
    <s v="EMP-2019-0358"/>
    <s v="Jack"/>
    <s v="Davidson"/>
    <n v="35"/>
    <n v="35"/>
    <n v="1989"/>
    <n v="50000"/>
    <x v="0"/>
    <x v="0"/>
    <x v="1"/>
    <x v="1"/>
    <s v="Clerk"/>
    <d v="2019-12-01T00:00:00"/>
    <d v="2019-12-01T00:00:00"/>
    <x v="0"/>
    <n v="65"/>
    <s v="jack.davidson@saltcorp.com"/>
    <m/>
    <s v="Full-Time"/>
    <x v="1"/>
    <m/>
    <n v="5"/>
    <m/>
    <n v="2"/>
    <m/>
    <m/>
    <s v="no"/>
    <x v="0"/>
    <x v="0"/>
  </r>
  <r>
    <s v="EMP-2020-0359"/>
    <s v="Frank"/>
    <s v="Ramirez"/>
    <m/>
    <n v="37"/>
    <n v="1987"/>
    <n v="55000"/>
    <x v="6"/>
    <x v="0"/>
    <x v="1"/>
    <x v="1"/>
    <s v="Analyst"/>
    <d v="2020-01-15T00:00:00"/>
    <d v="2020-01-15T00:00:00"/>
    <x v="1"/>
    <n v="21"/>
    <s v="frank.ramirez@saltcorp.com"/>
    <m/>
    <s v="Part-Time"/>
    <x v="2"/>
    <m/>
    <n v="4"/>
    <n v="0"/>
    <m/>
    <m/>
    <n v="11"/>
    <m/>
    <x v="4"/>
    <x v="0"/>
  </r>
  <r>
    <s v="EMP-2019-0360"/>
    <s v="Alice"/>
    <s v="Baker"/>
    <m/>
    <n v="36"/>
    <n v="1988"/>
    <n v="50000"/>
    <x v="0"/>
    <x v="1"/>
    <x v="2"/>
    <x v="2"/>
    <s v="Analyst"/>
    <d v="2019-03-25T00:00:00"/>
    <d v="2019-03-25T00:00:00"/>
    <x v="3"/>
    <n v="97"/>
    <s v="alice.baker@saltcorp.com"/>
    <s v=" "/>
    <s v="Part-Time"/>
    <x v="2"/>
    <m/>
    <n v="1"/>
    <s v="N/A"/>
    <m/>
    <m/>
    <m/>
    <s v="N"/>
    <x v="1"/>
    <x v="1"/>
  </r>
  <r>
    <s v="EMP-2020-0361"/>
    <s v="David"/>
    <s v="O'Brien"/>
    <n v="40"/>
    <n v="40"/>
    <n v="1984"/>
    <n v="70000"/>
    <x v="5"/>
    <x v="0"/>
    <x v="4"/>
    <x v="4"/>
    <s v="Analyst"/>
    <d v="2020-02-20T00:00:00"/>
    <d v="2020-02-20T00:00:00"/>
    <x v="3"/>
    <n v="91"/>
    <s v="david.o'brien@saltcorp.com"/>
    <s v="098-765-4321"/>
    <s v="Full-Time"/>
    <x v="1"/>
    <m/>
    <n v="6"/>
    <m/>
    <n v="1"/>
    <m/>
    <m/>
    <s v="no"/>
    <x v="1"/>
    <x v="0"/>
  </r>
  <r>
    <s v="EMP-2020-0362"/>
    <s v="Jack"/>
    <s v="Kelly"/>
    <s v="thirty"/>
    <n v="30"/>
    <n v="1994"/>
    <n v="60300"/>
    <x v="14"/>
    <x v="0"/>
    <x v="1"/>
    <x v="1"/>
    <s v="Director"/>
    <d v="2020-01-15T00:00:00"/>
    <d v="2020-01-15T00:00:00"/>
    <x v="1"/>
    <n v="56"/>
    <s v="jack.kelly@saltcorp.com"/>
    <s v=" "/>
    <s v="Full-Time"/>
    <x v="1"/>
    <m/>
    <n v="8"/>
    <m/>
    <m/>
    <m/>
    <m/>
    <m/>
    <x v="4"/>
    <x v="1"/>
  </r>
  <r>
    <s v="EMP-2019-0363"/>
    <s v="Frank"/>
    <s v="Armstrong"/>
    <n v="35"/>
    <n v="35"/>
    <n v="1989"/>
    <n v="50000"/>
    <x v="0"/>
    <x v="1"/>
    <x v="0"/>
    <x v="0"/>
    <s v="Director"/>
    <d v="2019-12-01T00:00:00"/>
    <d v="2019-12-01T00:00:00"/>
    <x v="1"/>
    <n v="9"/>
    <s v="frank.armstrong@saltcorp.com"/>
    <s v="123-456-7890"/>
    <s v="Full-Time"/>
    <x v="1"/>
    <m/>
    <n v="2"/>
    <n v="4"/>
    <n v="12"/>
    <d v="2022-06-20T00:00:00"/>
    <n v="17"/>
    <m/>
    <x v="1"/>
    <x v="1"/>
  </r>
  <r>
    <s v="EMP-2020-0364"/>
    <s v="Frank"/>
    <s v="Perez"/>
    <n v="40"/>
    <n v="40"/>
    <n v="1984"/>
    <n v="65000"/>
    <x v="1"/>
    <x v="0"/>
    <x v="4"/>
    <x v="4"/>
    <s v="Director"/>
    <d v="2020-01-15T00:00:00"/>
    <d v="2020-01-15T00:00:00"/>
    <x v="0"/>
    <n v="62"/>
    <s v="frank.perez@saltcorp.com"/>
    <m/>
    <s v="Part-Time"/>
    <x v="2"/>
    <s v="EMP-2018-0018"/>
    <n v="4"/>
    <m/>
    <m/>
    <m/>
    <m/>
    <s v="YES"/>
    <x v="0"/>
    <x v="1"/>
  </r>
  <r>
    <s v="EMP-2019-0365"/>
    <s v="Eve"/>
    <s v="Turner"/>
    <n v="35"/>
    <n v="35"/>
    <n v="1989"/>
    <n v="61600"/>
    <x v="16"/>
    <x v="1"/>
    <x v="4"/>
    <x v="4"/>
    <s v="Assistant"/>
    <d v="2019-12-01T00:00:00"/>
    <d v="2019-12-01T00:00:00"/>
    <x v="1"/>
    <n v="43"/>
    <s v="eve.turner@saltcorp.com"/>
    <s v="123-456-7890"/>
    <s v="Full-Time"/>
    <x v="1"/>
    <s v="EMP-2020-0057"/>
    <n v="7"/>
    <m/>
    <m/>
    <d v="2021-10-01T00:00:00"/>
    <m/>
    <s v="no"/>
    <x v="3"/>
    <x v="1"/>
  </r>
  <r>
    <s v="EMP-2018-0366"/>
    <s v="Alice"/>
    <s v="Anderson"/>
    <s v="thirty"/>
    <n v="30"/>
    <n v="1994"/>
    <n v="50000"/>
    <x v="0"/>
    <x v="1"/>
    <x v="1"/>
    <x v="1"/>
    <s v="Analyst"/>
    <d v="2018-04-05T00:00:00"/>
    <d v="2018-04-05T00:00:00"/>
    <x v="4"/>
    <n v="87"/>
    <s v="alice.anderson@saltcorp.com"/>
    <s v="123-456-7890"/>
    <s v="Full-Time"/>
    <x v="1"/>
    <m/>
    <n v="4"/>
    <s v="N/A"/>
    <m/>
    <d v="2023-03-05T00:00:00"/>
    <m/>
    <s v="YES"/>
    <x v="3"/>
    <x v="0"/>
  </r>
  <r>
    <s v="EMP-2019-0367"/>
    <s v="Hannah"/>
    <s v="Perry"/>
    <m/>
    <n v="30"/>
    <n v="1994"/>
    <n v="58600"/>
    <x v="8"/>
    <x v="1"/>
    <x v="4"/>
    <x v="4"/>
    <s v="Clerk"/>
    <d v="2019-12-01T00:00:00"/>
    <d v="2019-12-01T00:00:00"/>
    <x v="3"/>
    <n v="97"/>
    <s v="hannah.perry@saltcorp.com"/>
    <s v="098-765-4321"/>
    <s v="Full-Time"/>
    <x v="1"/>
    <m/>
    <n v="5"/>
    <m/>
    <m/>
    <m/>
    <m/>
    <s v="Y"/>
    <x v="1"/>
    <x v="1"/>
  </r>
  <r>
    <s v="EMP-2019-0368"/>
    <s v="Eve"/>
    <s v="Stevens"/>
    <n v="25"/>
    <n v="25"/>
    <n v="1999"/>
    <n v="60300"/>
    <x v="14"/>
    <x v="1"/>
    <x v="1"/>
    <x v="1"/>
    <s v="Director"/>
    <d v="2019-12-01T00:00:00"/>
    <d v="2019-12-01T00:00:00"/>
    <x v="3"/>
    <n v="97"/>
    <s v="eve.stevens@saltcorp.com"/>
    <s v="123-456-7890"/>
    <s v="Part-Time"/>
    <x v="2"/>
    <m/>
    <n v="1"/>
    <m/>
    <m/>
    <m/>
    <n v="10"/>
    <m/>
    <x v="1"/>
    <x v="1"/>
  </r>
  <r>
    <s v="EMP-2019-0369"/>
    <s v="Eve"/>
    <s v="Harrison"/>
    <m/>
    <n v="49"/>
    <n v="1975"/>
    <s v=" NAN "/>
    <x v="22"/>
    <x v="0"/>
    <x v="3"/>
    <x v="3"/>
    <s v="Director"/>
    <d v="2019-12-01T00:00:00"/>
    <d v="2019-12-01T00:00:00"/>
    <x v="1"/>
    <n v="33"/>
    <s v="eve.harrison@saltcorp.com"/>
    <m/>
    <s v="Full-Time"/>
    <x v="1"/>
    <m/>
    <n v="7"/>
    <m/>
    <m/>
    <d v="2022-06-20T00:00:00"/>
    <n v="19"/>
    <s v="YES"/>
    <x v="2"/>
    <x v="0"/>
  </r>
  <r>
    <s v="EMP-2019-0370"/>
    <s v="Grace"/>
    <s v="Young"/>
    <n v="40"/>
    <n v="40"/>
    <n v="1984"/>
    <n v="70000"/>
    <x v="5"/>
    <x v="0"/>
    <x v="2"/>
    <x v="2"/>
    <s v="Analyst"/>
    <d v="2019-03-25T00:00:00"/>
    <d v="2019-03-25T00:00:00"/>
    <x v="2"/>
    <n v="73"/>
    <s v="grace.young@saltcorp.com"/>
    <s v=" "/>
    <s v="Full-Time"/>
    <x v="1"/>
    <s v="EMP-2020-0082"/>
    <n v="7"/>
    <m/>
    <m/>
    <s v="N/A"/>
    <m/>
    <s v="no"/>
    <x v="0"/>
    <x v="0"/>
  </r>
  <r>
    <s v="EMP-2019-0371"/>
    <s v="David"/>
    <s v="O'Brien"/>
    <n v="50"/>
    <n v="50"/>
    <n v="1974"/>
    <n v="65000"/>
    <x v="1"/>
    <x v="1"/>
    <x v="3"/>
    <x v="3"/>
    <s v="Director"/>
    <d v="2019-12-01T00:00:00"/>
    <d v="2019-12-01T00:00:00"/>
    <x v="2"/>
    <n v="77"/>
    <s v="david.o'brien@saltcorp.com"/>
    <m/>
    <s v="Full-Time"/>
    <x v="1"/>
    <s v="EMP-2020-0029"/>
    <n v="7"/>
    <m/>
    <m/>
    <m/>
    <m/>
    <s v="YES"/>
    <x v="2"/>
    <x v="0"/>
  </r>
  <r>
    <s v="EMP-2020-0372"/>
    <s v="Frank"/>
    <s v="Lopez"/>
    <n v="25"/>
    <n v="25"/>
    <n v="1999"/>
    <s v="SIXTY THOUSAND"/>
    <x v="2"/>
    <x v="0"/>
    <x v="1"/>
    <x v="1"/>
    <s v="Assistant"/>
    <d v="2020-02-20T00:00:00"/>
    <d v="2020-02-20T00:00:00"/>
    <x v="1"/>
    <n v="5"/>
    <s v="frank.lopez@saltcorp.com"/>
    <s v="098-765-4321"/>
    <s v="contract"/>
    <x v="0"/>
    <m/>
    <n v="6"/>
    <m/>
    <m/>
    <d v="2023-01-15T00:00:00"/>
    <m/>
    <m/>
    <x v="3"/>
    <x v="1"/>
  </r>
  <r>
    <s v="EMP-2020-0373"/>
    <s v="David"/>
    <s v="Sullivan"/>
    <n v="40"/>
    <n v="40"/>
    <n v="1984"/>
    <s v="SIXTY THOUSAND"/>
    <x v="2"/>
    <x v="0"/>
    <x v="1"/>
    <x v="1"/>
    <s v="Assistant"/>
    <d v="2020-02-20T00:00:00"/>
    <d v="2020-02-20T00:00:00"/>
    <x v="4"/>
    <n v="84"/>
    <s v="david.sullivan@saltcorp.com"/>
    <m/>
    <s v="Full-Time"/>
    <x v="1"/>
    <s v="EMP-2018-0064"/>
    <n v="1"/>
    <s v="N/A"/>
    <m/>
    <m/>
    <m/>
    <s v="YES"/>
    <x v="1"/>
    <x v="1"/>
  </r>
  <r>
    <s v="EMP-2020-0374"/>
    <s v="Charlie"/>
    <s v="Harris"/>
    <s v="thirty"/>
    <n v="30"/>
    <n v="1994"/>
    <n v="50000"/>
    <x v="0"/>
    <x v="0"/>
    <x v="3"/>
    <x v="3"/>
    <s v="Director"/>
    <d v="2020-01-15T00:00:00"/>
    <d v="2020-01-15T00:00:00"/>
    <x v="2"/>
    <n v="73"/>
    <s v="charlie.harris@saltcorp.com"/>
    <s v="555-555-5555"/>
    <s v="Full-Time"/>
    <x v="1"/>
    <m/>
    <n v="1"/>
    <n v="2"/>
    <n v="10"/>
    <d v="2021-10-01T00:00:00"/>
    <m/>
    <s v="N"/>
    <x v="3"/>
    <x v="0"/>
  </r>
  <r>
    <s v="EMP-2019-0375"/>
    <s v="Grace"/>
    <s v="Wang"/>
    <n v="25"/>
    <n v="25"/>
    <n v="1999"/>
    <s v=" NAN "/>
    <x v="23"/>
    <x v="1"/>
    <x v="0"/>
    <x v="0"/>
    <s v="Analyst"/>
    <d v="2019-03-25T00:00:00"/>
    <d v="2019-03-25T00:00:00"/>
    <x v="1"/>
    <n v="25"/>
    <s v="grace.wang@saltcorp.com"/>
    <s v=" "/>
    <s v="Full-Time"/>
    <x v="1"/>
    <m/>
    <n v="5"/>
    <m/>
    <n v="18"/>
    <m/>
    <n v="38"/>
    <s v="YES"/>
    <x v="1"/>
    <x v="1"/>
  </r>
  <r>
    <s v="EMP-2020-0376"/>
    <s v="Hannah"/>
    <s v="Hughes"/>
    <n v="40"/>
    <n v="40"/>
    <n v="1984"/>
    <n v="50000"/>
    <x v="0"/>
    <x v="0"/>
    <x v="0"/>
    <x v="0"/>
    <s v="Analyst"/>
    <d v="2020-01-15T00:00:00"/>
    <d v="2020-01-15T00:00:00"/>
    <x v="4"/>
    <n v="85"/>
    <s v="hannah.hughes@saltcorp.com"/>
    <s v="555-555-5555"/>
    <s v="contract"/>
    <x v="0"/>
    <m/>
    <n v="4"/>
    <n v="12"/>
    <n v="20"/>
    <m/>
    <m/>
    <s v="no"/>
    <x v="2"/>
    <x v="0"/>
  </r>
  <r>
    <s v="EMP-2020-0377"/>
    <s v="David"/>
    <s v="Murphy"/>
    <s v="thirty"/>
    <n v="30"/>
    <n v="1994"/>
    <n v="70000"/>
    <x v="5"/>
    <x v="0"/>
    <x v="0"/>
    <x v="0"/>
    <s v="Analyst"/>
    <d v="2020-02-20T00:00:00"/>
    <d v="2020-02-20T00:00:00"/>
    <x v="4"/>
    <n v="83"/>
    <s v="david.murphy@saltcorp.com"/>
    <s v="555-555-5555"/>
    <s v="Full-Time"/>
    <x v="1"/>
    <m/>
    <n v="8"/>
    <m/>
    <m/>
    <m/>
    <m/>
    <s v="no"/>
    <x v="0"/>
    <x v="1"/>
  </r>
  <r>
    <s v="EMP-2020-0378"/>
    <s v="Bob"/>
    <s v="Gomez"/>
    <m/>
    <n v="43"/>
    <n v="1981"/>
    <n v="70000"/>
    <x v="5"/>
    <x v="1"/>
    <x v="1"/>
    <x v="1"/>
    <s v="Manager"/>
    <d v="2020-02-20T00:00:00"/>
    <d v="2020-02-20T00:00:00"/>
    <x v="0"/>
    <n v="62"/>
    <s v="bob.gomez@saltcorp.com"/>
    <s v="098-765-4321"/>
    <s v="contract"/>
    <x v="0"/>
    <m/>
    <n v="4"/>
    <n v="1"/>
    <n v="13"/>
    <m/>
    <m/>
    <s v="no"/>
    <x v="0"/>
    <x v="0"/>
  </r>
  <r>
    <s v="EMP-2018-0379"/>
    <s v="Jack"/>
    <s v="Williamson"/>
    <n v="50"/>
    <n v="50"/>
    <n v="1974"/>
    <n v="55000"/>
    <x v="6"/>
    <x v="0"/>
    <x v="4"/>
    <x v="4"/>
    <s v="Director"/>
    <d v="2018-04-05T00:00:00"/>
    <d v="2018-04-05T00:00:00"/>
    <x v="4"/>
    <n v="87"/>
    <s v="jack.williamson@saltcorp.com"/>
    <s v="123-456-7890"/>
    <s v="contract"/>
    <x v="0"/>
    <m/>
    <n v="6"/>
    <n v="4"/>
    <m/>
    <m/>
    <n v="39"/>
    <s v="YES"/>
    <x v="1"/>
    <x v="1"/>
  </r>
  <r>
    <s v="EMP-2019-0380"/>
    <s v="Charlie"/>
    <s v="Weber"/>
    <s v="thirty"/>
    <n v="30"/>
    <n v="1994"/>
    <n v="70000"/>
    <x v="5"/>
    <x v="0"/>
    <x v="1"/>
    <x v="1"/>
    <s v="Analyst"/>
    <d v="2019-12-01T00:00:00"/>
    <d v="2019-12-01T00:00:00"/>
    <x v="2"/>
    <n v="71"/>
    <s v="charlie.weber@saltcorp.com"/>
    <s v="555-555-5555"/>
    <s v="Full-Time"/>
    <x v="1"/>
    <m/>
    <n v="4"/>
    <m/>
    <n v="12"/>
    <d v="2024-08-12T00:00:00"/>
    <m/>
    <s v="YES"/>
    <x v="1"/>
    <x v="0"/>
  </r>
  <r>
    <s v="EMP-2020-0381"/>
    <s v="Alice"/>
    <s v="Chen"/>
    <n v="35"/>
    <n v="35"/>
    <n v="1989"/>
    <n v="55000"/>
    <x v="6"/>
    <x v="1"/>
    <x v="4"/>
    <x v="4"/>
    <s v="Assistant"/>
    <d v="2020-02-20T00:00:00"/>
    <d v="2020-02-20T00:00:00"/>
    <x v="2"/>
    <n v="78"/>
    <s v="alice.chen@saltcorp.com"/>
    <m/>
    <s v="Part-Time"/>
    <x v="2"/>
    <m/>
    <n v="4"/>
    <m/>
    <m/>
    <m/>
    <m/>
    <s v="no"/>
    <x v="2"/>
    <x v="0"/>
  </r>
  <r>
    <s v="EMP-2020-0382"/>
    <s v="Hannah"/>
    <s v="Gray"/>
    <s v="thirty"/>
    <n v="30"/>
    <n v="1994"/>
    <n v="65000"/>
    <x v="1"/>
    <x v="0"/>
    <x v="3"/>
    <x v="3"/>
    <s v="Clerk"/>
    <d v="2020-01-15T00:00:00"/>
    <d v="2020-01-15T00:00:00"/>
    <x v="1"/>
    <n v="19"/>
    <s v="hannah.gray@saltcorp.com"/>
    <s v="123-456-7890"/>
    <s v="contract"/>
    <x v="0"/>
    <s v="EMP-2018-0099"/>
    <n v="5"/>
    <m/>
    <n v="10"/>
    <d v="2022-06-20T00:00:00"/>
    <n v="67"/>
    <m/>
    <x v="4"/>
    <x v="0"/>
  </r>
  <r>
    <s v="EMP-2020-0383"/>
    <s v="Charlie"/>
    <s v="Martin"/>
    <s v="thirty"/>
    <n v="30"/>
    <n v="1994"/>
    <n v="50000"/>
    <x v="0"/>
    <x v="0"/>
    <x v="2"/>
    <x v="2"/>
    <s v="Clerk"/>
    <d v="2020-01-15T00:00:00"/>
    <d v="2020-01-15T00:00:00"/>
    <x v="1"/>
    <n v="40"/>
    <s v="charlie.martin@saltcorp.com"/>
    <m/>
    <s v="contract"/>
    <x v="0"/>
    <m/>
    <n v="8"/>
    <m/>
    <m/>
    <m/>
    <n v="10"/>
    <m/>
    <x v="4"/>
    <x v="0"/>
  </r>
  <r>
    <s v="EMP-2019-0384"/>
    <s v="Jack"/>
    <s v="Ward"/>
    <n v="50"/>
    <n v="50"/>
    <n v="1974"/>
    <n v="65000"/>
    <x v="1"/>
    <x v="0"/>
    <x v="4"/>
    <x v="4"/>
    <s v="Analyst"/>
    <d v="2019-12-01T00:00:00"/>
    <d v="2019-12-01T00:00:00"/>
    <x v="4"/>
    <n v="87"/>
    <s v="jack.ward@saltcorp.com"/>
    <m/>
    <s v="Full-Time"/>
    <x v="1"/>
    <m/>
    <n v="3"/>
    <s v="N/A"/>
    <m/>
    <m/>
    <n v="33"/>
    <s v="YES"/>
    <x v="2"/>
    <x v="1"/>
  </r>
  <r>
    <s v="EMP-2019-0385"/>
    <s v="Grace"/>
    <s v="Garrett"/>
    <n v="35"/>
    <n v="35"/>
    <n v="1989"/>
    <n v="70000"/>
    <x v="5"/>
    <x v="0"/>
    <x v="0"/>
    <x v="0"/>
    <s v="Clerk"/>
    <d v="2019-12-01T00:00:00"/>
    <d v="2019-12-01T00:00:00"/>
    <x v="3"/>
    <n v="97"/>
    <s v="grace.garrett@saltcorp.com"/>
    <s v="123-456-7890"/>
    <s v="Part-Time"/>
    <x v="2"/>
    <m/>
    <n v="2"/>
    <m/>
    <m/>
    <m/>
    <m/>
    <m/>
    <x v="3"/>
    <x v="0"/>
  </r>
  <r>
    <s v="EMP-2018-0386"/>
    <s v="Jack"/>
    <s v="Graham"/>
    <n v="40"/>
    <n v="40"/>
    <n v="1984"/>
    <n v="65000"/>
    <x v="1"/>
    <x v="0"/>
    <x v="1"/>
    <x v="1"/>
    <s v="Clerk"/>
    <d v="2018-04-05T00:00:00"/>
    <d v="2018-04-05T00:00:00"/>
    <x v="0"/>
    <n v="62"/>
    <s v="jack.graham@saltcorp.com"/>
    <s v="123-456-7890"/>
    <s v="Part-Time"/>
    <x v="2"/>
    <s v="EMP-2020-0037"/>
    <n v="3"/>
    <m/>
    <m/>
    <m/>
    <n v="37"/>
    <m/>
    <x v="1"/>
    <x v="0"/>
  </r>
  <r>
    <s v="EMP-2019-0387"/>
    <s v="Eve"/>
    <s v="Matthews"/>
    <n v="40"/>
    <n v="40"/>
    <n v="1984"/>
    <n v="65000"/>
    <x v="1"/>
    <x v="0"/>
    <x v="3"/>
    <x v="3"/>
    <s v="Manager"/>
    <d v="2019-03-25T00:00:00"/>
    <d v="2019-03-25T00:00:00"/>
    <x v="3"/>
    <n v="96"/>
    <s v="eve.matthews@saltcorp.com"/>
    <m/>
    <s v="contract"/>
    <x v="0"/>
    <m/>
    <n v="3"/>
    <m/>
    <m/>
    <m/>
    <m/>
    <s v="YES"/>
    <x v="2"/>
    <x v="0"/>
  </r>
  <r>
    <s v="EMP-2020-0388"/>
    <s v="Jack"/>
    <s v="McCarthy"/>
    <s v="thirty"/>
    <n v="30"/>
    <n v="1994"/>
    <n v="65000"/>
    <x v="1"/>
    <x v="1"/>
    <x v="0"/>
    <x v="0"/>
    <s v="Assistant"/>
    <d v="2020-01-15T00:00:00"/>
    <d v="2020-01-15T00:00:00"/>
    <x v="4"/>
    <n v="86"/>
    <s v="jack.mccarthy@saltcorp.com"/>
    <s v="098-765-4321"/>
    <s v="Part-Time"/>
    <x v="2"/>
    <m/>
    <n v="2"/>
    <m/>
    <n v="20"/>
    <m/>
    <m/>
    <s v="YES"/>
    <x v="4"/>
    <x v="0"/>
  </r>
  <r>
    <s v="EMP-2019-0389"/>
    <s v="Eve"/>
    <s v="Byrd"/>
    <n v="35"/>
    <n v="35"/>
    <n v="1989"/>
    <n v="70000"/>
    <x v="5"/>
    <x v="0"/>
    <x v="3"/>
    <x v="3"/>
    <s v="Assistant"/>
    <d v="2019-12-01T00:00:00"/>
    <d v="2019-12-01T00:00:00"/>
    <x v="4"/>
    <n v="81"/>
    <s v="eve.byrd@saltcorp.com"/>
    <s v=" "/>
    <s v="Full-Time"/>
    <x v="1"/>
    <m/>
    <n v="7"/>
    <m/>
    <m/>
    <s v="N/A"/>
    <m/>
    <s v="YES"/>
    <x v="3"/>
    <x v="1"/>
  </r>
  <r>
    <s v="EMP-2020-0390"/>
    <s v="Grace"/>
    <s v="Yang"/>
    <n v="35"/>
    <n v="35"/>
    <n v="1989"/>
    <s v=" NAN "/>
    <x v="24"/>
    <x v="1"/>
    <x v="2"/>
    <x v="2"/>
    <s v="Manager"/>
    <d v="2020-01-15T00:00:00"/>
    <d v="2020-01-15T00:00:00"/>
    <x v="3"/>
    <n v="98"/>
    <s v="grace.yang@saltcorp.com"/>
    <s v=" "/>
    <s v="Part-Time"/>
    <x v="2"/>
    <m/>
    <n v="1"/>
    <n v="1"/>
    <m/>
    <m/>
    <m/>
    <s v="Y"/>
    <x v="0"/>
    <x v="1"/>
  </r>
  <r>
    <s v="EMP-2019-0391"/>
    <s v="Ivy"/>
    <s v="Mason"/>
    <n v="50"/>
    <n v="50"/>
    <n v="1974"/>
    <n v="65000"/>
    <x v="1"/>
    <x v="1"/>
    <x v="1"/>
    <x v="1"/>
    <s v="Manager"/>
    <d v="2019-12-01T00:00:00"/>
    <d v="2019-12-01T00:00:00"/>
    <x v="0"/>
    <n v="65"/>
    <s v="ivy.mason@saltcorp.com"/>
    <s v="098-765-4321"/>
    <s v="contract"/>
    <x v="0"/>
    <m/>
    <n v="7"/>
    <m/>
    <m/>
    <m/>
    <n v="65"/>
    <m/>
    <x v="4"/>
    <x v="0"/>
  </r>
  <r>
    <s v="EMP-2020-0392"/>
    <s v="Eve"/>
    <s v="Jordan"/>
    <m/>
    <n v="26"/>
    <n v="1998"/>
    <n v="55000"/>
    <x v="6"/>
    <x v="1"/>
    <x v="1"/>
    <x v="1"/>
    <s v="Clerk"/>
    <d v="2020-02-20T00:00:00"/>
    <d v="2020-02-20T00:00:00"/>
    <x v="3"/>
    <n v="90"/>
    <s v="eve.jordan@saltcorp.com"/>
    <s v="123-456-7890"/>
    <s v="Part-Time"/>
    <x v="2"/>
    <m/>
    <n v="5"/>
    <m/>
    <m/>
    <m/>
    <n v="9"/>
    <s v="N"/>
    <x v="4"/>
    <x v="0"/>
  </r>
  <r>
    <s v="EMP-2020-0393"/>
    <s v="Alice"/>
    <s v="Young"/>
    <n v="40"/>
    <n v="40"/>
    <n v="1984"/>
    <n v="70000"/>
    <x v="5"/>
    <x v="1"/>
    <x v="2"/>
    <x v="2"/>
    <s v="Director"/>
    <d v="2020-01-15T00:00:00"/>
    <d v="2020-01-15T00:00:00"/>
    <x v="1"/>
    <n v="8"/>
    <s v="alice.young@saltcorp.com"/>
    <m/>
    <s v="Full-Time"/>
    <x v="1"/>
    <s v="EMP-2020-0006"/>
    <n v="5"/>
    <n v="9"/>
    <n v="13"/>
    <d v="2022-06-20T00:00:00"/>
    <n v="35"/>
    <s v="Y"/>
    <x v="4"/>
    <x v="1"/>
  </r>
  <r>
    <s v="EMP-2020-0394"/>
    <s v="Jack"/>
    <s v="Rogers"/>
    <n v="50"/>
    <n v="50"/>
    <n v="1974"/>
    <n v="65000"/>
    <x v="1"/>
    <x v="0"/>
    <x v="1"/>
    <x v="1"/>
    <s v="Clerk"/>
    <d v="2020-02-20T00:00:00"/>
    <d v="2020-02-20T00:00:00"/>
    <x v="2"/>
    <n v="78"/>
    <s v="jack.rogers@saltcorp.com"/>
    <s v=" "/>
    <s v="contract"/>
    <x v="0"/>
    <m/>
    <n v="3"/>
    <m/>
    <n v="7"/>
    <d v="2023-01-15T00:00:00"/>
    <n v="23"/>
    <s v="YES"/>
    <x v="0"/>
    <x v="1"/>
  </r>
  <r>
    <s v="EMP-2020-0395"/>
    <s v="Jack"/>
    <s v="Hoffman"/>
    <n v="25"/>
    <n v="25"/>
    <n v="1999"/>
    <s v=" NAN "/>
    <x v="2"/>
    <x v="0"/>
    <x v="4"/>
    <x v="4"/>
    <s v="Manager"/>
    <d v="2020-01-15T00:00:00"/>
    <d v="2020-01-15T00:00:00"/>
    <x v="1"/>
    <n v="40"/>
    <s v="jack.hoffman@saltcorp.com"/>
    <m/>
    <s v="contract"/>
    <x v="0"/>
    <m/>
    <n v="3"/>
    <m/>
    <m/>
    <m/>
    <m/>
    <m/>
    <x v="1"/>
    <x v="0"/>
  </r>
  <r>
    <s v="EMP-2019-0396"/>
    <s v="Alice"/>
    <s v="Lee"/>
    <n v="40"/>
    <n v="40"/>
    <n v="1984"/>
    <n v="70000"/>
    <x v="5"/>
    <x v="0"/>
    <x v="3"/>
    <x v="3"/>
    <s v="Assistant"/>
    <d v="2019-03-25T00:00:00"/>
    <d v="2019-03-25T00:00:00"/>
    <x v="2"/>
    <n v="71"/>
    <s v="alice.lee@saltcorp.com"/>
    <s v="098-765-4321"/>
    <s v="Full-Time"/>
    <x v="1"/>
    <m/>
    <n v="5"/>
    <m/>
    <m/>
    <m/>
    <m/>
    <s v="no"/>
    <x v="3"/>
    <x v="0"/>
  </r>
  <r>
    <s v="EMP-2018-0397"/>
    <s v="Bob"/>
    <s v="Rodriguez"/>
    <n v="50"/>
    <n v="50"/>
    <n v="1974"/>
    <s v="SIXTY THOUSAND"/>
    <x v="2"/>
    <x v="0"/>
    <x v="0"/>
    <x v="0"/>
    <s v="Clerk"/>
    <d v="2018-04-05T00:00:00"/>
    <d v="2018-04-05T00:00:00"/>
    <x v="4"/>
    <n v="83"/>
    <s v="bob.rodriguez@saltcorp.com"/>
    <m/>
    <s v="Full-Time"/>
    <x v="1"/>
    <m/>
    <n v="1"/>
    <m/>
    <m/>
    <m/>
    <m/>
    <s v="YES"/>
    <x v="3"/>
    <x v="1"/>
  </r>
  <r>
    <s v="EMP-2020-0398"/>
    <s v="Frank"/>
    <s v="Aguilar"/>
    <n v="40"/>
    <n v="40"/>
    <n v="1984"/>
    <s v=" NAN "/>
    <x v="25"/>
    <x v="1"/>
    <x v="2"/>
    <x v="2"/>
    <s v="Director"/>
    <d v="2020-02-20T00:00:00"/>
    <d v="2020-02-20T00:00:00"/>
    <x v="0"/>
    <n v="68"/>
    <s v="frank.aguilar@saltcorp.com"/>
    <s v="098-765-4321"/>
    <s v="Part-Time"/>
    <x v="2"/>
    <m/>
    <n v="6"/>
    <m/>
    <n v="12"/>
    <d v="2024-08-12T00:00:00"/>
    <m/>
    <s v="no"/>
    <x v="0"/>
    <x v="0"/>
  </r>
  <r>
    <s v="EMP-2019-0399"/>
    <s v="Ivy"/>
    <s v="Desai"/>
    <m/>
    <n v="28"/>
    <n v="1996"/>
    <n v="55000"/>
    <x v="6"/>
    <x v="1"/>
    <x v="4"/>
    <x v="4"/>
    <s v="Clerk"/>
    <d v="2019-12-01T00:00:00"/>
    <d v="2019-12-01T00:00:00"/>
    <x v="3"/>
    <n v="98"/>
    <s v="ivy.desai@saltcorp.com"/>
    <s v="123-456-7890"/>
    <s v="Full-Time"/>
    <x v="1"/>
    <m/>
    <n v="8"/>
    <n v="3"/>
    <n v="13"/>
    <m/>
    <m/>
    <s v="YES"/>
    <x v="0"/>
    <x v="0"/>
  </r>
  <r>
    <s v="EMP-2019-0400"/>
    <s v="Hannah"/>
    <s v="Olson"/>
    <n v="25"/>
    <n v="25"/>
    <n v="1999"/>
    <n v="65000"/>
    <x v="1"/>
    <x v="1"/>
    <x v="0"/>
    <x v="0"/>
    <s v="Analyst"/>
    <d v="2019-03-25T00:00:00"/>
    <d v="2019-03-25T00:00:00"/>
    <x v="0"/>
    <n v="65"/>
    <s v="hannah.olson@saltcorp.com"/>
    <s v="098-765-4321"/>
    <s v="Part-Time"/>
    <x v="2"/>
    <s v="EMP-2020-0008"/>
    <n v="3"/>
    <m/>
    <m/>
    <d v="2024-08-12T00:00:00"/>
    <n v="49"/>
    <s v="N"/>
    <x v="3"/>
    <x v="1"/>
  </r>
  <r>
    <s v="EMP-2020-0401"/>
    <s v="Eve"/>
    <s v="Ward"/>
    <m/>
    <n v="24"/>
    <n v="2000"/>
    <s v="SIXTY THOUSAND"/>
    <x v="2"/>
    <x v="1"/>
    <x v="0"/>
    <x v="0"/>
    <s v="Clerk"/>
    <d v="2020-01-15T00:00:00"/>
    <d v="2020-01-15T00:00:00"/>
    <x v="3"/>
    <n v="90"/>
    <s v="eve.ward@saltcorp.com"/>
    <s v="098-765-4321"/>
    <s v="Full-Time"/>
    <x v="1"/>
    <s v="EMP-2019-0060"/>
    <n v="1"/>
    <m/>
    <m/>
    <d v="2023-01-15T00:00:00"/>
    <n v="55"/>
    <s v="YES"/>
    <x v="2"/>
    <x v="0"/>
  </r>
  <r>
    <s v="EMP-2020-0402"/>
    <s v="Alice"/>
    <s v="Matthews"/>
    <n v="25"/>
    <n v="25"/>
    <n v="1999"/>
    <s v="SIXTY THOUSAND"/>
    <x v="2"/>
    <x v="1"/>
    <x v="2"/>
    <x v="2"/>
    <s v="Manager"/>
    <d v="2020-02-20T00:00:00"/>
    <d v="2020-02-20T00:00:00"/>
    <x v="1"/>
    <n v="57"/>
    <s v="alice.matthews@saltcorp.com"/>
    <s v=" "/>
    <s v="Part-Time"/>
    <x v="2"/>
    <m/>
    <n v="3"/>
    <m/>
    <m/>
    <m/>
    <n v="42"/>
    <s v="YES"/>
    <x v="0"/>
    <x v="0"/>
  </r>
  <r>
    <s v="EMP-2020-0403"/>
    <s v="Grace"/>
    <s v="Huang"/>
    <s v="thirty"/>
    <n v="30"/>
    <n v="1994"/>
    <n v="70000"/>
    <x v="5"/>
    <x v="1"/>
    <x v="4"/>
    <x v="4"/>
    <s v="Assistant"/>
    <d v="2020-01-15T00:00:00"/>
    <d v="2020-01-15T00:00:00"/>
    <x v="1"/>
    <n v="44"/>
    <s v="grace.huang@saltcorp.com"/>
    <m/>
    <s v="Part-Time"/>
    <x v="2"/>
    <s v="EMP-2019-0052"/>
    <n v="6"/>
    <m/>
    <n v="12"/>
    <m/>
    <n v="47"/>
    <s v="no"/>
    <x v="2"/>
    <x v="1"/>
  </r>
  <r>
    <s v="EMP-2020-0404"/>
    <s v="Eve"/>
    <s v="Carter"/>
    <n v="50"/>
    <n v="50"/>
    <n v="1974"/>
    <s v="SIXTY THOUSAND"/>
    <x v="2"/>
    <x v="1"/>
    <x v="0"/>
    <x v="0"/>
    <s v="Assistant"/>
    <d v="2020-01-15T00:00:00"/>
    <d v="2020-01-15T00:00:00"/>
    <x v="3"/>
    <n v="97"/>
    <s v="eve.carter@saltcorp.com"/>
    <s v=" "/>
    <s v="Full-Time"/>
    <x v="1"/>
    <s v="EMP-2020-0072"/>
    <n v="1"/>
    <s v="N/A"/>
    <m/>
    <d v="2021-10-01T00:00:00"/>
    <m/>
    <s v="N"/>
    <x v="0"/>
    <x v="0"/>
  </r>
  <r>
    <s v="EMP-2020-0405"/>
    <s v="Frank"/>
    <s v="Perez"/>
    <n v="25"/>
    <n v="25"/>
    <n v="1999"/>
    <n v="55000"/>
    <x v="6"/>
    <x v="0"/>
    <x v="0"/>
    <x v="0"/>
    <s v="Manager"/>
    <d v="2020-01-15T00:00:00"/>
    <d v="2020-01-15T00:00:00"/>
    <x v="0"/>
    <n v="66"/>
    <s v="frank.perez@saltcorp.com"/>
    <s v="555-555-5555"/>
    <s v="Part-Time"/>
    <x v="2"/>
    <m/>
    <n v="5"/>
    <m/>
    <m/>
    <m/>
    <m/>
    <s v="Y"/>
    <x v="1"/>
    <x v="0"/>
  </r>
  <r>
    <s v="EMP-2018-0406"/>
    <s v="Grace"/>
    <s v="Yang"/>
    <m/>
    <n v="31"/>
    <n v="1993"/>
    <n v="55000"/>
    <x v="6"/>
    <x v="1"/>
    <x v="4"/>
    <x v="4"/>
    <s v="Analyst"/>
    <d v="2018-04-05T00:00:00"/>
    <d v="2018-04-05T00:00:00"/>
    <x v="3"/>
    <n v="92"/>
    <s v="grace.yang@saltcorp.com"/>
    <s v="098-765-4321"/>
    <s v="Full-Time"/>
    <x v="1"/>
    <s v="EMP-2018-0013"/>
    <n v="8"/>
    <m/>
    <m/>
    <d v="2023-03-05T00:00:00"/>
    <n v="45"/>
    <s v="no"/>
    <x v="3"/>
    <x v="1"/>
  </r>
  <r>
    <s v="EMP-2018-0407"/>
    <s v="Charlie"/>
    <s v="Oliver"/>
    <n v="40"/>
    <n v="40"/>
    <n v="1984"/>
    <n v="50000"/>
    <x v="0"/>
    <x v="0"/>
    <x v="1"/>
    <x v="1"/>
    <s v="Manager"/>
    <d v="2018-04-05T00:00:00"/>
    <d v="2018-04-05T00:00:00"/>
    <x v="4"/>
    <n v="85"/>
    <s v="charlie.oliver@saltcorp.com"/>
    <s v="555-555-5555"/>
    <s v="Full-Time"/>
    <x v="1"/>
    <m/>
    <n v="6"/>
    <s v="N/A"/>
    <n v="9"/>
    <d v="2024-08-12T00:00:00"/>
    <m/>
    <s v="N"/>
    <x v="4"/>
    <x v="0"/>
  </r>
  <r>
    <s v="EMP-2019-0408"/>
    <s v="Jack"/>
    <s v="Bell"/>
    <n v="25"/>
    <n v="25"/>
    <n v="1999"/>
    <n v="55000"/>
    <x v="6"/>
    <x v="0"/>
    <x v="0"/>
    <x v="0"/>
    <s v="Clerk"/>
    <d v="2019-12-01T00:00:00"/>
    <d v="2019-12-01T00:00:00"/>
    <x v="1"/>
    <n v="22"/>
    <s v="jack.bell@saltcorp.com"/>
    <s v=" "/>
    <s v="Part-Time"/>
    <x v="2"/>
    <m/>
    <n v="2"/>
    <m/>
    <n v="19"/>
    <m/>
    <m/>
    <m/>
    <x v="0"/>
    <x v="0"/>
  </r>
  <r>
    <s v="EMP-2020-0409"/>
    <s v="Charlie"/>
    <s v="West"/>
    <n v="50"/>
    <n v="50"/>
    <n v="1974"/>
    <n v="60900"/>
    <x v="15"/>
    <x v="1"/>
    <x v="3"/>
    <x v="3"/>
    <s v="Manager"/>
    <d v="2020-02-20T00:00:00"/>
    <d v="2020-02-20T00:00:00"/>
    <x v="4"/>
    <n v="80"/>
    <s v="charlie.west@saltcorp.com"/>
    <m/>
    <s v="Full-Time"/>
    <x v="1"/>
    <s v="EMP-2018-0098"/>
    <n v="6"/>
    <s v="N/A"/>
    <m/>
    <d v="2024-08-12T00:00:00"/>
    <m/>
    <s v="no"/>
    <x v="4"/>
    <x v="0"/>
  </r>
  <r>
    <s v="EMP-2019-0410"/>
    <s v="Eve"/>
    <s v="Stevens"/>
    <n v="25"/>
    <n v="25"/>
    <n v="1999"/>
    <s v="SIXTY THOUSAND"/>
    <x v="2"/>
    <x v="1"/>
    <x v="4"/>
    <x v="4"/>
    <s v="Manager"/>
    <d v="2019-03-25T00:00:00"/>
    <d v="2019-03-25T00:00:00"/>
    <x v="1"/>
    <n v="23"/>
    <s v="eve.stevens@saltcorp.com"/>
    <s v=" "/>
    <s v="Part-Time"/>
    <x v="2"/>
    <m/>
    <n v="4"/>
    <n v="1"/>
    <n v="6"/>
    <d v="2024-08-12T00:00:00"/>
    <n v="9"/>
    <s v="no"/>
    <x v="2"/>
    <x v="0"/>
  </r>
  <r>
    <s v="EMP-2019-0411"/>
    <s v="Frank"/>
    <s v="Hernandez"/>
    <n v="35"/>
    <n v="35"/>
    <n v="1989"/>
    <n v="55000"/>
    <x v="6"/>
    <x v="0"/>
    <x v="0"/>
    <x v="0"/>
    <s v="Analyst"/>
    <d v="2019-03-25T00:00:00"/>
    <d v="2019-03-25T00:00:00"/>
    <x v="1"/>
    <n v="54"/>
    <s v="frank.hernandez@saltcorp.com"/>
    <m/>
    <s v="Full-Time"/>
    <x v="1"/>
    <m/>
    <n v="3"/>
    <s v="N/A"/>
    <m/>
    <s v="N/A"/>
    <m/>
    <s v="YES"/>
    <x v="2"/>
    <x v="0"/>
  </r>
  <r>
    <s v="EMP-2019-0412"/>
    <s v="Ivy"/>
    <s v="Hansen"/>
    <n v="40"/>
    <n v="40"/>
    <n v="1984"/>
    <n v="70000"/>
    <x v="5"/>
    <x v="1"/>
    <x v="2"/>
    <x v="2"/>
    <s v="Clerk"/>
    <d v="2019-03-25T00:00:00"/>
    <d v="2019-03-25T00:00:00"/>
    <x v="2"/>
    <n v="70"/>
    <s v="ivy.hansen@saltcorp.com"/>
    <m/>
    <s v="contract"/>
    <x v="0"/>
    <m/>
    <n v="2"/>
    <m/>
    <n v="15"/>
    <d v="2021-10-01T00:00:00"/>
    <n v="5"/>
    <s v="YES"/>
    <x v="2"/>
    <x v="1"/>
  </r>
  <r>
    <s v="EMP-2020-0413"/>
    <s v="Eve"/>
    <s v="Bell"/>
    <n v="50"/>
    <n v="50"/>
    <n v="1974"/>
    <n v="50000"/>
    <x v="0"/>
    <x v="0"/>
    <x v="3"/>
    <x v="3"/>
    <s v="Director"/>
    <d v="2020-01-15T00:00:00"/>
    <d v="2020-01-15T00:00:00"/>
    <x v="4"/>
    <n v="85"/>
    <s v="eve.bell@saltcorp.com"/>
    <s v="123-456-7890"/>
    <s v="Full-Time"/>
    <x v="1"/>
    <m/>
    <n v="3"/>
    <n v="1"/>
    <m/>
    <d v="2024-08-12T00:00:00"/>
    <m/>
    <s v="YES"/>
    <x v="4"/>
    <x v="0"/>
  </r>
  <r>
    <s v="EMP-2018-0414"/>
    <s v="Alice"/>
    <s v="Thompson"/>
    <n v="50"/>
    <n v="50"/>
    <n v="1974"/>
    <s v="SIXTY THOUSAND"/>
    <x v="2"/>
    <x v="1"/>
    <x v="0"/>
    <x v="0"/>
    <s v="Director"/>
    <d v="2018-04-05T00:00:00"/>
    <d v="2018-04-05T00:00:00"/>
    <x v="4"/>
    <n v="89"/>
    <s v="alice.thompson@saltcorp.com"/>
    <s v="098-765-4321"/>
    <s v="Part-Time"/>
    <x v="2"/>
    <m/>
    <n v="7"/>
    <n v="11"/>
    <m/>
    <m/>
    <m/>
    <s v="YES"/>
    <x v="2"/>
    <x v="0"/>
  </r>
  <r>
    <s v="EMP-2020-0415"/>
    <s v="David"/>
    <s v="Rogers"/>
    <s v="thirty"/>
    <n v="30"/>
    <n v="1994"/>
    <n v="50000"/>
    <x v="0"/>
    <x v="1"/>
    <x v="3"/>
    <x v="3"/>
    <s v="Assistant"/>
    <d v="2020-02-20T00:00:00"/>
    <d v="2020-02-20T00:00:00"/>
    <x v="2"/>
    <n v="71"/>
    <s v="david.rogers@saltcorp.com"/>
    <s v=" "/>
    <s v="Full-Time"/>
    <x v="1"/>
    <m/>
    <n v="7"/>
    <m/>
    <m/>
    <m/>
    <n v="33"/>
    <m/>
    <x v="4"/>
    <x v="1"/>
  </r>
  <r>
    <s v="EMP-2020-0416"/>
    <s v="Eve"/>
    <s v="Evans"/>
    <m/>
    <n v="42"/>
    <n v="1982"/>
    <s v="SIXTY THOUSAND"/>
    <x v="2"/>
    <x v="0"/>
    <x v="3"/>
    <x v="3"/>
    <s v="Manager"/>
    <d v="2020-01-15T00:00:00"/>
    <d v="2020-01-15T00:00:00"/>
    <x v="0"/>
    <n v="65"/>
    <s v="eve.evans@saltcorp.com"/>
    <m/>
    <s v="Full-Time"/>
    <x v="1"/>
    <m/>
    <n v="2"/>
    <m/>
    <n v="15"/>
    <m/>
    <n v="78"/>
    <s v="no"/>
    <x v="3"/>
    <x v="1"/>
  </r>
  <r>
    <s v="EMP-2018-0417"/>
    <s v="Jack"/>
    <s v="Hanson"/>
    <s v="thirty"/>
    <n v="30"/>
    <n v="1994"/>
    <n v="70000"/>
    <x v="5"/>
    <x v="0"/>
    <x v="1"/>
    <x v="1"/>
    <s v="Assistant"/>
    <d v="2018-04-05T00:00:00"/>
    <d v="2018-04-05T00:00:00"/>
    <x v="4"/>
    <n v="83"/>
    <s v="jack.hanson@saltcorp.com"/>
    <s v=" "/>
    <s v="Part-Time"/>
    <x v="2"/>
    <m/>
    <n v="6"/>
    <s v="N/A"/>
    <n v="3"/>
    <m/>
    <m/>
    <m/>
    <x v="4"/>
    <x v="0"/>
  </r>
  <r>
    <s v="EMP-2018-0418"/>
    <s v="Jack"/>
    <s v="McCarthy"/>
    <n v="50"/>
    <n v="50"/>
    <n v="1974"/>
    <n v="50000"/>
    <x v="0"/>
    <x v="0"/>
    <x v="3"/>
    <x v="3"/>
    <s v="Analyst"/>
    <d v="2018-04-05T00:00:00"/>
    <d v="2018-04-05T00:00:00"/>
    <x v="3"/>
    <n v="92"/>
    <s v="jack.mccarthy@saltcorp.com"/>
    <s v=" "/>
    <s v="Part-Time"/>
    <x v="2"/>
    <m/>
    <n v="4"/>
    <m/>
    <m/>
    <d v="2023-03-05T00:00:00"/>
    <m/>
    <s v="YES"/>
    <x v="0"/>
    <x v="0"/>
  </r>
  <r>
    <s v="EMP-2020-0419"/>
    <s v="Eve"/>
    <s v="Bell"/>
    <n v="40"/>
    <n v="40"/>
    <n v="1984"/>
    <n v="65000"/>
    <x v="1"/>
    <x v="0"/>
    <x v="1"/>
    <x v="1"/>
    <s v="Director"/>
    <d v="2020-02-20T00:00:00"/>
    <d v="2020-02-20T00:00:00"/>
    <x v="2"/>
    <n v="74"/>
    <s v="eve.bell@saltcorp.com"/>
    <m/>
    <s v="Part-Time"/>
    <x v="2"/>
    <m/>
    <n v="4"/>
    <m/>
    <m/>
    <d v="2021-10-01T00:00:00"/>
    <n v="63"/>
    <m/>
    <x v="3"/>
    <x v="1"/>
  </r>
  <r>
    <s v="EMP-2020-0420"/>
    <s v="Grace"/>
    <s v="Harrison"/>
    <n v="25"/>
    <n v="25"/>
    <n v="1999"/>
    <n v="60000"/>
    <x v="2"/>
    <x v="0"/>
    <x v="4"/>
    <x v="4"/>
    <s v="Manager"/>
    <d v="2020-02-20T00:00:00"/>
    <d v="2020-02-20T00:00:00"/>
    <x v="4"/>
    <n v="83"/>
    <s v="grace.harrison@saltcorp.com"/>
    <s v="555-555-5555"/>
    <s v="Part-Time"/>
    <x v="2"/>
    <m/>
    <n v="6"/>
    <n v="10"/>
    <m/>
    <d v="2023-01-15T00:00:00"/>
    <m/>
    <s v="no"/>
    <x v="0"/>
    <x v="0"/>
  </r>
  <r>
    <s v="EMP-2020-0421"/>
    <s v="David"/>
    <s v="Walsh"/>
    <n v="25"/>
    <n v="25"/>
    <n v="1999"/>
    <n v="60800"/>
    <x v="19"/>
    <x v="0"/>
    <x v="1"/>
    <x v="1"/>
    <s v="Analyst"/>
    <d v="2020-02-20T00:00:00"/>
    <d v="2020-02-20T00:00:00"/>
    <x v="0"/>
    <n v="62"/>
    <s v="david.walsh@saltcorp.com"/>
    <s v="098-765-4321"/>
    <s v="Full-Time"/>
    <x v="1"/>
    <m/>
    <n v="6"/>
    <m/>
    <n v="12"/>
    <m/>
    <m/>
    <s v="N"/>
    <x v="3"/>
    <x v="1"/>
  </r>
  <r>
    <s v="EMP-2020-0422"/>
    <s v="Alice"/>
    <s v="Mason"/>
    <n v="40"/>
    <n v="40"/>
    <n v="1984"/>
    <s v="SIXTY THOUSAND"/>
    <x v="2"/>
    <x v="1"/>
    <x v="2"/>
    <x v="2"/>
    <s v="Analyst"/>
    <d v="2020-01-15T00:00:00"/>
    <d v="2020-01-15T00:00:00"/>
    <x v="4"/>
    <n v="87"/>
    <s v="alice.mason@saltcorp.com"/>
    <s v="098-765-4321"/>
    <s v="Part-Time"/>
    <x v="2"/>
    <s v="EMP-2018-0017"/>
    <n v="6"/>
    <m/>
    <n v="7"/>
    <d v="2023-03-05T00:00:00"/>
    <m/>
    <m/>
    <x v="4"/>
    <x v="0"/>
  </r>
  <r>
    <s v="EMP-2019-0423"/>
    <s v="Eve"/>
    <s v="Stevens"/>
    <n v="50"/>
    <n v="50"/>
    <n v="1974"/>
    <n v="65000"/>
    <x v="1"/>
    <x v="0"/>
    <x v="0"/>
    <x v="0"/>
    <s v="Manager"/>
    <d v="2019-12-01T00:00:00"/>
    <d v="2019-12-01T00:00:00"/>
    <x v="1"/>
    <n v="35"/>
    <s v="eve.stevens@saltcorp.com"/>
    <s v="123-456-7890"/>
    <s v="Full-Time"/>
    <x v="1"/>
    <m/>
    <n v="5"/>
    <m/>
    <m/>
    <d v="2023-01-15T00:00:00"/>
    <m/>
    <s v="YES"/>
    <x v="3"/>
    <x v="1"/>
  </r>
  <r>
    <s v="EMP-2020-0424"/>
    <s v="Grace"/>
    <s v="Wang"/>
    <n v="25"/>
    <n v="25"/>
    <n v="1999"/>
    <n v="50000"/>
    <x v="0"/>
    <x v="1"/>
    <x v="4"/>
    <x v="4"/>
    <s v="Analyst"/>
    <d v="2020-02-20T00:00:00"/>
    <d v="2020-02-20T00:00:00"/>
    <x v="3"/>
    <n v="98"/>
    <s v="grace.wang@saltcorp.com"/>
    <s v="123-456-7890"/>
    <s v="Full-Time"/>
    <x v="1"/>
    <m/>
    <n v="4"/>
    <m/>
    <m/>
    <d v="2024-08-12T00:00:00"/>
    <m/>
    <s v="no"/>
    <x v="0"/>
    <x v="0"/>
  </r>
  <r>
    <s v="EMP-2019-0425"/>
    <s v="Jack"/>
    <s v="McCarthy"/>
    <n v="25"/>
    <n v="25"/>
    <n v="1999"/>
    <n v="65000"/>
    <x v="1"/>
    <x v="1"/>
    <x v="4"/>
    <x v="4"/>
    <s v="Manager"/>
    <d v="2019-12-01T00:00:00"/>
    <d v="2019-12-01T00:00:00"/>
    <x v="2"/>
    <n v="75"/>
    <s v="jack.mccarthy@saltcorp.com"/>
    <s v="123-456-7890"/>
    <s v="contract"/>
    <x v="0"/>
    <s v="EMP-2018-0006"/>
    <n v="8"/>
    <n v="9"/>
    <m/>
    <m/>
    <m/>
    <s v="no"/>
    <x v="1"/>
    <x v="0"/>
  </r>
  <r>
    <s v="EMP-2020-0426"/>
    <s v="Jack"/>
    <s v="O'Connor"/>
    <n v="25"/>
    <n v="25"/>
    <n v="1999"/>
    <n v="65000"/>
    <x v="1"/>
    <x v="0"/>
    <x v="2"/>
    <x v="2"/>
    <s v="Manager"/>
    <d v="2020-01-15T00:00:00"/>
    <d v="2020-01-15T00:00:00"/>
    <x v="1"/>
    <n v="50"/>
    <s v="jack.o'connor@saltcorp.com"/>
    <s v="098-765-4321"/>
    <s v="Part-Time"/>
    <x v="2"/>
    <m/>
    <n v="1"/>
    <m/>
    <n v="18"/>
    <s v="N/A"/>
    <m/>
    <s v="YES"/>
    <x v="3"/>
    <x v="0"/>
  </r>
  <r>
    <s v="EMP-2019-0427"/>
    <s v="Frank"/>
    <s v="Gonzalez"/>
    <m/>
    <n v="34"/>
    <n v="1990"/>
    <n v="50000"/>
    <x v="0"/>
    <x v="0"/>
    <x v="1"/>
    <x v="1"/>
    <s v="Clerk"/>
    <d v="2019-12-01T00:00:00"/>
    <d v="2019-12-01T00:00:00"/>
    <x v="0"/>
    <n v="68"/>
    <s v="frank.gonzalez@saltcorp.com"/>
    <s v="555-555-5555"/>
    <s v="Part-Time"/>
    <x v="2"/>
    <s v="EMP-2020-0066"/>
    <n v="2"/>
    <m/>
    <n v="20"/>
    <s v="N/A"/>
    <n v="31"/>
    <s v="no"/>
    <x v="3"/>
    <x v="0"/>
  </r>
  <r>
    <s v="EMP-2019-0428"/>
    <s v="Eve"/>
    <s v="Vega"/>
    <m/>
    <n v="27"/>
    <n v="1997"/>
    <n v="70000"/>
    <x v="5"/>
    <x v="1"/>
    <x v="0"/>
    <x v="0"/>
    <s v="Assistant"/>
    <d v="2019-03-25T00:00:00"/>
    <d v="2019-03-25T00:00:00"/>
    <x v="1"/>
    <n v="39"/>
    <s v="eve.vega@saltcorp.com"/>
    <s v="098-765-4321"/>
    <s v="Part-Time"/>
    <x v="2"/>
    <s v="EMP-2020-0041"/>
    <n v="6"/>
    <m/>
    <m/>
    <d v="2022-06-20T00:00:00"/>
    <n v="63"/>
    <s v="N"/>
    <x v="1"/>
    <x v="1"/>
  </r>
  <r>
    <s v="EMP-2019-0429"/>
    <s v="David"/>
    <s v="Cohen"/>
    <n v="35"/>
    <n v="35"/>
    <n v="1989"/>
    <n v="65000"/>
    <x v="1"/>
    <x v="0"/>
    <x v="1"/>
    <x v="1"/>
    <s v="Analyst"/>
    <d v="2019-12-01T00:00:00"/>
    <d v="2019-12-01T00:00:00"/>
    <x v="1"/>
    <n v="45"/>
    <s v="david.cohen@saltcorp.com"/>
    <s v="098-765-4321"/>
    <s v="contract"/>
    <x v="0"/>
    <m/>
    <n v="8"/>
    <m/>
    <m/>
    <m/>
    <m/>
    <s v="YES"/>
    <x v="3"/>
    <x v="1"/>
  </r>
  <r>
    <s v="EMP-2020-0430"/>
    <s v="Bob"/>
    <s v="Wallace"/>
    <s v="thirty"/>
    <n v="30"/>
    <n v="1994"/>
    <n v="65000"/>
    <x v="1"/>
    <x v="0"/>
    <x v="3"/>
    <x v="3"/>
    <s v="Analyst"/>
    <d v="2020-02-20T00:00:00"/>
    <d v="2020-02-20T00:00:00"/>
    <x v="0"/>
    <n v="66"/>
    <s v="bob.wallace@saltcorp.com"/>
    <s v="098-765-4321"/>
    <s v="contract"/>
    <x v="0"/>
    <m/>
    <n v="4"/>
    <m/>
    <m/>
    <m/>
    <m/>
    <s v="no"/>
    <x v="3"/>
    <x v="0"/>
  </r>
  <r>
    <s v="EMP-2020-0431"/>
    <s v="David"/>
    <s v="Le"/>
    <n v="40"/>
    <n v="40"/>
    <n v="1984"/>
    <n v="70000"/>
    <x v="5"/>
    <x v="1"/>
    <x v="1"/>
    <x v="1"/>
    <s v="Clerk"/>
    <d v="2020-01-15T00:00:00"/>
    <d v="2020-01-15T00:00:00"/>
    <x v="1"/>
    <n v="41"/>
    <s v="david.le@saltcorp.com"/>
    <s v="098-765-4321"/>
    <s v="Part-Time"/>
    <x v="2"/>
    <m/>
    <n v="4"/>
    <m/>
    <m/>
    <m/>
    <m/>
    <m/>
    <x v="1"/>
    <x v="0"/>
  </r>
  <r>
    <s v="EMP-2020-0432"/>
    <s v="Jack"/>
    <s v="Olson"/>
    <n v="40"/>
    <n v="40"/>
    <n v="1984"/>
    <n v="65000"/>
    <x v="1"/>
    <x v="0"/>
    <x v="4"/>
    <x v="4"/>
    <s v="Clerk"/>
    <d v="2020-02-20T00:00:00"/>
    <d v="2020-02-20T00:00:00"/>
    <x v="2"/>
    <n v="77"/>
    <s v="jack.olson@saltcorp.com"/>
    <s v="555-555-5555"/>
    <s v="contract"/>
    <x v="0"/>
    <m/>
    <n v="1"/>
    <m/>
    <m/>
    <d v="2022-06-20T00:00:00"/>
    <m/>
    <s v="no"/>
    <x v="3"/>
    <x v="1"/>
  </r>
  <r>
    <s v="EMP-2019-0433"/>
    <s v="Jack"/>
    <s v="Johnston"/>
    <n v="40"/>
    <n v="40"/>
    <n v="1984"/>
    <n v="65000"/>
    <x v="1"/>
    <x v="0"/>
    <x v="0"/>
    <x v="0"/>
    <s v="Clerk"/>
    <d v="2019-03-25T00:00:00"/>
    <d v="2019-03-25T00:00:00"/>
    <x v="4"/>
    <n v="88"/>
    <s v="jack.johnston@saltcorp.com"/>
    <s v="123-456-7890"/>
    <s v="contract"/>
    <x v="0"/>
    <m/>
    <n v="6"/>
    <m/>
    <m/>
    <m/>
    <m/>
    <m/>
    <x v="4"/>
    <x v="0"/>
  </r>
  <r>
    <s v="EMP-2020-0434"/>
    <s v="Charlie"/>
    <s v="Lewis"/>
    <n v="35"/>
    <n v="35"/>
    <n v="1989"/>
    <n v="65000"/>
    <x v="1"/>
    <x v="0"/>
    <x v="1"/>
    <x v="1"/>
    <s v="Director"/>
    <d v="2020-02-20T00:00:00"/>
    <d v="2020-02-20T00:00:00"/>
    <x v="1"/>
    <n v="53"/>
    <s v="charlie.lewis@saltcorp.com"/>
    <s v=" "/>
    <s v="contract"/>
    <x v="0"/>
    <m/>
    <n v="7"/>
    <s v="N/A"/>
    <m/>
    <m/>
    <m/>
    <s v="no"/>
    <x v="4"/>
    <x v="1"/>
  </r>
  <r>
    <s v="EMP-2020-0435"/>
    <s v="Jack"/>
    <s v="Wallace"/>
    <m/>
    <n v="53"/>
    <n v="1971"/>
    <n v="60900"/>
    <x v="15"/>
    <x v="1"/>
    <x v="0"/>
    <x v="0"/>
    <s v="Director"/>
    <d v="2020-02-20T00:00:00"/>
    <d v="2020-02-20T00:00:00"/>
    <x v="2"/>
    <n v="72"/>
    <s v="jack.wallace@saltcorp.com"/>
    <s v="123-456-7890"/>
    <s v="Part-Time"/>
    <x v="2"/>
    <m/>
    <n v="2"/>
    <m/>
    <n v="5"/>
    <m/>
    <n v="75"/>
    <s v="no"/>
    <x v="4"/>
    <x v="1"/>
  </r>
  <r>
    <s v="EMP-2020-0436"/>
    <s v="Alice"/>
    <s v="Knight"/>
    <n v="50"/>
    <n v="50"/>
    <n v="1974"/>
    <n v="55000"/>
    <x v="6"/>
    <x v="0"/>
    <x v="0"/>
    <x v="0"/>
    <s v="Director"/>
    <d v="2020-02-20T00:00:00"/>
    <d v="2020-02-20T00:00:00"/>
    <x v="4"/>
    <n v="85"/>
    <s v="alice.knight@saltcorp.com"/>
    <s v="123-456-7890"/>
    <s v="contract"/>
    <x v="0"/>
    <s v="EMP-2020-0074"/>
    <n v="7"/>
    <m/>
    <n v="16"/>
    <m/>
    <n v="32"/>
    <m/>
    <x v="0"/>
    <x v="0"/>
  </r>
  <r>
    <s v="EMP-2018-0437"/>
    <s v="Hannah"/>
    <s v="Sims"/>
    <n v="50"/>
    <n v="50"/>
    <n v="1974"/>
    <n v="70000"/>
    <x v="5"/>
    <x v="1"/>
    <x v="3"/>
    <x v="3"/>
    <s v="Manager"/>
    <d v="2018-04-05T00:00:00"/>
    <d v="2018-04-05T00:00:00"/>
    <x v="4"/>
    <n v="81"/>
    <s v="hannah.sims@saltcorp.com"/>
    <s v=" "/>
    <s v="Full-Time"/>
    <x v="1"/>
    <s v="EMP-2020-0062"/>
    <n v="5"/>
    <m/>
    <m/>
    <m/>
    <n v="74"/>
    <m/>
    <x v="0"/>
    <x v="0"/>
  </r>
  <r>
    <s v="EMP-2019-0438"/>
    <s v="Eve"/>
    <s v="Medina"/>
    <n v="35"/>
    <n v="35"/>
    <n v="1989"/>
    <n v="65000"/>
    <x v="1"/>
    <x v="1"/>
    <x v="3"/>
    <x v="3"/>
    <s v="Analyst"/>
    <d v="2019-03-25T00:00:00"/>
    <d v="2019-03-25T00:00:00"/>
    <x v="1"/>
    <n v="39"/>
    <s v="eve.medina@saltcorp.com"/>
    <s v="098-765-4321"/>
    <s v="Part-Time"/>
    <x v="2"/>
    <m/>
    <n v="5"/>
    <s v="N/A"/>
    <n v="6"/>
    <m/>
    <m/>
    <s v="YES"/>
    <x v="1"/>
    <x v="1"/>
  </r>
  <r>
    <s v="EMP-2020-0439"/>
    <s v="David"/>
    <s v="Andrews"/>
    <n v="50"/>
    <n v="50"/>
    <n v="1974"/>
    <n v="61600"/>
    <x v="16"/>
    <x v="0"/>
    <x v="4"/>
    <x v="4"/>
    <s v="Assistant"/>
    <d v="2020-02-20T00:00:00"/>
    <d v="2020-02-20T00:00:00"/>
    <x v="2"/>
    <n v="78"/>
    <s v="david.andrews@saltcorp.com"/>
    <s v="555-555-5555"/>
    <s v="contract"/>
    <x v="0"/>
    <s v="EMP-2020-0032"/>
    <n v="1"/>
    <m/>
    <m/>
    <d v="2022-06-20T00:00:00"/>
    <n v="25"/>
    <s v="no"/>
    <x v="1"/>
    <x v="1"/>
  </r>
  <r>
    <s v="EMP-2020-0440"/>
    <s v="Hannah"/>
    <s v="Gutierrez"/>
    <n v="40"/>
    <n v="40"/>
    <n v="1984"/>
    <n v="70000"/>
    <x v="5"/>
    <x v="1"/>
    <x v="2"/>
    <x v="2"/>
    <s v="Manager"/>
    <d v="2020-02-20T00:00:00"/>
    <d v="2020-02-20T00:00:00"/>
    <x v="1"/>
    <n v="46"/>
    <s v="hannah.gutierrez@saltcorp.com"/>
    <s v="555-555-5555"/>
    <s v="contract"/>
    <x v="0"/>
    <s v="EMP-2020-0015"/>
    <n v="6"/>
    <m/>
    <m/>
    <m/>
    <m/>
    <s v="no"/>
    <x v="4"/>
    <x v="0"/>
  </r>
  <r>
    <s v="EMP-2020-0441"/>
    <s v="Grace"/>
    <s v="Wallace"/>
    <s v="thirty"/>
    <n v="30"/>
    <n v="1994"/>
    <s v="SIXTY THOUSAND"/>
    <x v="2"/>
    <x v="0"/>
    <x v="0"/>
    <x v="0"/>
    <s v="Analyst"/>
    <d v="2020-02-20T00:00:00"/>
    <d v="2020-02-20T00:00:00"/>
    <x v="0"/>
    <n v="60"/>
    <s v="grace.wallace@saltcorp.com"/>
    <s v="123-456-7890"/>
    <s v="contract"/>
    <x v="0"/>
    <s v="EMP-2019-0054"/>
    <n v="8"/>
    <m/>
    <n v="13"/>
    <d v="2022-06-20T00:00:00"/>
    <m/>
    <s v="no"/>
    <x v="2"/>
    <x v="0"/>
  </r>
  <r>
    <s v="EMP-2020-0442"/>
    <s v="Bob"/>
    <s v="Jordan"/>
    <n v="25"/>
    <n v="25"/>
    <n v="1999"/>
    <s v="SIXTY THOUSAND"/>
    <x v="2"/>
    <x v="0"/>
    <x v="2"/>
    <x v="2"/>
    <s v="Analyst"/>
    <d v="2020-01-15T00:00:00"/>
    <d v="2020-01-15T00:00:00"/>
    <x v="4"/>
    <n v="81"/>
    <s v="bob.jordan@saltcorp.com"/>
    <s v=" "/>
    <s v="Full-Time"/>
    <x v="1"/>
    <m/>
    <n v="8"/>
    <n v="11"/>
    <m/>
    <m/>
    <m/>
    <s v="YES"/>
    <x v="0"/>
    <x v="0"/>
  </r>
  <r>
    <s v="EMP-2018-0443"/>
    <s v="Alice"/>
    <s v="Burns"/>
    <m/>
    <n v="28"/>
    <n v="1996"/>
    <n v="65000"/>
    <x v="1"/>
    <x v="1"/>
    <x v="4"/>
    <x v="4"/>
    <s v="Clerk"/>
    <d v="2018-04-05T00:00:00"/>
    <d v="2018-04-05T00:00:00"/>
    <x v="1"/>
    <n v="39"/>
    <s v="alice.burns@saltcorp.com"/>
    <m/>
    <s v="contract"/>
    <x v="0"/>
    <m/>
    <n v="1"/>
    <n v="3"/>
    <n v="2"/>
    <d v="2023-01-15T00:00:00"/>
    <m/>
    <s v="no"/>
    <x v="2"/>
    <x v="0"/>
  </r>
  <r>
    <s v="EMP-2020-0444"/>
    <s v="David"/>
    <s v="Lucas"/>
    <m/>
    <n v="35"/>
    <n v="1989"/>
    <n v="58800"/>
    <x v="17"/>
    <x v="0"/>
    <x v="0"/>
    <x v="0"/>
    <s v="Clerk"/>
    <d v="2020-01-15T00:00:00"/>
    <d v="2020-01-15T00:00:00"/>
    <x v="4"/>
    <n v="80"/>
    <s v="david.lucas@saltcorp.com"/>
    <s v="098-765-4321"/>
    <s v="Full-Time"/>
    <x v="1"/>
    <s v="EMP-2018-0067"/>
    <n v="5"/>
    <s v="N/A"/>
    <n v="2"/>
    <m/>
    <m/>
    <s v="YES"/>
    <x v="2"/>
    <x v="0"/>
  </r>
  <r>
    <s v="EMP-2018-0445"/>
    <s v="Hannah"/>
    <s v="Long"/>
    <n v="35"/>
    <n v="35"/>
    <n v="1989"/>
    <n v="59000"/>
    <x v="20"/>
    <x v="1"/>
    <x v="0"/>
    <x v="0"/>
    <s v="Manager"/>
    <d v="2018-04-05T00:00:00"/>
    <d v="2018-04-05T00:00:00"/>
    <x v="2"/>
    <n v="77"/>
    <s v="hannah.long@saltcorp.com"/>
    <s v="123-456-7890"/>
    <s v="Full-Time"/>
    <x v="1"/>
    <m/>
    <n v="4"/>
    <s v="N/A"/>
    <n v="15"/>
    <d v="2023-01-15T00:00:00"/>
    <m/>
    <s v="YES"/>
    <x v="2"/>
    <x v="1"/>
  </r>
  <r>
    <s v="EMP-2020-0446"/>
    <s v="Bob"/>
    <s v="Davis"/>
    <m/>
    <n v="26"/>
    <n v="1998"/>
    <n v="70000"/>
    <x v="5"/>
    <x v="0"/>
    <x v="2"/>
    <x v="2"/>
    <s v="Clerk"/>
    <d v="2020-02-20T00:00:00"/>
    <d v="2020-02-20T00:00:00"/>
    <x v="3"/>
    <n v="100"/>
    <s v="bob.davis@saltcorp.com"/>
    <s v="555-555-5555"/>
    <s v="Full-Time"/>
    <x v="1"/>
    <m/>
    <n v="6"/>
    <s v="N/A"/>
    <n v="8"/>
    <m/>
    <n v="72"/>
    <s v="YES"/>
    <x v="1"/>
    <x v="0"/>
  </r>
  <r>
    <s v="EMP-2019-0447"/>
    <s v="Charlie"/>
    <s v="Garrett"/>
    <n v="40"/>
    <n v="40"/>
    <n v="1984"/>
    <n v="70000"/>
    <x v="5"/>
    <x v="0"/>
    <x v="1"/>
    <x v="1"/>
    <s v="Analyst"/>
    <d v="2019-03-25T00:00:00"/>
    <d v="2019-03-25T00:00:00"/>
    <x v="1"/>
    <n v="30"/>
    <s v="charlie.garrett@saltcorp.com"/>
    <s v=" "/>
    <s v="Full-Time"/>
    <x v="1"/>
    <m/>
    <n v="2"/>
    <n v="13"/>
    <n v="0"/>
    <m/>
    <m/>
    <s v="no"/>
    <x v="1"/>
    <x v="1"/>
  </r>
  <r>
    <s v="EMP-2019-0448"/>
    <s v="Alice"/>
    <s v="Gomez"/>
    <n v="50"/>
    <n v="50"/>
    <n v="1974"/>
    <n v="58600"/>
    <x v="8"/>
    <x v="1"/>
    <x v="3"/>
    <x v="3"/>
    <s v="Clerk"/>
    <d v="2019-12-01T00:00:00"/>
    <d v="2019-12-01T00:00:00"/>
    <x v="1"/>
    <n v="9"/>
    <s v="alice.gomez@saltcorp.com"/>
    <s v=" "/>
    <s v="Part-Time"/>
    <x v="2"/>
    <m/>
    <n v="2"/>
    <s v="N/A"/>
    <n v="15"/>
    <m/>
    <m/>
    <s v="no"/>
    <x v="0"/>
    <x v="0"/>
  </r>
  <r>
    <s v="EMP-2019-0449"/>
    <s v="Alice"/>
    <s v="Thompson"/>
    <n v="40"/>
    <n v="40"/>
    <n v="1984"/>
    <n v="70000"/>
    <x v="5"/>
    <x v="0"/>
    <x v="1"/>
    <x v="1"/>
    <s v="Director"/>
    <d v="2019-12-01T00:00:00"/>
    <d v="2019-12-01T00:00:00"/>
    <x v="4"/>
    <n v="85"/>
    <s v="alice.thompson@saltcorp.com"/>
    <s v="123-456-7890"/>
    <s v="Part-Time"/>
    <x v="2"/>
    <m/>
    <n v="3"/>
    <n v="1"/>
    <m/>
    <m/>
    <m/>
    <s v="YES"/>
    <x v="3"/>
    <x v="1"/>
  </r>
  <r>
    <s v="EMP-2020-0450"/>
    <s v="Charlie"/>
    <s v="Dominguez"/>
    <n v="35"/>
    <n v="35"/>
    <n v="1989"/>
    <n v="63000"/>
    <x v="9"/>
    <x v="1"/>
    <x v="2"/>
    <x v="2"/>
    <s v="Clerk"/>
    <d v="2020-02-20T00:00:00"/>
    <d v="2020-02-20T00:00:00"/>
    <x v="2"/>
    <n v="78"/>
    <s v="charlie.dominguez@saltcorp.com"/>
    <m/>
    <s v="Full-Time"/>
    <x v="1"/>
    <m/>
    <n v="1"/>
    <m/>
    <m/>
    <d v="2023-03-05T00:00:00"/>
    <m/>
    <m/>
    <x v="2"/>
    <x v="0"/>
  </r>
  <r>
    <s v="EMP-2020-0451"/>
    <s v="Eve"/>
    <s v="Parker"/>
    <n v="40"/>
    <n v="40"/>
    <n v="1984"/>
    <n v="55000"/>
    <x v="6"/>
    <x v="1"/>
    <x v="3"/>
    <x v="3"/>
    <s v="Analyst"/>
    <d v="2020-01-15T00:00:00"/>
    <d v="2020-01-15T00:00:00"/>
    <x v="0"/>
    <n v="64"/>
    <s v="eve.parker@saltcorp.com"/>
    <s v="555-555-5555"/>
    <s v="Full-Time"/>
    <x v="1"/>
    <m/>
    <n v="2"/>
    <m/>
    <m/>
    <d v="2021-10-01T00:00:00"/>
    <m/>
    <s v="no"/>
    <x v="4"/>
    <x v="1"/>
  </r>
  <r>
    <s v="EMP-2019-0452"/>
    <s v="Charlie"/>
    <s v="White"/>
    <n v="50"/>
    <n v="50"/>
    <n v="1974"/>
    <n v="59500"/>
    <x v="3"/>
    <x v="1"/>
    <x v="1"/>
    <x v="1"/>
    <s v="Manager"/>
    <d v="2019-03-25T00:00:00"/>
    <d v="2019-03-25T00:00:00"/>
    <x v="2"/>
    <n v="71"/>
    <s v="charlie.white@saltcorp.com"/>
    <s v="123-456-7890"/>
    <s v="Part-Time"/>
    <x v="2"/>
    <m/>
    <n v="4"/>
    <n v="8"/>
    <m/>
    <d v="2021-10-01T00:00:00"/>
    <m/>
    <s v="no"/>
    <x v="4"/>
    <x v="0"/>
  </r>
  <r>
    <s v="EMP-2018-0453"/>
    <s v="Alice"/>
    <s v="Baker"/>
    <s v="thirty"/>
    <n v="30"/>
    <n v="1994"/>
    <s v="SIXTY THOUSAND"/>
    <x v="2"/>
    <x v="1"/>
    <x v="3"/>
    <x v="3"/>
    <s v="Assistant"/>
    <d v="2018-04-05T00:00:00"/>
    <d v="2018-04-05T00:00:00"/>
    <x v="1"/>
    <n v="55"/>
    <s v="alice.baker@saltcorp.com"/>
    <m/>
    <s v="Part-Time"/>
    <x v="2"/>
    <m/>
    <n v="4"/>
    <s v="N/A"/>
    <m/>
    <m/>
    <m/>
    <s v="YES"/>
    <x v="0"/>
    <x v="0"/>
  </r>
  <r>
    <s v="EMP-2020-0454"/>
    <s v="Alice"/>
    <s v="Fisher"/>
    <n v="35"/>
    <n v="35"/>
    <n v="1989"/>
    <n v="70000"/>
    <x v="5"/>
    <x v="1"/>
    <x v="0"/>
    <x v="0"/>
    <s v="Clerk"/>
    <d v="2020-02-20T00:00:00"/>
    <d v="2020-02-20T00:00:00"/>
    <x v="0"/>
    <n v="65"/>
    <s v="alice.fisher@saltcorp.com"/>
    <s v=" "/>
    <s v="Part-Time"/>
    <x v="2"/>
    <s v="EMP-2019-0045"/>
    <n v="7"/>
    <m/>
    <n v="12"/>
    <d v="2023-03-05T00:00:00"/>
    <m/>
    <s v="no"/>
    <x v="4"/>
    <x v="1"/>
  </r>
  <r>
    <s v="EMP-2019-0455"/>
    <s v="Hannah"/>
    <s v="Brooks"/>
    <s v="thirty"/>
    <n v="30"/>
    <n v="1994"/>
    <n v="60800"/>
    <x v="19"/>
    <x v="1"/>
    <x v="1"/>
    <x v="1"/>
    <s v="Analyst"/>
    <d v="2019-03-25T00:00:00"/>
    <d v="2019-03-25T00:00:00"/>
    <x v="2"/>
    <n v="78"/>
    <s v="hannah.brooks@saltcorp.com"/>
    <s v="098-765-4321"/>
    <s v="contract"/>
    <x v="0"/>
    <s v="EMP-2019-0092"/>
    <n v="2"/>
    <m/>
    <m/>
    <m/>
    <m/>
    <s v="no"/>
    <x v="0"/>
    <x v="0"/>
  </r>
  <r>
    <s v="EMP-2019-0456"/>
    <s v="Jack"/>
    <s v="Ryan"/>
    <n v="25"/>
    <n v="25"/>
    <n v="1999"/>
    <n v="59800"/>
    <x v="21"/>
    <x v="1"/>
    <x v="3"/>
    <x v="3"/>
    <s v="Assistant"/>
    <d v="2019-03-25T00:00:00"/>
    <d v="2019-03-25T00:00:00"/>
    <x v="3"/>
    <n v="94"/>
    <s v="jack.ryan@saltcorp.com"/>
    <s v="555-555-5555"/>
    <s v="Part-Time"/>
    <x v="2"/>
    <m/>
    <n v="4"/>
    <m/>
    <m/>
    <d v="2023-03-05T00:00:00"/>
    <m/>
    <s v="no"/>
    <x v="4"/>
    <x v="0"/>
  </r>
  <r>
    <s v="EMP-2018-0457"/>
    <s v="Bob"/>
    <s v="Brown"/>
    <s v="thirty"/>
    <n v="30"/>
    <n v="1994"/>
    <n v="70000"/>
    <x v="5"/>
    <x v="0"/>
    <x v="3"/>
    <x v="3"/>
    <s v="Assistant"/>
    <d v="2018-04-05T00:00:00"/>
    <d v="2018-04-05T00:00:00"/>
    <x v="4"/>
    <n v="87"/>
    <s v="bob.brown@saltcorp.com"/>
    <s v="555-555-5555"/>
    <s v="contract"/>
    <x v="0"/>
    <m/>
    <n v="7"/>
    <m/>
    <m/>
    <d v="2022-06-20T00:00:00"/>
    <n v="20"/>
    <s v="YES"/>
    <x v="1"/>
    <x v="1"/>
  </r>
  <r>
    <s v="EMP-2019-0458"/>
    <s v="Charlie"/>
    <s v="Wallace"/>
    <n v="25"/>
    <n v="25"/>
    <n v="1999"/>
    <n v="55000"/>
    <x v="6"/>
    <x v="1"/>
    <x v="3"/>
    <x v="3"/>
    <s v="Director"/>
    <d v="2019-03-25T00:00:00"/>
    <d v="2019-03-25T00:00:00"/>
    <x v="2"/>
    <n v="70"/>
    <s v="charlie.wallace@saltcorp.com"/>
    <m/>
    <s v="Full-Time"/>
    <x v="1"/>
    <m/>
    <n v="2"/>
    <m/>
    <n v="12"/>
    <d v="2023-03-05T00:00:00"/>
    <m/>
    <m/>
    <x v="3"/>
    <x v="0"/>
  </r>
  <r>
    <s v="EMP-2020-0459"/>
    <s v="Bob"/>
    <s v="Garcia"/>
    <n v="25"/>
    <n v="25"/>
    <n v="1999"/>
    <n v="55000"/>
    <x v="6"/>
    <x v="1"/>
    <x v="1"/>
    <x v="1"/>
    <s v="Assistant"/>
    <d v="2020-01-15T00:00:00"/>
    <d v="2020-01-15T00:00:00"/>
    <x v="2"/>
    <n v="74"/>
    <s v="bob.garcia@saltcorp.com"/>
    <s v="123-456-7890"/>
    <s v="Part-Time"/>
    <x v="2"/>
    <m/>
    <n v="3"/>
    <n v="0"/>
    <m/>
    <m/>
    <m/>
    <s v="no"/>
    <x v="0"/>
    <x v="0"/>
  </r>
  <r>
    <s v="EMP-2020-0460"/>
    <s v="Charlie"/>
    <s v="Davidson"/>
    <s v="thirty"/>
    <n v="30"/>
    <n v="1994"/>
    <n v="70000"/>
    <x v="5"/>
    <x v="0"/>
    <x v="4"/>
    <x v="4"/>
    <s v="Analyst"/>
    <d v="2020-01-15T00:00:00"/>
    <d v="2020-01-15T00:00:00"/>
    <x v="3"/>
    <n v="91"/>
    <s v="charlie.davidson@saltcorp.com"/>
    <s v=" "/>
    <s v="contract"/>
    <x v="0"/>
    <m/>
    <n v="1"/>
    <n v="3"/>
    <n v="15"/>
    <d v="2024-08-12T00:00:00"/>
    <m/>
    <s v="YES"/>
    <x v="1"/>
    <x v="1"/>
  </r>
  <r>
    <s v="EMP-2020-0461"/>
    <s v="Grace"/>
    <s v="Liu"/>
    <n v="35"/>
    <n v="35"/>
    <n v="1989"/>
    <n v="50000"/>
    <x v="0"/>
    <x v="0"/>
    <x v="1"/>
    <x v="1"/>
    <s v="Analyst"/>
    <d v="2020-01-15T00:00:00"/>
    <d v="2020-01-15T00:00:00"/>
    <x v="1"/>
    <n v="25"/>
    <s v="grace.liu@saltcorp.com"/>
    <m/>
    <s v="contract"/>
    <x v="0"/>
    <s v="EMP-2018-0007"/>
    <n v="8"/>
    <m/>
    <m/>
    <m/>
    <m/>
    <m/>
    <x v="2"/>
    <x v="0"/>
  </r>
  <r>
    <s v="EMP-2019-0462"/>
    <s v="Alice"/>
    <s v="McCoy"/>
    <n v="50"/>
    <n v="50"/>
    <n v="1974"/>
    <n v="70000"/>
    <x v="5"/>
    <x v="1"/>
    <x v="2"/>
    <x v="2"/>
    <s v="Clerk"/>
    <d v="2019-03-25T00:00:00"/>
    <d v="2019-03-25T00:00:00"/>
    <x v="4"/>
    <n v="89"/>
    <s v="alice.mccoy@saltcorp.com"/>
    <s v="098-765-4321"/>
    <s v="Part-Time"/>
    <x v="2"/>
    <s v="EMP-2020-0061"/>
    <n v="6"/>
    <m/>
    <m/>
    <m/>
    <m/>
    <s v="YES"/>
    <x v="2"/>
    <x v="1"/>
  </r>
  <r>
    <s v="EMP-2020-0463"/>
    <s v="Jack"/>
    <s v="Armstrong"/>
    <n v="40"/>
    <n v="40"/>
    <n v="1984"/>
    <n v="70000"/>
    <x v="5"/>
    <x v="0"/>
    <x v="1"/>
    <x v="1"/>
    <s v="Clerk"/>
    <d v="2020-01-15T00:00:00"/>
    <d v="2020-01-15T00:00:00"/>
    <x v="2"/>
    <n v="71"/>
    <s v="jack.armstrong@saltcorp.com"/>
    <s v="098-765-4321"/>
    <s v="Full-Time"/>
    <x v="1"/>
    <m/>
    <n v="1"/>
    <n v="1"/>
    <n v="19"/>
    <m/>
    <n v="61"/>
    <m/>
    <x v="2"/>
    <x v="0"/>
  </r>
  <r>
    <s v="EMP-2018-0464"/>
    <s v="Hannah"/>
    <s v="Perry"/>
    <n v="40"/>
    <n v="40"/>
    <n v="1984"/>
    <n v="55000"/>
    <x v="6"/>
    <x v="1"/>
    <x v="3"/>
    <x v="3"/>
    <s v="Clerk"/>
    <d v="2018-04-05T00:00:00"/>
    <d v="2018-04-05T00:00:00"/>
    <x v="0"/>
    <n v="69"/>
    <s v="hannah.perry@saltcorp.com"/>
    <s v="098-765-4321"/>
    <s v="Full-Time"/>
    <x v="1"/>
    <m/>
    <n v="2"/>
    <m/>
    <m/>
    <d v="2021-10-01T00:00:00"/>
    <n v="65"/>
    <s v="YES"/>
    <x v="0"/>
    <x v="1"/>
  </r>
  <r>
    <s v="EMP-2019-0465"/>
    <s v="Jack"/>
    <s v="Walsh"/>
    <n v="50"/>
    <n v="50"/>
    <n v="1974"/>
    <n v="55000"/>
    <x v="6"/>
    <x v="1"/>
    <x v="0"/>
    <x v="0"/>
    <s v="Assistant"/>
    <d v="2019-03-25T00:00:00"/>
    <d v="2019-03-25T00:00:00"/>
    <x v="2"/>
    <n v="72"/>
    <s v="jack.walsh@saltcorp.com"/>
    <m/>
    <s v="Part-Time"/>
    <x v="2"/>
    <m/>
    <n v="2"/>
    <n v="8"/>
    <n v="3"/>
    <m/>
    <m/>
    <s v="YES"/>
    <x v="4"/>
    <x v="1"/>
  </r>
  <r>
    <s v="EMP-2019-0466"/>
    <s v="Jack"/>
    <s v="O'Neill"/>
    <n v="25"/>
    <n v="25"/>
    <n v="1999"/>
    <n v="70000"/>
    <x v="5"/>
    <x v="0"/>
    <x v="1"/>
    <x v="1"/>
    <s v="Assistant"/>
    <d v="2019-12-01T00:00:00"/>
    <d v="2019-12-01T00:00:00"/>
    <x v="4"/>
    <n v="85"/>
    <s v="jack.o'neill@saltcorp.com"/>
    <s v=" "/>
    <s v="contract"/>
    <x v="0"/>
    <m/>
    <n v="1"/>
    <n v="3"/>
    <n v="6"/>
    <m/>
    <m/>
    <m/>
    <x v="1"/>
    <x v="1"/>
  </r>
  <r>
    <s v="EMP-2019-0467"/>
    <s v="Jack"/>
    <s v="McCarthy"/>
    <n v="25"/>
    <n v="25"/>
    <n v="1999"/>
    <n v="70000"/>
    <x v="5"/>
    <x v="1"/>
    <x v="1"/>
    <x v="1"/>
    <s v="Director"/>
    <d v="2019-03-25T00:00:00"/>
    <d v="2019-03-25T00:00:00"/>
    <x v="2"/>
    <n v="79"/>
    <s v="jack.mccarthy@saltcorp.com"/>
    <s v="555-555-5555"/>
    <s v="contract"/>
    <x v="0"/>
    <m/>
    <n v="3"/>
    <m/>
    <n v="9"/>
    <m/>
    <n v="28"/>
    <s v="no"/>
    <x v="4"/>
    <x v="0"/>
  </r>
  <r>
    <s v="EMP-2018-0468"/>
    <s v="Bob"/>
    <s v="Pearson"/>
    <n v="35"/>
    <n v="35"/>
    <n v="1989"/>
    <n v="70000"/>
    <x v="5"/>
    <x v="0"/>
    <x v="3"/>
    <x v="3"/>
    <s v="Clerk"/>
    <d v="2018-04-05T00:00:00"/>
    <d v="2018-04-05T00:00:00"/>
    <x v="3"/>
    <n v="98"/>
    <s v="bob.pearson@saltcorp.com"/>
    <s v="123-456-7890"/>
    <s v="Part-Time"/>
    <x v="2"/>
    <s v="EMP-2020-0093"/>
    <n v="5"/>
    <n v="5"/>
    <n v="3"/>
    <m/>
    <m/>
    <s v="no"/>
    <x v="2"/>
    <x v="1"/>
  </r>
  <r>
    <s v="EMP-2019-0469"/>
    <s v="Charlie"/>
    <s v="Gutierrez"/>
    <m/>
    <n v="46"/>
    <n v="1978"/>
    <n v="55000"/>
    <x v="6"/>
    <x v="0"/>
    <x v="0"/>
    <x v="0"/>
    <s v="Manager"/>
    <d v="2019-12-01T00:00:00"/>
    <d v="2019-12-01T00:00:00"/>
    <x v="2"/>
    <n v="78"/>
    <s v="charlie.gutierrez@saltcorp.com"/>
    <s v="555-555-5555"/>
    <s v="Full-Time"/>
    <x v="1"/>
    <m/>
    <n v="2"/>
    <m/>
    <m/>
    <m/>
    <m/>
    <s v="YES"/>
    <x v="3"/>
    <x v="0"/>
  </r>
  <r>
    <s v="EMP-2019-0470"/>
    <s v="Ivy"/>
    <s v="Rogers"/>
    <s v="thirty"/>
    <n v="30"/>
    <n v="1994"/>
    <n v="70000"/>
    <x v="5"/>
    <x v="1"/>
    <x v="0"/>
    <x v="0"/>
    <s v="Director"/>
    <d v="2019-03-25T00:00:00"/>
    <d v="2019-03-25T00:00:00"/>
    <x v="2"/>
    <n v="72"/>
    <s v="ivy.rogers@saltcorp.com"/>
    <s v=" "/>
    <s v="contract"/>
    <x v="0"/>
    <m/>
    <n v="4"/>
    <s v="N/A"/>
    <n v="3"/>
    <s v="N/A"/>
    <m/>
    <s v="no"/>
    <x v="1"/>
    <x v="1"/>
  </r>
  <r>
    <s v="EMP-2020-0471"/>
    <s v="Grace"/>
    <s v="Dominguez"/>
    <n v="25"/>
    <n v="25"/>
    <n v="1999"/>
    <n v="70000"/>
    <x v="5"/>
    <x v="0"/>
    <x v="2"/>
    <x v="2"/>
    <s v="Manager"/>
    <d v="2020-01-15T00:00:00"/>
    <d v="2020-01-15T00:00:00"/>
    <x v="0"/>
    <n v="66"/>
    <s v="grace.dominguez@saltcorp.com"/>
    <s v="555-555-5555"/>
    <s v="Part-Time"/>
    <x v="2"/>
    <m/>
    <n v="5"/>
    <m/>
    <m/>
    <d v="2023-03-05T00:00:00"/>
    <n v="43"/>
    <s v="no"/>
    <x v="3"/>
    <x v="1"/>
  </r>
  <r>
    <s v="EMP-2020-0472"/>
    <s v="David"/>
    <s v="Cohen"/>
    <n v="40"/>
    <n v="40"/>
    <n v="1984"/>
    <n v="65000"/>
    <x v="1"/>
    <x v="0"/>
    <x v="1"/>
    <x v="1"/>
    <s v="Assistant"/>
    <d v="2020-02-20T00:00:00"/>
    <d v="2020-02-20T00:00:00"/>
    <x v="3"/>
    <n v="94"/>
    <s v="david.cohen@saltcorp.com"/>
    <m/>
    <s v="Full-Time"/>
    <x v="1"/>
    <m/>
    <n v="7"/>
    <m/>
    <m/>
    <d v="2024-08-12T00:00:00"/>
    <m/>
    <m/>
    <x v="2"/>
    <x v="0"/>
  </r>
  <r>
    <s v="EMP-2020-0473"/>
    <s v="Jack"/>
    <s v="Santos"/>
    <n v="35"/>
    <n v="35"/>
    <n v="1989"/>
    <n v="50000"/>
    <x v="0"/>
    <x v="0"/>
    <x v="0"/>
    <x v="0"/>
    <s v="Director"/>
    <d v="2020-02-20T00:00:00"/>
    <d v="2020-02-20T00:00:00"/>
    <x v="3"/>
    <n v="98"/>
    <s v="jack.santos@saltcorp.com"/>
    <s v="098-765-4321"/>
    <s v="contract"/>
    <x v="0"/>
    <s v="EMP-2020-0078"/>
    <n v="7"/>
    <m/>
    <n v="8"/>
    <s v="N/A"/>
    <m/>
    <s v="no"/>
    <x v="3"/>
    <x v="0"/>
  </r>
  <r>
    <s v="EMP-2020-0474"/>
    <s v="Eve"/>
    <s v="Bell"/>
    <s v="thirty"/>
    <n v="30"/>
    <n v="1994"/>
    <s v="SIXTY THOUSAND"/>
    <x v="2"/>
    <x v="1"/>
    <x v="0"/>
    <x v="0"/>
    <s v="Director"/>
    <d v="2020-01-15T00:00:00"/>
    <d v="2020-01-15T00:00:00"/>
    <x v="2"/>
    <n v="75"/>
    <s v="eve.bell@saltcorp.com"/>
    <s v=" "/>
    <s v="Full-Time"/>
    <x v="1"/>
    <m/>
    <n v="8"/>
    <m/>
    <n v="20"/>
    <m/>
    <m/>
    <s v="YES"/>
    <x v="3"/>
    <x v="0"/>
  </r>
  <r>
    <s v="EMP-2020-0475"/>
    <s v="Bob"/>
    <s v="Andrews"/>
    <n v="35"/>
    <n v="35"/>
    <n v="1989"/>
    <n v="50000"/>
    <x v="0"/>
    <x v="1"/>
    <x v="4"/>
    <x v="4"/>
    <s v="Analyst"/>
    <d v="2020-02-20T00:00:00"/>
    <d v="2020-02-20T00:00:00"/>
    <x v="0"/>
    <n v="64"/>
    <s v="bob.andrews@saltcorp.com"/>
    <s v=" "/>
    <s v="Part-Time"/>
    <x v="2"/>
    <m/>
    <n v="7"/>
    <n v="10"/>
    <n v="10"/>
    <s v="N/A"/>
    <m/>
    <s v="YES"/>
    <x v="2"/>
    <x v="0"/>
  </r>
  <r>
    <s v="EMP-2020-0476"/>
    <s v="Hannah"/>
    <s v="Byrd"/>
    <s v="thirty"/>
    <n v="30"/>
    <n v="1994"/>
    <n v="65000"/>
    <x v="1"/>
    <x v="0"/>
    <x v="4"/>
    <x v="4"/>
    <s v="Assistant"/>
    <d v="2020-02-20T00:00:00"/>
    <d v="2020-02-20T00:00:00"/>
    <x v="2"/>
    <n v="79"/>
    <s v="hannah.byrd@saltcorp.com"/>
    <s v="555-555-5555"/>
    <s v="contract"/>
    <x v="0"/>
    <m/>
    <n v="7"/>
    <m/>
    <n v="12"/>
    <m/>
    <n v="7"/>
    <s v="no"/>
    <x v="3"/>
    <x v="1"/>
  </r>
  <r>
    <s v="EMP-2020-0477"/>
    <s v="David"/>
    <s v="Hudson"/>
    <s v="thirty"/>
    <n v="30"/>
    <n v="1994"/>
    <s v="SIXTY THOUSAND"/>
    <x v="2"/>
    <x v="0"/>
    <x v="0"/>
    <x v="0"/>
    <s v="Assistant"/>
    <d v="2020-01-15T00:00:00"/>
    <d v="2020-01-15T00:00:00"/>
    <x v="2"/>
    <n v="79"/>
    <s v="david.hudson@saltcorp.com"/>
    <m/>
    <s v="contract"/>
    <x v="0"/>
    <s v="EMP-2018-0043"/>
    <n v="6"/>
    <m/>
    <m/>
    <m/>
    <m/>
    <s v="YES"/>
    <x v="4"/>
    <x v="0"/>
  </r>
  <r>
    <s v="EMP-2020-0478"/>
    <s v="Ivy"/>
    <s v="Wallace"/>
    <n v="50"/>
    <n v="50"/>
    <n v="1974"/>
    <n v="70000"/>
    <x v="5"/>
    <x v="0"/>
    <x v="2"/>
    <x v="2"/>
    <s v="Director"/>
    <d v="2020-01-15T00:00:00"/>
    <d v="2020-01-15T00:00:00"/>
    <x v="4"/>
    <n v="89"/>
    <s v="ivy.wallace@saltcorp.com"/>
    <s v="555-555-5555"/>
    <s v="Full-Time"/>
    <x v="1"/>
    <m/>
    <n v="1"/>
    <s v="N/A"/>
    <n v="3"/>
    <m/>
    <m/>
    <s v="YES"/>
    <x v="0"/>
    <x v="0"/>
  </r>
  <r>
    <s v="EMP-2019-0479"/>
    <s v="Eve"/>
    <s v="Reed"/>
    <n v="25"/>
    <n v="25"/>
    <n v="1999"/>
    <n v="65000"/>
    <x v="1"/>
    <x v="0"/>
    <x v="0"/>
    <x v="0"/>
    <s v="Assistant"/>
    <d v="2019-03-25T00:00:00"/>
    <d v="2019-03-25T00:00:00"/>
    <x v="4"/>
    <n v="89"/>
    <s v="eve.reed@saltcorp.com"/>
    <s v="555-555-5555"/>
    <s v="Part-Time"/>
    <x v="2"/>
    <m/>
    <n v="7"/>
    <m/>
    <m/>
    <m/>
    <m/>
    <m/>
    <x v="2"/>
    <x v="0"/>
  </r>
  <r>
    <s v="EMP-2019-0480"/>
    <s v="Ivy"/>
    <s v="Kumar"/>
    <n v="35"/>
    <n v="35"/>
    <n v="1989"/>
    <n v="70000"/>
    <x v="5"/>
    <x v="1"/>
    <x v="3"/>
    <x v="3"/>
    <s v="Director"/>
    <d v="2019-03-25T00:00:00"/>
    <d v="2019-03-25T00:00:00"/>
    <x v="0"/>
    <n v="69"/>
    <s v="ivy.kumar@saltcorp.com"/>
    <s v=" "/>
    <s v="contract"/>
    <x v="0"/>
    <m/>
    <n v="2"/>
    <s v="N/A"/>
    <m/>
    <m/>
    <m/>
    <m/>
    <x v="0"/>
    <x v="1"/>
  </r>
  <r>
    <s v="EMP-2020-0481"/>
    <s v="David"/>
    <s v="Ross"/>
    <n v="35"/>
    <n v="35"/>
    <n v="1989"/>
    <n v="55000"/>
    <x v="6"/>
    <x v="0"/>
    <x v="1"/>
    <x v="1"/>
    <s v="Analyst"/>
    <d v="2020-01-15T00:00:00"/>
    <d v="2020-01-15T00:00:00"/>
    <x v="1"/>
    <n v="20"/>
    <s v="david.ross@saltcorp.com"/>
    <s v="555-555-5555"/>
    <s v="Full-Time"/>
    <x v="1"/>
    <m/>
    <n v="1"/>
    <m/>
    <n v="10"/>
    <s v="N/A"/>
    <n v="45"/>
    <s v="YES"/>
    <x v="0"/>
    <x v="1"/>
  </r>
  <r>
    <s v="EMP-2018-0482"/>
    <s v="Jack"/>
    <s v="O'Connor"/>
    <n v="50"/>
    <n v="50"/>
    <n v="1974"/>
    <n v="63000"/>
    <x v="9"/>
    <x v="1"/>
    <x v="2"/>
    <x v="2"/>
    <s v="Director"/>
    <d v="2018-04-05T00:00:00"/>
    <d v="2018-04-05T00:00:00"/>
    <x v="4"/>
    <n v="82"/>
    <s v="jack.o'connor@saltcorp.com"/>
    <s v="098-765-4321"/>
    <s v="Full-Time"/>
    <x v="1"/>
    <m/>
    <n v="2"/>
    <n v="2"/>
    <m/>
    <m/>
    <n v="38"/>
    <s v="YES"/>
    <x v="3"/>
    <x v="0"/>
  </r>
  <r>
    <s v="EMP-2020-0483"/>
    <s v="Eve"/>
    <s v="Turner"/>
    <n v="40"/>
    <n v="40"/>
    <n v="1984"/>
    <n v="65000"/>
    <x v="1"/>
    <x v="0"/>
    <x v="3"/>
    <x v="3"/>
    <s v="Assistant"/>
    <d v="2020-02-20T00:00:00"/>
    <d v="2020-02-20T00:00:00"/>
    <x v="1"/>
    <n v="45"/>
    <s v="eve.turner@saltcorp.com"/>
    <s v="555-555-5555"/>
    <s v="contract"/>
    <x v="0"/>
    <s v="EMP-2020-0042"/>
    <n v="1"/>
    <s v="N/A"/>
    <m/>
    <m/>
    <m/>
    <s v="no"/>
    <x v="0"/>
    <x v="1"/>
  </r>
  <r>
    <s v="EMP-2019-0484"/>
    <s v="Ivy"/>
    <s v="Gupta"/>
    <n v="40"/>
    <n v="40"/>
    <n v="1984"/>
    <n v="55000"/>
    <x v="6"/>
    <x v="0"/>
    <x v="2"/>
    <x v="2"/>
    <s v="Assistant"/>
    <d v="2019-03-25T00:00:00"/>
    <d v="2019-03-25T00:00:00"/>
    <x v="3"/>
    <n v="92"/>
    <s v="ivy.gupta@saltcorp.com"/>
    <s v="098-765-4321"/>
    <s v="Part-Time"/>
    <x v="2"/>
    <s v="EMP-2018-0024"/>
    <n v="2"/>
    <m/>
    <m/>
    <d v="2024-08-12T00:00:00"/>
    <n v="39"/>
    <s v="YES"/>
    <x v="0"/>
    <x v="0"/>
  </r>
  <r>
    <s v="EMP-2020-0485"/>
    <s v="Hannah"/>
    <s v="Wallace"/>
    <n v="25"/>
    <n v="25"/>
    <n v="1999"/>
    <n v="65000"/>
    <x v="1"/>
    <x v="1"/>
    <x v="3"/>
    <x v="3"/>
    <s v="Director"/>
    <d v="2020-02-20T00:00:00"/>
    <d v="2020-02-20T00:00:00"/>
    <x v="4"/>
    <n v="87"/>
    <s v="hannah.wallace@saltcorp.com"/>
    <s v=" "/>
    <s v="Part-Time"/>
    <x v="2"/>
    <m/>
    <n v="6"/>
    <n v="0"/>
    <m/>
    <m/>
    <n v="9"/>
    <s v="YES"/>
    <x v="1"/>
    <x v="1"/>
  </r>
  <r>
    <s v="EMP-2019-0486"/>
    <s v="Charlie"/>
    <s v="Castillo"/>
    <n v="25"/>
    <n v="25"/>
    <n v="1999"/>
    <n v="65000"/>
    <x v="1"/>
    <x v="0"/>
    <x v="1"/>
    <x v="1"/>
    <s v="Director"/>
    <d v="2019-12-01T00:00:00"/>
    <d v="2019-12-01T00:00:00"/>
    <x v="4"/>
    <n v="87"/>
    <s v="charlie.castillo@saltcorp.com"/>
    <m/>
    <s v="contract"/>
    <x v="0"/>
    <m/>
    <n v="2"/>
    <m/>
    <n v="17"/>
    <m/>
    <m/>
    <s v="no"/>
    <x v="4"/>
    <x v="1"/>
  </r>
  <r>
    <s v="EMP-2020-0487"/>
    <s v="Alice"/>
    <s v="Barnett"/>
    <m/>
    <n v="46"/>
    <n v="1978"/>
    <n v="55000"/>
    <x v="6"/>
    <x v="0"/>
    <x v="1"/>
    <x v="1"/>
    <s v="Director"/>
    <d v="2020-01-15T00:00:00"/>
    <d v="2020-01-15T00:00:00"/>
    <x v="0"/>
    <n v="67"/>
    <s v="alice.barnett@saltcorp.com"/>
    <s v="098-765-4321"/>
    <s v="contract"/>
    <x v="0"/>
    <m/>
    <n v="5"/>
    <m/>
    <n v="7"/>
    <m/>
    <n v="30"/>
    <s v="YES"/>
    <x v="1"/>
    <x v="0"/>
  </r>
  <r>
    <s v="EMP-2018-0488"/>
    <s v="Charlie"/>
    <s v="Harris"/>
    <n v="50"/>
    <n v="50"/>
    <n v="1974"/>
    <s v="SIXTY THOUSAND"/>
    <x v="2"/>
    <x v="0"/>
    <x v="4"/>
    <x v="4"/>
    <s v="Clerk"/>
    <d v="2018-04-05T00:00:00"/>
    <d v="2018-04-05T00:00:00"/>
    <x v="1"/>
    <n v="14"/>
    <s v="charlie.harris@saltcorp.com"/>
    <m/>
    <s v="Part-Time"/>
    <x v="2"/>
    <s v="EMP-2020-0074"/>
    <n v="5"/>
    <m/>
    <m/>
    <s v="N/A"/>
    <n v="39"/>
    <s v="YES"/>
    <x v="1"/>
    <x v="1"/>
  </r>
  <r>
    <s v="EMP-2019-0489"/>
    <s v="David"/>
    <s v="Figueroa"/>
    <n v="40"/>
    <n v="40"/>
    <n v="1984"/>
    <n v="50000"/>
    <x v="0"/>
    <x v="0"/>
    <x v="3"/>
    <x v="3"/>
    <s v="Assistant"/>
    <d v="2019-12-01T00:00:00"/>
    <d v="2019-12-01T00:00:00"/>
    <x v="4"/>
    <n v="84"/>
    <s v="david.figueroa@saltcorp.com"/>
    <m/>
    <s v="Part-Time"/>
    <x v="2"/>
    <s v="EMP-2019-0089"/>
    <n v="2"/>
    <s v="N/A"/>
    <m/>
    <d v="2024-08-12T00:00:00"/>
    <n v="59"/>
    <s v="no"/>
    <x v="3"/>
    <x v="0"/>
  </r>
  <r>
    <s v="EMP-2019-0490"/>
    <s v="Bob"/>
    <s v="Sims"/>
    <s v="thirty"/>
    <n v="30"/>
    <n v="1994"/>
    <n v="70000"/>
    <x v="5"/>
    <x v="0"/>
    <x v="4"/>
    <x v="4"/>
    <s v="Assistant"/>
    <d v="2019-12-01T00:00:00"/>
    <d v="2019-12-01T00:00:00"/>
    <x v="4"/>
    <n v="85"/>
    <s v="bob.sims@saltcorp.com"/>
    <s v="098-765-4321"/>
    <s v="contract"/>
    <x v="0"/>
    <m/>
    <n v="5"/>
    <m/>
    <n v="8"/>
    <m/>
    <m/>
    <s v="YES"/>
    <x v="2"/>
    <x v="1"/>
  </r>
  <r>
    <s v="EMP-2019-0491"/>
    <s v="Alice"/>
    <s v="Lee"/>
    <n v="35"/>
    <n v="35"/>
    <n v="1989"/>
    <n v="65000"/>
    <x v="1"/>
    <x v="1"/>
    <x v="3"/>
    <x v="3"/>
    <s v="Clerk"/>
    <d v="2019-12-01T00:00:00"/>
    <d v="2019-12-01T00:00:00"/>
    <x v="0"/>
    <n v="66"/>
    <s v="alice.lee@saltcorp.com"/>
    <s v=" "/>
    <s v="contract"/>
    <x v="0"/>
    <m/>
    <n v="8"/>
    <n v="15"/>
    <m/>
    <d v="2023-03-05T00:00:00"/>
    <m/>
    <s v="YES"/>
    <x v="1"/>
    <x v="0"/>
  </r>
  <r>
    <s v="EMP-2020-0492"/>
    <s v="Grace"/>
    <s v="Li"/>
    <n v="25"/>
    <n v="25"/>
    <n v="1999"/>
    <n v="70000"/>
    <x v="5"/>
    <x v="0"/>
    <x v="4"/>
    <x v="4"/>
    <s v="Director"/>
    <d v="2020-01-15T00:00:00"/>
    <d v="2020-01-15T00:00:00"/>
    <x v="0"/>
    <n v="64"/>
    <s v="grace.li@saltcorp.com"/>
    <s v="123-456-7890"/>
    <s v="Part-Time"/>
    <x v="2"/>
    <m/>
    <n v="7"/>
    <m/>
    <m/>
    <d v="2023-01-15T00:00:00"/>
    <n v="15"/>
    <s v="no"/>
    <x v="3"/>
    <x v="0"/>
  </r>
  <r>
    <s v="EMP-2019-0493"/>
    <s v="Hannah"/>
    <s v="Bennett"/>
    <n v="35"/>
    <n v="35"/>
    <n v="1989"/>
    <n v="60800"/>
    <x v="19"/>
    <x v="1"/>
    <x v="1"/>
    <x v="1"/>
    <s v="Analyst"/>
    <d v="2019-03-25T00:00:00"/>
    <d v="2019-03-25T00:00:00"/>
    <x v="1"/>
    <n v="41"/>
    <s v="hannah.bennett@saltcorp.com"/>
    <m/>
    <s v="contract"/>
    <x v="0"/>
    <m/>
    <n v="7"/>
    <n v="12"/>
    <n v="6"/>
    <m/>
    <m/>
    <s v="no"/>
    <x v="1"/>
    <x v="1"/>
  </r>
  <r>
    <s v="EMP-2020-0494"/>
    <s v="Grace"/>
    <s v="Lucas"/>
    <n v="35"/>
    <n v="35"/>
    <n v="1989"/>
    <n v="55000"/>
    <x v="6"/>
    <x v="0"/>
    <x v="2"/>
    <x v="2"/>
    <s v="Director"/>
    <d v="2020-01-15T00:00:00"/>
    <d v="2020-01-15T00:00:00"/>
    <x v="3"/>
    <n v="94"/>
    <s v="grace.lucas@saltcorp.com"/>
    <m/>
    <s v="contract"/>
    <x v="0"/>
    <s v="EMP-2020-0029"/>
    <n v="1"/>
    <m/>
    <m/>
    <d v="2021-10-01T00:00:00"/>
    <n v="45"/>
    <s v="no"/>
    <x v="2"/>
    <x v="0"/>
  </r>
  <r>
    <s v="EMP-2019-0495"/>
    <s v="Eve"/>
    <s v="Stevens"/>
    <m/>
    <n v="58"/>
    <n v="1966"/>
    <n v="70000"/>
    <x v="5"/>
    <x v="1"/>
    <x v="4"/>
    <x v="4"/>
    <s v="Director"/>
    <d v="2019-03-25T00:00:00"/>
    <d v="2019-03-25T00:00:00"/>
    <x v="3"/>
    <n v="98"/>
    <s v="eve.stevens@saltcorp.com"/>
    <s v=" "/>
    <s v="Full-Time"/>
    <x v="1"/>
    <m/>
    <n v="8"/>
    <n v="10"/>
    <m/>
    <d v="2022-06-20T00:00:00"/>
    <m/>
    <s v="YES"/>
    <x v="1"/>
    <x v="0"/>
  </r>
  <r>
    <s v="EMP-2019-0496"/>
    <s v="Alice"/>
    <s v="Thompson"/>
    <n v="40"/>
    <n v="40"/>
    <n v="1984"/>
    <n v="55000"/>
    <x v="6"/>
    <x v="1"/>
    <x v="3"/>
    <x v="3"/>
    <s v="Clerk"/>
    <d v="2019-12-01T00:00:00"/>
    <d v="2019-12-01T00:00:00"/>
    <x v="2"/>
    <n v="79"/>
    <s v="alice.thompson@saltcorp.com"/>
    <s v=" "/>
    <s v="contract"/>
    <x v="0"/>
    <m/>
    <n v="3"/>
    <m/>
    <m/>
    <m/>
    <m/>
    <s v="YES"/>
    <x v="1"/>
    <x v="1"/>
  </r>
  <r>
    <s v="EMP-2019-0497"/>
    <s v="Grace"/>
    <s v="Wu"/>
    <n v="25"/>
    <n v="25"/>
    <n v="1999"/>
    <n v="70000"/>
    <x v="5"/>
    <x v="1"/>
    <x v="3"/>
    <x v="3"/>
    <s v="Assistant"/>
    <d v="2019-12-01T00:00:00"/>
    <d v="2019-12-01T00:00:00"/>
    <x v="4"/>
    <n v="88"/>
    <s v="grace.wu@saltcorp.com"/>
    <s v="555-555-5555"/>
    <s v="Part-Time"/>
    <x v="2"/>
    <m/>
    <n v="4"/>
    <n v="7"/>
    <n v="9"/>
    <m/>
    <n v="35"/>
    <m/>
    <x v="3"/>
    <x v="0"/>
  </r>
  <r>
    <s v="EMP-2018-0498"/>
    <s v="Grace"/>
    <s v="Li"/>
    <n v="35"/>
    <n v="35"/>
    <n v="1989"/>
    <n v="50000"/>
    <x v="0"/>
    <x v="1"/>
    <x v="1"/>
    <x v="1"/>
    <s v="Director"/>
    <d v="2018-04-05T00:00:00"/>
    <d v="2018-04-05T00:00:00"/>
    <x v="1"/>
    <n v="6"/>
    <s v="grace.li@saltcorp.com"/>
    <s v=" "/>
    <s v="Full-Time"/>
    <x v="1"/>
    <s v="EMP-2020-0028"/>
    <n v="3"/>
    <m/>
    <n v="13"/>
    <d v="2023-01-15T00:00:00"/>
    <n v="6"/>
    <s v="YES"/>
    <x v="1"/>
    <x v="1"/>
  </r>
  <r>
    <s v="EMP-2019-0499"/>
    <s v="Ivy"/>
    <s v="Le"/>
    <n v="25"/>
    <n v="25"/>
    <n v="1999"/>
    <n v="50000"/>
    <x v="0"/>
    <x v="1"/>
    <x v="3"/>
    <x v="3"/>
    <s v="Assistant"/>
    <d v="2019-03-25T00:00:00"/>
    <d v="2019-03-25T00:00:00"/>
    <x v="4"/>
    <n v="82"/>
    <s v="ivy.le@saltcorp.com"/>
    <m/>
    <s v="contract"/>
    <x v="0"/>
    <m/>
    <n v="7"/>
    <m/>
    <m/>
    <m/>
    <n v="63"/>
    <m/>
    <x v="1"/>
    <x v="0"/>
  </r>
  <r>
    <s v="EMP-2019-0500"/>
    <s v="Charlie"/>
    <s v="Jackson"/>
    <s v="thirty"/>
    <n v="30"/>
    <n v="1994"/>
    <n v="50000"/>
    <x v="0"/>
    <x v="1"/>
    <x v="0"/>
    <x v="0"/>
    <s v="Manager"/>
    <d v="2019-12-01T00:00:00"/>
    <d v="2019-12-01T00:00:00"/>
    <x v="1"/>
    <n v="41"/>
    <s v="charlie.jackson@saltcorp.com"/>
    <s v="098-765-4321"/>
    <s v="Full-Time"/>
    <x v="1"/>
    <s v="EMP-2020-0047"/>
    <n v="5"/>
    <n v="12"/>
    <m/>
    <m/>
    <m/>
    <s v="no"/>
    <x v="0"/>
    <x v="0"/>
  </r>
  <r>
    <s v="EMP-2020-0501"/>
    <s v="Ivy"/>
    <s v="Patel"/>
    <m/>
    <n v="32"/>
    <n v="1992"/>
    <n v="50000"/>
    <x v="0"/>
    <x v="0"/>
    <x v="2"/>
    <x v="2"/>
    <s v="Assistant"/>
    <d v="2020-02-20T00:00:00"/>
    <d v="2020-02-20T00:00:00"/>
    <x v="1"/>
    <n v="41"/>
    <s v="ivy.patel@saltcorp.com"/>
    <s v="123-456-7890"/>
    <s v="Full-Time"/>
    <x v="1"/>
    <m/>
    <n v="3"/>
    <s v="N/A"/>
    <m/>
    <m/>
    <m/>
    <s v="YES"/>
    <x v="2"/>
    <x v="1"/>
  </r>
  <r>
    <s v="EMP-2018-0502"/>
    <s v="Alice"/>
    <s v="Thomas"/>
    <s v="thirty"/>
    <n v="30"/>
    <n v="1994"/>
    <n v="50000"/>
    <x v="0"/>
    <x v="1"/>
    <x v="4"/>
    <x v="4"/>
    <s v="Analyst"/>
    <d v="2018-04-05T00:00:00"/>
    <d v="2018-04-05T00:00:00"/>
    <x v="1"/>
    <n v="34"/>
    <s v="alice.thomas@saltcorp.com"/>
    <s v="555-555-5555"/>
    <s v="Full-Time"/>
    <x v="1"/>
    <s v="EMP-2020-0065"/>
    <n v="5"/>
    <m/>
    <n v="17"/>
    <m/>
    <m/>
    <s v="YES"/>
    <x v="3"/>
    <x v="1"/>
  </r>
  <r>
    <s v="EMP-2020-0503"/>
    <s v="Alice"/>
    <s v="Rivera"/>
    <n v="25"/>
    <n v="25"/>
    <n v="1999"/>
    <n v="50000"/>
    <x v="0"/>
    <x v="1"/>
    <x v="2"/>
    <x v="2"/>
    <s v="Analyst"/>
    <d v="2020-01-15T00:00:00"/>
    <d v="2020-01-15T00:00:00"/>
    <x v="4"/>
    <n v="82"/>
    <s v="alice.rivera@saltcorp.com"/>
    <s v="098-765-4321"/>
    <s v="contract"/>
    <x v="0"/>
    <m/>
    <n v="6"/>
    <n v="6"/>
    <n v="10"/>
    <m/>
    <n v="5"/>
    <s v="no"/>
    <x v="0"/>
    <x v="0"/>
  </r>
  <r>
    <s v="EMP-2018-0504"/>
    <s v="David"/>
    <s v="Sullivan"/>
    <n v="25"/>
    <n v="25"/>
    <n v="1999"/>
    <n v="55000"/>
    <x v="6"/>
    <x v="0"/>
    <x v="1"/>
    <x v="1"/>
    <s v="Director"/>
    <d v="2018-04-05T00:00:00"/>
    <d v="2018-04-05T00:00:00"/>
    <x v="0"/>
    <n v="62"/>
    <s v="david.sullivan@saltcorp.com"/>
    <s v="123-456-7890"/>
    <s v="Full-Time"/>
    <x v="1"/>
    <m/>
    <n v="1"/>
    <m/>
    <m/>
    <d v="2023-01-15T00:00:00"/>
    <m/>
    <s v="no"/>
    <x v="1"/>
    <x v="1"/>
  </r>
  <r>
    <s v="EMP-2020-0505"/>
    <s v="Ivy"/>
    <s v="Schmidt"/>
    <n v="40"/>
    <n v="40"/>
    <n v="1984"/>
    <n v="65000"/>
    <x v="1"/>
    <x v="0"/>
    <x v="4"/>
    <x v="4"/>
    <s v="Assistant"/>
    <d v="2020-02-20T00:00:00"/>
    <d v="2020-02-20T00:00:00"/>
    <x v="4"/>
    <n v="80"/>
    <s v="ivy.schmidt@saltcorp.com"/>
    <s v="123-456-7890"/>
    <s v="Full-Time"/>
    <x v="1"/>
    <m/>
    <n v="3"/>
    <s v="N/A"/>
    <m/>
    <m/>
    <n v="15"/>
    <s v="YES"/>
    <x v="4"/>
    <x v="0"/>
  </r>
  <r>
    <s v="EMP-2019-0506"/>
    <s v="Frank"/>
    <s v="Gibson"/>
    <n v="35"/>
    <n v="35"/>
    <n v="1989"/>
    <n v="70000"/>
    <x v="5"/>
    <x v="1"/>
    <x v="4"/>
    <x v="4"/>
    <s v="Director"/>
    <d v="2019-03-25T00:00:00"/>
    <d v="2019-03-25T00:00:00"/>
    <x v="1"/>
    <n v="29"/>
    <s v="frank.gibson@saltcorp.com"/>
    <s v="123-456-7890"/>
    <s v="contract"/>
    <x v="0"/>
    <m/>
    <n v="2"/>
    <s v="N/A"/>
    <m/>
    <d v="2021-10-01T00:00:00"/>
    <n v="29"/>
    <s v="YES"/>
    <x v="0"/>
    <x v="0"/>
  </r>
  <r>
    <s v="EMP-2020-0507"/>
    <s v="Charlie"/>
    <s v="Harris"/>
    <n v="35"/>
    <n v="35"/>
    <n v="1989"/>
    <n v="50000"/>
    <x v="0"/>
    <x v="0"/>
    <x v="0"/>
    <x v="0"/>
    <s v="Clerk"/>
    <d v="2020-01-15T00:00:00"/>
    <d v="2020-01-15T00:00:00"/>
    <x v="2"/>
    <n v="78"/>
    <s v="charlie.harris@saltcorp.com"/>
    <s v="098-765-4321"/>
    <s v="Full-Time"/>
    <x v="1"/>
    <m/>
    <n v="1"/>
    <n v="14"/>
    <m/>
    <m/>
    <m/>
    <s v="no"/>
    <x v="1"/>
    <x v="1"/>
  </r>
  <r>
    <s v="EMP-2020-0508"/>
    <s v="Alice"/>
    <s v="Campos"/>
    <s v="thirty"/>
    <n v="30"/>
    <n v="1994"/>
    <n v="55000"/>
    <x v="6"/>
    <x v="0"/>
    <x v="1"/>
    <x v="1"/>
    <s v="Analyst"/>
    <d v="2020-01-15T00:00:00"/>
    <d v="2020-01-15T00:00:00"/>
    <x v="3"/>
    <n v="92"/>
    <s v="alice.campos@saltcorp.com"/>
    <s v="555-555-5555"/>
    <s v="Full-Time"/>
    <x v="1"/>
    <m/>
    <n v="1"/>
    <m/>
    <n v="6"/>
    <d v="2023-03-05T00:00:00"/>
    <m/>
    <s v="YES"/>
    <x v="3"/>
    <x v="1"/>
  </r>
  <r>
    <s v="EMP-2019-0509"/>
    <s v="David"/>
    <s v="O'Brien"/>
    <m/>
    <n v="54"/>
    <n v="1970"/>
    <n v="55000"/>
    <x v="6"/>
    <x v="0"/>
    <x v="3"/>
    <x v="3"/>
    <s v="Director"/>
    <d v="2019-03-25T00:00:00"/>
    <d v="2019-03-25T00:00:00"/>
    <x v="1"/>
    <n v="41"/>
    <s v="david.o'brien@saltcorp.com"/>
    <s v="555-555-5555"/>
    <s v="contract"/>
    <x v="0"/>
    <s v="EMP-2019-0093"/>
    <n v="7"/>
    <m/>
    <m/>
    <d v="2021-10-01T00:00:00"/>
    <m/>
    <s v="no"/>
    <x v="4"/>
    <x v="0"/>
  </r>
  <r>
    <s v="EMP-2018-0510"/>
    <s v="Ivy"/>
    <s v="Vega"/>
    <n v="50"/>
    <n v="50"/>
    <n v="1974"/>
    <n v="55000"/>
    <x v="6"/>
    <x v="1"/>
    <x v="0"/>
    <x v="0"/>
    <s v="Clerk"/>
    <d v="2018-04-05T00:00:00"/>
    <d v="2018-04-05T00:00:00"/>
    <x v="2"/>
    <n v="70"/>
    <s v="ivy.vega@saltcorp.com"/>
    <s v="123-456-7890"/>
    <s v="Full-Time"/>
    <x v="1"/>
    <s v="EMP-2018-0096"/>
    <n v="2"/>
    <m/>
    <n v="13"/>
    <m/>
    <m/>
    <s v="YES"/>
    <x v="4"/>
    <x v="0"/>
  </r>
  <r>
    <s v="EMP-2019-0511"/>
    <s v="Charlie"/>
    <s v="Rivera"/>
    <n v="35"/>
    <n v="35"/>
    <n v="1989"/>
    <n v="65000"/>
    <x v="1"/>
    <x v="0"/>
    <x v="0"/>
    <x v="0"/>
    <s v="Director"/>
    <d v="2019-12-01T00:00:00"/>
    <d v="2019-12-01T00:00:00"/>
    <x v="0"/>
    <n v="62"/>
    <s v="charlie.rivera@saltcorp.com"/>
    <s v="098-765-4321"/>
    <s v="Part-Time"/>
    <x v="2"/>
    <m/>
    <n v="5"/>
    <m/>
    <n v="15"/>
    <d v="2023-03-05T00:00:00"/>
    <m/>
    <m/>
    <x v="1"/>
    <x v="1"/>
  </r>
  <r>
    <s v="EMP-2018-0512"/>
    <s v="Ivy"/>
    <s v="Singh"/>
    <n v="40"/>
    <n v="40"/>
    <n v="1984"/>
    <n v="70000"/>
    <x v="5"/>
    <x v="0"/>
    <x v="2"/>
    <x v="2"/>
    <s v="Assistant"/>
    <d v="2018-04-05T00:00:00"/>
    <d v="2018-04-05T00:00:00"/>
    <x v="1"/>
    <n v="20"/>
    <s v="ivy.singh@saltcorp.com"/>
    <s v="123-456-7890"/>
    <s v="contract"/>
    <x v="0"/>
    <s v="EMP-2020-0008"/>
    <n v="4"/>
    <m/>
    <m/>
    <d v="2023-03-05T00:00:00"/>
    <m/>
    <s v="no"/>
    <x v="2"/>
    <x v="0"/>
  </r>
  <r>
    <s v="EMP-2020-0513"/>
    <s v="Grace"/>
    <s v="Wang"/>
    <s v="thirty"/>
    <n v="30"/>
    <n v="1994"/>
    <n v="65000"/>
    <x v="1"/>
    <x v="1"/>
    <x v="2"/>
    <x v="2"/>
    <s v="Assistant"/>
    <d v="2020-02-20T00:00:00"/>
    <d v="2020-02-20T00:00:00"/>
    <x v="2"/>
    <n v="71"/>
    <s v="grace.wang@saltcorp.com"/>
    <s v=" "/>
    <s v="contract"/>
    <x v="0"/>
    <m/>
    <n v="6"/>
    <m/>
    <n v="20"/>
    <m/>
    <m/>
    <s v="YES"/>
    <x v="2"/>
    <x v="0"/>
  </r>
  <r>
    <s v="EMP-2019-0514"/>
    <s v="David"/>
    <s v="Hoffman"/>
    <s v="thirty"/>
    <n v="30"/>
    <n v="1994"/>
    <s v="SIXTY THOUSAND"/>
    <x v="2"/>
    <x v="0"/>
    <x v="2"/>
    <x v="2"/>
    <s v="Assistant"/>
    <d v="2019-12-01T00:00:00"/>
    <d v="2019-12-01T00:00:00"/>
    <x v="1"/>
    <n v="16"/>
    <s v="david.hoffman@saltcorp.com"/>
    <s v="555-555-5555"/>
    <s v="Part-Time"/>
    <x v="2"/>
    <s v="EMP-2019-0053"/>
    <n v="4"/>
    <n v="2"/>
    <n v="7"/>
    <d v="2023-01-15T00:00:00"/>
    <m/>
    <s v="YES"/>
    <x v="1"/>
    <x v="0"/>
  </r>
  <r>
    <s v="EMP-2018-0515"/>
    <s v="Charlie"/>
    <s v="Taylor"/>
    <n v="50"/>
    <n v="50"/>
    <n v="1974"/>
    <n v="55000"/>
    <x v="6"/>
    <x v="0"/>
    <x v="0"/>
    <x v="0"/>
    <s v="Assistant"/>
    <d v="2018-04-05T00:00:00"/>
    <d v="2018-04-05T00:00:00"/>
    <x v="4"/>
    <n v="83"/>
    <s v="charlie.taylor@saltcorp.com"/>
    <m/>
    <s v="contract"/>
    <x v="0"/>
    <m/>
    <n v="7"/>
    <m/>
    <n v="5"/>
    <m/>
    <m/>
    <s v="YES"/>
    <x v="2"/>
    <x v="1"/>
  </r>
  <r>
    <s v="EMP-2019-0516"/>
    <s v="Jack"/>
    <s v="Murphy"/>
    <n v="40"/>
    <n v="40"/>
    <n v="1984"/>
    <s v="SIXTY THOUSAND"/>
    <x v="2"/>
    <x v="0"/>
    <x v="3"/>
    <x v="3"/>
    <s v="Manager"/>
    <d v="2019-03-25T00:00:00"/>
    <d v="2019-03-25T00:00:00"/>
    <x v="2"/>
    <n v="79"/>
    <s v="jack.murphy@saltcorp.com"/>
    <s v="123-456-7890"/>
    <s v="Full-Time"/>
    <x v="1"/>
    <m/>
    <n v="3"/>
    <s v="N/A"/>
    <m/>
    <m/>
    <m/>
    <s v="YES"/>
    <x v="0"/>
    <x v="1"/>
  </r>
  <r>
    <s v="EMP-2020-0517"/>
    <s v="Eve"/>
    <s v="Armstrong"/>
    <m/>
    <n v="25"/>
    <n v="1999"/>
    <n v="58600"/>
    <x v="8"/>
    <x v="1"/>
    <x v="4"/>
    <x v="4"/>
    <s v="Clerk"/>
    <d v="2020-02-20T00:00:00"/>
    <d v="2020-02-20T00:00:00"/>
    <x v="4"/>
    <n v="85"/>
    <s v="eve.armstrong@saltcorp.com"/>
    <s v=" "/>
    <s v="Part-Time"/>
    <x v="2"/>
    <m/>
    <n v="3"/>
    <m/>
    <m/>
    <m/>
    <n v="42"/>
    <m/>
    <x v="2"/>
    <x v="0"/>
  </r>
  <r>
    <s v="EMP-2020-0518"/>
    <s v="Eve"/>
    <s v="Garrett"/>
    <n v="40"/>
    <n v="40"/>
    <n v="1984"/>
    <n v="50000"/>
    <x v="0"/>
    <x v="1"/>
    <x v="2"/>
    <x v="2"/>
    <s v="Clerk"/>
    <d v="2020-02-20T00:00:00"/>
    <d v="2020-02-20T00:00:00"/>
    <x v="4"/>
    <n v="87"/>
    <s v="eve.garrett@saltcorp.com"/>
    <s v="555-555-5555"/>
    <s v="contract"/>
    <x v="0"/>
    <m/>
    <n v="3"/>
    <m/>
    <n v="14"/>
    <d v="2024-08-12T00:00:00"/>
    <n v="32"/>
    <s v="YES"/>
    <x v="0"/>
    <x v="0"/>
  </r>
  <r>
    <s v="EMP-2020-0519"/>
    <s v="Charlie"/>
    <s v="Moore"/>
    <m/>
    <n v="26"/>
    <n v="1998"/>
    <n v="50000"/>
    <x v="0"/>
    <x v="0"/>
    <x v="3"/>
    <x v="3"/>
    <s v="Assistant"/>
    <d v="2020-02-20T00:00:00"/>
    <d v="2020-02-20T00:00:00"/>
    <x v="2"/>
    <n v="74"/>
    <s v="charlie.moore@saltcorp.com"/>
    <s v="098-765-4321"/>
    <s v="Full-Time"/>
    <x v="1"/>
    <s v="EMP-2019-0016"/>
    <n v="4"/>
    <m/>
    <m/>
    <d v="2023-03-05T00:00:00"/>
    <n v="49"/>
    <s v="no"/>
    <x v="3"/>
    <x v="0"/>
  </r>
  <r>
    <s v="EMP-2019-0520"/>
    <s v="Ivy"/>
    <s v="Matthews"/>
    <n v="40"/>
    <n v="40"/>
    <n v="1984"/>
    <n v="65000"/>
    <x v="1"/>
    <x v="1"/>
    <x v="1"/>
    <x v="1"/>
    <s v="Manager"/>
    <d v="2019-12-01T00:00:00"/>
    <d v="2019-12-01T00:00:00"/>
    <x v="3"/>
    <n v="94"/>
    <s v="ivy.matthews@saltcorp.com"/>
    <s v="555-555-5555"/>
    <s v="Part-Time"/>
    <x v="2"/>
    <m/>
    <n v="5"/>
    <n v="7"/>
    <n v="3"/>
    <m/>
    <m/>
    <s v="no"/>
    <x v="1"/>
    <x v="1"/>
  </r>
  <r>
    <s v="EMP-2020-0521"/>
    <s v="David"/>
    <s v="Cohen"/>
    <n v="40"/>
    <n v="40"/>
    <n v="1984"/>
    <n v="70000"/>
    <x v="5"/>
    <x v="0"/>
    <x v="2"/>
    <x v="2"/>
    <s v="Assistant"/>
    <d v="2020-01-15T00:00:00"/>
    <d v="2020-01-15T00:00:00"/>
    <x v="2"/>
    <n v="72"/>
    <s v="david.cohen@saltcorp.com"/>
    <s v="098-765-4321"/>
    <s v="Full-Time"/>
    <x v="1"/>
    <s v="EMP-2018-0094"/>
    <n v="4"/>
    <n v="5"/>
    <n v="16"/>
    <m/>
    <m/>
    <s v="no"/>
    <x v="4"/>
    <x v="0"/>
  </r>
  <r>
    <s v="EMP-2019-0522"/>
    <s v="Eve"/>
    <s v="Parker"/>
    <n v="25"/>
    <n v="25"/>
    <n v="1999"/>
    <s v="SIXTY THOUSAND"/>
    <x v="2"/>
    <x v="0"/>
    <x v="4"/>
    <x v="4"/>
    <s v="Manager"/>
    <d v="2019-12-01T00:00:00"/>
    <d v="2019-12-01T00:00:00"/>
    <x v="3"/>
    <n v="99"/>
    <s v="eve.parker@saltcorp.com"/>
    <s v="098-765-4321"/>
    <s v="Full-Time"/>
    <x v="1"/>
    <m/>
    <n v="2"/>
    <m/>
    <m/>
    <d v="2022-06-20T00:00:00"/>
    <n v="25"/>
    <s v="YES"/>
    <x v="2"/>
    <x v="0"/>
  </r>
  <r>
    <s v="EMP-2018-0523"/>
    <s v="David"/>
    <s v="Walsh"/>
    <s v="thirty"/>
    <n v="30"/>
    <n v="1994"/>
    <n v="70000"/>
    <x v="5"/>
    <x v="0"/>
    <x v="1"/>
    <x v="1"/>
    <s v="Assistant"/>
    <d v="2018-04-05T00:00:00"/>
    <d v="2018-04-05T00:00:00"/>
    <x v="1"/>
    <n v="43"/>
    <s v="david.walsh@saltcorp.com"/>
    <s v="123-456-7890"/>
    <s v="Full-Time"/>
    <x v="1"/>
    <m/>
    <n v="3"/>
    <m/>
    <m/>
    <m/>
    <n v="12"/>
    <s v="no"/>
    <x v="4"/>
    <x v="1"/>
  </r>
  <r>
    <s v="EMP-2020-0524"/>
    <s v="Eve"/>
    <s v="Hansen"/>
    <n v="40"/>
    <n v="40"/>
    <n v="1984"/>
    <n v="65000"/>
    <x v="1"/>
    <x v="1"/>
    <x v="1"/>
    <x v="1"/>
    <s v="Analyst"/>
    <d v="2020-01-15T00:00:00"/>
    <d v="2020-01-15T00:00:00"/>
    <x v="1"/>
    <n v="33"/>
    <s v="eve.hansen@saltcorp.com"/>
    <s v="123-456-7890"/>
    <s v="contract"/>
    <x v="0"/>
    <m/>
    <n v="1"/>
    <s v="N/A"/>
    <m/>
    <m/>
    <n v="62"/>
    <s v="no"/>
    <x v="3"/>
    <x v="0"/>
  </r>
  <r>
    <s v="EMP-2018-0525"/>
    <s v="Grace"/>
    <s v="Davidson"/>
    <n v="50"/>
    <n v="50"/>
    <n v="1974"/>
    <n v="50000"/>
    <x v="0"/>
    <x v="1"/>
    <x v="4"/>
    <x v="4"/>
    <s v="Analyst"/>
    <d v="2018-04-05T00:00:00"/>
    <d v="2018-04-05T00:00:00"/>
    <x v="2"/>
    <n v="79"/>
    <s v="grace.davidson@saltcorp.com"/>
    <s v="555-555-5555"/>
    <s v="Part-Time"/>
    <x v="2"/>
    <m/>
    <n v="8"/>
    <m/>
    <n v="3"/>
    <d v="2024-08-12T00:00:00"/>
    <m/>
    <s v="YES"/>
    <x v="1"/>
    <x v="1"/>
  </r>
  <r>
    <s v="EMP-2020-0526"/>
    <s v="Ivy"/>
    <s v="Hudson"/>
    <n v="40"/>
    <n v="40"/>
    <n v="1984"/>
    <n v="70000"/>
    <x v="5"/>
    <x v="0"/>
    <x v="2"/>
    <x v="2"/>
    <s v="Director"/>
    <d v="2020-01-15T00:00:00"/>
    <d v="2020-01-15T00:00:00"/>
    <x v="1"/>
    <n v="34"/>
    <s v="ivy.hudson@saltcorp.com"/>
    <s v=" "/>
    <s v="Part-Time"/>
    <x v="2"/>
    <m/>
    <n v="2"/>
    <m/>
    <n v="5"/>
    <m/>
    <m/>
    <s v="no"/>
    <x v="0"/>
    <x v="0"/>
  </r>
  <r>
    <s v="EMP-2019-0527"/>
    <s v="Grace"/>
    <s v="Armstrong"/>
    <n v="35"/>
    <n v="35"/>
    <n v="1989"/>
    <n v="70000"/>
    <x v="5"/>
    <x v="1"/>
    <x v="0"/>
    <x v="0"/>
    <s v="Assistant"/>
    <d v="2019-12-01T00:00:00"/>
    <d v="2019-12-01T00:00:00"/>
    <x v="0"/>
    <n v="68"/>
    <s v="grace.armstrong@saltcorp.com"/>
    <s v="555-555-5555"/>
    <s v="Full-Time"/>
    <x v="1"/>
    <s v="EMP-2018-0031"/>
    <n v="5"/>
    <m/>
    <m/>
    <m/>
    <m/>
    <s v="no"/>
    <x v="4"/>
    <x v="0"/>
  </r>
  <r>
    <s v="EMP-2020-0528"/>
    <s v="Eve"/>
    <s v="Bell"/>
    <s v="thirty"/>
    <n v="30"/>
    <n v="1994"/>
    <n v="50000"/>
    <x v="0"/>
    <x v="1"/>
    <x v="4"/>
    <x v="4"/>
    <s v="Clerk"/>
    <d v="2020-02-20T00:00:00"/>
    <d v="2020-02-20T00:00:00"/>
    <x v="4"/>
    <n v="83"/>
    <s v="eve.bell@saltcorp.com"/>
    <m/>
    <s v="Full-Time"/>
    <x v="1"/>
    <m/>
    <n v="2"/>
    <m/>
    <n v="17"/>
    <d v="2021-10-01T00:00:00"/>
    <m/>
    <s v="no"/>
    <x v="3"/>
    <x v="1"/>
  </r>
  <r>
    <s v="EMP-2019-0529"/>
    <s v="Jack"/>
    <s v="Kelly"/>
    <n v="35"/>
    <n v="35"/>
    <n v="1989"/>
    <s v="SIXTY THOUSAND"/>
    <x v="2"/>
    <x v="0"/>
    <x v="4"/>
    <x v="4"/>
    <s v="Director"/>
    <d v="2019-03-25T00:00:00"/>
    <d v="2019-03-25T00:00:00"/>
    <x v="4"/>
    <n v="87"/>
    <s v="jack.kelly@saltcorp.com"/>
    <s v="098-765-4321"/>
    <s v="contract"/>
    <x v="0"/>
    <s v="EMP-2020-0007"/>
    <n v="5"/>
    <n v="5"/>
    <n v="18"/>
    <m/>
    <m/>
    <s v="no"/>
    <x v="0"/>
    <x v="0"/>
  </r>
  <r>
    <s v="EMP-2020-0530"/>
    <s v="Jack"/>
    <s v="O'Connor"/>
    <s v="thirty"/>
    <n v="30"/>
    <n v="1994"/>
    <n v="50000"/>
    <x v="0"/>
    <x v="0"/>
    <x v="4"/>
    <x v="4"/>
    <s v="Analyst"/>
    <d v="2020-02-20T00:00:00"/>
    <d v="2020-02-20T00:00:00"/>
    <x v="3"/>
    <n v="98"/>
    <s v="jack.o'connor@saltcorp.com"/>
    <s v="098-765-4321"/>
    <s v="Part-Time"/>
    <x v="2"/>
    <s v="EMP-2019-0057"/>
    <n v="2"/>
    <n v="10"/>
    <m/>
    <d v="2024-08-12T00:00:00"/>
    <n v="46"/>
    <s v="YES"/>
    <x v="0"/>
    <x v="0"/>
  </r>
  <r>
    <s v="EMP-2019-0531"/>
    <s v="Grace"/>
    <s v="Oliver"/>
    <n v="35"/>
    <n v="35"/>
    <n v="1989"/>
    <n v="70000"/>
    <x v="5"/>
    <x v="0"/>
    <x v="1"/>
    <x v="1"/>
    <s v="Assistant"/>
    <d v="2019-12-01T00:00:00"/>
    <d v="2019-12-01T00:00:00"/>
    <x v="1"/>
    <n v="25"/>
    <s v="grace.oliver@saltcorp.com"/>
    <s v="123-456-7890"/>
    <s v="Part-Time"/>
    <x v="2"/>
    <m/>
    <n v="4"/>
    <s v="N/A"/>
    <m/>
    <m/>
    <m/>
    <s v="YES"/>
    <x v="2"/>
    <x v="1"/>
  </r>
  <r>
    <s v="EMP-2020-0532"/>
    <s v="Jack"/>
    <s v="Weber"/>
    <n v="40"/>
    <n v="40"/>
    <n v="1984"/>
    <s v="SIXTY THOUSAND"/>
    <x v="2"/>
    <x v="0"/>
    <x v="3"/>
    <x v="3"/>
    <s v="Director"/>
    <d v="2020-01-15T00:00:00"/>
    <d v="2020-01-15T00:00:00"/>
    <x v="3"/>
    <n v="94"/>
    <s v="jack.weber@saltcorp.com"/>
    <s v=" "/>
    <s v="Part-Time"/>
    <x v="2"/>
    <m/>
    <n v="8"/>
    <m/>
    <n v="14"/>
    <d v="2023-01-15T00:00:00"/>
    <n v="54"/>
    <m/>
    <x v="2"/>
    <x v="0"/>
  </r>
  <r>
    <s v="EMP-2020-0533"/>
    <s v="Eve"/>
    <s v="West"/>
    <n v="40"/>
    <n v="40"/>
    <n v="1984"/>
    <s v="SIXTY THOUSAND"/>
    <x v="2"/>
    <x v="0"/>
    <x v="0"/>
    <x v="0"/>
    <s v="Assistant"/>
    <d v="2020-02-20T00:00:00"/>
    <d v="2020-02-20T00:00:00"/>
    <x v="4"/>
    <n v="86"/>
    <s v="eve.west@saltcorp.com"/>
    <s v="123-456-7890"/>
    <s v="Full-Time"/>
    <x v="1"/>
    <m/>
    <n v="6"/>
    <m/>
    <m/>
    <s v="N/A"/>
    <m/>
    <m/>
    <x v="4"/>
    <x v="0"/>
  </r>
  <r>
    <s v="EMP-2019-0534"/>
    <s v="Charlie"/>
    <s v="Barnett"/>
    <n v="25"/>
    <n v="25"/>
    <n v="1999"/>
    <n v="50000"/>
    <x v="0"/>
    <x v="0"/>
    <x v="2"/>
    <x v="2"/>
    <s v="Analyst"/>
    <d v="2019-12-01T00:00:00"/>
    <d v="2019-12-01T00:00:00"/>
    <x v="4"/>
    <n v="81"/>
    <s v="charlie.barnett@saltcorp.com"/>
    <m/>
    <s v="Part-Time"/>
    <x v="2"/>
    <s v="EMP-2020-0042"/>
    <n v="6"/>
    <m/>
    <n v="8"/>
    <d v="2024-08-12T00:00:00"/>
    <m/>
    <m/>
    <x v="0"/>
    <x v="0"/>
  </r>
  <r>
    <s v="EMP-2018-0535"/>
    <s v="Grace"/>
    <s v="Wang"/>
    <n v="50"/>
    <n v="50"/>
    <n v="1974"/>
    <n v="70000"/>
    <x v="5"/>
    <x v="1"/>
    <x v="2"/>
    <x v="2"/>
    <s v="Director"/>
    <d v="2018-04-05T00:00:00"/>
    <d v="2018-04-05T00:00:00"/>
    <x v="1"/>
    <n v="23"/>
    <s v="grace.wang@saltcorp.com"/>
    <s v="555-555-5555"/>
    <s v="Full-Time"/>
    <x v="1"/>
    <m/>
    <n v="3"/>
    <n v="15"/>
    <m/>
    <m/>
    <m/>
    <s v="YES"/>
    <x v="3"/>
    <x v="1"/>
  </r>
  <r>
    <s v="EMP-2019-0536"/>
    <s v="Bob"/>
    <s v="Oliver"/>
    <n v="35"/>
    <n v="35"/>
    <n v="1989"/>
    <n v="65000"/>
    <x v="1"/>
    <x v="0"/>
    <x v="3"/>
    <x v="3"/>
    <s v="Analyst"/>
    <d v="2019-03-25T00:00:00"/>
    <d v="2019-03-25T00:00:00"/>
    <x v="0"/>
    <n v="66"/>
    <s v="bob.oliver@saltcorp.com"/>
    <s v="555-555-5555"/>
    <s v="contract"/>
    <x v="0"/>
    <s v="EMP-2019-0036"/>
    <n v="4"/>
    <n v="5"/>
    <m/>
    <m/>
    <m/>
    <m/>
    <x v="2"/>
    <x v="1"/>
  </r>
  <r>
    <s v="EMP-2020-0537"/>
    <s v="Ivy"/>
    <s v="Singh"/>
    <m/>
    <n v="47"/>
    <n v="1977"/>
    <n v="70000"/>
    <x v="5"/>
    <x v="1"/>
    <x v="4"/>
    <x v="4"/>
    <s v="Manager"/>
    <d v="2020-02-20T00:00:00"/>
    <d v="2020-02-20T00:00:00"/>
    <x v="0"/>
    <n v="65"/>
    <s v="ivy.singh@saltcorp.com"/>
    <s v=" "/>
    <s v="contract"/>
    <x v="0"/>
    <s v="EMP-2020-0095"/>
    <n v="2"/>
    <m/>
    <m/>
    <d v="2022-06-20T00:00:00"/>
    <n v="55"/>
    <s v="YES"/>
    <x v="2"/>
    <x v="1"/>
  </r>
  <r>
    <s v="EMP-2020-0538"/>
    <s v="Jack"/>
    <s v="Kelly"/>
    <n v="25"/>
    <n v="25"/>
    <n v="1999"/>
    <n v="55000"/>
    <x v="6"/>
    <x v="0"/>
    <x v="0"/>
    <x v="0"/>
    <s v="Analyst"/>
    <d v="2020-01-15T00:00:00"/>
    <d v="2020-01-15T00:00:00"/>
    <x v="1"/>
    <n v="8"/>
    <s v="jack.kelly@saltcorp.com"/>
    <s v="123-456-7890"/>
    <s v="Full-Time"/>
    <x v="1"/>
    <m/>
    <n v="5"/>
    <s v="N/A"/>
    <n v="9"/>
    <m/>
    <n v="48"/>
    <m/>
    <x v="0"/>
    <x v="1"/>
  </r>
  <r>
    <s v="EMP-2018-0539"/>
    <s v="Jack"/>
    <s v="Garrett"/>
    <n v="35"/>
    <n v="35"/>
    <n v="1989"/>
    <n v="58300"/>
    <x v="12"/>
    <x v="0"/>
    <x v="2"/>
    <x v="2"/>
    <s v="Assistant"/>
    <d v="2018-04-05T00:00:00"/>
    <d v="2018-04-05T00:00:00"/>
    <x v="1"/>
    <n v="29"/>
    <s v="jack.garrett@saltcorp.com"/>
    <s v="123-456-7890"/>
    <s v="Full-Time"/>
    <x v="1"/>
    <m/>
    <n v="2"/>
    <m/>
    <m/>
    <s v="N/A"/>
    <m/>
    <s v="no"/>
    <x v="2"/>
    <x v="1"/>
  </r>
  <r>
    <s v="EMP-2019-0540"/>
    <s v="Alice"/>
    <s v="Gutierrez"/>
    <n v="35"/>
    <n v="35"/>
    <n v="1989"/>
    <n v="65000"/>
    <x v="1"/>
    <x v="1"/>
    <x v="2"/>
    <x v="2"/>
    <s v="Clerk"/>
    <d v="2019-12-01T00:00:00"/>
    <d v="2019-12-01T00:00:00"/>
    <x v="3"/>
    <n v="100"/>
    <s v="alice.gutierrez@saltcorp.com"/>
    <m/>
    <s v="Full-Time"/>
    <x v="1"/>
    <m/>
    <n v="4"/>
    <s v="N/A"/>
    <n v="16"/>
    <d v="2023-03-05T00:00:00"/>
    <n v="68"/>
    <m/>
    <x v="1"/>
    <x v="0"/>
  </r>
  <r>
    <s v="EMP-2019-0541"/>
    <s v="Frank"/>
    <s v="Torres"/>
    <n v="25"/>
    <n v="25"/>
    <n v="1999"/>
    <s v="SIXTY THOUSAND"/>
    <x v="2"/>
    <x v="0"/>
    <x v="4"/>
    <x v="4"/>
    <s v="Analyst"/>
    <d v="2019-03-25T00:00:00"/>
    <d v="2019-03-25T00:00:00"/>
    <x v="1"/>
    <n v="9"/>
    <s v="frank.torres@saltcorp.com"/>
    <s v="555-555-5555"/>
    <s v="contract"/>
    <x v="0"/>
    <m/>
    <n v="6"/>
    <n v="5"/>
    <n v="1"/>
    <s v="N/A"/>
    <n v="25"/>
    <s v="no"/>
    <x v="1"/>
    <x v="1"/>
  </r>
  <r>
    <s v="EMP-2020-0542"/>
    <s v="Grace"/>
    <s v="Byrd"/>
    <n v="40"/>
    <n v="40"/>
    <n v="1984"/>
    <n v="65000"/>
    <x v="1"/>
    <x v="1"/>
    <x v="3"/>
    <x v="3"/>
    <s v="Clerk"/>
    <d v="2020-01-15T00:00:00"/>
    <d v="2020-01-15T00:00:00"/>
    <x v="0"/>
    <n v="60"/>
    <s v="grace.byrd@saltcorp.com"/>
    <s v="123-456-7890"/>
    <s v="Part-Time"/>
    <x v="2"/>
    <s v="EMP-2020-0061"/>
    <n v="8"/>
    <n v="15"/>
    <m/>
    <m/>
    <m/>
    <s v="YES"/>
    <x v="4"/>
    <x v="0"/>
  </r>
  <r>
    <s v="EMP-2019-0543"/>
    <s v="Hannah"/>
    <s v="Powers"/>
    <n v="35"/>
    <n v="35"/>
    <n v="1989"/>
    <s v="SIXTY THOUSAND"/>
    <x v="2"/>
    <x v="0"/>
    <x v="0"/>
    <x v="0"/>
    <s v="Manager"/>
    <d v="2019-12-01T00:00:00"/>
    <d v="2019-12-01T00:00:00"/>
    <x v="1"/>
    <n v="15"/>
    <s v="hannah.powers@saltcorp.com"/>
    <s v=" "/>
    <s v="contract"/>
    <x v="0"/>
    <s v="EMP-2019-0091"/>
    <n v="8"/>
    <m/>
    <m/>
    <m/>
    <m/>
    <m/>
    <x v="2"/>
    <x v="0"/>
  </r>
  <r>
    <s v="EMP-2019-0544"/>
    <s v="Jack"/>
    <s v="Kelly"/>
    <n v="40"/>
    <n v="40"/>
    <n v="1984"/>
    <s v="SIXTY THOUSAND"/>
    <x v="2"/>
    <x v="0"/>
    <x v="3"/>
    <x v="3"/>
    <s v="Director"/>
    <d v="2019-12-01T00:00:00"/>
    <d v="2019-12-01T00:00:00"/>
    <x v="3"/>
    <n v="93"/>
    <s v="jack.kelly@saltcorp.com"/>
    <s v="555-555-5555"/>
    <s v="Part-Time"/>
    <x v="2"/>
    <m/>
    <n v="6"/>
    <m/>
    <n v="19"/>
    <m/>
    <n v="35"/>
    <s v="YES"/>
    <x v="3"/>
    <x v="1"/>
  </r>
  <r>
    <s v="EMP-2020-0545"/>
    <s v="Ivy"/>
    <s v="Knight"/>
    <n v="25"/>
    <n v="25"/>
    <n v="1999"/>
    <n v="65000"/>
    <x v="1"/>
    <x v="1"/>
    <x v="3"/>
    <x v="3"/>
    <s v="Director"/>
    <d v="2020-02-20T00:00:00"/>
    <d v="2020-02-20T00:00:00"/>
    <x v="3"/>
    <n v="97"/>
    <s v="ivy.knight@saltcorp.com"/>
    <m/>
    <s v="contract"/>
    <x v="0"/>
    <m/>
    <n v="5"/>
    <m/>
    <m/>
    <m/>
    <m/>
    <s v="YES"/>
    <x v="3"/>
    <x v="1"/>
  </r>
  <r>
    <s v="EMP-2020-0546"/>
    <s v="Bob"/>
    <s v="Smith"/>
    <n v="40"/>
    <n v="40"/>
    <n v="1984"/>
    <s v="SIXTY THOUSAND"/>
    <x v="2"/>
    <x v="0"/>
    <x v="0"/>
    <x v="0"/>
    <s v="Clerk"/>
    <d v="2020-02-20T00:00:00"/>
    <d v="2020-02-20T00:00:00"/>
    <x v="3"/>
    <n v="90"/>
    <s v="bob.smith@saltcorp.com"/>
    <s v=" "/>
    <s v="Full-Time"/>
    <x v="1"/>
    <s v="EMP-2018-0050"/>
    <n v="3"/>
    <m/>
    <n v="8"/>
    <d v="2023-01-15T00:00:00"/>
    <m/>
    <s v="YES"/>
    <x v="3"/>
    <x v="1"/>
  </r>
  <r>
    <s v="EMP-2020-0547"/>
    <s v="Jack"/>
    <s v="Hudson"/>
    <s v="thirty"/>
    <n v="30"/>
    <n v="1994"/>
    <s v="SIXTY THOUSAND"/>
    <x v="2"/>
    <x v="1"/>
    <x v="0"/>
    <x v="0"/>
    <s v="Director"/>
    <d v="2020-01-15T00:00:00"/>
    <d v="2020-01-15T00:00:00"/>
    <x v="3"/>
    <n v="93"/>
    <s v="jack.hudson@saltcorp.com"/>
    <s v="098-765-4321"/>
    <s v="contract"/>
    <x v="0"/>
    <s v="EMP-2019-0083"/>
    <n v="6"/>
    <m/>
    <m/>
    <d v="2023-03-05T00:00:00"/>
    <n v="44"/>
    <s v="no"/>
    <x v="3"/>
    <x v="0"/>
  </r>
  <r>
    <s v="EMP-2019-0548"/>
    <s v="Bob"/>
    <s v="Vega"/>
    <m/>
    <n v="36"/>
    <n v="1988"/>
    <n v="55000"/>
    <x v="6"/>
    <x v="0"/>
    <x v="2"/>
    <x v="2"/>
    <s v="Analyst"/>
    <d v="2019-12-01T00:00:00"/>
    <d v="2019-12-01T00:00:00"/>
    <x v="2"/>
    <n v="75"/>
    <s v="bob.vega@saltcorp.com"/>
    <m/>
    <s v="Full-Time"/>
    <x v="1"/>
    <m/>
    <n v="6"/>
    <m/>
    <m/>
    <s v="N/A"/>
    <m/>
    <s v="YES"/>
    <x v="0"/>
    <x v="0"/>
  </r>
  <r>
    <s v="EMP-2020-0549"/>
    <s v="Eve"/>
    <s v="Stevens"/>
    <n v="35"/>
    <n v="35"/>
    <n v="1989"/>
    <n v="70000"/>
    <x v="5"/>
    <x v="1"/>
    <x v="2"/>
    <x v="2"/>
    <s v="Clerk"/>
    <d v="2020-02-20T00:00:00"/>
    <d v="2020-02-20T00:00:00"/>
    <x v="1"/>
    <n v="56"/>
    <s v="eve.stevens@saltcorp.com"/>
    <s v=" "/>
    <s v="Part-Time"/>
    <x v="2"/>
    <m/>
    <n v="7"/>
    <n v="6"/>
    <m/>
    <d v="2024-08-12T00:00:00"/>
    <m/>
    <s v="no"/>
    <x v="0"/>
    <x v="0"/>
  </r>
  <r>
    <s v="EMP-2019-0550"/>
    <s v="Eve"/>
    <s v="Cooper"/>
    <n v="50"/>
    <n v="50"/>
    <n v="1974"/>
    <n v="70000"/>
    <x v="5"/>
    <x v="0"/>
    <x v="0"/>
    <x v="0"/>
    <s v="Assistant"/>
    <d v="2019-03-25T00:00:00"/>
    <d v="2019-03-25T00:00:00"/>
    <x v="4"/>
    <n v="88"/>
    <s v="eve.cooper@saltcorp.com"/>
    <s v="123-456-7890"/>
    <s v="Full-Time"/>
    <x v="1"/>
    <m/>
    <n v="3"/>
    <m/>
    <m/>
    <d v="2022-06-20T00:00:00"/>
    <m/>
    <s v="no"/>
    <x v="2"/>
    <x v="1"/>
  </r>
  <r>
    <s v="EMP-2019-0551"/>
    <s v="Frank"/>
    <s v="Torres"/>
    <m/>
    <n v="33"/>
    <n v="1991"/>
    <n v="60800"/>
    <x v="19"/>
    <x v="0"/>
    <x v="1"/>
    <x v="1"/>
    <s v="Analyst"/>
    <d v="2019-03-25T00:00:00"/>
    <d v="2019-03-25T00:00:00"/>
    <x v="1"/>
    <n v="56"/>
    <s v="frank.torres@saltcorp.com"/>
    <s v="098-765-4321"/>
    <s v="Full-Time"/>
    <x v="1"/>
    <s v="EMP-2020-0006"/>
    <n v="1"/>
    <s v="N/A"/>
    <n v="10"/>
    <d v="2021-10-01T00:00:00"/>
    <m/>
    <s v="YES"/>
    <x v="2"/>
    <x v="0"/>
  </r>
  <r>
    <s v="EMP-2019-0552"/>
    <s v="Charlie"/>
    <s v="Harris"/>
    <n v="40"/>
    <n v="40"/>
    <n v="1984"/>
    <n v="60000"/>
    <x v="2"/>
    <x v="0"/>
    <x v="2"/>
    <x v="2"/>
    <s v="Analyst"/>
    <d v="2019-12-01T00:00:00"/>
    <d v="2019-12-01T00:00:00"/>
    <x v="2"/>
    <n v="78"/>
    <s v="charlie.harris@saltcorp.com"/>
    <m/>
    <s v="Part-Time"/>
    <x v="2"/>
    <m/>
    <n v="6"/>
    <n v="1"/>
    <n v="19"/>
    <s v="N/A"/>
    <n v="65"/>
    <s v="no"/>
    <x v="1"/>
    <x v="1"/>
  </r>
  <r>
    <s v="EMP-2020-0553"/>
    <s v="Hannah"/>
    <s v="Brooks"/>
    <n v="35"/>
    <n v="35"/>
    <n v="1989"/>
    <n v="55000"/>
    <x v="6"/>
    <x v="1"/>
    <x v="1"/>
    <x v="1"/>
    <s v="Analyst"/>
    <d v="2020-02-20T00:00:00"/>
    <d v="2020-02-20T00:00:00"/>
    <x v="3"/>
    <n v="95"/>
    <s v="hannah.brooks@saltcorp.com"/>
    <s v="123-456-7890"/>
    <s v="contract"/>
    <x v="0"/>
    <m/>
    <n v="4"/>
    <m/>
    <n v="3"/>
    <d v="2022-06-20T00:00:00"/>
    <m/>
    <m/>
    <x v="0"/>
    <x v="0"/>
  </r>
  <r>
    <s v="EMP-2020-0554"/>
    <s v="Alice"/>
    <s v="Baker"/>
    <n v="40"/>
    <n v="40"/>
    <n v="1984"/>
    <n v="61500"/>
    <x v="11"/>
    <x v="1"/>
    <x v="0"/>
    <x v="0"/>
    <s v="Assistant"/>
    <d v="2020-01-15T00:00:00"/>
    <d v="2020-01-15T00:00:00"/>
    <x v="2"/>
    <n v="72"/>
    <s v="alice.baker@saltcorp.com"/>
    <s v="098-765-4321"/>
    <s v="Part-Time"/>
    <x v="2"/>
    <s v="EMP-2018-0028"/>
    <n v="4"/>
    <s v="N/A"/>
    <m/>
    <s v="N/A"/>
    <m/>
    <m/>
    <x v="2"/>
    <x v="0"/>
  </r>
  <r>
    <s v="EMP-2020-0555"/>
    <s v="Frank"/>
    <s v="Hernandez"/>
    <s v="thirty"/>
    <n v="30"/>
    <n v="1994"/>
    <n v="65000"/>
    <x v="1"/>
    <x v="1"/>
    <x v="2"/>
    <x v="2"/>
    <s v="Manager"/>
    <d v="2020-01-15T00:00:00"/>
    <d v="2020-01-15T00:00:00"/>
    <x v="0"/>
    <n v="63"/>
    <s v="frank.hernandez@saltcorp.com"/>
    <s v="555-555-5555"/>
    <s v="Part-Time"/>
    <x v="2"/>
    <m/>
    <n v="7"/>
    <m/>
    <m/>
    <d v="2023-03-05T00:00:00"/>
    <m/>
    <s v="no"/>
    <x v="3"/>
    <x v="0"/>
  </r>
  <r>
    <s v="EMP-2020-0556"/>
    <s v="David"/>
    <s v="Gutierrez"/>
    <n v="25"/>
    <n v="25"/>
    <n v="1999"/>
    <n v="50000"/>
    <x v="0"/>
    <x v="0"/>
    <x v="3"/>
    <x v="3"/>
    <s v="Director"/>
    <d v="2020-01-15T00:00:00"/>
    <d v="2020-01-15T00:00:00"/>
    <x v="0"/>
    <n v="67"/>
    <s v="david.gutierrez@saltcorp.com"/>
    <s v="123-456-7890"/>
    <s v="Full-Time"/>
    <x v="1"/>
    <m/>
    <n v="5"/>
    <s v="N/A"/>
    <m/>
    <s v="N/A"/>
    <m/>
    <s v="no"/>
    <x v="0"/>
    <x v="0"/>
  </r>
  <r>
    <s v="EMP-2019-0557"/>
    <s v="Alice"/>
    <s v="Lee"/>
    <n v="35"/>
    <n v="35"/>
    <n v="1989"/>
    <n v="50000"/>
    <x v="0"/>
    <x v="1"/>
    <x v="0"/>
    <x v="0"/>
    <s v="Clerk"/>
    <d v="2019-03-25T00:00:00"/>
    <d v="2019-03-25T00:00:00"/>
    <x v="1"/>
    <n v="35"/>
    <s v="alice.lee@saltcorp.com"/>
    <s v=" "/>
    <s v="Part-Time"/>
    <x v="2"/>
    <s v="EMP-2018-0051"/>
    <n v="6"/>
    <m/>
    <n v="7"/>
    <d v="2024-08-12T00:00:00"/>
    <m/>
    <s v="YES"/>
    <x v="0"/>
    <x v="1"/>
  </r>
  <r>
    <s v="EMP-2020-0558"/>
    <s v="Grace"/>
    <s v="Wang"/>
    <s v="thirty"/>
    <n v="30"/>
    <n v="1994"/>
    <n v="50000"/>
    <x v="0"/>
    <x v="1"/>
    <x v="4"/>
    <x v="4"/>
    <s v="Manager"/>
    <d v="2020-02-20T00:00:00"/>
    <d v="2020-02-20T00:00:00"/>
    <x v="1"/>
    <n v="16"/>
    <s v="grace.wang@saltcorp.com"/>
    <m/>
    <s v="Full-Time"/>
    <x v="1"/>
    <m/>
    <n v="3"/>
    <m/>
    <n v="7"/>
    <m/>
    <m/>
    <s v="YES"/>
    <x v="3"/>
    <x v="1"/>
  </r>
  <r>
    <s v="EMP-2020-0559"/>
    <s v="Ivy"/>
    <s v="Gupta"/>
    <s v="thirty"/>
    <n v="30"/>
    <n v="1994"/>
    <n v="55000"/>
    <x v="6"/>
    <x v="1"/>
    <x v="1"/>
    <x v="1"/>
    <s v="Clerk"/>
    <d v="2020-02-20T00:00:00"/>
    <d v="2020-02-20T00:00:00"/>
    <x v="4"/>
    <n v="85"/>
    <s v="ivy.gupta@saltcorp.com"/>
    <s v="098-765-4321"/>
    <s v="Full-Time"/>
    <x v="1"/>
    <m/>
    <n v="6"/>
    <s v="N/A"/>
    <m/>
    <m/>
    <m/>
    <s v="no"/>
    <x v="0"/>
    <x v="0"/>
  </r>
  <r>
    <s v="EMP-2019-0560"/>
    <s v="David"/>
    <s v="Sullivan"/>
    <n v="35"/>
    <n v="35"/>
    <n v="1989"/>
    <n v="55000"/>
    <x v="6"/>
    <x v="1"/>
    <x v="0"/>
    <x v="0"/>
    <s v="Director"/>
    <d v="2019-03-25T00:00:00"/>
    <d v="2019-03-25T00:00:00"/>
    <x v="4"/>
    <n v="81"/>
    <s v="david.sullivan@saltcorp.com"/>
    <s v="123-456-7890"/>
    <s v="Part-Time"/>
    <x v="2"/>
    <s v="EMP-2019-0060"/>
    <n v="8"/>
    <m/>
    <n v="9"/>
    <m/>
    <m/>
    <m/>
    <x v="3"/>
    <x v="0"/>
  </r>
  <r>
    <s v="EMP-2020-0561"/>
    <s v="David"/>
    <s v="Olson"/>
    <n v="40"/>
    <n v="40"/>
    <n v="1984"/>
    <s v="SIXTY THOUSAND"/>
    <x v="2"/>
    <x v="0"/>
    <x v="0"/>
    <x v="0"/>
    <s v="Assistant"/>
    <d v="2020-01-15T00:00:00"/>
    <d v="2020-01-15T00:00:00"/>
    <x v="0"/>
    <n v="69"/>
    <s v="david.olson@saltcorp.com"/>
    <s v="555-555-5555"/>
    <s v="Full-Time"/>
    <x v="1"/>
    <m/>
    <n v="8"/>
    <m/>
    <m/>
    <m/>
    <m/>
    <s v="no"/>
    <x v="2"/>
    <x v="0"/>
  </r>
  <r>
    <s v="EMP-2020-0562"/>
    <s v="Frank"/>
    <s v="Pearson"/>
    <n v="50"/>
    <n v="50"/>
    <n v="1974"/>
    <n v="50000"/>
    <x v="0"/>
    <x v="0"/>
    <x v="2"/>
    <x v="2"/>
    <s v="Analyst"/>
    <d v="2020-01-15T00:00:00"/>
    <d v="2020-01-15T00:00:00"/>
    <x v="3"/>
    <n v="91"/>
    <s v="frank.pearson@saltcorp.com"/>
    <m/>
    <s v="Full-Time"/>
    <x v="1"/>
    <m/>
    <n v="8"/>
    <m/>
    <n v="19"/>
    <d v="2023-03-05T00:00:00"/>
    <m/>
    <m/>
    <x v="1"/>
    <x v="0"/>
  </r>
  <r>
    <s v="EMP-2019-0563"/>
    <s v="Charlie"/>
    <s v="Clark"/>
    <s v="thirty"/>
    <n v="30"/>
    <n v="1994"/>
    <n v="65000"/>
    <x v="1"/>
    <x v="1"/>
    <x v="2"/>
    <x v="2"/>
    <s v="Analyst"/>
    <d v="2019-12-01T00:00:00"/>
    <d v="2019-12-01T00:00:00"/>
    <x v="2"/>
    <n v="75"/>
    <s v="charlie.clark@saltcorp.com"/>
    <m/>
    <s v="Part-Time"/>
    <x v="2"/>
    <m/>
    <n v="6"/>
    <m/>
    <m/>
    <m/>
    <m/>
    <m/>
    <x v="4"/>
    <x v="1"/>
  </r>
  <r>
    <s v="EMP-2018-0564"/>
    <s v="Frank"/>
    <s v="Hanson"/>
    <m/>
    <n v="32"/>
    <n v="1992"/>
    <n v="58300"/>
    <x v="12"/>
    <x v="1"/>
    <x v="2"/>
    <x v="2"/>
    <s v="Assistant"/>
    <d v="2018-04-05T00:00:00"/>
    <d v="2018-04-05T00:00:00"/>
    <x v="4"/>
    <n v="83"/>
    <s v="frank.hanson@saltcorp.com"/>
    <s v="123-456-7890"/>
    <s v="contract"/>
    <x v="0"/>
    <m/>
    <n v="5"/>
    <m/>
    <m/>
    <m/>
    <n v="77"/>
    <s v="no"/>
    <x v="1"/>
    <x v="1"/>
  </r>
  <r>
    <s v="EMP-2020-0565"/>
    <s v="Grace"/>
    <s v="Sims"/>
    <s v="thirty"/>
    <n v="30"/>
    <n v="1994"/>
    <n v="65000"/>
    <x v="1"/>
    <x v="1"/>
    <x v="4"/>
    <x v="4"/>
    <s v="Manager"/>
    <d v="2020-02-20T00:00:00"/>
    <d v="2020-02-20T00:00:00"/>
    <x v="4"/>
    <n v="83"/>
    <s v="grace.sims@saltcorp.com"/>
    <s v="555-555-5555"/>
    <s v="contract"/>
    <x v="0"/>
    <m/>
    <n v="8"/>
    <n v="7"/>
    <n v="17"/>
    <m/>
    <m/>
    <s v="YES"/>
    <x v="2"/>
    <x v="1"/>
  </r>
  <r>
    <s v="EMP-2020-0566"/>
    <s v="Jack"/>
    <s v="O'Neill"/>
    <n v="50"/>
    <n v="50"/>
    <n v="1974"/>
    <n v="61500"/>
    <x v="11"/>
    <x v="0"/>
    <x v="2"/>
    <x v="2"/>
    <s v="Manager"/>
    <d v="2020-02-20T00:00:00"/>
    <d v="2020-02-20T00:00:00"/>
    <x v="3"/>
    <n v="93"/>
    <s v="jack.o'neill@saltcorp.com"/>
    <s v="098-765-4321"/>
    <s v="Full-Time"/>
    <x v="1"/>
    <m/>
    <n v="2"/>
    <n v="15"/>
    <n v="4"/>
    <m/>
    <n v="72"/>
    <s v="YES"/>
    <x v="2"/>
    <x v="0"/>
  </r>
  <r>
    <s v="EMP-2020-0567"/>
    <s v="Jack"/>
    <s v="Walker"/>
    <n v="40"/>
    <n v="40"/>
    <n v="1984"/>
    <n v="50000"/>
    <x v="0"/>
    <x v="1"/>
    <x v="0"/>
    <x v="0"/>
    <s v="Clerk"/>
    <d v="2020-02-20T00:00:00"/>
    <d v="2020-02-20T00:00:00"/>
    <x v="3"/>
    <n v="97"/>
    <s v="jack.walker@saltcorp.com"/>
    <s v="123-456-7890"/>
    <s v="Full-Time"/>
    <x v="1"/>
    <s v="EMP-2019-0038"/>
    <n v="3"/>
    <m/>
    <m/>
    <s v="N/A"/>
    <n v="13"/>
    <m/>
    <x v="2"/>
    <x v="0"/>
  </r>
  <r>
    <s v="EMP-2018-0568"/>
    <s v="Charlie"/>
    <s v="Hansen"/>
    <n v="40"/>
    <n v="40"/>
    <n v="1984"/>
    <n v="50000"/>
    <x v="0"/>
    <x v="0"/>
    <x v="2"/>
    <x v="2"/>
    <s v="Assistant"/>
    <d v="2018-04-05T00:00:00"/>
    <d v="2018-04-05T00:00:00"/>
    <x v="1"/>
    <n v="6"/>
    <s v="charlie.hansen@saltcorp.com"/>
    <s v="098-765-4321"/>
    <s v="Full-Time"/>
    <x v="1"/>
    <m/>
    <n v="2"/>
    <m/>
    <m/>
    <m/>
    <m/>
    <s v="YES"/>
    <x v="1"/>
    <x v="1"/>
  </r>
  <r>
    <s v="EMP-2019-0569"/>
    <s v="Grace"/>
    <s v="Hoffman"/>
    <m/>
    <n v="40"/>
    <n v="1984"/>
    <n v="50000"/>
    <x v="0"/>
    <x v="1"/>
    <x v="3"/>
    <x v="3"/>
    <s v="Manager"/>
    <d v="2019-12-01T00:00:00"/>
    <d v="2019-12-01T00:00:00"/>
    <x v="2"/>
    <n v="73"/>
    <s v="grace.hoffman@saltcorp.com"/>
    <m/>
    <s v="contract"/>
    <x v="0"/>
    <m/>
    <n v="5"/>
    <s v="N/A"/>
    <n v="19"/>
    <d v="2022-06-20T00:00:00"/>
    <m/>
    <m/>
    <x v="2"/>
    <x v="1"/>
  </r>
  <r>
    <s v="EMP-2018-0570"/>
    <s v="Charlie"/>
    <s v="McCoy"/>
    <s v="thirty"/>
    <n v="30"/>
    <n v="1994"/>
    <n v="55000"/>
    <x v="6"/>
    <x v="0"/>
    <x v="2"/>
    <x v="2"/>
    <s v="Assistant"/>
    <d v="2018-04-05T00:00:00"/>
    <d v="2018-04-05T00:00:00"/>
    <x v="3"/>
    <n v="96"/>
    <s v="charlie.mccoy@saltcorp.com"/>
    <s v="098-765-4321"/>
    <s v="Full-Time"/>
    <x v="1"/>
    <m/>
    <n v="3"/>
    <m/>
    <m/>
    <m/>
    <m/>
    <s v="no"/>
    <x v="2"/>
    <x v="1"/>
  </r>
  <r>
    <s v="EMP-2020-0571"/>
    <s v="Bob"/>
    <s v="Davis"/>
    <n v="40"/>
    <n v="40"/>
    <n v="1984"/>
    <n v="60500"/>
    <x v="7"/>
    <x v="0"/>
    <x v="4"/>
    <x v="4"/>
    <s v="Director"/>
    <d v="2020-01-15T00:00:00"/>
    <d v="2020-01-15T00:00:00"/>
    <x v="4"/>
    <n v="80"/>
    <s v="bob.davis@saltcorp.com"/>
    <s v="555-555-5555"/>
    <s v="contract"/>
    <x v="0"/>
    <m/>
    <n v="4"/>
    <m/>
    <m/>
    <d v="2022-06-20T00:00:00"/>
    <m/>
    <s v="YES"/>
    <x v="1"/>
    <x v="0"/>
  </r>
  <r>
    <s v="EMP-2020-0572"/>
    <s v="Jack"/>
    <s v="Kelly"/>
    <n v="50"/>
    <n v="50"/>
    <n v="1974"/>
    <n v="55000"/>
    <x v="6"/>
    <x v="0"/>
    <x v="3"/>
    <x v="3"/>
    <s v="Analyst"/>
    <d v="2020-01-15T00:00:00"/>
    <d v="2020-01-15T00:00:00"/>
    <x v="4"/>
    <n v="89"/>
    <s v="jack.kelly@saltcorp.com"/>
    <s v=" "/>
    <s v="Full-Time"/>
    <x v="1"/>
    <m/>
    <n v="5"/>
    <n v="1"/>
    <m/>
    <d v="2023-01-15T00:00:00"/>
    <m/>
    <s v="no"/>
    <x v="2"/>
    <x v="0"/>
  </r>
  <r>
    <s v="EMP-2020-0573"/>
    <s v="David"/>
    <s v="Byrd"/>
    <n v="35"/>
    <n v="35"/>
    <n v="1989"/>
    <n v="55000"/>
    <x v="6"/>
    <x v="0"/>
    <x v="0"/>
    <x v="0"/>
    <s v="Analyst"/>
    <d v="2020-02-20T00:00:00"/>
    <d v="2020-02-20T00:00:00"/>
    <x v="0"/>
    <n v="66"/>
    <s v="david.byrd@saltcorp.com"/>
    <s v="555-555-5555"/>
    <s v="Part-Time"/>
    <x v="2"/>
    <m/>
    <n v="2"/>
    <s v="N/A"/>
    <n v="9"/>
    <d v="2022-06-20T00:00:00"/>
    <m/>
    <s v="YES"/>
    <x v="4"/>
    <x v="0"/>
  </r>
  <r>
    <s v="EMP-2019-0574"/>
    <s v="Hannah"/>
    <s v="Long"/>
    <n v="25"/>
    <n v="25"/>
    <n v="1999"/>
    <n v="70000"/>
    <x v="5"/>
    <x v="1"/>
    <x v="0"/>
    <x v="0"/>
    <s v="Analyst"/>
    <d v="2019-03-25T00:00:00"/>
    <d v="2019-03-25T00:00:00"/>
    <x v="3"/>
    <n v="93"/>
    <s v="hannah.long@saltcorp.com"/>
    <s v="098-765-4321"/>
    <s v="contract"/>
    <x v="0"/>
    <m/>
    <n v="2"/>
    <m/>
    <m/>
    <s v="N/A"/>
    <m/>
    <m/>
    <x v="4"/>
    <x v="0"/>
  </r>
  <r>
    <s v="EMP-2020-0575"/>
    <s v="Ivy"/>
    <s v="Powers"/>
    <n v="25"/>
    <n v="25"/>
    <n v="1999"/>
    <n v="65000"/>
    <x v="1"/>
    <x v="0"/>
    <x v="1"/>
    <x v="1"/>
    <s v="Assistant"/>
    <d v="2020-02-20T00:00:00"/>
    <d v="2020-02-20T00:00:00"/>
    <x v="1"/>
    <n v="46"/>
    <s v="ivy.powers@saltcorp.com"/>
    <s v="123-456-7890"/>
    <s v="Part-Time"/>
    <x v="2"/>
    <m/>
    <n v="1"/>
    <m/>
    <m/>
    <m/>
    <n v="20"/>
    <m/>
    <x v="4"/>
    <x v="0"/>
  </r>
  <r>
    <s v="EMP-2019-0576"/>
    <s v="Grace"/>
    <s v="Gutierrez"/>
    <n v="25"/>
    <n v="25"/>
    <n v="1999"/>
    <n v="65000"/>
    <x v="1"/>
    <x v="1"/>
    <x v="3"/>
    <x v="3"/>
    <s v="Assistant"/>
    <d v="2019-03-25T00:00:00"/>
    <d v="2019-03-25T00:00:00"/>
    <x v="2"/>
    <n v="72"/>
    <s v="grace.gutierrez@saltcorp.com"/>
    <m/>
    <s v="Full-Time"/>
    <x v="1"/>
    <s v="EMP-2018-0086"/>
    <n v="1"/>
    <m/>
    <n v="2"/>
    <m/>
    <m/>
    <s v="no"/>
    <x v="3"/>
    <x v="1"/>
  </r>
  <r>
    <s v="EMP-2018-0577"/>
    <s v="Alice"/>
    <s v="Rivera"/>
    <s v="thirty"/>
    <n v="30"/>
    <n v="1994"/>
    <s v="SIXTY THOUSAND"/>
    <x v="2"/>
    <x v="0"/>
    <x v="1"/>
    <x v="1"/>
    <s v="Clerk"/>
    <d v="2018-04-05T00:00:00"/>
    <d v="2018-04-05T00:00:00"/>
    <x v="1"/>
    <n v="2"/>
    <s v="alice.rivera@saltcorp.com"/>
    <s v=" "/>
    <s v="contract"/>
    <x v="0"/>
    <m/>
    <n v="7"/>
    <m/>
    <m/>
    <s v="N/A"/>
    <m/>
    <s v="no"/>
    <x v="1"/>
    <x v="0"/>
  </r>
  <r>
    <s v="EMP-2020-0578"/>
    <s v="Charlie"/>
    <s v="Andrews"/>
    <m/>
    <n v="27"/>
    <n v="1997"/>
    <n v="55000"/>
    <x v="6"/>
    <x v="1"/>
    <x v="3"/>
    <x v="3"/>
    <s v="Analyst"/>
    <d v="2020-01-15T00:00:00"/>
    <d v="2020-01-15T00:00:00"/>
    <x v="4"/>
    <n v="80"/>
    <s v="charlie.andrews@saltcorp.com"/>
    <s v="123-456-7890"/>
    <s v="Full-Time"/>
    <x v="1"/>
    <s v="EMP-2020-0020"/>
    <n v="4"/>
    <m/>
    <n v="0"/>
    <m/>
    <m/>
    <m/>
    <x v="1"/>
    <x v="0"/>
  </r>
  <r>
    <s v="EMP-2019-0579"/>
    <s v="Ivy"/>
    <s v="Hanson"/>
    <n v="40"/>
    <n v="40"/>
    <n v="1984"/>
    <n v="58600"/>
    <x v="8"/>
    <x v="1"/>
    <x v="3"/>
    <x v="3"/>
    <s v="Clerk"/>
    <d v="2019-03-25T00:00:00"/>
    <d v="2019-03-25T00:00:00"/>
    <x v="1"/>
    <n v="0"/>
    <s v="ivy.hanson@saltcorp.com"/>
    <s v="123-456-7890"/>
    <s v="Full-Time"/>
    <x v="1"/>
    <s v="EMP-2019-0048"/>
    <n v="1"/>
    <m/>
    <n v="15"/>
    <d v="2024-08-12T00:00:00"/>
    <m/>
    <m/>
    <x v="3"/>
    <x v="0"/>
  </r>
  <r>
    <s v="EMP-2018-0580"/>
    <s v="Alice"/>
    <s v="Lee"/>
    <n v="35"/>
    <n v="35"/>
    <n v="1989"/>
    <n v="70000"/>
    <x v="5"/>
    <x v="1"/>
    <x v="4"/>
    <x v="4"/>
    <s v="Analyst"/>
    <d v="2018-04-05T00:00:00"/>
    <d v="2018-04-05T00:00:00"/>
    <x v="4"/>
    <n v="88"/>
    <s v="alice.lee@saltcorp.com"/>
    <s v="555-555-5555"/>
    <s v="Full-Time"/>
    <x v="1"/>
    <m/>
    <n v="5"/>
    <n v="6"/>
    <n v="3"/>
    <d v="2024-08-12T00:00:00"/>
    <n v="42"/>
    <s v="no"/>
    <x v="4"/>
    <x v="0"/>
  </r>
  <r>
    <s v="EMP-2020-0581"/>
    <s v="Ivy"/>
    <s v="Sharma"/>
    <n v="50"/>
    <n v="50"/>
    <n v="1974"/>
    <n v="70000"/>
    <x v="5"/>
    <x v="1"/>
    <x v="1"/>
    <x v="1"/>
    <s v="Clerk"/>
    <d v="2020-01-15T00:00:00"/>
    <d v="2020-01-15T00:00:00"/>
    <x v="4"/>
    <n v="89"/>
    <s v="ivy.sharma@saltcorp.com"/>
    <s v="098-765-4321"/>
    <s v="Full-Time"/>
    <x v="1"/>
    <m/>
    <n v="8"/>
    <m/>
    <n v="0"/>
    <m/>
    <m/>
    <s v="YES"/>
    <x v="2"/>
    <x v="1"/>
  </r>
  <r>
    <s v="EMP-2019-0582"/>
    <s v="Hannah"/>
    <s v="Gray"/>
    <n v="35"/>
    <n v="35"/>
    <n v="1989"/>
    <n v="65000"/>
    <x v="1"/>
    <x v="1"/>
    <x v="4"/>
    <x v="4"/>
    <s v="Clerk"/>
    <d v="2019-03-25T00:00:00"/>
    <d v="2019-03-25T00:00:00"/>
    <x v="4"/>
    <n v="88"/>
    <s v="hannah.gray@saltcorp.com"/>
    <s v="555-555-5555"/>
    <s v="Full-Time"/>
    <x v="1"/>
    <m/>
    <n v="3"/>
    <m/>
    <n v="11"/>
    <m/>
    <m/>
    <m/>
    <x v="1"/>
    <x v="0"/>
  </r>
  <r>
    <s v="EMP-2020-0583"/>
    <s v="Alice"/>
    <s v="Hudson"/>
    <n v="50"/>
    <n v="50"/>
    <n v="1974"/>
    <n v="55000"/>
    <x v="6"/>
    <x v="1"/>
    <x v="3"/>
    <x v="3"/>
    <s v="Director"/>
    <d v="2020-02-20T00:00:00"/>
    <d v="2020-02-20T00:00:00"/>
    <x v="4"/>
    <n v="88"/>
    <s v="alice.hudson@saltcorp.com"/>
    <s v="098-765-4321"/>
    <s v="Full-Time"/>
    <x v="1"/>
    <s v="EMP-2020-0037"/>
    <n v="6"/>
    <n v="4"/>
    <m/>
    <m/>
    <n v="23"/>
    <m/>
    <x v="1"/>
    <x v="0"/>
  </r>
  <r>
    <s v="EMP-2020-0584"/>
    <s v="Frank"/>
    <s v="Perez"/>
    <s v="thirty"/>
    <n v="30"/>
    <n v="1994"/>
    <s v="SIXTY THOUSAND"/>
    <x v="2"/>
    <x v="0"/>
    <x v="0"/>
    <x v="0"/>
    <s v="Clerk"/>
    <d v="2020-02-20T00:00:00"/>
    <d v="2020-02-20T00:00:00"/>
    <x v="4"/>
    <n v="88"/>
    <s v="frank.perez@saltcorp.com"/>
    <s v="555-555-5555"/>
    <s v="Part-Time"/>
    <x v="2"/>
    <m/>
    <n v="7"/>
    <n v="1"/>
    <m/>
    <m/>
    <n v="25"/>
    <s v="no"/>
    <x v="4"/>
    <x v="1"/>
  </r>
  <r>
    <s v="EMP-2020-0585"/>
    <s v="Eve"/>
    <s v="Barnett"/>
    <n v="25"/>
    <n v="25"/>
    <n v="1999"/>
    <n v="55000"/>
    <x v="6"/>
    <x v="1"/>
    <x v="3"/>
    <x v="3"/>
    <s v="Assistant"/>
    <d v="2020-02-20T00:00:00"/>
    <d v="2020-02-20T00:00:00"/>
    <x v="0"/>
    <n v="63"/>
    <s v="eve.barnett@saltcorp.com"/>
    <s v="123-456-7890"/>
    <s v="Part-Time"/>
    <x v="2"/>
    <s v="EMP-2018-0014"/>
    <n v="4"/>
    <m/>
    <m/>
    <d v="2021-10-01T00:00:00"/>
    <m/>
    <s v="YES"/>
    <x v="4"/>
    <x v="0"/>
  </r>
  <r>
    <s v="EMP-2018-0586"/>
    <s v="Frank"/>
    <s v="Sanchez"/>
    <s v="thirty"/>
    <n v="30"/>
    <n v="1994"/>
    <n v="50000"/>
    <x v="0"/>
    <x v="0"/>
    <x v="4"/>
    <x v="4"/>
    <s v="Clerk"/>
    <d v="2018-04-05T00:00:00"/>
    <d v="2018-04-05T00:00:00"/>
    <x v="1"/>
    <n v="17"/>
    <s v="frank.sanchez@saltcorp.com"/>
    <m/>
    <s v="Full-Time"/>
    <x v="1"/>
    <m/>
    <n v="5"/>
    <m/>
    <m/>
    <d v="2023-03-05T00:00:00"/>
    <m/>
    <s v="YES"/>
    <x v="4"/>
    <x v="0"/>
  </r>
  <r>
    <s v="EMP-2020-0587"/>
    <s v="Jack"/>
    <s v="Walsh"/>
    <m/>
    <n v="34"/>
    <n v="1990"/>
    <n v="55000"/>
    <x v="6"/>
    <x v="0"/>
    <x v="1"/>
    <x v="1"/>
    <s v="Analyst"/>
    <d v="2020-02-20T00:00:00"/>
    <d v="2020-02-20T00:00:00"/>
    <x v="0"/>
    <n v="66"/>
    <s v="jack.walsh@saltcorp.com"/>
    <s v="098-765-4321"/>
    <s v="Full-Time"/>
    <x v="1"/>
    <m/>
    <n v="3"/>
    <s v="N/A"/>
    <m/>
    <m/>
    <m/>
    <s v="YES"/>
    <x v="1"/>
    <x v="1"/>
  </r>
  <r>
    <s v="EMP-2019-0588"/>
    <s v="Eve"/>
    <s v="Hoffman"/>
    <m/>
    <n v="35"/>
    <n v="1989"/>
    <n v="50000"/>
    <x v="0"/>
    <x v="1"/>
    <x v="1"/>
    <x v="1"/>
    <s v="Clerk"/>
    <d v="2019-12-01T00:00:00"/>
    <d v="2019-12-01T00:00:00"/>
    <x v="0"/>
    <n v="64"/>
    <s v="eve.hoffman@saltcorp.com"/>
    <s v=" "/>
    <s v="contract"/>
    <x v="0"/>
    <m/>
    <n v="8"/>
    <s v="N/A"/>
    <n v="7"/>
    <m/>
    <n v="46"/>
    <m/>
    <x v="3"/>
    <x v="1"/>
  </r>
  <r>
    <s v="EMP-2020-0589"/>
    <s v="Frank"/>
    <s v="Lucas"/>
    <n v="50"/>
    <n v="50"/>
    <n v="1974"/>
    <n v="50000"/>
    <x v="0"/>
    <x v="0"/>
    <x v="4"/>
    <x v="4"/>
    <s v="Manager"/>
    <d v="2020-01-15T00:00:00"/>
    <d v="2020-01-15T00:00:00"/>
    <x v="3"/>
    <n v="91"/>
    <s v="frank.lucas@saltcorp.com"/>
    <s v=" "/>
    <s v="contract"/>
    <x v="0"/>
    <m/>
    <n v="2"/>
    <n v="2"/>
    <m/>
    <d v="2024-08-12T00:00:00"/>
    <n v="75"/>
    <s v="YES"/>
    <x v="2"/>
    <x v="0"/>
  </r>
  <r>
    <s v="EMP-2018-0590"/>
    <s v="Eve"/>
    <s v="Stevens"/>
    <n v="40"/>
    <n v="40"/>
    <n v="1984"/>
    <s v="SIXTY THOUSAND"/>
    <x v="2"/>
    <x v="0"/>
    <x v="1"/>
    <x v="1"/>
    <s v="Analyst"/>
    <d v="2018-04-05T00:00:00"/>
    <d v="2018-04-05T00:00:00"/>
    <x v="3"/>
    <n v="96"/>
    <s v="eve.stevens@saltcorp.com"/>
    <s v="123-456-7890"/>
    <s v="Full-Time"/>
    <x v="1"/>
    <m/>
    <n v="7"/>
    <m/>
    <n v="18"/>
    <d v="2023-03-05T00:00:00"/>
    <n v="45"/>
    <s v="YES"/>
    <x v="1"/>
    <x v="0"/>
  </r>
  <r>
    <s v="EMP-2020-0591"/>
    <s v="Eve"/>
    <s v="Lucas"/>
    <n v="40"/>
    <n v="40"/>
    <n v="1984"/>
    <n v="61500"/>
    <x v="11"/>
    <x v="0"/>
    <x v="2"/>
    <x v="2"/>
    <s v="Manager"/>
    <d v="2020-02-20T00:00:00"/>
    <d v="2020-02-20T00:00:00"/>
    <x v="3"/>
    <n v="90"/>
    <s v="eve.lucas@saltcorp.com"/>
    <s v="555-555-5555"/>
    <s v="Full-Time"/>
    <x v="1"/>
    <m/>
    <n v="6"/>
    <m/>
    <n v="9"/>
    <m/>
    <m/>
    <s v="YES"/>
    <x v="3"/>
    <x v="0"/>
  </r>
  <r>
    <s v="EMP-2020-0592"/>
    <s v="David"/>
    <s v="Hanson"/>
    <n v="50"/>
    <n v="50"/>
    <n v="1974"/>
    <n v="65000"/>
    <x v="1"/>
    <x v="0"/>
    <x v="0"/>
    <x v="0"/>
    <s v="Analyst"/>
    <d v="2020-01-15T00:00:00"/>
    <d v="2020-01-15T00:00:00"/>
    <x v="2"/>
    <n v="79"/>
    <s v="david.hanson@saltcorp.com"/>
    <s v="555-555-5555"/>
    <s v="Full-Time"/>
    <x v="1"/>
    <m/>
    <n v="1"/>
    <n v="2"/>
    <m/>
    <m/>
    <m/>
    <s v="no"/>
    <x v="1"/>
    <x v="1"/>
  </r>
  <r>
    <s v="EMP-2019-0593"/>
    <s v="Charlie"/>
    <s v="Martin"/>
    <m/>
    <n v="31"/>
    <n v="1993"/>
    <n v="55000"/>
    <x v="6"/>
    <x v="0"/>
    <x v="0"/>
    <x v="0"/>
    <s v="Assistant"/>
    <d v="2019-03-25T00:00:00"/>
    <d v="2019-03-25T00:00:00"/>
    <x v="3"/>
    <n v="98"/>
    <s v="charlie.martin@saltcorp.com"/>
    <s v="123-456-7890"/>
    <s v="Part-Time"/>
    <x v="2"/>
    <m/>
    <n v="4"/>
    <m/>
    <m/>
    <m/>
    <n v="77"/>
    <m/>
    <x v="0"/>
    <x v="1"/>
  </r>
  <r>
    <s v="EMP-2020-0594"/>
    <s v="Charlie"/>
    <s v="Aguilar"/>
    <m/>
    <n v="41"/>
    <n v="1983"/>
    <n v="50000"/>
    <x v="0"/>
    <x v="0"/>
    <x v="0"/>
    <x v="0"/>
    <s v="Assistant"/>
    <d v="2020-02-20T00:00:00"/>
    <d v="2020-02-20T00:00:00"/>
    <x v="1"/>
    <n v="59"/>
    <s v="charlie.aguilar@saltcorp.com"/>
    <s v=" "/>
    <s v="Part-Time"/>
    <x v="2"/>
    <m/>
    <n v="3"/>
    <m/>
    <m/>
    <m/>
    <m/>
    <s v="no"/>
    <x v="0"/>
    <x v="0"/>
  </r>
  <r>
    <s v="EMP-2020-0595"/>
    <s v="David"/>
    <s v="Medina"/>
    <m/>
    <n v="34"/>
    <n v="1990"/>
    <n v="55000"/>
    <x v="6"/>
    <x v="0"/>
    <x v="1"/>
    <x v="1"/>
    <s v="Assistant"/>
    <d v="2020-01-15T00:00:00"/>
    <d v="2020-01-15T00:00:00"/>
    <x v="0"/>
    <n v="69"/>
    <s v="david.medina@saltcorp.com"/>
    <s v=" "/>
    <s v="Full-Time"/>
    <x v="1"/>
    <m/>
    <n v="3"/>
    <m/>
    <n v="19"/>
    <s v="N/A"/>
    <m/>
    <s v="YES"/>
    <x v="4"/>
    <x v="0"/>
  </r>
  <r>
    <s v="EMP-2019-0596"/>
    <s v="Ivy"/>
    <s v="Kumar"/>
    <s v="thirty"/>
    <n v="30"/>
    <n v="1994"/>
    <n v="59500"/>
    <x v="3"/>
    <x v="1"/>
    <x v="1"/>
    <x v="1"/>
    <s v="Manager"/>
    <d v="2019-12-01T00:00:00"/>
    <d v="2019-12-01T00:00:00"/>
    <x v="1"/>
    <n v="13"/>
    <s v="ivy.kumar@saltcorp.com"/>
    <s v="555-555-5555"/>
    <s v="contract"/>
    <x v="0"/>
    <m/>
    <n v="8"/>
    <m/>
    <n v="11"/>
    <m/>
    <m/>
    <s v="no"/>
    <x v="3"/>
    <x v="1"/>
  </r>
  <r>
    <s v="EMP-2019-0597"/>
    <s v="Bob"/>
    <s v="Gutierrez"/>
    <m/>
    <n v="61"/>
    <n v="1963"/>
    <n v="65000"/>
    <x v="1"/>
    <x v="1"/>
    <x v="3"/>
    <x v="3"/>
    <s v="Director"/>
    <d v="2019-03-25T00:00:00"/>
    <d v="2019-03-25T00:00:00"/>
    <x v="3"/>
    <n v="99"/>
    <s v="bob.gutierrez@saltcorp.com"/>
    <s v="098-765-4321"/>
    <s v="Part-Time"/>
    <x v="2"/>
    <m/>
    <n v="3"/>
    <s v="N/A"/>
    <m/>
    <s v="N/A"/>
    <n v="25"/>
    <s v="no"/>
    <x v="0"/>
    <x v="0"/>
  </r>
  <r>
    <s v="EMP-2019-0598"/>
    <s v="Ivy"/>
    <s v="Desai"/>
    <n v="35"/>
    <n v="35"/>
    <n v="1989"/>
    <n v="59300"/>
    <x v="13"/>
    <x v="1"/>
    <x v="3"/>
    <x v="3"/>
    <s v="Analyst"/>
    <d v="2019-12-01T00:00:00"/>
    <d v="2019-12-01T00:00:00"/>
    <x v="2"/>
    <n v="73"/>
    <s v="ivy.desai@saltcorp.com"/>
    <m/>
    <s v="Full-Time"/>
    <x v="1"/>
    <m/>
    <n v="3"/>
    <m/>
    <m/>
    <d v="2023-01-15T00:00:00"/>
    <m/>
    <m/>
    <x v="1"/>
    <x v="1"/>
  </r>
  <r>
    <s v="EMP-2020-0599"/>
    <s v="Alice"/>
    <s v="Powers"/>
    <n v="25"/>
    <n v="25"/>
    <n v="1999"/>
    <n v="65000"/>
    <x v="1"/>
    <x v="1"/>
    <x v="0"/>
    <x v="0"/>
    <s v="Assistant"/>
    <d v="2020-01-15T00:00:00"/>
    <d v="2020-01-15T00:00:00"/>
    <x v="2"/>
    <n v="75"/>
    <s v="alice.powers@saltcorp.com"/>
    <s v="098-765-4321"/>
    <s v="contract"/>
    <x v="0"/>
    <m/>
    <n v="3"/>
    <n v="3"/>
    <n v="4"/>
    <d v="2023-03-05T00:00:00"/>
    <m/>
    <s v="YES"/>
    <x v="3"/>
    <x v="1"/>
  </r>
  <r>
    <s v="EMP-2019-0600"/>
    <s v="Alice"/>
    <s v="Anderson"/>
    <m/>
    <n v="39"/>
    <n v="1985"/>
    <n v="70000"/>
    <x v="5"/>
    <x v="0"/>
    <x v="2"/>
    <x v="2"/>
    <s v="Analyst"/>
    <d v="2019-12-01T00:00:00"/>
    <d v="2019-12-01T00:00:00"/>
    <x v="0"/>
    <n v="65"/>
    <s v="alice.anderson@saltcorp.com"/>
    <s v=" "/>
    <s v="contract"/>
    <x v="0"/>
    <m/>
    <n v="8"/>
    <s v="N/A"/>
    <m/>
    <d v="2022-06-20T00:00:00"/>
    <n v="57"/>
    <m/>
    <x v="3"/>
    <x v="0"/>
  </r>
  <r>
    <s v="EMP-2020-0601"/>
    <s v="Eve"/>
    <s v="Carter"/>
    <n v="50"/>
    <n v="50"/>
    <n v="1974"/>
    <n v="65000"/>
    <x v="1"/>
    <x v="0"/>
    <x v="3"/>
    <x v="3"/>
    <s v="Manager"/>
    <d v="2020-01-15T00:00:00"/>
    <d v="2020-01-15T00:00:00"/>
    <x v="1"/>
    <n v="21"/>
    <s v="eve.carter@saltcorp.com"/>
    <s v="098-765-4321"/>
    <s v="Full-Time"/>
    <x v="1"/>
    <m/>
    <n v="6"/>
    <m/>
    <m/>
    <m/>
    <n v="12"/>
    <s v="no"/>
    <x v="2"/>
    <x v="0"/>
  </r>
  <r>
    <s v="EMP-2020-0602"/>
    <s v="Frank"/>
    <s v="Sanchez"/>
    <n v="25"/>
    <n v="25"/>
    <n v="1999"/>
    <s v="SIXTY THOUSAND"/>
    <x v="2"/>
    <x v="0"/>
    <x v="3"/>
    <x v="3"/>
    <s v="Director"/>
    <d v="2020-01-15T00:00:00"/>
    <d v="2020-01-15T00:00:00"/>
    <x v="4"/>
    <n v="89"/>
    <s v="frank.sanchez@saltcorp.com"/>
    <m/>
    <s v="Full-Time"/>
    <x v="1"/>
    <m/>
    <n v="1"/>
    <s v="N/A"/>
    <m/>
    <s v="N/A"/>
    <n v="55"/>
    <s v="no"/>
    <x v="4"/>
    <x v="0"/>
  </r>
  <r>
    <s v="EMP-2019-0603"/>
    <s v="Frank"/>
    <s v="Powers"/>
    <s v="thirty"/>
    <n v="30"/>
    <n v="1994"/>
    <n v="59500"/>
    <x v="3"/>
    <x v="1"/>
    <x v="1"/>
    <x v="1"/>
    <s v="Manager"/>
    <d v="2019-12-01T00:00:00"/>
    <d v="2019-12-01T00:00:00"/>
    <x v="1"/>
    <n v="31"/>
    <s v="frank.powers@saltcorp.com"/>
    <s v="098-765-4321"/>
    <s v="Full-Time"/>
    <x v="1"/>
    <s v="EMP-2018-0076"/>
    <n v="4"/>
    <m/>
    <m/>
    <d v="2022-06-20T00:00:00"/>
    <m/>
    <m/>
    <x v="0"/>
    <x v="0"/>
  </r>
  <r>
    <s v="EMP-2020-0604"/>
    <s v="Charlie"/>
    <s v="Clark"/>
    <n v="50"/>
    <n v="50"/>
    <n v="1974"/>
    <n v="50000"/>
    <x v="0"/>
    <x v="0"/>
    <x v="2"/>
    <x v="2"/>
    <s v="Analyst"/>
    <d v="2020-01-15T00:00:00"/>
    <d v="2020-01-15T00:00:00"/>
    <x v="3"/>
    <n v="93"/>
    <s v="charlie.clark@saltcorp.com"/>
    <s v="098-765-4321"/>
    <s v="contract"/>
    <x v="0"/>
    <s v="EMP-2020-0051"/>
    <n v="8"/>
    <m/>
    <m/>
    <d v="2023-03-05T00:00:00"/>
    <m/>
    <s v="no"/>
    <x v="3"/>
    <x v="0"/>
  </r>
  <r>
    <s v="EMP-2020-0605"/>
    <s v="Grace"/>
    <s v="Hanson"/>
    <n v="25"/>
    <n v="25"/>
    <n v="1999"/>
    <n v="70000"/>
    <x v="5"/>
    <x v="1"/>
    <x v="0"/>
    <x v="0"/>
    <s v="Director"/>
    <d v="2020-02-20T00:00:00"/>
    <d v="2020-02-20T00:00:00"/>
    <x v="4"/>
    <n v="89"/>
    <s v="grace.hanson@saltcorp.com"/>
    <s v="098-765-4321"/>
    <s v="contract"/>
    <x v="0"/>
    <m/>
    <n v="4"/>
    <m/>
    <m/>
    <d v="2023-01-15T00:00:00"/>
    <n v="76"/>
    <s v="YES"/>
    <x v="1"/>
    <x v="1"/>
  </r>
  <r>
    <s v="EMP-2020-0606"/>
    <s v="Ivy"/>
    <s v="Singh"/>
    <n v="50"/>
    <n v="50"/>
    <n v="1974"/>
    <s v="SIXTY THOUSAND"/>
    <x v="2"/>
    <x v="1"/>
    <x v="3"/>
    <x v="3"/>
    <s v="Director"/>
    <d v="2020-01-15T00:00:00"/>
    <d v="2020-01-15T00:00:00"/>
    <x v="2"/>
    <n v="73"/>
    <s v="ivy.singh@saltcorp.com"/>
    <s v="098-765-4321"/>
    <s v="contract"/>
    <x v="0"/>
    <m/>
    <n v="2"/>
    <m/>
    <m/>
    <m/>
    <n v="33"/>
    <m/>
    <x v="2"/>
    <x v="0"/>
  </r>
  <r>
    <s v="EMP-2018-0607"/>
    <s v="Jack"/>
    <s v="Walsh"/>
    <s v="thirty"/>
    <n v="30"/>
    <n v="1994"/>
    <n v="55000"/>
    <x v="6"/>
    <x v="1"/>
    <x v="2"/>
    <x v="2"/>
    <s v="Manager"/>
    <d v="2018-04-05T00:00:00"/>
    <d v="2018-04-05T00:00:00"/>
    <x v="0"/>
    <n v="62"/>
    <s v="jack.walsh@saltcorp.com"/>
    <s v="123-456-7890"/>
    <s v="Part-Time"/>
    <x v="2"/>
    <m/>
    <n v="5"/>
    <n v="10"/>
    <m/>
    <m/>
    <m/>
    <s v="YES"/>
    <x v="3"/>
    <x v="1"/>
  </r>
  <r>
    <s v="EMP-2020-0608"/>
    <s v="Hannah"/>
    <s v="Long"/>
    <n v="35"/>
    <n v="35"/>
    <n v="1989"/>
    <n v="58300"/>
    <x v="12"/>
    <x v="1"/>
    <x v="2"/>
    <x v="2"/>
    <s v="Assistant"/>
    <d v="2020-01-15T00:00:00"/>
    <d v="2020-01-15T00:00:00"/>
    <x v="0"/>
    <n v="61"/>
    <s v="hannah.long@saltcorp.com"/>
    <s v=" "/>
    <s v="Full-Time"/>
    <x v="1"/>
    <m/>
    <n v="6"/>
    <n v="11"/>
    <m/>
    <d v="2024-08-12T00:00:00"/>
    <n v="54"/>
    <s v="YES"/>
    <x v="3"/>
    <x v="1"/>
  </r>
  <r>
    <s v="EMP-2018-0609"/>
    <s v="Frank"/>
    <s v="Ramirez"/>
    <s v="thirty"/>
    <n v="30"/>
    <n v="1994"/>
    <n v="50000"/>
    <x v="0"/>
    <x v="0"/>
    <x v="0"/>
    <x v="0"/>
    <s v="Analyst"/>
    <d v="2018-04-05T00:00:00"/>
    <d v="2018-04-05T00:00:00"/>
    <x v="2"/>
    <n v="77"/>
    <s v="frank.ramirez@saltcorp.com"/>
    <m/>
    <s v="contract"/>
    <x v="0"/>
    <s v="EMP-2019-0030"/>
    <n v="4"/>
    <s v="N/A"/>
    <m/>
    <m/>
    <n v="42"/>
    <s v="YES"/>
    <x v="1"/>
    <x v="1"/>
  </r>
  <r>
    <s v="EMP-2020-0610"/>
    <s v="Hannah"/>
    <s v="Ross"/>
    <s v="thirty"/>
    <n v="30"/>
    <n v="1994"/>
    <n v="65000"/>
    <x v="1"/>
    <x v="1"/>
    <x v="2"/>
    <x v="2"/>
    <s v="Clerk"/>
    <d v="2020-01-15T00:00:00"/>
    <d v="2020-01-15T00:00:00"/>
    <x v="3"/>
    <n v="94"/>
    <s v="hannah.ross@saltcorp.com"/>
    <s v=" "/>
    <s v="Full-Time"/>
    <x v="1"/>
    <m/>
    <n v="1"/>
    <m/>
    <m/>
    <m/>
    <m/>
    <s v="YES"/>
    <x v="3"/>
    <x v="0"/>
  </r>
  <r>
    <s v="EMP-2020-0611"/>
    <s v="Eve"/>
    <s v="Cooper"/>
    <n v="50"/>
    <n v="50"/>
    <n v="1974"/>
    <n v="50000"/>
    <x v="0"/>
    <x v="1"/>
    <x v="2"/>
    <x v="2"/>
    <s v="Clerk"/>
    <d v="2020-01-15T00:00:00"/>
    <d v="2020-01-15T00:00:00"/>
    <x v="2"/>
    <n v="78"/>
    <s v="eve.cooper@saltcorp.com"/>
    <s v="123-456-7890"/>
    <s v="Part-Time"/>
    <x v="2"/>
    <m/>
    <n v="4"/>
    <m/>
    <n v="17"/>
    <d v="2023-03-05T00:00:00"/>
    <m/>
    <s v="YES"/>
    <x v="2"/>
    <x v="0"/>
  </r>
  <r>
    <s v="EMP-2019-0612"/>
    <s v="Hannah"/>
    <s v="Powell"/>
    <n v="40"/>
    <n v="40"/>
    <n v="1984"/>
    <n v="55000"/>
    <x v="6"/>
    <x v="1"/>
    <x v="2"/>
    <x v="2"/>
    <s v="Manager"/>
    <d v="2019-12-01T00:00:00"/>
    <d v="2019-12-01T00:00:00"/>
    <x v="3"/>
    <n v="96"/>
    <s v="hannah.powell@saltcorp.com"/>
    <s v="123-456-7890"/>
    <s v="contract"/>
    <x v="0"/>
    <m/>
    <n v="6"/>
    <m/>
    <m/>
    <d v="2021-10-01T00:00:00"/>
    <n v="10"/>
    <s v="YES"/>
    <x v="0"/>
    <x v="0"/>
  </r>
  <r>
    <s v="EMP-2020-0613"/>
    <s v="Jack"/>
    <s v="Dixon"/>
    <m/>
    <n v="31"/>
    <n v="1993"/>
    <n v="70000"/>
    <x v="5"/>
    <x v="1"/>
    <x v="3"/>
    <x v="3"/>
    <s v="Analyst"/>
    <d v="2020-02-20T00:00:00"/>
    <d v="2020-02-20T00:00:00"/>
    <x v="4"/>
    <n v="81"/>
    <s v="jack.dixon@saltcorp.com"/>
    <s v="123-456-7890"/>
    <s v="Full-Time"/>
    <x v="1"/>
    <m/>
    <n v="7"/>
    <m/>
    <n v="12"/>
    <d v="2023-03-05T00:00:00"/>
    <n v="79"/>
    <s v="YES"/>
    <x v="1"/>
    <x v="1"/>
  </r>
  <r>
    <s v="EMP-2020-0614"/>
    <s v="David"/>
    <s v="Murphy"/>
    <m/>
    <n v="39"/>
    <n v="1985"/>
    <n v="70000"/>
    <x v="5"/>
    <x v="1"/>
    <x v="0"/>
    <x v="0"/>
    <s v="Analyst"/>
    <d v="2020-02-20T00:00:00"/>
    <d v="2020-02-20T00:00:00"/>
    <x v="2"/>
    <n v="70"/>
    <s v="david.murphy@saltcorp.com"/>
    <s v="123-456-7890"/>
    <s v="Full-Time"/>
    <x v="1"/>
    <m/>
    <n v="8"/>
    <m/>
    <m/>
    <d v="2024-08-12T00:00:00"/>
    <m/>
    <s v="YES"/>
    <x v="0"/>
    <x v="1"/>
  </r>
  <r>
    <s v="EMP-2019-0615"/>
    <s v="Jack"/>
    <s v="Sullivan"/>
    <n v="35"/>
    <n v="35"/>
    <n v="1989"/>
    <n v="61500"/>
    <x v="11"/>
    <x v="1"/>
    <x v="2"/>
    <x v="2"/>
    <s v="Manager"/>
    <d v="2019-03-25T00:00:00"/>
    <d v="2019-03-25T00:00:00"/>
    <x v="3"/>
    <n v="96"/>
    <s v="jack.sullivan@saltcorp.com"/>
    <s v="098-765-4321"/>
    <s v="contract"/>
    <x v="0"/>
    <s v="EMP-2020-0038"/>
    <n v="8"/>
    <m/>
    <m/>
    <d v="2021-10-01T00:00:00"/>
    <m/>
    <s v="YES"/>
    <x v="0"/>
    <x v="0"/>
  </r>
  <r>
    <s v="EMP-2019-0616"/>
    <s v="Hannah"/>
    <s v="Hughes"/>
    <n v="35"/>
    <n v="35"/>
    <n v="1989"/>
    <n v="70000"/>
    <x v="5"/>
    <x v="1"/>
    <x v="2"/>
    <x v="2"/>
    <s v="Analyst"/>
    <d v="2019-12-01T00:00:00"/>
    <d v="2019-12-01T00:00:00"/>
    <x v="4"/>
    <n v="82"/>
    <s v="hannah.hughes@saltcorp.com"/>
    <s v=" "/>
    <s v="Part-Time"/>
    <x v="2"/>
    <s v="EMP-2018-0035"/>
    <n v="1"/>
    <s v="N/A"/>
    <n v="10"/>
    <m/>
    <m/>
    <s v="no"/>
    <x v="2"/>
    <x v="0"/>
  </r>
  <r>
    <s v="EMP-2019-0617"/>
    <s v="Jack"/>
    <s v="O'Connor"/>
    <m/>
    <n v="34"/>
    <n v="1990"/>
    <n v="59800"/>
    <x v="21"/>
    <x v="0"/>
    <x v="3"/>
    <x v="3"/>
    <s v="Assistant"/>
    <d v="2019-12-01T00:00:00"/>
    <d v="2019-12-01T00:00:00"/>
    <x v="2"/>
    <n v="74"/>
    <s v="jack.o'connor@saltcorp.com"/>
    <s v="555-555-5555"/>
    <s v="Part-Time"/>
    <x v="2"/>
    <m/>
    <n v="1"/>
    <m/>
    <n v="9"/>
    <m/>
    <m/>
    <s v="YES"/>
    <x v="4"/>
    <x v="0"/>
  </r>
  <r>
    <s v="EMP-2020-0618"/>
    <s v="Bob"/>
    <s v="Olson"/>
    <n v="40"/>
    <n v="40"/>
    <n v="1984"/>
    <n v="59000"/>
    <x v="20"/>
    <x v="1"/>
    <x v="0"/>
    <x v="0"/>
    <s v="Manager"/>
    <d v="2020-02-20T00:00:00"/>
    <d v="2020-02-20T00:00:00"/>
    <x v="0"/>
    <n v="64"/>
    <s v="bob.olson@saltcorp.com"/>
    <m/>
    <s v="contract"/>
    <x v="0"/>
    <s v="EMP-2019-0014"/>
    <n v="6"/>
    <n v="15"/>
    <m/>
    <d v="2024-08-12T00:00:00"/>
    <m/>
    <s v="YES"/>
    <x v="3"/>
    <x v="0"/>
  </r>
  <r>
    <s v="EMP-2019-0619"/>
    <s v="Eve"/>
    <s v="Parker"/>
    <m/>
    <n v="33"/>
    <n v="1991"/>
    <n v="58500"/>
    <x v="4"/>
    <x v="0"/>
    <x v="1"/>
    <x v="1"/>
    <s v="Assistant"/>
    <d v="2019-12-01T00:00:00"/>
    <d v="2019-12-01T00:00:00"/>
    <x v="2"/>
    <n v="71"/>
    <s v="eve.parker@saltcorp.com"/>
    <s v="123-456-7890"/>
    <s v="Full-Time"/>
    <x v="1"/>
    <m/>
    <n v="2"/>
    <s v="N/A"/>
    <m/>
    <m/>
    <m/>
    <s v="no"/>
    <x v="3"/>
    <x v="0"/>
  </r>
  <r>
    <s v="EMP-2020-0620"/>
    <s v="Ivy"/>
    <s v="Sharma"/>
    <n v="40"/>
    <n v="40"/>
    <n v="1984"/>
    <n v="65000"/>
    <x v="1"/>
    <x v="1"/>
    <x v="3"/>
    <x v="3"/>
    <s v="Analyst"/>
    <d v="2020-02-20T00:00:00"/>
    <d v="2020-02-20T00:00:00"/>
    <x v="1"/>
    <n v="12"/>
    <s v="ivy.sharma@saltcorp.com"/>
    <s v=" "/>
    <s v="Full-Time"/>
    <x v="1"/>
    <s v="EMP-2018-0017"/>
    <n v="5"/>
    <m/>
    <m/>
    <m/>
    <m/>
    <s v="no"/>
    <x v="4"/>
    <x v="0"/>
  </r>
  <r>
    <s v="EMP-2019-0621"/>
    <s v="David"/>
    <s v="Kim"/>
    <n v="35"/>
    <n v="35"/>
    <n v="1989"/>
    <s v="SIXTY THOUSAND"/>
    <x v="2"/>
    <x v="1"/>
    <x v="0"/>
    <x v="0"/>
    <s v="Manager"/>
    <d v="2019-12-01T00:00:00"/>
    <d v="2019-12-01T00:00:00"/>
    <x v="2"/>
    <n v="72"/>
    <s v="david.kim@saltcorp.com"/>
    <s v="123-456-7890"/>
    <s v="Part-Time"/>
    <x v="2"/>
    <m/>
    <n v="5"/>
    <m/>
    <m/>
    <m/>
    <n v="41"/>
    <s v="no"/>
    <x v="3"/>
    <x v="0"/>
  </r>
  <r>
    <s v="EMP-2020-0622"/>
    <s v="Frank"/>
    <s v="Gonzalez"/>
    <n v="25"/>
    <n v="25"/>
    <n v="1999"/>
    <n v="60000"/>
    <x v="2"/>
    <x v="0"/>
    <x v="2"/>
    <x v="2"/>
    <s v="Analyst"/>
    <d v="2020-01-15T00:00:00"/>
    <d v="2020-01-15T00:00:00"/>
    <x v="1"/>
    <n v="51"/>
    <s v="frank.gonzalez@saltcorp.com"/>
    <s v="123-456-7890"/>
    <s v="Full-Time"/>
    <x v="1"/>
    <s v="EMP-2018-0004"/>
    <n v="3"/>
    <s v="N/A"/>
    <m/>
    <m/>
    <m/>
    <m/>
    <x v="1"/>
    <x v="1"/>
  </r>
  <r>
    <s v="EMP-2020-0623"/>
    <s v="Alice"/>
    <s v="Navarro"/>
    <n v="50"/>
    <n v="50"/>
    <n v="1974"/>
    <n v="59000"/>
    <x v="20"/>
    <x v="1"/>
    <x v="0"/>
    <x v="0"/>
    <s v="Manager"/>
    <d v="2020-02-20T00:00:00"/>
    <d v="2020-02-20T00:00:00"/>
    <x v="4"/>
    <n v="87"/>
    <s v="alice.navarro@saltcorp.com"/>
    <s v="123-456-7890"/>
    <s v="contract"/>
    <x v="0"/>
    <m/>
    <n v="7"/>
    <m/>
    <n v="6"/>
    <d v="2023-01-15T00:00:00"/>
    <n v="10"/>
    <s v="no"/>
    <x v="4"/>
    <x v="1"/>
  </r>
  <r>
    <s v="EMP-2020-0624"/>
    <s v="Ivy"/>
    <s v="Byrd"/>
    <n v="35"/>
    <n v="35"/>
    <n v="1989"/>
    <s v="SIXTY THOUSAND"/>
    <x v="2"/>
    <x v="1"/>
    <x v="0"/>
    <x v="0"/>
    <s v="Analyst"/>
    <d v="2020-02-20T00:00:00"/>
    <d v="2020-02-20T00:00:00"/>
    <x v="2"/>
    <n v="72"/>
    <s v="ivy.byrd@saltcorp.com"/>
    <s v="123-456-7890"/>
    <s v="contract"/>
    <x v="0"/>
    <m/>
    <n v="7"/>
    <n v="2"/>
    <m/>
    <m/>
    <m/>
    <m/>
    <x v="1"/>
    <x v="0"/>
  </r>
  <r>
    <s v="EMP-2018-0625"/>
    <s v="Alice"/>
    <s v="Lee"/>
    <n v="35"/>
    <n v="35"/>
    <n v="1989"/>
    <n v="50000"/>
    <x v="0"/>
    <x v="1"/>
    <x v="0"/>
    <x v="0"/>
    <s v="Assistant"/>
    <d v="2018-04-05T00:00:00"/>
    <d v="2018-04-05T00:00:00"/>
    <x v="4"/>
    <n v="83"/>
    <s v="alice.lee@saltcorp.com"/>
    <s v="123-456-7890"/>
    <s v="Full-Time"/>
    <x v="1"/>
    <m/>
    <n v="6"/>
    <m/>
    <m/>
    <m/>
    <m/>
    <m/>
    <x v="4"/>
    <x v="0"/>
  </r>
  <r>
    <s v="EMP-2019-0626"/>
    <s v="Eve"/>
    <s v="Turner"/>
    <s v="thirty"/>
    <n v="30"/>
    <n v="1994"/>
    <n v="58500"/>
    <x v="4"/>
    <x v="1"/>
    <x v="1"/>
    <x v="1"/>
    <s v="Assistant"/>
    <d v="2019-12-01T00:00:00"/>
    <d v="2019-12-01T00:00:00"/>
    <x v="4"/>
    <n v="85"/>
    <s v="eve.turner@saltcorp.com"/>
    <m/>
    <s v="contract"/>
    <x v="0"/>
    <m/>
    <n v="2"/>
    <n v="6"/>
    <n v="4"/>
    <d v="2021-10-01T00:00:00"/>
    <m/>
    <s v="YES"/>
    <x v="2"/>
    <x v="1"/>
  </r>
  <r>
    <s v="EMP-2019-0627"/>
    <s v="David"/>
    <s v="Gomez"/>
    <s v="thirty"/>
    <n v="30"/>
    <n v="1994"/>
    <n v="65000"/>
    <x v="1"/>
    <x v="1"/>
    <x v="0"/>
    <x v="0"/>
    <s v="Analyst"/>
    <d v="2019-12-01T00:00:00"/>
    <d v="2019-12-01T00:00:00"/>
    <x v="3"/>
    <n v="93"/>
    <s v="david.gomez@saltcorp.com"/>
    <s v=" "/>
    <s v="Full-Time"/>
    <x v="1"/>
    <m/>
    <n v="5"/>
    <s v="N/A"/>
    <n v="4"/>
    <s v="N/A"/>
    <m/>
    <s v="YES"/>
    <x v="1"/>
    <x v="0"/>
  </r>
  <r>
    <s v="EMP-2020-0628"/>
    <s v="Charlie"/>
    <s v="Vega"/>
    <s v="thirty"/>
    <n v="30"/>
    <n v="1994"/>
    <n v="70000"/>
    <x v="5"/>
    <x v="1"/>
    <x v="1"/>
    <x v="1"/>
    <s v="Manager"/>
    <d v="2020-02-20T00:00:00"/>
    <d v="2020-02-20T00:00:00"/>
    <x v="4"/>
    <n v="85"/>
    <s v="charlie.vega@saltcorp.com"/>
    <s v="123-456-7890"/>
    <s v="Part-Time"/>
    <x v="2"/>
    <m/>
    <n v="7"/>
    <n v="14"/>
    <n v="6"/>
    <m/>
    <m/>
    <s v="YES"/>
    <x v="4"/>
    <x v="0"/>
  </r>
  <r>
    <s v="EMP-2020-0629"/>
    <s v="Frank"/>
    <s v="Perez"/>
    <n v="50"/>
    <n v="50"/>
    <n v="1974"/>
    <n v="70000"/>
    <x v="5"/>
    <x v="0"/>
    <x v="2"/>
    <x v="2"/>
    <s v="Clerk"/>
    <d v="2020-01-15T00:00:00"/>
    <d v="2020-01-15T00:00:00"/>
    <x v="4"/>
    <n v="88"/>
    <s v="frank.perez@saltcorp.com"/>
    <s v="123-456-7890"/>
    <s v="Part-Time"/>
    <x v="2"/>
    <m/>
    <n v="4"/>
    <n v="2"/>
    <m/>
    <d v="2023-01-15T00:00:00"/>
    <m/>
    <s v="YES"/>
    <x v="3"/>
    <x v="1"/>
  </r>
  <r>
    <s v="EMP-2020-0630"/>
    <s v="Bob"/>
    <s v="Miller"/>
    <s v="thirty"/>
    <n v="30"/>
    <n v="1994"/>
    <n v="55000"/>
    <x v="6"/>
    <x v="0"/>
    <x v="1"/>
    <x v="1"/>
    <s v="Assistant"/>
    <d v="2020-01-15T00:00:00"/>
    <d v="2020-01-15T00:00:00"/>
    <x v="2"/>
    <n v="77"/>
    <s v="bob.miller@saltcorp.com"/>
    <s v="123-456-7890"/>
    <s v="Full-Time"/>
    <x v="1"/>
    <m/>
    <n v="7"/>
    <m/>
    <n v="13"/>
    <s v="N/A"/>
    <n v="8"/>
    <s v="YES"/>
    <x v="4"/>
    <x v="0"/>
  </r>
  <r>
    <s v="EMP-2020-0631"/>
    <s v="Charlie"/>
    <s v="Ward"/>
    <n v="40"/>
    <n v="40"/>
    <n v="1984"/>
    <n v="55000"/>
    <x v="6"/>
    <x v="1"/>
    <x v="2"/>
    <x v="2"/>
    <s v="Assistant"/>
    <d v="2020-01-15T00:00:00"/>
    <d v="2020-01-15T00:00:00"/>
    <x v="2"/>
    <n v="77"/>
    <s v="charlie.ward@saltcorp.com"/>
    <s v="123-456-7890"/>
    <s v="Full-Time"/>
    <x v="1"/>
    <s v="EMP-2019-0062"/>
    <n v="6"/>
    <s v="N/A"/>
    <m/>
    <s v="N/A"/>
    <m/>
    <s v="YES"/>
    <x v="1"/>
    <x v="1"/>
  </r>
  <r>
    <s v="EMP-2019-0632"/>
    <s v="Eve"/>
    <s v="Cooper"/>
    <m/>
    <n v="33"/>
    <n v="1991"/>
    <n v="70000"/>
    <x v="5"/>
    <x v="1"/>
    <x v="2"/>
    <x v="2"/>
    <s v="Clerk"/>
    <d v="2019-12-01T00:00:00"/>
    <d v="2019-12-01T00:00:00"/>
    <x v="0"/>
    <n v="62"/>
    <s v="eve.cooper@saltcorp.com"/>
    <s v="098-765-4321"/>
    <s v="Part-Time"/>
    <x v="2"/>
    <m/>
    <n v="6"/>
    <s v="N/A"/>
    <m/>
    <d v="2022-06-20T00:00:00"/>
    <n v="46"/>
    <s v="no"/>
    <x v="2"/>
    <x v="0"/>
  </r>
  <r>
    <s v="EMP-2018-0633"/>
    <s v="Ivy"/>
    <s v="Reddy"/>
    <n v="25"/>
    <n v="25"/>
    <n v="1999"/>
    <n v="70000"/>
    <x v="5"/>
    <x v="1"/>
    <x v="1"/>
    <x v="1"/>
    <s v="Analyst"/>
    <d v="2018-04-05T00:00:00"/>
    <d v="2018-04-05T00:00:00"/>
    <x v="3"/>
    <n v="96"/>
    <s v="ivy.reddy@saltcorp.com"/>
    <s v="098-765-4321"/>
    <s v="Part-Time"/>
    <x v="2"/>
    <m/>
    <n v="8"/>
    <s v="N/A"/>
    <n v="7"/>
    <m/>
    <m/>
    <s v="no"/>
    <x v="1"/>
    <x v="1"/>
  </r>
  <r>
    <s v="EMP-2020-0634"/>
    <s v="Bob"/>
    <s v="Miller"/>
    <n v="35"/>
    <n v="35"/>
    <n v="1989"/>
    <n v="65000"/>
    <x v="1"/>
    <x v="0"/>
    <x v="3"/>
    <x v="3"/>
    <s v="Manager"/>
    <d v="2020-02-20T00:00:00"/>
    <d v="2020-02-20T00:00:00"/>
    <x v="4"/>
    <n v="89"/>
    <s v="bob.miller@saltcorp.com"/>
    <s v="555-555-5555"/>
    <s v="contract"/>
    <x v="0"/>
    <m/>
    <n v="8"/>
    <m/>
    <m/>
    <m/>
    <n v="67"/>
    <m/>
    <x v="0"/>
    <x v="0"/>
  </r>
  <r>
    <s v="EMP-2019-0635"/>
    <s v="Jack"/>
    <s v="Harrison"/>
    <n v="40"/>
    <n v="40"/>
    <n v="1984"/>
    <s v="SIXTY THOUSAND"/>
    <x v="2"/>
    <x v="0"/>
    <x v="4"/>
    <x v="4"/>
    <s v="Analyst"/>
    <d v="2019-03-25T00:00:00"/>
    <d v="2019-03-25T00:00:00"/>
    <x v="3"/>
    <n v="96"/>
    <s v="jack.harrison@saltcorp.com"/>
    <s v="123-456-7890"/>
    <s v="Full-Time"/>
    <x v="1"/>
    <m/>
    <n v="1"/>
    <m/>
    <n v="15"/>
    <m/>
    <n v="41"/>
    <s v="YES"/>
    <x v="3"/>
    <x v="1"/>
  </r>
  <r>
    <s v="EMP-2018-0636"/>
    <s v="Hannah"/>
    <s v="Gray"/>
    <n v="25"/>
    <n v="25"/>
    <n v="1999"/>
    <n v="55000"/>
    <x v="6"/>
    <x v="0"/>
    <x v="0"/>
    <x v="0"/>
    <s v="Director"/>
    <d v="2018-04-05T00:00:00"/>
    <d v="2018-04-05T00:00:00"/>
    <x v="1"/>
    <n v="49"/>
    <s v="hannah.gray@saltcorp.com"/>
    <s v="555-555-5555"/>
    <s v="contract"/>
    <x v="0"/>
    <m/>
    <n v="3"/>
    <n v="9"/>
    <m/>
    <m/>
    <n v="5"/>
    <s v="YES"/>
    <x v="2"/>
    <x v="1"/>
  </r>
  <r>
    <s v="EMP-2019-0637"/>
    <s v="Bob"/>
    <s v="Miller"/>
    <n v="40"/>
    <n v="40"/>
    <n v="1984"/>
    <s v="SIXTY THOUSAND"/>
    <x v="2"/>
    <x v="0"/>
    <x v="4"/>
    <x v="4"/>
    <s v="Assistant"/>
    <d v="2019-03-25T00:00:00"/>
    <d v="2019-03-25T00:00:00"/>
    <x v="4"/>
    <n v="85"/>
    <s v="bob.miller@saltcorp.com"/>
    <m/>
    <s v="Full-Time"/>
    <x v="1"/>
    <m/>
    <n v="8"/>
    <s v="N/A"/>
    <n v="3"/>
    <d v="2023-03-05T00:00:00"/>
    <m/>
    <s v="YES"/>
    <x v="2"/>
    <x v="1"/>
  </r>
  <r>
    <s v="EMP-2018-0638"/>
    <s v="Eve"/>
    <s v="Aguilar"/>
    <n v="40"/>
    <n v="40"/>
    <n v="1984"/>
    <n v="65000"/>
    <x v="1"/>
    <x v="1"/>
    <x v="0"/>
    <x v="0"/>
    <s v="Director"/>
    <d v="2018-04-05T00:00:00"/>
    <d v="2018-04-05T00:00:00"/>
    <x v="3"/>
    <n v="99"/>
    <s v="eve.aguilar@saltcorp.com"/>
    <s v="555-555-5555"/>
    <s v="Full-Time"/>
    <x v="1"/>
    <m/>
    <n v="3"/>
    <m/>
    <m/>
    <m/>
    <m/>
    <s v="YES"/>
    <x v="4"/>
    <x v="0"/>
  </r>
  <r>
    <s v="EMP-2020-0639"/>
    <s v="Grace"/>
    <s v="Mason"/>
    <n v="35"/>
    <n v="35"/>
    <n v="1989"/>
    <n v="70000"/>
    <x v="5"/>
    <x v="0"/>
    <x v="0"/>
    <x v="0"/>
    <s v="Assistant"/>
    <d v="2020-01-15T00:00:00"/>
    <d v="2020-01-15T00:00:00"/>
    <x v="0"/>
    <n v="63"/>
    <s v="grace.mason@saltcorp.com"/>
    <s v=" "/>
    <s v="Part-Time"/>
    <x v="2"/>
    <m/>
    <n v="4"/>
    <m/>
    <m/>
    <m/>
    <m/>
    <s v="no"/>
    <x v="4"/>
    <x v="0"/>
  </r>
  <r>
    <s v="EMP-2019-0640"/>
    <s v="Hannah"/>
    <s v="Bell"/>
    <m/>
    <n v="26"/>
    <n v="1998"/>
    <n v="58300"/>
    <x v="12"/>
    <x v="0"/>
    <x v="2"/>
    <x v="2"/>
    <s v="Assistant"/>
    <d v="2019-12-01T00:00:00"/>
    <d v="2019-12-01T00:00:00"/>
    <x v="0"/>
    <n v="69"/>
    <s v="hannah.bell@saltcorp.com"/>
    <s v="098-765-4321"/>
    <s v="Full-Time"/>
    <x v="1"/>
    <m/>
    <n v="2"/>
    <m/>
    <n v="6"/>
    <m/>
    <m/>
    <m/>
    <x v="1"/>
    <x v="1"/>
  </r>
  <r>
    <s v="EMP-2019-0641"/>
    <s v="Alice"/>
    <s v="Olson"/>
    <s v="thirty"/>
    <n v="30"/>
    <n v="1994"/>
    <s v="SIXTY THOUSAND"/>
    <x v="2"/>
    <x v="0"/>
    <x v="0"/>
    <x v="0"/>
    <s v="Director"/>
    <d v="2019-03-25T00:00:00"/>
    <d v="2019-03-25T00:00:00"/>
    <x v="4"/>
    <n v="85"/>
    <s v="alice.olson@saltcorp.com"/>
    <s v="098-765-4321"/>
    <s v="Part-Time"/>
    <x v="2"/>
    <m/>
    <n v="5"/>
    <n v="3"/>
    <n v="3"/>
    <m/>
    <m/>
    <s v="YES"/>
    <x v="3"/>
    <x v="1"/>
  </r>
  <r>
    <s v="EMP-2018-0642"/>
    <s v="Frank"/>
    <s v="Medina"/>
    <n v="50"/>
    <n v="50"/>
    <n v="1974"/>
    <n v="70000"/>
    <x v="5"/>
    <x v="0"/>
    <x v="0"/>
    <x v="0"/>
    <s v="Director"/>
    <d v="2018-04-05T00:00:00"/>
    <d v="2018-04-05T00:00:00"/>
    <x v="1"/>
    <n v="22"/>
    <s v="frank.medina@saltcorp.com"/>
    <s v="123-456-7890"/>
    <s v="contract"/>
    <x v="0"/>
    <m/>
    <n v="4"/>
    <m/>
    <m/>
    <m/>
    <m/>
    <m/>
    <x v="4"/>
    <x v="0"/>
  </r>
  <r>
    <s v="EMP-2019-0643"/>
    <s v="Alice"/>
    <s v="Thompson"/>
    <m/>
    <n v="35"/>
    <n v="1989"/>
    <n v="70000"/>
    <x v="5"/>
    <x v="1"/>
    <x v="1"/>
    <x v="1"/>
    <s v="Analyst"/>
    <d v="2019-12-01T00:00:00"/>
    <d v="2019-12-01T00:00:00"/>
    <x v="0"/>
    <n v="64"/>
    <s v="alice.thompson@saltcorp.com"/>
    <s v="123-456-7890"/>
    <s v="contract"/>
    <x v="0"/>
    <s v="EMP-2019-0047"/>
    <n v="3"/>
    <m/>
    <m/>
    <s v="N/A"/>
    <m/>
    <m/>
    <x v="1"/>
    <x v="1"/>
  </r>
  <r>
    <s v="EMP-2019-0644"/>
    <s v="Bob"/>
    <s v="Matthews"/>
    <n v="50"/>
    <n v="50"/>
    <n v="1974"/>
    <n v="50000"/>
    <x v="0"/>
    <x v="0"/>
    <x v="4"/>
    <x v="4"/>
    <s v="Director"/>
    <d v="2019-03-25T00:00:00"/>
    <d v="2019-03-25T00:00:00"/>
    <x v="0"/>
    <n v="65"/>
    <s v="bob.matthews@saltcorp.com"/>
    <m/>
    <s v="contract"/>
    <x v="0"/>
    <m/>
    <n v="3"/>
    <n v="6"/>
    <m/>
    <m/>
    <n v="40"/>
    <s v="YES"/>
    <x v="4"/>
    <x v="0"/>
  </r>
  <r>
    <s v="EMP-2020-0645"/>
    <s v="Alice"/>
    <s v="Dominguez"/>
    <n v="35"/>
    <n v="35"/>
    <n v="1989"/>
    <s v="SIXTY THOUSAND"/>
    <x v="2"/>
    <x v="1"/>
    <x v="1"/>
    <x v="1"/>
    <s v="Analyst"/>
    <d v="2020-02-20T00:00:00"/>
    <d v="2020-02-20T00:00:00"/>
    <x v="1"/>
    <n v="30"/>
    <s v="alice.dominguez@saltcorp.com"/>
    <m/>
    <s v="contract"/>
    <x v="0"/>
    <m/>
    <n v="3"/>
    <m/>
    <m/>
    <d v="2022-06-20T00:00:00"/>
    <m/>
    <m/>
    <x v="4"/>
    <x v="0"/>
  </r>
  <r>
    <s v="EMP-2018-0646"/>
    <s v="Eve"/>
    <s v="Bell"/>
    <n v="35"/>
    <n v="35"/>
    <n v="1989"/>
    <n v="60400"/>
    <x v="26"/>
    <x v="1"/>
    <x v="0"/>
    <x v="0"/>
    <s v="Analyst"/>
    <d v="2018-04-05T00:00:00"/>
    <d v="2018-04-05T00:00:00"/>
    <x v="3"/>
    <n v="95"/>
    <s v="eve.bell@saltcorp.com"/>
    <s v=" "/>
    <s v="contract"/>
    <x v="0"/>
    <m/>
    <n v="6"/>
    <m/>
    <m/>
    <m/>
    <n v="63"/>
    <m/>
    <x v="4"/>
    <x v="0"/>
  </r>
  <r>
    <s v="EMP-2020-0647"/>
    <s v="Jack"/>
    <s v="O'Neill"/>
    <n v="35"/>
    <n v="35"/>
    <n v="1989"/>
    <s v="SIXTY THOUSAND"/>
    <x v="2"/>
    <x v="0"/>
    <x v="2"/>
    <x v="2"/>
    <s v="Analyst"/>
    <d v="2020-02-20T00:00:00"/>
    <d v="2020-02-20T00:00:00"/>
    <x v="0"/>
    <n v="64"/>
    <s v="jack.o'neill@saltcorp.com"/>
    <s v="123-456-7890"/>
    <s v="Part-Time"/>
    <x v="2"/>
    <m/>
    <n v="2"/>
    <s v="N/A"/>
    <m/>
    <m/>
    <m/>
    <s v="no"/>
    <x v="4"/>
    <x v="0"/>
  </r>
  <r>
    <s v="EMP-2020-0648"/>
    <s v="Ivy"/>
    <s v="Desai"/>
    <n v="25"/>
    <n v="25"/>
    <n v="1999"/>
    <n v="70000"/>
    <x v="5"/>
    <x v="1"/>
    <x v="1"/>
    <x v="1"/>
    <s v="Assistant"/>
    <d v="2020-01-15T00:00:00"/>
    <d v="2020-01-15T00:00:00"/>
    <x v="2"/>
    <n v="75"/>
    <s v="ivy.desai@saltcorp.com"/>
    <s v="123-456-7890"/>
    <s v="contract"/>
    <x v="0"/>
    <s v="EMP-2019-0089"/>
    <n v="4"/>
    <m/>
    <m/>
    <m/>
    <m/>
    <s v="YES"/>
    <x v="2"/>
    <x v="0"/>
  </r>
  <r>
    <s v="EMP-2020-0649"/>
    <s v="Frank"/>
    <s v="Figueroa"/>
    <n v="50"/>
    <n v="50"/>
    <n v="1974"/>
    <n v="58500"/>
    <x v="4"/>
    <x v="0"/>
    <x v="1"/>
    <x v="1"/>
    <s v="Assistant"/>
    <d v="2020-02-20T00:00:00"/>
    <d v="2020-02-20T00:00:00"/>
    <x v="0"/>
    <n v="62"/>
    <s v="frank.figueroa@saltcorp.com"/>
    <m/>
    <s v="Full-Time"/>
    <x v="1"/>
    <m/>
    <n v="7"/>
    <m/>
    <n v="11"/>
    <m/>
    <m/>
    <s v="YES"/>
    <x v="4"/>
    <x v="0"/>
  </r>
  <r>
    <s v="EMP-2020-0650"/>
    <s v="Alice"/>
    <s v="Rogers"/>
    <m/>
    <n v="58"/>
    <n v="1966"/>
    <n v="65000"/>
    <x v="1"/>
    <x v="1"/>
    <x v="3"/>
    <x v="3"/>
    <s v="Director"/>
    <d v="2020-02-20T00:00:00"/>
    <d v="2020-02-20T00:00:00"/>
    <x v="3"/>
    <n v="92"/>
    <s v="alice.rogers@saltcorp.com"/>
    <m/>
    <s v="Full-Time"/>
    <x v="1"/>
    <m/>
    <n v="6"/>
    <m/>
    <n v="3"/>
    <m/>
    <n v="65"/>
    <s v="YES"/>
    <x v="0"/>
    <x v="1"/>
  </r>
  <r>
    <s v="EMP-2018-0651"/>
    <s v="Alice"/>
    <s v="Anderson"/>
    <m/>
    <n v="38"/>
    <n v="1986"/>
    <n v="50000"/>
    <x v="0"/>
    <x v="1"/>
    <x v="0"/>
    <x v="0"/>
    <s v="Assistant"/>
    <d v="2018-04-05T00:00:00"/>
    <d v="2018-04-05T00:00:00"/>
    <x v="3"/>
    <n v="93"/>
    <s v="alice.anderson@saltcorp.com"/>
    <m/>
    <s v="contract"/>
    <x v="0"/>
    <m/>
    <n v="2"/>
    <m/>
    <n v="16"/>
    <m/>
    <m/>
    <m/>
    <x v="3"/>
    <x v="0"/>
  </r>
  <r>
    <s v="EMP-2020-0652"/>
    <s v="Bob"/>
    <s v="Bell"/>
    <n v="40"/>
    <n v="40"/>
    <n v="1984"/>
    <n v="70000"/>
    <x v="5"/>
    <x v="1"/>
    <x v="2"/>
    <x v="2"/>
    <s v="Director"/>
    <d v="2020-01-15T00:00:00"/>
    <d v="2020-01-15T00:00:00"/>
    <x v="4"/>
    <n v="86"/>
    <s v="bob.bell@saltcorp.com"/>
    <s v="098-765-4321"/>
    <s v="contract"/>
    <x v="0"/>
    <m/>
    <n v="8"/>
    <m/>
    <m/>
    <d v="2023-03-05T00:00:00"/>
    <n v="77"/>
    <s v="YES"/>
    <x v="2"/>
    <x v="0"/>
  </r>
  <r>
    <s v="EMP-2020-0653"/>
    <s v="Ivy"/>
    <s v="Jordan"/>
    <n v="40"/>
    <n v="40"/>
    <n v="1984"/>
    <n v="55000"/>
    <x v="6"/>
    <x v="1"/>
    <x v="1"/>
    <x v="1"/>
    <s v="Assistant"/>
    <d v="2020-02-20T00:00:00"/>
    <d v="2020-02-20T00:00:00"/>
    <x v="2"/>
    <n v="77"/>
    <s v="ivy.jordan@saltcorp.com"/>
    <s v="555-555-5555"/>
    <s v="Part-Time"/>
    <x v="2"/>
    <m/>
    <n v="8"/>
    <m/>
    <m/>
    <d v="2021-10-01T00:00:00"/>
    <m/>
    <s v="YES"/>
    <x v="3"/>
    <x v="0"/>
  </r>
  <r>
    <s v="EMP-2019-0654"/>
    <s v="Charlie"/>
    <s v="Moore"/>
    <n v="40"/>
    <n v="40"/>
    <n v="1984"/>
    <n v="55000"/>
    <x v="6"/>
    <x v="0"/>
    <x v="1"/>
    <x v="1"/>
    <s v="Manager"/>
    <d v="2019-12-01T00:00:00"/>
    <d v="2019-12-01T00:00:00"/>
    <x v="3"/>
    <n v="96"/>
    <s v="charlie.moore@saltcorp.com"/>
    <s v="555-555-5555"/>
    <s v="contract"/>
    <x v="0"/>
    <m/>
    <n v="8"/>
    <m/>
    <n v="12"/>
    <m/>
    <n v="55"/>
    <s v="no"/>
    <x v="2"/>
    <x v="1"/>
  </r>
  <r>
    <s v="EMP-2019-0655"/>
    <s v="Alice"/>
    <s v="Hanson"/>
    <n v="35"/>
    <n v="35"/>
    <n v="1989"/>
    <n v="50000"/>
    <x v="0"/>
    <x v="1"/>
    <x v="2"/>
    <x v="2"/>
    <s v="Manager"/>
    <d v="2019-03-25T00:00:00"/>
    <d v="2019-03-25T00:00:00"/>
    <x v="1"/>
    <n v="11"/>
    <s v="alice.hanson@saltcorp.com"/>
    <s v="123-456-7890"/>
    <s v="contract"/>
    <x v="0"/>
    <s v="EMP-2018-0014"/>
    <n v="4"/>
    <m/>
    <n v="12"/>
    <m/>
    <n v="60"/>
    <m/>
    <x v="4"/>
    <x v="1"/>
  </r>
  <r>
    <s v="EMP-2020-0656"/>
    <s v="Eve"/>
    <s v="Reed"/>
    <m/>
    <n v="48"/>
    <n v="1976"/>
    <n v="65000"/>
    <x v="1"/>
    <x v="1"/>
    <x v="0"/>
    <x v="0"/>
    <s v="Director"/>
    <d v="2020-02-20T00:00:00"/>
    <d v="2020-02-20T00:00:00"/>
    <x v="2"/>
    <n v="73"/>
    <s v="eve.reed@saltcorp.com"/>
    <s v="098-765-4321"/>
    <s v="Full-Time"/>
    <x v="1"/>
    <m/>
    <n v="3"/>
    <m/>
    <m/>
    <m/>
    <n v="6"/>
    <s v="YES"/>
    <x v="0"/>
    <x v="0"/>
  </r>
  <r>
    <s v="EMP-2020-0657"/>
    <s v="Grace"/>
    <s v="Zhou"/>
    <n v="50"/>
    <n v="50"/>
    <n v="1974"/>
    <n v="70000"/>
    <x v="5"/>
    <x v="1"/>
    <x v="3"/>
    <x v="3"/>
    <s v="Assistant"/>
    <d v="2020-01-15T00:00:00"/>
    <d v="2020-01-15T00:00:00"/>
    <x v="2"/>
    <n v="78"/>
    <s v="grace.zhou@saltcorp.com"/>
    <m/>
    <s v="Full-Time"/>
    <x v="1"/>
    <m/>
    <n v="7"/>
    <s v="N/A"/>
    <n v="18"/>
    <d v="2023-01-15T00:00:00"/>
    <m/>
    <m/>
    <x v="4"/>
    <x v="1"/>
  </r>
  <r>
    <s v="EMP-2020-0658"/>
    <s v="Frank"/>
    <s v="Lopez"/>
    <n v="35"/>
    <n v="35"/>
    <n v="1989"/>
    <s v="SIXTY THOUSAND"/>
    <x v="2"/>
    <x v="0"/>
    <x v="1"/>
    <x v="1"/>
    <s v="Assistant"/>
    <d v="2020-02-20T00:00:00"/>
    <d v="2020-02-20T00:00:00"/>
    <x v="1"/>
    <n v="7"/>
    <s v="frank.lopez@saltcorp.com"/>
    <s v="123-456-7890"/>
    <s v="contract"/>
    <x v="0"/>
    <s v="EMP-2019-0056"/>
    <n v="1"/>
    <m/>
    <m/>
    <m/>
    <m/>
    <s v="no"/>
    <x v="2"/>
    <x v="0"/>
  </r>
  <r>
    <s v="EMP-2019-0659"/>
    <s v="Alice"/>
    <s v="Ward"/>
    <n v="25"/>
    <n v="25"/>
    <n v="1999"/>
    <n v="50000"/>
    <x v="0"/>
    <x v="1"/>
    <x v="3"/>
    <x v="3"/>
    <s v="Analyst"/>
    <d v="2019-03-25T00:00:00"/>
    <d v="2019-03-25T00:00:00"/>
    <x v="0"/>
    <n v="69"/>
    <s v="alice.ward@saltcorp.com"/>
    <s v="098-765-4321"/>
    <s v="contract"/>
    <x v="0"/>
    <m/>
    <n v="4"/>
    <m/>
    <m/>
    <m/>
    <m/>
    <m/>
    <x v="2"/>
    <x v="0"/>
  </r>
  <r>
    <s v="EMP-2020-0660"/>
    <s v="Eve"/>
    <s v="Mitchell"/>
    <n v="40"/>
    <n v="40"/>
    <n v="1984"/>
    <n v="65000"/>
    <x v="1"/>
    <x v="0"/>
    <x v="4"/>
    <x v="4"/>
    <s v="Clerk"/>
    <d v="2020-01-15T00:00:00"/>
    <d v="2020-01-15T00:00:00"/>
    <x v="1"/>
    <n v="5"/>
    <s v="eve.mitchell@saltcorp.com"/>
    <s v=" "/>
    <s v="Part-Time"/>
    <x v="2"/>
    <m/>
    <n v="1"/>
    <s v="N/A"/>
    <m/>
    <m/>
    <m/>
    <s v="YES"/>
    <x v="3"/>
    <x v="0"/>
  </r>
  <r>
    <s v="EMP-2018-0661"/>
    <s v="Eve"/>
    <s v="Wells"/>
    <n v="35"/>
    <n v="35"/>
    <n v="1989"/>
    <s v="SIXTY THOUSAND"/>
    <x v="2"/>
    <x v="0"/>
    <x v="0"/>
    <x v="0"/>
    <s v="Director"/>
    <d v="2018-04-05T00:00:00"/>
    <d v="2018-04-05T00:00:00"/>
    <x v="1"/>
    <n v="15"/>
    <s v="eve.wells@saltcorp.com"/>
    <s v="098-765-4321"/>
    <s v="contract"/>
    <x v="0"/>
    <m/>
    <n v="3"/>
    <n v="10"/>
    <m/>
    <d v="2023-01-15T00:00:00"/>
    <m/>
    <s v="YES"/>
    <x v="1"/>
    <x v="1"/>
  </r>
  <r>
    <s v="EMP-2020-0662"/>
    <s v="Frank"/>
    <s v="Le"/>
    <n v="35"/>
    <n v="35"/>
    <n v="1989"/>
    <n v="55000"/>
    <x v="6"/>
    <x v="1"/>
    <x v="4"/>
    <x v="4"/>
    <s v="Clerk"/>
    <d v="2020-01-15T00:00:00"/>
    <d v="2020-01-15T00:00:00"/>
    <x v="0"/>
    <n v="65"/>
    <s v="frank.le@saltcorp.com"/>
    <s v="123-456-7890"/>
    <s v="contract"/>
    <x v="0"/>
    <m/>
    <n v="3"/>
    <m/>
    <n v="8"/>
    <m/>
    <m/>
    <s v="YES"/>
    <x v="0"/>
    <x v="1"/>
  </r>
  <r>
    <s v="EMP-2018-0663"/>
    <s v="Charlie"/>
    <s v="Moore"/>
    <n v="25"/>
    <n v="25"/>
    <n v="1999"/>
    <n v="55000"/>
    <x v="6"/>
    <x v="0"/>
    <x v="4"/>
    <x v="4"/>
    <s v="Clerk"/>
    <d v="2018-04-05T00:00:00"/>
    <d v="2018-04-05T00:00:00"/>
    <x v="0"/>
    <n v="66"/>
    <s v="charlie.moore@saltcorp.com"/>
    <s v="555-555-5555"/>
    <s v="Full-Time"/>
    <x v="1"/>
    <m/>
    <n v="3"/>
    <m/>
    <m/>
    <d v="2024-08-12T00:00:00"/>
    <m/>
    <s v="YES"/>
    <x v="4"/>
    <x v="0"/>
  </r>
  <r>
    <s v="EMP-2020-0664"/>
    <s v="Eve"/>
    <s v="Parker"/>
    <s v="thirty"/>
    <n v="30"/>
    <n v="1994"/>
    <s v="SIXTY THOUSAND"/>
    <x v="2"/>
    <x v="0"/>
    <x v="4"/>
    <x v="4"/>
    <s v="Director"/>
    <d v="2020-01-15T00:00:00"/>
    <d v="2020-01-15T00:00:00"/>
    <x v="0"/>
    <n v="66"/>
    <s v="eve.parker@saltcorp.com"/>
    <m/>
    <s v="contract"/>
    <x v="0"/>
    <s v="EMP-2019-0011"/>
    <n v="1"/>
    <m/>
    <m/>
    <m/>
    <n v="62"/>
    <s v="YES"/>
    <x v="0"/>
    <x v="1"/>
  </r>
  <r>
    <s v="EMP-2019-0665"/>
    <s v="Grace"/>
    <s v="Aguilar"/>
    <m/>
    <n v="28"/>
    <n v="1996"/>
    <n v="50000"/>
    <x v="0"/>
    <x v="1"/>
    <x v="0"/>
    <x v="0"/>
    <s v="Assistant"/>
    <d v="2019-03-25T00:00:00"/>
    <d v="2019-03-25T00:00:00"/>
    <x v="0"/>
    <n v="68"/>
    <s v="grace.aguilar@saltcorp.com"/>
    <s v=" "/>
    <s v="Full-Time"/>
    <x v="1"/>
    <m/>
    <n v="3"/>
    <s v="N/A"/>
    <m/>
    <d v="2024-08-12T00:00:00"/>
    <m/>
    <s v="no"/>
    <x v="1"/>
    <x v="0"/>
  </r>
  <r>
    <s v="EMP-2019-0666"/>
    <s v="Eve"/>
    <s v="Young"/>
    <n v="50"/>
    <n v="50"/>
    <n v="1974"/>
    <n v="55000"/>
    <x v="6"/>
    <x v="1"/>
    <x v="0"/>
    <x v="0"/>
    <s v="Director"/>
    <d v="2019-03-25T00:00:00"/>
    <d v="2019-03-25T00:00:00"/>
    <x v="0"/>
    <n v="62"/>
    <s v="eve.young@saltcorp.com"/>
    <s v="098-765-4321"/>
    <s v="contract"/>
    <x v="0"/>
    <m/>
    <n v="1"/>
    <s v="N/A"/>
    <m/>
    <d v="2023-01-15T00:00:00"/>
    <m/>
    <s v="no"/>
    <x v="0"/>
    <x v="0"/>
  </r>
  <r>
    <s v="EMP-2020-0667"/>
    <s v="Eve"/>
    <s v="Parker"/>
    <s v="thirty"/>
    <n v="30"/>
    <n v="1994"/>
    <n v="70000"/>
    <x v="5"/>
    <x v="1"/>
    <x v="2"/>
    <x v="2"/>
    <s v="Clerk"/>
    <d v="2020-01-15T00:00:00"/>
    <d v="2020-01-15T00:00:00"/>
    <x v="1"/>
    <n v="0"/>
    <s v="eve.parker@saltcorp.com"/>
    <s v="123-456-7890"/>
    <s v="contract"/>
    <x v="0"/>
    <m/>
    <n v="3"/>
    <n v="10"/>
    <m/>
    <m/>
    <n v="67"/>
    <s v="YES"/>
    <x v="2"/>
    <x v="0"/>
  </r>
  <r>
    <s v="EMP-2020-0668"/>
    <s v="Eve"/>
    <s v="Reed"/>
    <n v="40"/>
    <n v="40"/>
    <n v="1984"/>
    <n v="59800"/>
    <x v="21"/>
    <x v="1"/>
    <x v="3"/>
    <x v="3"/>
    <s v="Assistant"/>
    <d v="2020-02-20T00:00:00"/>
    <d v="2020-02-20T00:00:00"/>
    <x v="4"/>
    <n v="82"/>
    <s v="eve.reed@saltcorp.com"/>
    <s v="123-456-7890"/>
    <s v="Part-Time"/>
    <x v="2"/>
    <s v="EMP-2019-0041"/>
    <n v="5"/>
    <m/>
    <m/>
    <m/>
    <n v="52"/>
    <s v="YES"/>
    <x v="3"/>
    <x v="1"/>
  </r>
  <r>
    <s v="EMP-2019-0669"/>
    <s v="Jack"/>
    <s v="O'Neill"/>
    <n v="35"/>
    <n v="35"/>
    <n v="1989"/>
    <s v="SIXTY THOUSAND"/>
    <x v="2"/>
    <x v="0"/>
    <x v="3"/>
    <x v="3"/>
    <s v="Manager"/>
    <d v="2019-03-25T00:00:00"/>
    <d v="2019-03-25T00:00:00"/>
    <x v="4"/>
    <n v="87"/>
    <s v="jack.o'neill@saltcorp.com"/>
    <m/>
    <s v="Part-Time"/>
    <x v="2"/>
    <s v="EMP-2020-0015"/>
    <n v="3"/>
    <s v="N/A"/>
    <n v="11"/>
    <m/>
    <m/>
    <s v="no"/>
    <x v="0"/>
    <x v="0"/>
  </r>
  <r>
    <s v="EMP-2018-0670"/>
    <s v="Jack"/>
    <s v="Mason"/>
    <n v="25"/>
    <n v="25"/>
    <n v="1999"/>
    <s v="SIXTY THOUSAND"/>
    <x v="2"/>
    <x v="0"/>
    <x v="2"/>
    <x v="2"/>
    <s v="Director"/>
    <d v="2018-04-05T00:00:00"/>
    <d v="2018-04-05T00:00:00"/>
    <x v="3"/>
    <n v="97"/>
    <s v="jack.mason@saltcorp.com"/>
    <s v="123-456-7890"/>
    <s v="Part-Time"/>
    <x v="2"/>
    <m/>
    <n v="7"/>
    <n v="11"/>
    <m/>
    <m/>
    <m/>
    <s v="YES"/>
    <x v="1"/>
    <x v="0"/>
  </r>
  <r>
    <s v="EMP-2018-0671"/>
    <s v="Charlie"/>
    <s v="White"/>
    <n v="25"/>
    <n v="25"/>
    <n v="1999"/>
    <n v="55000"/>
    <x v="6"/>
    <x v="1"/>
    <x v="2"/>
    <x v="2"/>
    <s v="Director"/>
    <d v="2018-04-05T00:00:00"/>
    <d v="2018-04-05T00:00:00"/>
    <x v="4"/>
    <n v="83"/>
    <s v="charlie.white@saltcorp.com"/>
    <s v="123-456-7890"/>
    <s v="Full-Time"/>
    <x v="1"/>
    <m/>
    <n v="1"/>
    <m/>
    <m/>
    <m/>
    <m/>
    <m/>
    <x v="3"/>
    <x v="1"/>
  </r>
  <r>
    <s v="EMP-2019-0672"/>
    <s v="Alice"/>
    <s v="Santos"/>
    <m/>
    <n v="27"/>
    <n v="1997"/>
    <n v="50000"/>
    <x v="0"/>
    <x v="1"/>
    <x v="4"/>
    <x v="4"/>
    <s v="Assistant"/>
    <d v="2019-12-01T00:00:00"/>
    <d v="2019-12-01T00:00:00"/>
    <x v="4"/>
    <n v="88"/>
    <s v="alice.santos@saltcorp.com"/>
    <m/>
    <s v="contract"/>
    <x v="0"/>
    <m/>
    <n v="5"/>
    <m/>
    <m/>
    <m/>
    <m/>
    <s v="YES"/>
    <x v="2"/>
    <x v="0"/>
  </r>
  <r>
    <s v="EMP-2018-0673"/>
    <s v="Eve"/>
    <s v="Sims"/>
    <s v="thirty"/>
    <n v="30"/>
    <n v="1994"/>
    <n v="70000"/>
    <x v="5"/>
    <x v="1"/>
    <x v="2"/>
    <x v="2"/>
    <s v="Manager"/>
    <d v="2018-04-05T00:00:00"/>
    <d v="2018-04-05T00:00:00"/>
    <x v="1"/>
    <n v="32"/>
    <s v="eve.sims@saltcorp.com"/>
    <s v=" "/>
    <s v="Full-Time"/>
    <x v="1"/>
    <m/>
    <n v="2"/>
    <m/>
    <n v="1"/>
    <s v="N/A"/>
    <m/>
    <m/>
    <x v="0"/>
    <x v="1"/>
  </r>
  <r>
    <s v="EMP-2019-0674"/>
    <s v="Ivy"/>
    <s v="Patel"/>
    <m/>
    <n v="48"/>
    <n v="1976"/>
    <n v="50000"/>
    <x v="0"/>
    <x v="1"/>
    <x v="1"/>
    <x v="1"/>
    <s v="Manager"/>
    <d v="2019-12-01T00:00:00"/>
    <d v="2019-12-01T00:00:00"/>
    <x v="0"/>
    <n v="64"/>
    <s v="ivy.patel@saltcorp.com"/>
    <s v="555-555-5555"/>
    <s v="contract"/>
    <x v="0"/>
    <m/>
    <n v="4"/>
    <s v="N/A"/>
    <m/>
    <m/>
    <n v="74"/>
    <s v="YES"/>
    <x v="3"/>
    <x v="0"/>
  </r>
  <r>
    <s v="EMP-2020-0675"/>
    <s v="Alice"/>
    <s v="Thompson"/>
    <n v="35"/>
    <n v="35"/>
    <n v="1989"/>
    <n v="65000"/>
    <x v="1"/>
    <x v="1"/>
    <x v="3"/>
    <x v="3"/>
    <s v="Assistant"/>
    <d v="2020-01-15T00:00:00"/>
    <d v="2020-01-15T00:00:00"/>
    <x v="0"/>
    <n v="60"/>
    <s v="alice.thompson@saltcorp.com"/>
    <s v="555-555-5555"/>
    <s v="contract"/>
    <x v="0"/>
    <m/>
    <n v="8"/>
    <m/>
    <m/>
    <m/>
    <m/>
    <s v="no"/>
    <x v="0"/>
    <x v="0"/>
  </r>
  <r>
    <s v="EMP-2020-0676"/>
    <s v="Charlie"/>
    <s v="Figueroa"/>
    <m/>
    <n v="40"/>
    <n v="1984"/>
    <n v="65000"/>
    <x v="1"/>
    <x v="1"/>
    <x v="2"/>
    <x v="2"/>
    <s v="Analyst"/>
    <d v="2020-01-15T00:00:00"/>
    <d v="2020-01-15T00:00:00"/>
    <x v="1"/>
    <n v="6"/>
    <s v="charlie.figueroa@saltcorp.com"/>
    <s v="098-765-4321"/>
    <s v="Part-Time"/>
    <x v="2"/>
    <m/>
    <n v="8"/>
    <s v="N/A"/>
    <m/>
    <d v="2022-06-20T00:00:00"/>
    <m/>
    <s v="no"/>
    <x v="0"/>
    <x v="0"/>
  </r>
  <r>
    <s v="EMP-2020-0677"/>
    <s v="David"/>
    <s v="Walsh"/>
    <n v="50"/>
    <n v="50"/>
    <n v="1974"/>
    <n v="60300"/>
    <x v="14"/>
    <x v="0"/>
    <x v="1"/>
    <x v="1"/>
    <s v="Director"/>
    <d v="2020-01-15T00:00:00"/>
    <d v="2020-01-15T00:00:00"/>
    <x v="4"/>
    <n v="83"/>
    <s v="david.walsh@saltcorp.com"/>
    <s v=" "/>
    <s v="Part-Time"/>
    <x v="2"/>
    <s v="EMP-2019-0050"/>
    <n v="8"/>
    <m/>
    <n v="3"/>
    <d v="2023-01-15T00:00:00"/>
    <n v="64"/>
    <s v="no"/>
    <x v="0"/>
    <x v="1"/>
  </r>
  <r>
    <s v="EMP-2020-0678"/>
    <s v="Alice"/>
    <s v="Chen"/>
    <n v="25"/>
    <n v="25"/>
    <n v="1999"/>
    <n v="55000"/>
    <x v="6"/>
    <x v="1"/>
    <x v="1"/>
    <x v="1"/>
    <s v="Director"/>
    <d v="2020-02-20T00:00:00"/>
    <d v="2020-02-20T00:00:00"/>
    <x v="1"/>
    <n v="55"/>
    <s v="alice.chen@saltcorp.com"/>
    <s v="098-765-4321"/>
    <s v="Part-Time"/>
    <x v="2"/>
    <m/>
    <n v="3"/>
    <m/>
    <m/>
    <m/>
    <m/>
    <s v="no"/>
    <x v="3"/>
    <x v="0"/>
  </r>
  <r>
    <s v="EMP-2020-0679"/>
    <s v="Alice"/>
    <s v="Sims"/>
    <n v="25"/>
    <n v="25"/>
    <n v="1999"/>
    <n v="55000"/>
    <x v="6"/>
    <x v="1"/>
    <x v="1"/>
    <x v="1"/>
    <s v="Clerk"/>
    <d v="2020-02-20T00:00:00"/>
    <d v="2020-02-20T00:00:00"/>
    <x v="3"/>
    <n v="91"/>
    <s v="alice.sims@saltcorp.com"/>
    <s v="555-555-5555"/>
    <s v="contract"/>
    <x v="0"/>
    <s v="EMP-2018-0074"/>
    <n v="4"/>
    <n v="12"/>
    <m/>
    <m/>
    <m/>
    <s v="no"/>
    <x v="3"/>
    <x v="1"/>
  </r>
  <r>
    <s v="EMP-2019-0680"/>
    <s v="Hannah"/>
    <s v="Gray"/>
    <n v="40"/>
    <n v="40"/>
    <n v="1984"/>
    <n v="55000"/>
    <x v="6"/>
    <x v="1"/>
    <x v="1"/>
    <x v="1"/>
    <s v="Assistant"/>
    <d v="2019-12-01T00:00:00"/>
    <d v="2019-12-01T00:00:00"/>
    <x v="0"/>
    <n v="62"/>
    <s v="hannah.gray@saltcorp.com"/>
    <m/>
    <s v="Full-Time"/>
    <x v="1"/>
    <m/>
    <n v="7"/>
    <s v="N/A"/>
    <m/>
    <m/>
    <m/>
    <s v="YES"/>
    <x v="3"/>
    <x v="0"/>
  </r>
  <r>
    <s v="EMP-2018-0681"/>
    <s v="Bob"/>
    <s v="Gibson"/>
    <n v="40"/>
    <n v="40"/>
    <n v="1984"/>
    <n v="58600"/>
    <x v="8"/>
    <x v="0"/>
    <x v="4"/>
    <x v="4"/>
    <s v="Clerk"/>
    <d v="2018-04-05T00:00:00"/>
    <d v="2018-04-05T00:00:00"/>
    <x v="2"/>
    <n v="73"/>
    <s v="bob.gibson@saltcorp.com"/>
    <s v="123-456-7890"/>
    <s v="Part-Time"/>
    <x v="2"/>
    <m/>
    <n v="3"/>
    <m/>
    <n v="6"/>
    <d v="2021-10-01T00:00:00"/>
    <m/>
    <s v="YES"/>
    <x v="3"/>
    <x v="1"/>
  </r>
  <r>
    <s v="EMP-2018-0682"/>
    <s v="Hannah"/>
    <s v="Medina"/>
    <n v="35"/>
    <n v="35"/>
    <n v="1989"/>
    <n v="65000"/>
    <x v="1"/>
    <x v="1"/>
    <x v="1"/>
    <x v="1"/>
    <s v="Clerk"/>
    <d v="2018-04-05T00:00:00"/>
    <d v="2018-04-05T00:00:00"/>
    <x v="3"/>
    <n v="95"/>
    <s v="hannah.medina@saltcorp.com"/>
    <s v="555-555-5555"/>
    <s v="Full-Time"/>
    <x v="1"/>
    <m/>
    <n v="3"/>
    <m/>
    <m/>
    <d v="2022-06-20T00:00:00"/>
    <m/>
    <m/>
    <x v="0"/>
    <x v="0"/>
  </r>
  <r>
    <s v="EMP-2020-0683"/>
    <s v="Grace"/>
    <s v="Gomez"/>
    <n v="50"/>
    <n v="50"/>
    <n v="1974"/>
    <n v="50000"/>
    <x v="0"/>
    <x v="1"/>
    <x v="4"/>
    <x v="4"/>
    <s v="Manager"/>
    <d v="2020-01-15T00:00:00"/>
    <d v="2020-01-15T00:00:00"/>
    <x v="3"/>
    <n v="92"/>
    <s v="grace.gomez@saltcorp.com"/>
    <s v=" "/>
    <s v="Full-Time"/>
    <x v="1"/>
    <m/>
    <n v="5"/>
    <m/>
    <n v="2"/>
    <d v="2023-01-15T00:00:00"/>
    <m/>
    <s v="no"/>
    <x v="0"/>
    <x v="0"/>
  </r>
  <r>
    <s v="EMP-2019-0684"/>
    <s v="Jack"/>
    <s v="Young"/>
    <s v="thirty"/>
    <n v="30"/>
    <n v="1994"/>
    <n v="60500"/>
    <x v="7"/>
    <x v="1"/>
    <x v="4"/>
    <x v="4"/>
    <s v="Director"/>
    <d v="2019-03-25T00:00:00"/>
    <d v="2019-03-25T00:00:00"/>
    <x v="1"/>
    <n v="48"/>
    <s v="jack.young@saltcorp.com"/>
    <s v="555-555-5555"/>
    <s v="contract"/>
    <x v="0"/>
    <m/>
    <n v="3"/>
    <m/>
    <m/>
    <d v="2024-08-12T00:00:00"/>
    <m/>
    <s v="YES"/>
    <x v="2"/>
    <x v="0"/>
  </r>
  <r>
    <s v="EMP-2020-0685"/>
    <s v="Jack"/>
    <s v="Dominguez"/>
    <m/>
    <n v="25"/>
    <n v="1999"/>
    <n v="61300"/>
    <x v="18"/>
    <x v="1"/>
    <x v="1"/>
    <x v="1"/>
    <s v="Clerk"/>
    <d v="2020-02-20T00:00:00"/>
    <d v="2020-02-20T00:00:00"/>
    <x v="4"/>
    <n v="80"/>
    <s v="jack.dominguez@saltcorp.com"/>
    <s v=" "/>
    <s v="contract"/>
    <x v="0"/>
    <m/>
    <n v="6"/>
    <m/>
    <m/>
    <m/>
    <n v="58"/>
    <s v="YES"/>
    <x v="1"/>
    <x v="0"/>
  </r>
  <r>
    <s v="EMP-2020-0686"/>
    <s v="Bob"/>
    <s v="Garcia"/>
    <n v="35"/>
    <n v="35"/>
    <n v="1989"/>
    <n v="50000"/>
    <x v="0"/>
    <x v="0"/>
    <x v="3"/>
    <x v="3"/>
    <s v="Manager"/>
    <d v="2020-02-20T00:00:00"/>
    <d v="2020-02-20T00:00:00"/>
    <x v="0"/>
    <n v="65"/>
    <s v="bob.garcia@saltcorp.com"/>
    <s v=" "/>
    <s v="Part-Time"/>
    <x v="2"/>
    <m/>
    <n v="8"/>
    <m/>
    <n v="5"/>
    <d v="2023-01-15T00:00:00"/>
    <m/>
    <s v="YES"/>
    <x v="2"/>
    <x v="0"/>
  </r>
  <r>
    <s v="EMP-2020-0687"/>
    <s v="Frank"/>
    <s v="Mason"/>
    <n v="40"/>
    <n v="40"/>
    <n v="1984"/>
    <n v="55000"/>
    <x v="6"/>
    <x v="0"/>
    <x v="1"/>
    <x v="1"/>
    <s v="Assistant"/>
    <d v="2020-01-15T00:00:00"/>
    <d v="2020-01-15T00:00:00"/>
    <x v="2"/>
    <n v="77"/>
    <s v="frank.mason@saltcorp.com"/>
    <s v=" "/>
    <s v="Full-Time"/>
    <x v="1"/>
    <m/>
    <n v="2"/>
    <n v="15"/>
    <m/>
    <m/>
    <m/>
    <s v="YES"/>
    <x v="1"/>
    <x v="1"/>
  </r>
  <r>
    <s v="EMP-2020-0688"/>
    <s v="Frank"/>
    <s v="Flores"/>
    <m/>
    <n v="31"/>
    <n v="1993"/>
    <n v="70000"/>
    <x v="5"/>
    <x v="1"/>
    <x v="1"/>
    <x v="1"/>
    <s v="Clerk"/>
    <d v="2020-02-20T00:00:00"/>
    <d v="2020-02-20T00:00:00"/>
    <x v="3"/>
    <n v="100"/>
    <s v="frank.flores@saltcorp.com"/>
    <s v="098-765-4321"/>
    <s v="Full-Time"/>
    <x v="1"/>
    <s v="EMP-2019-0015"/>
    <n v="4"/>
    <s v="N/A"/>
    <n v="14"/>
    <m/>
    <m/>
    <s v="YES"/>
    <x v="4"/>
    <x v="1"/>
  </r>
  <r>
    <s v="EMP-2020-0689"/>
    <s v="Charlie"/>
    <s v="Byrd"/>
    <n v="40"/>
    <n v="40"/>
    <n v="1984"/>
    <n v="50000"/>
    <x v="0"/>
    <x v="0"/>
    <x v="1"/>
    <x v="1"/>
    <s v="Director"/>
    <d v="2020-01-15T00:00:00"/>
    <d v="2020-01-15T00:00:00"/>
    <x v="2"/>
    <n v="76"/>
    <s v="charlie.byrd@saltcorp.com"/>
    <m/>
    <s v="Part-Time"/>
    <x v="2"/>
    <m/>
    <n v="7"/>
    <n v="7"/>
    <n v="16"/>
    <m/>
    <n v="47"/>
    <s v="YES"/>
    <x v="4"/>
    <x v="0"/>
  </r>
  <r>
    <s v="EMP-2019-0690"/>
    <s v="Bob"/>
    <s v="Johnson"/>
    <m/>
    <n v="24"/>
    <n v="2000"/>
    <n v="65000"/>
    <x v="1"/>
    <x v="0"/>
    <x v="3"/>
    <x v="3"/>
    <s v="Clerk"/>
    <d v="2019-12-01T00:00:00"/>
    <d v="2019-12-01T00:00:00"/>
    <x v="4"/>
    <n v="85"/>
    <s v="bob.johnson@saltcorp.com"/>
    <s v="555-555-5555"/>
    <s v="Part-Time"/>
    <x v="2"/>
    <m/>
    <n v="7"/>
    <s v="N/A"/>
    <n v="12"/>
    <m/>
    <n v="75"/>
    <s v="no"/>
    <x v="0"/>
    <x v="1"/>
  </r>
  <r>
    <s v="EMP-2018-0691"/>
    <s v="Alice"/>
    <s v="Bishop"/>
    <s v="thirty"/>
    <n v="30"/>
    <n v="1994"/>
    <s v="SIXTY THOUSAND"/>
    <x v="2"/>
    <x v="0"/>
    <x v="0"/>
    <x v="0"/>
    <s v="Assistant"/>
    <d v="2018-04-05T00:00:00"/>
    <d v="2018-04-05T00:00:00"/>
    <x v="4"/>
    <n v="80"/>
    <s v="alice.bishop@saltcorp.com"/>
    <m/>
    <s v="contract"/>
    <x v="0"/>
    <m/>
    <n v="3"/>
    <m/>
    <n v="0"/>
    <d v="2023-01-15T00:00:00"/>
    <m/>
    <s v="YES"/>
    <x v="3"/>
    <x v="0"/>
  </r>
  <r>
    <s v="EMP-2019-0692"/>
    <s v="Frank"/>
    <s v="Sanchez"/>
    <n v="35"/>
    <n v="35"/>
    <n v="1989"/>
    <s v="SIXTY THOUSAND"/>
    <x v="2"/>
    <x v="0"/>
    <x v="0"/>
    <x v="0"/>
    <s v="Clerk"/>
    <d v="2019-03-25T00:00:00"/>
    <d v="2019-03-25T00:00:00"/>
    <x v="2"/>
    <n v="71"/>
    <s v="frank.sanchez@saltcorp.com"/>
    <s v="123-456-7890"/>
    <s v="contract"/>
    <x v="0"/>
    <m/>
    <n v="2"/>
    <s v="N/A"/>
    <m/>
    <d v="2021-10-01T00:00:00"/>
    <m/>
    <m/>
    <x v="3"/>
    <x v="1"/>
  </r>
  <r>
    <s v="EMP-2018-0693"/>
    <s v="Eve"/>
    <s v="Turner"/>
    <m/>
    <n v="54"/>
    <n v="1970"/>
    <n v="60500"/>
    <x v="7"/>
    <x v="0"/>
    <x v="4"/>
    <x v="4"/>
    <s v="Director"/>
    <d v="2018-04-05T00:00:00"/>
    <d v="2018-04-05T00:00:00"/>
    <x v="0"/>
    <n v="67"/>
    <s v="eve.turner@saltcorp.com"/>
    <s v="555-555-5555"/>
    <s v="Full-Time"/>
    <x v="1"/>
    <s v="EMP-2019-0018"/>
    <n v="1"/>
    <s v="N/A"/>
    <m/>
    <m/>
    <m/>
    <s v="YES"/>
    <x v="2"/>
    <x v="0"/>
  </r>
  <r>
    <s v="EMP-2018-0694"/>
    <s v="Ivy"/>
    <s v="Desai"/>
    <n v="50"/>
    <n v="50"/>
    <n v="1974"/>
    <s v="SIXTY THOUSAND"/>
    <x v="2"/>
    <x v="0"/>
    <x v="4"/>
    <x v="4"/>
    <s v="Manager"/>
    <d v="2018-04-05T00:00:00"/>
    <d v="2018-04-05T00:00:00"/>
    <x v="4"/>
    <n v="84"/>
    <s v="ivy.desai@saltcorp.com"/>
    <m/>
    <s v="Full-Time"/>
    <x v="1"/>
    <s v="EMP-2019-0080"/>
    <n v="4"/>
    <m/>
    <m/>
    <s v="N/A"/>
    <m/>
    <m/>
    <x v="0"/>
    <x v="1"/>
  </r>
  <r>
    <s v="EMP-2019-0695"/>
    <s v="Alice"/>
    <s v="Thompson"/>
    <n v="25"/>
    <n v="25"/>
    <n v="1999"/>
    <n v="70000"/>
    <x v="5"/>
    <x v="0"/>
    <x v="3"/>
    <x v="3"/>
    <s v="Director"/>
    <d v="2019-12-01T00:00:00"/>
    <d v="2019-12-01T00:00:00"/>
    <x v="2"/>
    <n v="77"/>
    <s v="alice.thompson@saltcorp.com"/>
    <m/>
    <s v="Full-Time"/>
    <x v="1"/>
    <m/>
    <n v="7"/>
    <m/>
    <m/>
    <d v="2023-03-05T00:00:00"/>
    <m/>
    <s v="YES"/>
    <x v="1"/>
    <x v="1"/>
  </r>
  <r>
    <s v="EMP-2020-0696"/>
    <s v="Grace"/>
    <s v="Andrews"/>
    <n v="50"/>
    <n v="50"/>
    <n v="1974"/>
    <n v="55000"/>
    <x v="6"/>
    <x v="1"/>
    <x v="2"/>
    <x v="2"/>
    <s v="Manager"/>
    <d v="2020-02-20T00:00:00"/>
    <d v="2020-02-20T00:00:00"/>
    <x v="3"/>
    <n v="100"/>
    <s v="grace.andrews@saltcorp.com"/>
    <s v="123-456-7890"/>
    <s v="contract"/>
    <x v="0"/>
    <m/>
    <n v="3"/>
    <m/>
    <n v="15"/>
    <m/>
    <m/>
    <s v="no"/>
    <x v="3"/>
    <x v="1"/>
  </r>
  <r>
    <s v="EMP-2019-0697"/>
    <s v="Eve"/>
    <s v="Turner"/>
    <n v="50"/>
    <n v="50"/>
    <n v="1974"/>
    <n v="65000"/>
    <x v="1"/>
    <x v="0"/>
    <x v="0"/>
    <x v="0"/>
    <s v="Analyst"/>
    <d v="2019-03-25T00:00:00"/>
    <d v="2019-03-25T00:00:00"/>
    <x v="2"/>
    <n v="71"/>
    <s v="eve.turner@saltcorp.com"/>
    <s v=" "/>
    <s v="Part-Time"/>
    <x v="2"/>
    <m/>
    <n v="2"/>
    <m/>
    <m/>
    <d v="2023-01-15T00:00:00"/>
    <m/>
    <s v="no"/>
    <x v="0"/>
    <x v="0"/>
  </r>
  <r>
    <s v="EMP-2020-0698"/>
    <s v="Eve"/>
    <s v="Dominguez"/>
    <n v="25"/>
    <n v="25"/>
    <n v="1999"/>
    <n v="70000"/>
    <x v="5"/>
    <x v="0"/>
    <x v="4"/>
    <x v="4"/>
    <s v="Director"/>
    <d v="2020-02-20T00:00:00"/>
    <d v="2020-02-20T00:00:00"/>
    <x v="2"/>
    <n v="76"/>
    <s v="eve.dominguez@saltcorp.com"/>
    <s v="555-555-5555"/>
    <s v="Part-Time"/>
    <x v="2"/>
    <m/>
    <n v="3"/>
    <m/>
    <m/>
    <m/>
    <m/>
    <s v="no"/>
    <x v="3"/>
    <x v="1"/>
  </r>
  <r>
    <s v="EMP-2018-0699"/>
    <s v="Bob"/>
    <s v="Knight"/>
    <n v="50"/>
    <n v="50"/>
    <n v="1974"/>
    <n v="65000"/>
    <x v="1"/>
    <x v="0"/>
    <x v="0"/>
    <x v="0"/>
    <s v="Director"/>
    <d v="2018-04-05T00:00:00"/>
    <d v="2018-04-05T00:00:00"/>
    <x v="1"/>
    <n v="5"/>
    <s v="bob.knight@saltcorp.com"/>
    <s v="555-555-5555"/>
    <s v="Full-Time"/>
    <x v="1"/>
    <m/>
    <n v="8"/>
    <m/>
    <n v="8"/>
    <s v="N/A"/>
    <m/>
    <s v="no"/>
    <x v="2"/>
    <x v="0"/>
  </r>
  <r>
    <s v="EMP-2020-0700"/>
    <s v="Charlie"/>
    <s v="Rogers"/>
    <m/>
    <n v="35"/>
    <n v="1989"/>
    <n v="65000"/>
    <x v="1"/>
    <x v="0"/>
    <x v="3"/>
    <x v="3"/>
    <s v="Assistant"/>
    <d v="2020-01-15T00:00:00"/>
    <d v="2020-01-15T00:00:00"/>
    <x v="4"/>
    <n v="85"/>
    <s v="charlie.rogers@saltcorp.com"/>
    <s v="123-456-7890"/>
    <s v="Full-Time"/>
    <x v="1"/>
    <s v="EMP-2020-0004"/>
    <n v="1"/>
    <n v="11"/>
    <m/>
    <d v="2022-06-20T00:00:00"/>
    <m/>
    <m/>
    <x v="1"/>
    <x v="1"/>
  </r>
  <r>
    <s v="EMP-2018-0701"/>
    <s v="Grace"/>
    <s v="Pearson"/>
    <m/>
    <n v="33"/>
    <n v="1991"/>
    <n v="55000"/>
    <x v="6"/>
    <x v="0"/>
    <x v="3"/>
    <x v="3"/>
    <s v="Clerk"/>
    <d v="2018-04-05T00:00:00"/>
    <d v="2018-04-05T00:00:00"/>
    <x v="0"/>
    <n v="66"/>
    <s v="grace.pearson@saltcorp.com"/>
    <s v=" "/>
    <s v="Full-Time"/>
    <x v="1"/>
    <m/>
    <n v="2"/>
    <m/>
    <n v="13"/>
    <s v="N/A"/>
    <m/>
    <m/>
    <x v="2"/>
    <x v="1"/>
  </r>
  <r>
    <s v="EMP-2020-0702"/>
    <s v="Frank"/>
    <s v="Gonzalez"/>
    <m/>
    <n v="37"/>
    <n v="1987"/>
    <n v="61500"/>
    <x v="11"/>
    <x v="0"/>
    <x v="2"/>
    <x v="2"/>
    <s v="Manager"/>
    <d v="2020-02-20T00:00:00"/>
    <d v="2020-02-20T00:00:00"/>
    <x v="0"/>
    <n v="61"/>
    <s v="frank.gonzalez@saltcorp.com"/>
    <s v="555-555-5555"/>
    <s v="contract"/>
    <x v="0"/>
    <m/>
    <n v="2"/>
    <m/>
    <m/>
    <d v="2022-06-20T00:00:00"/>
    <n v="31"/>
    <s v="YES"/>
    <x v="1"/>
    <x v="0"/>
  </r>
  <r>
    <s v="EMP-2018-0703"/>
    <s v="Bob"/>
    <s v="Miller"/>
    <n v="25"/>
    <n v="25"/>
    <n v="1999"/>
    <s v="SIXTY THOUSAND"/>
    <x v="2"/>
    <x v="0"/>
    <x v="2"/>
    <x v="2"/>
    <s v="Manager"/>
    <d v="2018-04-05T00:00:00"/>
    <d v="2018-04-05T00:00:00"/>
    <x v="1"/>
    <n v="4"/>
    <s v="bob.miller@saltcorp.com"/>
    <s v="555-555-5555"/>
    <s v="Part-Time"/>
    <x v="2"/>
    <m/>
    <n v="8"/>
    <m/>
    <m/>
    <d v="2022-06-20T00:00:00"/>
    <m/>
    <s v="YES"/>
    <x v="0"/>
    <x v="0"/>
  </r>
  <r>
    <s v="EMP-2020-0704"/>
    <s v="Frank"/>
    <s v="Gonzalez"/>
    <n v="50"/>
    <n v="50"/>
    <n v="1974"/>
    <n v="55000"/>
    <x v="6"/>
    <x v="0"/>
    <x v="3"/>
    <x v="3"/>
    <s v="Assistant"/>
    <d v="2020-01-15T00:00:00"/>
    <d v="2020-01-15T00:00:00"/>
    <x v="0"/>
    <n v="68"/>
    <s v="frank.gonzalez@saltcorp.com"/>
    <s v="555-555-5555"/>
    <s v="contract"/>
    <x v="0"/>
    <m/>
    <n v="3"/>
    <m/>
    <n v="7"/>
    <d v="2023-01-15T00:00:00"/>
    <m/>
    <m/>
    <x v="3"/>
    <x v="0"/>
  </r>
  <r>
    <s v="EMP-2019-0705"/>
    <s v="Bob"/>
    <s v="Medina"/>
    <n v="25"/>
    <n v="25"/>
    <n v="1999"/>
    <n v="70000"/>
    <x v="5"/>
    <x v="1"/>
    <x v="4"/>
    <x v="4"/>
    <s v="Assistant"/>
    <d v="2019-12-01T00:00:00"/>
    <d v="2019-12-01T00:00:00"/>
    <x v="2"/>
    <n v="70"/>
    <s v="bob.medina@saltcorp.com"/>
    <s v=" "/>
    <s v="Full-Time"/>
    <x v="1"/>
    <s v="EMP-2019-0070"/>
    <n v="1"/>
    <n v="11"/>
    <m/>
    <m/>
    <n v="28"/>
    <s v="YES"/>
    <x v="2"/>
    <x v="1"/>
  </r>
  <r>
    <s v="EMP-2020-0706"/>
    <s v="Bob"/>
    <s v="McCoy"/>
    <m/>
    <n v="34"/>
    <n v="1990"/>
    <n v="58800"/>
    <x v="17"/>
    <x v="0"/>
    <x v="0"/>
    <x v="0"/>
    <s v="Clerk"/>
    <d v="2020-02-20T00:00:00"/>
    <d v="2020-02-20T00:00:00"/>
    <x v="1"/>
    <n v="4"/>
    <s v="bob.mccoy@saltcorp.com"/>
    <s v="123-456-7890"/>
    <s v="contract"/>
    <x v="0"/>
    <s v="EMP-2019-0070"/>
    <n v="7"/>
    <m/>
    <m/>
    <m/>
    <m/>
    <s v="YES"/>
    <x v="0"/>
    <x v="0"/>
  </r>
  <r>
    <s v="EMP-2018-0707"/>
    <s v="Bob"/>
    <s v="Brown"/>
    <n v="50"/>
    <n v="50"/>
    <n v="1974"/>
    <n v="70000"/>
    <x v="5"/>
    <x v="0"/>
    <x v="1"/>
    <x v="1"/>
    <s v="Clerk"/>
    <d v="2018-04-05T00:00:00"/>
    <d v="2018-04-05T00:00:00"/>
    <x v="3"/>
    <n v="93"/>
    <s v="bob.brown@saltcorp.com"/>
    <s v="555-555-5555"/>
    <s v="Part-Time"/>
    <x v="2"/>
    <m/>
    <n v="7"/>
    <m/>
    <n v="9"/>
    <m/>
    <m/>
    <s v="no"/>
    <x v="4"/>
    <x v="0"/>
  </r>
  <r>
    <s v="EMP-2020-0708"/>
    <s v="Charlie"/>
    <s v="White"/>
    <n v="50"/>
    <n v="50"/>
    <n v="1974"/>
    <n v="63000"/>
    <x v="9"/>
    <x v="0"/>
    <x v="2"/>
    <x v="2"/>
    <s v="Director"/>
    <d v="2020-02-20T00:00:00"/>
    <d v="2020-02-20T00:00:00"/>
    <x v="4"/>
    <n v="85"/>
    <s v="charlie.white@saltcorp.com"/>
    <m/>
    <s v="contract"/>
    <x v="0"/>
    <s v="EMP-2020-0097"/>
    <n v="6"/>
    <m/>
    <n v="3"/>
    <d v="2023-03-05T00:00:00"/>
    <n v="48"/>
    <s v="YES"/>
    <x v="4"/>
    <x v="0"/>
  </r>
  <r>
    <s v="EMP-2019-0709"/>
    <s v="Bob"/>
    <s v="Garrett"/>
    <n v="40"/>
    <n v="40"/>
    <n v="1984"/>
    <n v="70000"/>
    <x v="5"/>
    <x v="0"/>
    <x v="1"/>
    <x v="1"/>
    <s v="Analyst"/>
    <d v="2019-12-01T00:00:00"/>
    <d v="2019-12-01T00:00:00"/>
    <x v="4"/>
    <n v="82"/>
    <s v="bob.garrett@saltcorp.com"/>
    <s v=" "/>
    <s v="contract"/>
    <x v="0"/>
    <m/>
    <n v="1"/>
    <n v="5"/>
    <m/>
    <d v="2023-03-05T00:00:00"/>
    <n v="59"/>
    <s v="YES"/>
    <x v="4"/>
    <x v="1"/>
  </r>
  <r>
    <s v="EMP-2018-0710"/>
    <s v="David"/>
    <s v="Ross"/>
    <n v="40"/>
    <n v="40"/>
    <n v="1984"/>
    <n v="55000"/>
    <x v="6"/>
    <x v="1"/>
    <x v="4"/>
    <x v="4"/>
    <s v="Clerk"/>
    <d v="2018-04-05T00:00:00"/>
    <d v="2018-04-05T00:00:00"/>
    <x v="4"/>
    <n v="89"/>
    <s v="david.ross@saltcorp.com"/>
    <s v="098-765-4321"/>
    <s v="Part-Time"/>
    <x v="2"/>
    <s v="EMP-2018-0057"/>
    <n v="7"/>
    <m/>
    <m/>
    <m/>
    <n v="10"/>
    <s v="YES"/>
    <x v="4"/>
    <x v="0"/>
  </r>
  <r>
    <s v="EMP-2018-0711"/>
    <s v="Ivy"/>
    <s v="Shah"/>
    <s v="thirty"/>
    <n v="30"/>
    <n v="1994"/>
    <n v="58300"/>
    <x v="12"/>
    <x v="1"/>
    <x v="2"/>
    <x v="2"/>
    <s v="Assistant"/>
    <d v="2018-04-05T00:00:00"/>
    <d v="2018-04-05T00:00:00"/>
    <x v="2"/>
    <n v="76"/>
    <s v="ivy.shah@saltcorp.com"/>
    <s v="123-456-7890"/>
    <s v="contract"/>
    <x v="0"/>
    <m/>
    <n v="4"/>
    <m/>
    <m/>
    <m/>
    <m/>
    <s v="no"/>
    <x v="4"/>
    <x v="0"/>
  </r>
  <r>
    <s v="EMP-2020-0712"/>
    <s v="Frank"/>
    <s v="Flores"/>
    <n v="35"/>
    <n v="35"/>
    <n v="1989"/>
    <n v="61300"/>
    <x v="18"/>
    <x v="1"/>
    <x v="1"/>
    <x v="1"/>
    <s v="Clerk"/>
    <d v="2020-02-20T00:00:00"/>
    <d v="2020-02-20T00:00:00"/>
    <x v="3"/>
    <n v="97"/>
    <s v="frank.flores@saltcorp.com"/>
    <m/>
    <s v="Full-Time"/>
    <x v="1"/>
    <m/>
    <n v="8"/>
    <s v="N/A"/>
    <n v="9"/>
    <m/>
    <m/>
    <s v="no"/>
    <x v="2"/>
    <x v="0"/>
  </r>
  <r>
    <s v="EMP-2020-0713"/>
    <s v="Alice"/>
    <s v="Chen"/>
    <n v="40"/>
    <n v="40"/>
    <n v="1984"/>
    <n v="65000"/>
    <x v="1"/>
    <x v="1"/>
    <x v="4"/>
    <x v="4"/>
    <s v="Manager"/>
    <d v="2020-02-20T00:00:00"/>
    <d v="2020-02-20T00:00:00"/>
    <x v="1"/>
    <n v="27"/>
    <s v="alice.chen@saltcorp.com"/>
    <s v="555-555-5555"/>
    <s v="Full-Time"/>
    <x v="1"/>
    <s v="EMP-2018-0079"/>
    <n v="7"/>
    <n v="2"/>
    <m/>
    <m/>
    <m/>
    <s v="YES"/>
    <x v="2"/>
    <x v="1"/>
  </r>
  <r>
    <s v="EMP-2020-0714"/>
    <s v="Hannah"/>
    <s v="Walker"/>
    <n v="25"/>
    <n v="25"/>
    <n v="1999"/>
    <n v="65000"/>
    <x v="1"/>
    <x v="1"/>
    <x v="0"/>
    <x v="0"/>
    <s v="Analyst"/>
    <d v="2020-01-15T00:00:00"/>
    <d v="2020-01-15T00:00:00"/>
    <x v="1"/>
    <n v="41"/>
    <s v="hannah.walker@saltcorp.com"/>
    <s v="098-765-4321"/>
    <s v="Full-Time"/>
    <x v="1"/>
    <m/>
    <n v="6"/>
    <m/>
    <m/>
    <d v="2021-10-01T00:00:00"/>
    <m/>
    <m/>
    <x v="2"/>
    <x v="0"/>
  </r>
  <r>
    <s v="EMP-2019-0715"/>
    <s v="Grace"/>
    <s v="Olson"/>
    <n v="40"/>
    <n v="40"/>
    <n v="1984"/>
    <n v="50000"/>
    <x v="0"/>
    <x v="1"/>
    <x v="4"/>
    <x v="4"/>
    <s v="Director"/>
    <d v="2019-12-01T00:00:00"/>
    <d v="2019-12-01T00:00:00"/>
    <x v="4"/>
    <n v="83"/>
    <s v="grace.olson@saltcorp.com"/>
    <s v="123-456-7890"/>
    <s v="Part-Time"/>
    <x v="2"/>
    <m/>
    <n v="2"/>
    <m/>
    <m/>
    <m/>
    <n v="17"/>
    <s v="no"/>
    <x v="1"/>
    <x v="1"/>
  </r>
  <r>
    <s v="EMP-2020-0716"/>
    <s v="Jack"/>
    <s v="Medina"/>
    <s v="thirty"/>
    <n v="30"/>
    <n v="1994"/>
    <n v="70000"/>
    <x v="5"/>
    <x v="1"/>
    <x v="2"/>
    <x v="2"/>
    <s v="Manager"/>
    <d v="2020-01-15T00:00:00"/>
    <d v="2020-01-15T00:00:00"/>
    <x v="3"/>
    <n v="99"/>
    <s v="jack.medina@saltcorp.com"/>
    <s v=" "/>
    <s v="contract"/>
    <x v="0"/>
    <m/>
    <n v="7"/>
    <m/>
    <m/>
    <d v="2023-03-05T00:00:00"/>
    <m/>
    <m/>
    <x v="3"/>
    <x v="1"/>
  </r>
  <r>
    <s v="EMP-2018-0717"/>
    <s v="Charlie"/>
    <s v="Burns"/>
    <n v="50"/>
    <n v="50"/>
    <n v="1974"/>
    <n v="65000"/>
    <x v="1"/>
    <x v="1"/>
    <x v="3"/>
    <x v="3"/>
    <s v="Manager"/>
    <d v="2018-04-05T00:00:00"/>
    <d v="2018-04-05T00:00:00"/>
    <x v="3"/>
    <n v="98"/>
    <s v="charlie.burns@saltcorp.com"/>
    <s v="098-765-4321"/>
    <s v="contract"/>
    <x v="0"/>
    <s v="EMP-2020-0087"/>
    <n v="3"/>
    <m/>
    <n v="12"/>
    <d v="2023-03-05T00:00:00"/>
    <n v="49"/>
    <m/>
    <x v="0"/>
    <x v="1"/>
  </r>
  <r>
    <s v="EMP-2020-0718"/>
    <s v="Alice"/>
    <s v="Thompson"/>
    <s v="thirty"/>
    <n v="30"/>
    <n v="1994"/>
    <n v="50000"/>
    <x v="0"/>
    <x v="0"/>
    <x v="0"/>
    <x v="0"/>
    <s v="Analyst"/>
    <d v="2020-02-20T00:00:00"/>
    <d v="2020-02-20T00:00:00"/>
    <x v="3"/>
    <n v="96"/>
    <s v="alice.thompson@saltcorp.com"/>
    <s v="098-765-4321"/>
    <s v="Part-Time"/>
    <x v="2"/>
    <m/>
    <n v="5"/>
    <n v="9"/>
    <n v="15"/>
    <d v="2024-08-12T00:00:00"/>
    <n v="16"/>
    <s v="YES"/>
    <x v="0"/>
    <x v="0"/>
  </r>
  <r>
    <s v="EMP-2018-0719"/>
    <s v="Eve"/>
    <s v="Gomez"/>
    <n v="50"/>
    <n v="50"/>
    <n v="1974"/>
    <n v="65000"/>
    <x v="1"/>
    <x v="1"/>
    <x v="1"/>
    <x v="1"/>
    <s v="Director"/>
    <d v="2018-04-05T00:00:00"/>
    <d v="2018-04-05T00:00:00"/>
    <x v="0"/>
    <n v="67"/>
    <s v="eve.gomez@saltcorp.com"/>
    <m/>
    <s v="Full-Time"/>
    <x v="1"/>
    <m/>
    <n v="8"/>
    <m/>
    <n v="8"/>
    <s v="N/A"/>
    <m/>
    <s v="YES"/>
    <x v="2"/>
    <x v="0"/>
  </r>
  <r>
    <s v="EMP-2018-0720"/>
    <s v="David"/>
    <s v="Williamson"/>
    <n v="50"/>
    <n v="50"/>
    <n v="1974"/>
    <n v="70000"/>
    <x v="5"/>
    <x v="1"/>
    <x v="2"/>
    <x v="2"/>
    <s v="Assistant"/>
    <d v="2018-04-05T00:00:00"/>
    <d v="2018-04-05T00:00:00"/>
    <x v="0"/>
    <n v="60"/>
    <s v="david.williamson@saltcorp.com"/>
    <s v="123-456-7890"/>
    <s v="Part-Time"/>
    <x v="2"/>
    <s v="EMP-2018-0032"/>
    <n v="4"/>
    <n v="4"/>
    <n v="5"/>
    <s v="N/A"/>
    <m/>
    <s v="YES"/>
    <x v="0"/>
    <x v="1"/>
  </r>
  <r>
    <s v="EMP-2019-0721"/>
    <s v="Jack"/>
    <s v="Figueroa"/>
    <n v="35"/>
    <n v="35"/>
    <n v="1989"/>
    <n v="60100"/>
    <x v="10"/>
    <x v="1"/>
    <x v="3"/>
    <x v="3"/>
    <s v="Director"/>
    <d v="2019-03-25T00:00:00"/>
    <d v="2019-03-25T00:00:00"/>
    <x v="4"/>
    <n v="82"/>
    <s v="jack.figueroa@saltcorp.com"/>
    <m/>
    <s v="Part-Time"/>
    <x v="2"/>
    <m/>
    <n v="2"/>
    <m/>
    <n v="13"/>
    <m/>
    <m/>
    <s v="YES"/>
    <x v="3"/>
    <x v="1"/>
  </r>
  <r>
    <s v="EMP-2019-0722"/>
    <s v="Hannah"/>
    <s v="Hughes"/>
    <n v="40"/>
    <n v="40"/>
    <n v="1984"/>
    <s v="SIXTY THOUSAND"/>
    <x v="2"/>
    <x v="1"/>
    <x v="4"/>
    <x v="4"/>
    <s v="Clerk"/>
    <d v="2019-03-25T00:00:00"/>
    <d v="2019-03-25T00:00:00"/>
    <x v="3"/>
    <n v="95"/>
    <s v="hannah.hughes@saltcorp.com"/>
    <m/>
    <s v="Full-Time"/>
    <x v="1"/>
    <m/>
    <n v="5"/>
    <s v="N/A"/>
    <m/>
    <s v="N/A"/>
    <m/>
    <m/>
    <x v="2"/>
    <x v="1"/>
  </r>
  <r>
    <s v="EMP-2018-0723"/>
    <s v="Alice"/>
    <s v="Anderson"/>
    <n v="25"/>
    <n v="25"/>
    <n v="1999"/>
    <n v="70000"/>
    <x v="5"/>
    <x v="0"/>
    <x v="3"/>
    <x v="3"/>
    <s v="Manager"/>
    <d v="2018-04-05T00:00:00"/>
    <d v="2018-04-05T00:00:00"/>
    <x v="3"/>
    <n v="91"/>
    <s v="alice.anderson@saltcorp.com"/>
    <s v="555-555-5555"/>
    <s v="Full-Time"/>
    <x v="1"/>
    <m/>
    <n v="7"/>
    <n v="3"/>
    <n v="7"/>
    <m/>
    <n v="35"/>
    <m/>
    <x v="4"/>
    <x v="0"/>
  </r>
  <r>
    <s v="EMP-2020-0724"/>
    <s v="Jack"/>
    <s v="Burns"/>
    <n v="25"/>
    <n v="25"/>
    <n v="1999"/>
    <n v="55000"/>
    <x v="6"/>
    <x v="0"/>
    <x v="2"/>
    <x v="2"/>
    <s v="Clerk"/>
    <d v="2020-02-20T00:00:00"/>
    <d v="2020-02-20T00:00:00"/>
    <x v="1"/>
    <n v="50"/>
    <s v="jack.burns@saltcorp.com"/>
    <s v=" "/>
    <s v="Part-Time"/>
    <x v="2"/>
    <m/>
    <n v="5"/>
    <s v="N/A"/>
    <n v="17"/>
    <m/>
    <n v="75"/>
    <m/>
    <x v="0"/>
    <x v="0"/>
  </r>
  <r>
    <s v="EMP-2018-0725"/>
    <s v="Alice"/>
    <s v="Wells"/>
    <m/>
    <n v="27"/>
    <n v="1997"/>
    <n v="65000"/>
    <x v="1"/>
    <x v="1"/>
    <x v="2"/>
    <x v="2"/>
    <s v="Assistant"/>
    <d v="2018-04-05T00:00:00"/>
    <d v="2018-04-05T00:00:00"/>
    <x v="1"/>
    <n v="49"/>
    <s v="alice.wells@saltcorp.com"/>
    <s v="098-765-4321"/>
    <s v="Full-Time"/>
    <x v="1"/>
    <m/>
    <n v="4"/>
    <n v="3"/>
    <n v="7"/>
    <m/>
    <n v="57"/>
    <s v="no"/>
    <x v="2"/>
    <x v="1"/>
  </r>
  <r>
    <s v="EMP-2019-0726"/>
    <s v="David"/>
    <s v="Armstrong"/>
    <n v="50"/>
    <n v="50"/>
    <n v="1974"/>
    <n v="65000"/>
    <x v="1"/>
    <x v="1"/>
    <x v="3"/>
    <x v="3"/>
    <s v="Clerk"/>
    <d v="2019-03-25T00:00:00"/>
    <d v="2019-03-25T00:00:00"/>
    <x v="4"/>
    <n v="86"/>
    <s v="david.armstrong@saltcorp.com"/>
    <s v="123-456-7890"/>
    <s v="Part-Time"/>
    <x v="2"/>
    <m/>
    <n v="1"/>
    <m/>
    <m/>
    <d v="2023-03-05T00:00:00"/>
    <m/>
    <m/>
    <x v="3"/>
    <x v="0"/>
  </r>
  <r>
    <s v="EMP-2020-0727"/>
    <s v="Hannah"/>
    <s v="Le"/>
    <n v="25"/>
    <n v="25"/>
    <n v="1999"/>
    <n v="60500"/>
    <x v="7"/>
    <x v="1"/>
    <x v="4"/>
    <x v="4"/>
    <s v="Director"/>
    <d v="2020-02-20T00:00:00"/>
    <d v="2020-02-20T00:00:00"/>
    <x v="3"/>
    <n v="98"/>
    <s v="hannah.le@saltcorp.com"/>
    <s v=" "/>
    <s v="Full-Time"/>
    <x v="1"/>
    <m/>
    <n v="1"/>
    <s v="N/A"/>
    <n v="7"/>
    <m/>
    <n v="69"/>
    <s v="no"/>
    <x v="4"/>
    <x v="0"/>
  </r>
  <r>
    <s v="EMP-2018-0728"/>
    <s v="Eve"/>
    <s v="Knight"/>
    <n v="35"/>
    <n v="35"/>
    <n v="1989"/>
    <n v="55000"/>
    <x v="6"/>
    <x v="1"/>
    <x v="3"/>
    <x v="3"/>
    <s v="Clerk"/>
    <d v="2018-04-05T00:00:00"/>
    <d v="2018-04-05T00:00:00"/>
    <x v="4"/>
    <n v="84"/>
    <s v="eve.knight@saltcorp.com"/>
    <s v=" "/>
    <s v="Full-Time"/>
    <x v="1"/>
    <m/>
    <n v="2"/>
    <n v="8"/>
    <n v="11"/>
    <d v="2024-08-12T00:00:00"/>
    <m/>
    <s v="no"/>
    <x v="0"/>
    <x v="1"/>
  </r>
  <r>
    <s v="EMP-2019-0729"/>
    <s v="Bob"/>
    <s v="Brown"/>
    <n v="50"/>
    <n v="50"/>
    <n v="1974"/>
    <n v="58300"/>
    <x v="12"/>
    <x v="1"/>
    <x v="2"/>
    <x v="2"/>
    <s v="Assistant"/>
    <d v="2019-12-01T00:00:00"/>
    <d v="2019-12-01T00:00:00"/>
    <x v="1"/>
    <n v="25"/>
    <s v="bob.brown@saltcorp.com"/>
    <s v="123-456-7890"/>
    <s v="Full-Time"/>
    <x v="1"/>
    <m/>
    <n v="1"/>
    <n v="0"/>
    <m/>
    <d v="2024-08-12T00:00:00"/>
    <m/>
    <s v="no"/>
    <x v="4"/>
    <x v="0"/>
  </r>
  <r>
    <s v="EMP-2019-0730"/>
    <s v="Frank"/>
    <s v="Flores"/>
    <n v="35"/>
    <n v="35"/>
    <n v="1989"/>
    <n v="55000"/>
    <x v="6"/>
    <x v="1"/>
    <x v="2"/>
    <x v="2"/>
    <s v="Assistant"/>
    <d v="2019-12-01T00:00:00"/>
    <d v="2019-12-01T00:00:00"/>
    <x v="1"/>
    <n v="46"/>
    <s v="frank.flores@saltcorp.com"/>
    <s v=" "/>
    <s v="Full-Time"/>
    <x v="1"/>
    <m/>
    <n v="7"/>
    <m/>
    <m/>
    <d v="2023-03-05T00:00:00"/>
    <m/>
    <m/>
    <x v="1"/>
    <x v="1"/>
  </r>
  <r>
    <s v="EMP-2018-0731"/>
    <s v="Eve"/>
    <s v="Mason"/>
    <n v="25"/>
    <n v="25"/>
    <n v="1999"/>
    <s v="SIXTY THOUSAND"/>
    <x v="2"/>
    <x v="1"/>
    <x v="1"/>
    <x v="1"/>
    <s v="Assistant"/>
    <d v="2018-04-05T00:00:00"/>
    <d v="2018-04-05T00:00:00"/>
    <x v="0"/>
    <n v="61"/>
    <s v="eve.mason@saltcorp.com"/>
    <s v="555-555-5555"/>
    <s v="Full-Time"/>
    <x v="1"/>
    <m/>
    <n v="4"/>
    <m/>
    <m/>
    <s v="N/A"/>
    <m/>
    <s v="no"/>
    <x v="1"/>
    <x v="1"/>
  </r>
  <r>
    <s v="EMP-2020-0732"/>
    <s v="Bob"/>
    <s v="Miller"/>
    <n v="25"/>
    <n v="25"/>
    <n v="1999"/>
    <n v="65000"/>
    <x v="1"/>
    <x v="1"/>
    <x v="1"/>
    <x v="1"/>
    <s v="Director"/>
    <d v="2020-02-20T00:00:00"/>
    <d v="2020-02-20T00:00:00"/>
    <x v="4"/>
    <n v="81"/>
    <s v="bob.miller@saltcorp.com"/>
    <s v=" "/>
    <s v="contract"/>
    <x v="0"/>
    <m/>
    <n v="6"/>
    <m/>
    <n v="17"/>
    <d v="2022-06-20T00:00:00"/>
    <m/>
    <s v="no"/>
    <x v="0"/>
    <x v="0"/>
  </r>
  <r>
    <s v="EMP-2018-0733"/>
    <s v="Charlie"/>
    <s v="Jackson"/>
    <m/>
    <n v="34"/>
    <n v="1990"/>
    <n v="65000"/>
    <x v="1"/>
    <x v="0"/>
    <x v="0"/>
    <x v="0"/>
    <s v="Assistant"/>
    <d v="2018-04-05T00:00:00"/>
    <d v="2018-04-05T00:00:00"/>
    <x v="4"/>
    <n v="84"/>
    <s v="charlie.jackson@saltcorp.com"/>
    <s v="555-555-5555"/>
    <s v="Part-Time"/>
    <x v="2"/>
    <m/>
    <n v="7"/>
    <n v="0"/>
    <m/>
    <d v="2021-10-01T00:00:00"/>
    <m/>
    <s v="YES"/>
    <x v="0"/>
    <x v="1"/>
  </r>
  <r>
    <s v="EMP-2018-0734"/>
    <s v="Ivy"/>
    <s v="Gupta"/>
    <n v="25"/>
    <n v="25"/>
    <n v="1999"/>
    <s v="SIXTY THOUSAND"/>
    <x v="2"/>
    <x v="1"/>
    <x v="2"/>
    <x v="2"/>
    <s v="Manager"/>
    <d v="2018-04-05T00:00:00"/>
    <d v="2018-04-05T00:00:00"/>
    <x v="3"/>
    <n v="92"/>
    <s v="ivy.gupta@saltcorp.com"/>
    <s v="098-765-4321"/>
    <s v="Part-Time"/>
    <x v="2"/>
    <m/>
    <n v="6"/>
    <m/>
    <n v="4"/>
    <s v="N/A"/>
    <m/>
    <s v="no"/>
    <x v="2"/>
    <x v="0"/>
  </r>
  <r>
    <s v="EMP-2019-0735"/>
    <s v="Grace"/>
    <s v="Zhou"/>
    <n v="50"/>
    <n v="50"/>
    <n v="1974"/>
    <n v="50000"/>
    <x v="0"/>
    <x v="0"/>
    <x v="1"/>
    <x v="1"/>
    <s v="Assistant"/>
    <d v="2019-03-25T00:00:00"/>
    <d v="2019-03-25T00:00:00"/>
    <x v="3"/>
    <n v="98"/>
    <s v="grace.zhou@saltcorp.com"/>
    <s v="098-765-4321"/>
    <s v="contract"/>
    <x v="0"/>
    <s v="EMP-2019-0003"/>
    <n v="2"/>
    <n v="7"/>
    <n v="13"/>
    <m/>
    <m/>
    <s v="YES"/>
    <x v="2"/>
    <x v="0"/>
  </r>
  <r>
    <s v="EMP-2019-0736"/>
    <s v="Grace"/>
    <s v="Knight"/>
    <n v="50"/>
    <n v="50"/>
    <n v="1974"/>
    <n v="58600"/>
    <x v="8"/>
    <x v="0"/>
    <x v="3"/>
    <x v="3"/>
    <s v="Clerk"/>
    <d v="2019-12-01T00:00:00"/>
    <d v="2019-12-01T00:00:00"/>
    <x v="0"/>
    <n v="60"/>
    <s v="grace.knight@saltcorp.com"/>
    <m/>
    <s v="contract"/>
    <x v="0"/>
    <m/>
    <n v="3"/>
    <m/>
    <n v="2"/>
    <d v="2023-01-15T00:00:00"/>
    <m/>
    <s v="no"/>
    <x v="1"/>
    <x v="1"/>
  </r>
  <r>
    <s v="EMP-2019-0737"/>
    <s v="Frank"/>
    <s v="Dixon"/>
    <n v="50"/>
    <n v="50"/>
    <n v="1974"/>
    <s v="SIXTY THOUSAND"/>
    <x v="2"/>
    <x v="0"/>
    <x v="4"/>
    <x v="4"/>
    <s v="Clerk"/>
    <d v="2019-03-25T00:00:00"/>
    <d v="2019-03-25T00:00:00"/>
    <x v="2"/>
    <n v="78"/>
    <s v="frank.dixon@saltcorp.com"/>
    <s v="555-555-5555"/>
    <s v="Full-Time"/>
    <x v="1"/>
    <m/>
    <n v="7"/>
    <m/>
    <m/>
    <d v="2022-06-20T00:00:00"/>
    <n v="27"/>
    <s v="YES"/>
    <x v="0"/>
    <x v="0"/>
  </r>
  <r>
    <s v="EMP-2019-0738"/>
    <s v="Hannah"/>
    <s v="Powell"/>
    <m/>
    <n v="35"/>
    <n v="1989"/>
    <n v="58600"/>
    <x v="8"/>
    <x v="0"/>
    <x v="3"/>
    <x v="3"/>
    <s v="Clerk"/>
    <d v="2019-03-25T00:00:00"/>
    <d v="2019-03-25T00:00:00"/>
    <x v="2"/>
    <n v="77"/>
    <s v="hannah.powell@saltcorp.com"/>
    <s v="098-765-4321"/>
    <s v="Full-Time"/>
    <x v="1"/>
    <m/>
    <n v="5"/>
    <m/>
    <m/>
    <m/>
    <n v="48"/>
    <s v="no"/>
    <x v="0"/>
    <x v="0"/>
  </r>
  <r>
    <s v="EMP-2018-0739"/>
    <s v="David"/>
    <s v="Ward"/>
    <m/>
    <n v="47"/>
    <n v="1977"/>
    <n v="70000"/>
    <x v="5"/>
    <x v="0"/>
    <x v="4"/>
    <x v="4"/>
    <s v="Director"/>
    <d v="2018-04-05T00:00:00"/>
    <d v="2018-04-05T00:00:00"/>
    <x v="2"/>
    <n v="77"/>
    <s v="david.ward@saltcorp.com"/>
    <s v=" "/>
    <s v="Full-Time"/>
    <x v="1"/>
    <m/>
    <n v="5"/>
    <n v="0"/>
    <n v="11"/>
    <m/>
    <n v="61"/>
    <s v="YES"/>
    <x v="4"/>
    <x v="1"/>
  </r>
  <r>
    <s v="EMP-2019-0740"/>
    <s v="Hannah"/>
    <s v="Lucas"/>
    <n v="25"/>
    <n v="25"/>
    <n v="1999"/>
    <n v="65000"/>
    <x v="1"/>
    <x v="0"/>
    <x v="1"/>
    <x v="1"/>
    <s v="Clerk"/>
    <d v="2019-03-25T00:00:00"/>
    <d v="2019-03-25T00:00:00"/>
    <x v="4"/>
    <n v="82"/>
    <s v="hannah.lucas@saltcorp.com"/>
    <s v="123-456-7890"/>
    <s v="Part-Time"/>
    <x v="2"/>
    <m/>
    <n v="7"/>
    <m/>
    <n v="18"/>
    <m/>
    <n v="21"/>
    <s v="YES"/>
    <x v="1"/>
    <x v="0"/>
  </r>
  <r>
    <s v="EMP-2019-0741"/>
    <s v="David"/>
    <s v="Sullivan"/>
    <s v="thirty"/>
    <n v="30"/>
    <n v="1994"/>
    <n v="60900"/>
    <x v="15"/>
    <x v="1"/>
    <x v="0"/>
    <x v="0"/>
    <s v="Director"/>
    <d v="2019-12-01T00:00:00"/>
    <d v="2019-12-01T00:00:00"/>
    <x v="4"/>
    <n v="81"/>
    <s v="david.sullivan@saltcorp.com"/>
    <s v="123-456-7890"/>
    <s v="Part-Time"/>
    <x v="2"/>
    <m/>
    <n v="6"/>
    <m/>
    <m/>
    <m/>
    <n v="51"/>
    <m/>
    <x v="4"/>
    <x v="0"/>
  </r>
  <r>
    <s v="EMP-2019-0742"/>
    <s v="Hannah"/>
    <s v="Brooks"/>
    <s v="thirty"/>
    <n v="30"/>
    <n v="1994"/>
    <n v="55000"/>
    <x v="6"/>
    <x v="0"/>
    <x v="3"/>
    <x v="3"/>
    <s v="Director"/>
    <d v="2019-03-25T00:00:00"/>
    <d v="2019-03-25T00:00:00"/>
    <x v="1"/>
    <n v="30"/>
    <s v="hannah.brooks@saltcorp.com"/>
    <s v="555-555-5555"/>
    <s v="contract"/>
    <x v="0"/>
    <m/>
    <n v="5"/>
    <m/>
    <n v="15"/>
    <m/>
    <m/>
    <s v="YES"/>
    <x v="0"/>
    <x v="0"/>
  </r>
  <r>
    <s v="EMP-2019-0743"/>
    <s v="Ivy"/>
    <s v="Davidson"/>
    <m/>
    <n v="40"/>
    <n v="1984"/>
    <n v="59800"/>
    <x v="21"/>
    <x v="1"/>
    <x v="3"/>
    <x v="3"/>
    <s v="Assistant"/>
    <d v="2019-12-01T00:00:00"/>
    <d v="2019-12-01T00:00:00"/>
    <x v="4"/>
    <n v="86"/>
    <s v="ivy.davidson@saltcorp.com"/>
    <m/>
    <s v="contract"/>
    <x v="0"/>
    <m/>
    <n v="7"/>
    <s v="N/A"/>
    <n v="14"/>
    <m/>
    <m/>
    <s v="no"/>
    <x v="1"/>
    <x v="1"/>
  </r>
  <r>
    <s v="EMP-2019-0744"/>
    <s v="Charlie"/>
    <s v="Harris"/>
    <n v="25"/>
    <n v="25"/>
    <n v="1999"/>
    <n v="70000"/>
    <x v="5"/>
    <x v="1"/>
    <x v="3"/>
    <x v="3"/>
    <s v="Manager"/>
    <d v="2019-03-25T00:00:00"/>
    <d v="2019-03-25T00:00:00"/>
    <x v="4"/>
    <n v="88"/>
    <s v="charlie.harris@saltcorp.com"/>
    <s v=" "/>
    <s v="Full-Time"/>
    <x v="1"/>
    <s v="EMP-2018-0001"/>
    <n v="4"/>
    <m/>
    <n v="4"/>
    <s v="N/A"/>
    <n v="18"/>
    <s v="YES"/>
    <x v="3"/>
    <x v="1"/>
  </r>
  <r>
    <s v="EMP-2019-0745"/>
    <s v="Charlie"/>
    <s v="Schmidt"/>
    <s v="thirty"/>
    <n v="30"/>
    <n v="1994"/>
    <n v="65000"/>
    <x v="1"/>
    <x v="1"/>
    <x v="4"/>
    <x v="4"/>
    <s v="Assistant"/>
    <d v="2019-12-01T00:00:00"/>
    <d v="2019-12-01T00:00:00"/>
    <x v="4"/>
    <n v="86"/>
    <s v="charlie.schmidt@saltcorp.com"/>
    <s v="555-555-5555"/>
    <s v="Full-Time"/>
    <x v="1"/>
    <s v="EMP-2018-0076"/>
    <n v="7"/>
    <m/>
    <m/>
    <d v="2023-01-15T00:00:00"/>
    <n v="60"/>
    <s v="YES"/>
    <x v="0"/>
    <x v="1"/>
  </r>
  <r>
    <s v="EMP-2019-0746"/>
    <s v="Bob"/>
    <s v="Rodriguez"/>
    <n v="25"/>
    <n v="25"/>
    <n v="1999"/>
    <s v="SIXTY THOUSAND"/>
    <x v="2"/>
    <x v="1"/>
    <x v="1"/>
    <x v="1"/>
    <s v="Assistant"/>
    <d v="2019-03-25T00:00:00"/>
    <d v="2019-03-25T00:00:00"/>
    <x v="0"/>
    <n v="61"/>
    <s v="bob.rodriguez@saltcorp.com"/>
    <s v="123-456-7890"/>
    <s v="Full-Time"/>
    <x v="1"/>
    <s v="EMP-2019-0002"/>
    <n v="8"/>
    <m/>
    <m/>
    <s v="N/A"/>
    <m/>
    <s v="YES"/>
    <x v="3"/>
    <x v="1"/>
  </r>
  <r>
    <s v="EMP-2019-0747"/>
    <s v="Jack"/>
    <s v="Sullivan"/>
    <n v="25"/>
    <n v="25"/>
    <n v="1999"/>
    <n v="70000"/>
    <x v="5"/>
    <x v="0"/>
    <x v="3"/>
    <x v="3"/>
    <s v="Director"/>
    <d v="2019-03-25T00:00:00"/>
    <d v="2019-03-25T00:00:00"/>
    <x v="4"/>
    <n v="80"/>
    <s v="jack.sullivan@saltcorp.com"/>
    <s v="555-555-5555"/>
    <s v="Full-Time"/>
    <x v="1"/>
    <m/>
    <n v="3"/>
    <s v="N/A"/>
    <m/>
    <m/>
    <m/>
    <s v="no"/>
    <x v="1"/>
    <x v="1"/>
  </r>
  <r>
    <s v="EMP-2020-0748"/>
    <s v="Charlie"/>
    <s v="Clark"/>
    <n v="25"/>
    <n v="25"/>
    <n v="1999"/>
    <n v="65000"/>
    <x v="1"/>
    <x v="0"/>
    <x v="3"/>
    <x v="3"/>
    <s v="Director"/>
    <d v="2020-02-20T00:00:00"/>
    <d v="2020-02-20T00:00:00"/>
    <x v="3"/>
    <n v="98"/>
    <s v="charlie.clark@saltcorp.com"/>
    <s v=" "/>
    <s v="Full-Time"/>
    <x v="1"/>
    <m/>
    <n v="6"/>
    <n v="10"/>
    <m/>
    <m/>
    <m/>
    <s v="no"/>
    <x v="2"/>
    <x v="0"/>
  </r>
  <r>
    <s v="EMP-2019-0749"/>
    <s v="Charlie"/>
    <s v="Bishop"/>
    <n v="40"/>
    <n v="40"/>
    <n v="1984"/>
    <n v="58800"/>
    <x v="17"/>
    <x v="1"/>
    <x v="0"/>
    <x v="0"/>
    <s v="Clerk"/>
    <d v="2019-12-01T00:00:00"/>
    <d v="2019-12-01T00:00:00"/>
    <x v="3"/>
    <n v="97"/>
    <s v="charlie.bishop@saltcorp.com"/>
    <s v="098-765-4321"/>
    <s v="Full-Time"/>
    <x v="1"/>
    <m/>
    <n v="8"/>
    <s v="N/A"/>
    <n v="16"/>
    <d v="2023-03-05T00:00:00"/>
    <m/>
    <s v="YES"/>
    <x v="4"/>
    <x v="1"/>
  </r>
  <r>
    <s v="EMP-2019-0750"/>
    <s v="Eve"/>
    <s v="Bell"/>
    <n v="50"/>
    <n v="50"/>
    <n v="1974"/>
    <n v="50000"/>
    <x v="0"/>
    <x v="0"/>
    <x v="0"/>
    <x v="0"/>
    <s v="Clerk"/>
    <d v="2019-12-01T00:00:00"/>
    <d v="2019-12-01T00:00:00"/>
    <x v="1"/>
    <n v="12"/>
    <s v="eve.bell@saltcorp.com"/>
    <s v=" "/>
    <s v="Full-Time"/>
    <x v="1"/>
    <m/>
    <n v="5"/>
    <m/>
    <m/>
    <m/>
    <m/>
    <s v="YES"/>
    <x v="3"/>
    <x v="0"/>
  </r>
  <r>
    <s v="EMP-2019-0751"/>
    <s v="Eve"/>
    <s v="Carter"/>
    <n v="25"/>
    <n v="25"/>
    <n v="1999"/>
    <n v="50000"/>
    <x v="0"/>
    <x v="1"/>
    <x v="1"/>
    <x v="1"/>
    <s v="Assistant"/>
    <d v="2019-12-01T00:00:00"/>
    <d v="2019-12-01T00:00:00"/>
    <x v="0"/>
    <n v="69"/>
    <s v="eve.carter@saltcorp.com"/>
    <s v="098-765-4321"/>
    <s v="Part-Time"/>
    <x v="2"/>
    <m/>
    <n v="5"/>
    <m/>
    <n v="6"/>
    <m/>
    <n v="79"/>
    <m/>
    <x v="4"/>
    <x v="1"/>
  </r>
  <r>
    <s v="EMP-2020-0752"/>
    <s v="Bob"/>
    <s v="Byrd"/>
    <n v="40"/>
    <n v="40"/>
    <n v="1984"/>
    <n v="55000"/>
    <x v="6"/>
    <x v="0"/>
    <x v="1"/>
    <x v="1"/>
    <s v="Analyst"/>
    <d v="2020-01-15T00:00:00"/>
    <d v="2020-01-15T00:00:00"/>
    <x v="3"/>
    <n v="97"/>
    <s v="bob.byrd@saltcorp.com"/>
    <s v="098-765-4321"/>
    <s v="Part-Time"/>
    <x v="2"/>
    <s v="EMP-2020-0073"/>
    <n v="6"/>
    <n v="1"/>
    <n v="5"/>
    <m/>
    <m/>
    <s v="no"/>
    <x v="4"/>
    <x v="1"/>
  </r>
  <r>
    <s v="EMP-2019-0753"/>
    <s v="Jack"/>
    <s v="Aguilar"/>
    <m/>
    <n v="39"/>
    <n v="1985"/>
    <n v="65000"/>
    <x v="1"/>
    <x v="0"/>
    <x v="2"/>
    <x v="2"/>
    <s v="Analyst"/>
    <d v="2019-03-25T00:00:00"/>
    <d v="2019-03-25T00:00:00"/>
    <x v="0"/>
    <n v="62"/>
    <s v="jack.aguilar@saltcorp.com"/>
    <s v="098-765-4321"/>
    <s v="Full-Time"/>
    <x v="1"/>
    <m/>
    <n v="7"/>
    <s v="N/A"/>
    <m/>
    <d v="2023-03-05T00:00:00"/>
    <n v="22"/>
    <s v="no"/>
    <x v="0"/>
    <x v="0"/>
  </r>
  <r>
    <s v="EMP-2019-0754"/>
    <s v="Frank"/>
    <s v="Ramirez"/>
    <s v="thirty"/>
    <n v="30"/>
    <n v="1994"/>
    <n v="50000"/>
    <x v="0"/>
    <x v="0"/>
    <x v="0"/>
    <x v="0"/>
    <s v="Clerk"/>
    <d v="2019-12-01T00:00:00"/>
    <d v="2019-12-01T00:00:00"/>
    <x v="0"/>
    <n v="68"/>
    <s v="frank.ramirez@saltcorp.com"/>
    <s v="555-555-5555"/>
    <s v="contract"/>
    <x v="0"/>
    <s v="EMP-2020-0096"/>
    <n v="3"/>
    <s v="N/A"/>
    <n v="20"/>
    <m/>
    <n v="70"/>
    <s v="no"/>
    <x v="0"/>
    <x v="1"/>
  </r>
  <r>
    <s v="EMP-2020-0755"/>
    <s v="Eve"/>
    <s v="Carter"/>
    <n v="50"/>
    <n v="50"/>
    <n v="1974"/>
    <s v="SIXTY THOUSAND"/>
    <x v="2"/>
    <x v="1"/>
    <x v="2"/>
    <x v="2"/>
    <s v="Analyst"/>
    <d v="2020-01-15T00:00:00"/>
    <d v="2020-01-15T00:00:00"/>
    <x v="1"/>
    <n v="48"/>
    <s v="eve.carter@saltcorp.com"/>
    <s v="123-456-7890"/>
    <s v="Part-Time"/>
    <x v="2"/>
    <m/>
    <n v="2"/>
    <m/>
    <m/>
    <m/>
    <n v="39"/>
    <s v="YES"/>
    <x v="2"/>
    <x v="0"/>
  </r>
  <r>
    <s v="EMP-2020-0756"/>
    <s v="Frank"/>
    <s v="Torres"/>
    <s v="thirty"/>
    <n v="30"/>
    <n v="1994"/>
    <n v="65000"/>
    <x v="1"/>
    <x v="0"/>
    <x v="4"/>
    <x v="4"/>
    <s v="Clerk"/>
    <d v="2020-02-20T00:00:00"/>
    <d v="2020-02-20T00:00:00"/>
    <x v="0"/>
    <n v="61"/>
    <s v="frank.torres@saltcorp.com"/>
    <s v="555-555-5555"/>
    <s v="Full-Time"/>
    <x v="1"/>
    <s v="EMP-2019-0028"/>
    <n v="4"/>
    <m/>
    <n v="20"/>
    <m/>
    <m/>
    <s v="YES"/>
    <x v="3"/>
    <x v="1"/>
  </r>
  <r>
    <s v="EMP-2019-0757"/>
    <s v="Alice"/>
    <s v="Anderson"/>
    <n v="50"/>
    <n v="50"/>
    <n v="1974"/>
    <s v="SIXTY THOUSAND"/>
    <x v="2"/>
    <x v="0"/>
    <x v="2"/>
    <x v="2"/>
    <s v="Director"/>
    <d v="2019-12-01T00:00:00"/>
    <d v="2019-12-01T00:00:00"/>
    <x v="4"/>
    <n v="83"/>
    <s v="alice.anderson@saltcorp.com"/>
    <s v="123-456-7890"/>
    <s v="Full-Time"/>
    <x v="1"/>
    <m/>
    <n v="8"/>
    <s v="N/A"/>
    <n v="3"/>
    <d v="2024-08-12T00:00:00"/>
    <m/>
    <s v="no"/>
    <x v="2"/>
    <x v="0"/>
  </r>
  <r>
    <s v="EMP-2019-0758"/>
    <s v="Eve"/>
    <s v="Rogers"/>
    <s v="thirty"/>
    <n v="30"/>
    <n v="1994"/>
    <s v="SIXTY THOUSAND"/>
    <x v="2"/>
    <x v="1"/>
    <x v="3"/>
    <x v="3"/>
    <s v="Assistant"/>
    <d v="2019-12-01T00:00:00"/>
    <d v="2019-12-01T00:00:00"/>
    <x v="0"/>
    <n v="60"/>
    <s v="eve.rogers@saltcorp.com"/>
    <s v=" "/>
    <s v="Part-Time"/>
    <x v="2"/>
    <m/>
    <n v="3"/>
    <m/>
    <m/>
    <m/>
    <m/>
    <m/>
    <x v="4"/>
    <x v="1"/>
  </r>
  <r>
    <s v="EMP-2020-0759"/>
    <s v="Ivy"/>
    <s v="Gupta"/>
    <n v="50"/>
    <n v="50"/>
    <n v="1974"/>
    <n v="50000"/>
    <x v="0"/>
    <x v="1"/>
    <x v="2"/>
    <x v="2"/>
    <s v="Manager"/>
    <d v="2020-01-15T00:00:00"/>
    <d v="2020-01-15T00:00:00"/>
    <x v="1"/>
    <n v="29"/>
    <s v="ivy.gupta@saltcorp.com"/>
    <m/>
    <s v="Part-Time"/>
    <x v="2"/>
    <s v="EMP-2019-0041"/>
    <n v="2"/>
    <s v="N/A"/>
    <n v="17"/>
    <d v="2023-01-15T00:00:00"/>
    <n v="66"/>
    <s v="YES"/>
    <x v="3"/>
    <x v="0"/>
  </r>
  <r>
    <s v="EMP-2019-0760"/>
    <s v="Jack"/>
    <s v="Murphy"/>
    <s v="thirty"/>
    <n v="30"/>
    <n v="1994"/>
    <n v="65000"/>
    <x v="1"/>
    <x v="0"/>
    <x v="1"/>
    <x v="1"/>
    <s v="Assistant"/>
    <d v="2019-03-25T00:00:00"/>
    <d v="2019-03-25T00:00:00"/>
    <x v="1"/>
    <n v="8"/>
    <s v="jack.murphy@saltcorp.com"/>
    <s v=" "/>
    <s v="Full-Time"/>
    <x v="1"/>
    <s v="EMP-2020-0011"/>
    <n v="4"/>
    <s v="N/A"/>
    <m/>
    <d v="2021-10-01T00:00:00"/>
    <n v="27"/>
    <s v="no"/>
    <x v="1"/>
    <x v="0"/>
  </r>
  <r>
    <s v="EMP-2020-0761"/>
    <s v="Bob"/>
    <s v="Davis"/>
    <s v="thirty"/>
    <n v="30"/>
    <n v="1994"/>
    <n v="58600"/>
    <x v="8"/>
    <x v="0"/>
    <x v="4"/>
    <x v="4"/>
    <s v="Clerk"/>
    <d v="2020-02-20T00:00:00"/>
    <d v="2020-02-20T00:00:00"/>
    <x v="1"/>
    <n v="36"/>
    <s v="bob.davis@saltcorp.com"/>
    <s v="555-555-5555"/>
    <s v="Full-Time"/>
    <x v="1"/>
    <m/>
    <n v="7"/>
    <n v="2"/>
    <m/>
    <m/>
    <m/>
    <s v="YES"/>
    <x v="0"/>
    <x v="0"/>
  </r>
  <r>
    <s v="EMP-2019-0762"/>
    <s v="Alice"/>
    <s v="Baker"/>
    <s v="thirty"/>
    <n v="30"/>
    <n v="1994"/>
    <n v="70000"/>
    <x v="5"/>
    <x v="1"/>
    <x v="3"/>
    <x v="3"/>
    <s v="Clerk"/>
    <d v="2019-12-01T00:00:00"/>
    <d v="2019-12-01T00:00:00"/>
    <x v="3"/>
    <n v="90"/>
    <s v="alice.baker@saltcorp.com"/>
    <s v="555-555-5555"/>
    <s v="Full-Time"/>
    <x v="1"/>
    <m/>
    <n v="6"/>
    <n v="12"/>
    <n v="18"/>
    <m/>
    <m/>
    <s v="no"/>
    <x v="4"/>
    <x v="0"/>
  </r>
  <r>
    <s v="EMP-2019-0763"/>
    <s v="Jack"/>
    <s v="Ross"/>
    <s v="thirty"/>
    <n v="30"/>
    <n v="1994"/>
    <n v="50000"/>
    <x v="0"/>
    <x v="1"/>
    <x v="2"/>
    <x v="2"/>
    <s v="Assistant"/>
    <d v="2019-03-25T00:00:00"/>
    <d v="2019-03-25T00:00:00"/>
    <x v="4"/>
    <n v="85"/>
    <s v="jack.ross@saltcorp.com"/>
    <s v="123-456-7890"/>
    <s v="Part-Time"/>
    <x v="2"/>
    <m/>
    <n v="1"/>
    <m/>
    <n v="15"/>
    <m/>
    <m/>
    <s v="YES"/>
    <x v="0"/>
    <x v="1"/>
  </r>
  <r>
    <s v="EMP-2020-0764"/>
    <s v="Ivy"/>
    <s v="Desai"/>
    <m/>
    <n v="30"/>
    <n v="1994"/>
    <n v="50000"/>
    <x v="0"/>
    <x v="1"/>
    <x v="4"/>
    <x v="4"/>
    <s v="Clerk"/>
    <d v="2020-02-20T00:00:00"/>
    <d v="2020-02-20T00:00:00"/>
    <x v="3"/>
    <n v="97"/>
    <s v="ivy.desai@saltcorp.com"/>
    <s v="555-555-5555"/>
    <s v="Full-Time"/>
    <x v="1"/>
    <s v="EMP-2020-0066"/>
    <n v="3"/>
    <m/>
    <m/>
    <m/>
    <m/>
    <s v="YES"/>
    <x v="4"/>
    <x v="0"/>
  </r>
  <r>
    <s v="EMP-2018-0765"/>
    <s v="Jack"/>
    <s v="Le"/>
    <n v="25"/>
    <n v="25"/>
    <n v="1999"/>
    <n v="60300"/>
    <x v="14"/>
    <x v="0"/>
    <x v="4"/>
    <x v="4"/>
    <s v="Analyst"/>
    <d v="2018-04-05T00:00:00"/>
    <d v="2018-04-05T00:00:00"/>
    <x v="2"/>
    <n v="71"/>
    <s v="jack.le@saltcorp.com"/>
    <s v="098-765-4321"/>
    <s v="Full-Time"/>
    <x v="1"/>
    <s v="EMP-2019-0083"/>
    <n v="7"/>
    <m/>
    <m/>
    <d v="2021-10-01T00:00:00"/>
    <m/>
    <s v="YES"/>
    <x v="4"/>
    <x v="0"/>
  </r>
  <r>
    <s v="EMP-2018-0766"/>
    <s v="Ivy"/>
    <s v="Aguilar"/>
    <n v="35"/>
    <n v="35"/>
    <n v="1989"/>
    <n v="65000"/>
    <x v="1"/>
    <x v="0"/>
    <x v="3"/>
    <x v="3"/>
    <s v="Analyst"/>
    <d v="2018-04-05T00:00:00"/>
    <d v="2018-04-05T00:00:00"/>
    <x v="4"/>
    <n v="87"/>
    <s v="ivy.aguilar@saltcorp.com"/>
    <s v="555-555-5555"/>
    <s v="contract"/>
    <x v="0"/>
    <m/>
    <n v="1"/>
    <n v="12"/>
    <m/>
    <m/>
    <m/>
    <s v="YES"/>
    <x v="4"/>
    <x v="0"/>
  </r>
  <r>
    <s v="EMP-2020-0767"/>
    <s v="Ivy"/>
    <s v="Singh"/>
    <n v="40"/>
    <n v="40"/>
    <n v="1984"/>
    <n v="65000"/>
    <x v="1"/>
    <x v="1"/>
    <x v="2"/>
    <x v="2"/>
    <s v="Clerk"/>
    <d v="2020-02-20T00:00:00"/>
    <d v="2020-02-20T00:00:00"/>
    <x v="0"/>
    <n v="63"/>
    <s v="ivy.singh@saltcorp.com"/>
    <s v="123-456-7890"/>
    <s v="Part-Time"/>
    <x v="2"/>
    <m/>
    <n v="2"/>
    <s v="N/A"/>
    <m/>
    <m/>
    <m/>
    <s v="YES"/>
    <x v="1"/>
    <x v="0"/>
  </r>
  <r>
    <s v="EMP-2020-0768"/>
    <s v="Frank"/>
    <s v="Matthews"/>
    <n v="35"/>
    <n v="35"/>
    <n v="1989"/>
    <s v="SIXTY THOUSAND"/>
    <x v="2"/>
    <x v="0"/>
    <x v="4"/>
    <x v="4"/>
    <s v="Clerk"/>
    <d v="2020-01-15T00:00:00"/>
    <d v="2020-01-15T00:00:00"/>
    <x v="1"/>
    <n v="5"/>
    <s v="frank.matthews@saltcorp.com"/>
    <s v="123-456-7890"/>
    <s v="Part-Time"/>
    <x v="2"/>
    <m/>
    <n v="3"/>
    <s v="N/A"/>
    <m/>
    <d v="2022-06-20T00:00:00"/>
    <n v="55"/>
    <s v="YES"/>
    <x v="0"/>
    <x v="1"/>
  </r>
  <r>
    <s v="EMP-2020-0769"/>
    <s v="Hannah"/>
    <s v="Hughes"/>
    <n v="35"/>
    <n v="35"/>
    <n v="1989"/>
    <n v="60300"/>
    <x v="14"/>
    <x v="1"/>
    <x v="4"/>
    <x v="4"/>
    <s v="Analyst"/>
    <d v="2020-02-20T00:00:00"/>
    <d v="2020-02-20T00:00:00"/>
    <x v="2"/>
    <n v="79"/>
    <s v="hannah.hughes@saltcorp.com"/>
    <s v="098-765-4321"/>
    <s v="Part-Time"/>
    <x v="2"/>
    <m/>
    <n v="8"/>
    <s v="N/A"/>
    <n v="10"/>
    <d v="2021-10-01T00:00:00"/>
    <n v="21"/>
    <s v="no"/>
    <x v="0"/>
    <x v="0"/>
  </r>
  <r>
    <s v="EMP-2020-0770"/>
    <s v="Alice"/>
    <s v="Lee"/>
    <n v="50"/>
    <n v="50"/>
    <n v="1974"/>
    <n v="58800"/>
    <x v="17"/>
    <x v="1"/>
    <x v="0"/>
    <x v="0"/>
    <s v="Clerk"/>
    <d v="2020-02-20T00:00:00"/>
    <d v="2020-02-20T00:00:00"/>
    <x v="4"/>
    <n v="82"/>
    <s v="alice.lee@saltcorp.com"/>
    <s v="123-456-7890"/>
    <s v="contract"/>
    <x v="0"/>
    <m/>
    <n v="7"/>
    <s v="N/A"/>
    <m/>
    <m/>
    <m/>
    <s v="no"/>
    <x v="4"/>
    <x v="0"/>
  </r>
  <r>
    <s v="EMP-2020-0771"/>
    <s v="Jack"/>
    <s v="O'Neill"/>
    <n v="25"/>
    <n v="25"/>
    <n v="1999"/>
    <n v="65000"/>
    <x v="1"/>
    <x v="0"/>
    <x v="4"/>
    <x v="4"/>
    <s v="Clerk"/>
    <d v="2020-01-15T00:00:00"/>
    <d v="2020-01-15T00:00:00"/>
    <x v="3"/>
    <n v="96"/>
    <s v="jack.o'neill@saltcorp.com"/>
    <m/>
    <s v="Full-Time"/>
    <x v="1"/>
    <m/>
    <n v="2"/>
    <s v="N/A"/>
    <n v="16"/>
    <d v="2021-10-01T00:00:00"/>
    <n v="41"/>
    <s v="YES"/>
    <x v="3"/>
    <x v="1"/>
  </r>
  <r>
    <s v="EMP-2020-0772"/>
    <s v="David"/>
    <s v="Kim"/>
    <n v="50"/>
    <n v="50"/>
    <n v="1974"/>
    <s v="SIXTY THOUSAND"/>
    <x v="2"/>
    <x v="0"/>
    <x v="0"/>
    <x v="0"/>
    <s v="Assistant"/>
    <d v="2020-01-15T00:00:00"/>
    <d v="2020-01-15T00:00:00"/>
    <x v="1"/>
    <n v="35"/>
    <s v="david.kim@saltcorp.com"/>
    <s v=" "/>
    <s v="Full-Time"/>
    <x v="1"/>
    <s v="EMP-2018-0076"/>
    <n v="2"/>
    <n v="4"/>
    <n v="12"/>
    <d v="2021-10-01T00:00:00"/>
    <m/>
    <s v="YES"/>
    <x v="3"/>
    <x v="1"/>
  </r>
  <r>
    <s v="EMP-2019-0773"/>
    <s v="Alice"/>
    <s v="Anderson"/>
    <n v="25"/>
    <n v="25"/>
    <n v="1999"/>
    <n v="50000"/>
    <x v="0"/>
    <x v="1"/>
    <x v="2"/>
    <x v="2"/>
    <s v="Manager"/>
    <d v="2019-03-25T00:00:00"/>
    <d v="2019-03-25T00:00:00"/>
    <x v="3"/>
    <n v="98"/>
    <s v="alice.anderson@saltcorp.com"/>
    <s v="555-555-5555"/>
    <s v="Part-Time"/>
    <x v="2"/>
    <s v="EMP-2018-0006"/>
    <n v="5"/>
    <n v="1"/>
    <n v="4"/>
    <d v="2021-10-01T00:00:00"/>
    <n v="8"/>
    <m/>
    <x v="2"/>
    <x v="0"/>
  </r>
  <r>
    <s v="EMP-2019-0774"/>
    <s v="Hannah"/>
    <s v="Foster"/>
    <n v="25"/>
    <n v="25"/>
    <n v="1999"/>
    <n v="55000"/>
    <x v="6"/>
    <x v="1"/>
    <x v="2"/>
    <x v="2"/>
    <s v="Analyst"/>
    <d v="2019-03-25T00:00:00"/>
    <d v="2019-03-25T00:00:00"/>
    <x v="4"/>
    <n v="81"/>
    <s v="hannah.foster@saltcorp.com"/>
    <m/>
    <s v="Full-Time"/>
    <x v="1"/>
    <m/>
    <n v="4"/>
    <m/>
    <m/>
    <d v="2022-06-20T00:00:00"/>
    <m/>
    <s v="YES"/>
    <x v="0"/>
    <x v="0"/>
  </r>
  <r>
    <s v="EMP-2020-0775"/>
    <s v="Alice"/>
    <s v="Martinez"/>
    <s v="thirty"/>
    <n v="30"/>
    <n v="1994"/>
    <n v="70000"/>
    <x v="5"/>
    <x v="1"/>
    <x v="2"/>
    <x v="2"/>
    <s v="Assistant"/>
    <d v="2020-01-15T00:00:00"/>
    <d v="2020-01-15T00:00:00"/>
    <x v="4"/>
    <n v="82"/>
    <s v="alice.martinez@saltcorp.com"/>
    <s v="555-555-5555"/>
    <s v="contract"/>
    <x v="0"/>
    <m/>
    <n v="6"/>
    <m/>
    <m/>
    <d v="2023-03-05T00:00:00"/>
    <m/>
    <s v="YES"/>
    <x v="0"/>
    <x v="1"/>
  </r>
  <r>
    <s v="EMP-2018-0776"/>
    <s v="Charlie"/>
    <s v="Lucas"/>
    <m/>
    <n v="46"/>
    <n v="1978"/>
    <n v="50000"/>
    <x v="0"/>
    <x v="0"/>
    <x v="1"/>
    <x v="1"/>
    <s v="Manager"/>
    <d v="2018-04-05T00:00:00"/>
    <d v="2018-04-05T00:00:00"/>
    <x v="2"/>
    <n v="79"/>
    <s v="charlie.lucas@saltcorp.com"/>
    <m/>
    <s v="Part-Time"/>
    <x v="2"/>
    <m/>
    <n v="2"/>
    <n v="3"/>
    <m/>
    <d v="2023-03-05T00:00:00"/>
    <m/>
    <s v="no"/>
    <x v="1"/>
    <x v="0"/>
  </r>
  <r>
    <s v="EMP-2018-0777"/>
    <s v="David"/>
    <s v="Cohen"/>
    <s v="thirty"/>
    <n v="30"/>
    <n v="1994"/>
    <n v="65000"/>
    <x v="1"/>
    <x v="0"/>
    <x v="2"/>
    <x v="2"/>
    <s v="Clerk"/>
    <d v="2018-04-05T00:00:00"/>
    <d v="2018-04-05T00:00:00"/>
    <x v="0"/>
    <n v="63"/>
    <s v="david.cohen@saltcorp.com"/>
    <s v="555-555-5555"/>
    <s v="Full-Time"/>
    <x v="1"/>
    <m/>
    <n v="1"/>
    <s v="N/A"/>
    <m/>
    <m/>
    <m/>
    <s v="YES"/>
    <x v="1"/>
    <x v="0"/>
  </r>
  <r>
    <s v="EMP-2020-0778"/>
    <s v="Hannah"/>
    <s v="Perry"/>
    <m/>
    <n v="36"/>
    <n v="1988"/>
    <n v="70000"/>
    <x v="5"/>
    <x v="1"/>
    <x v="4"/>
    <x v="4"/>
    <s v="Clerk"/>
    <d v="2020-02-20T00:00:00"/>
    <d v="2020-02-20T00:00:00"/>
    <x v="3"/>
    <n v="100"/>
    <s v="hannah.perry@saltcorp.com"/>
    <s v="098-765-4321"/>
    <s v="Full-Time"/>
    <x v="1"/>
    <m/>
    <n v="7"/>
    <s v="N/A"/>
    <m/>
    <d v="2021-10-01T00:00:00"/>
    <m/>
    <s v="no"/>
    <x v="2"/>
    <x v="0"/>
  </r>
  <r>
    <s v="EMP-2019-0779"/>
    <s v="Frank"/>
    <s v="Hoffman"/>
    <n v="50"/>
    <n v="50"/>
    <n v="1974"/>
    <n v="55000"/>
    <x v="6"/>
    <x v="0"/>
    <x v="3"/>
    <x v="3"/>
    <s v="Assistant"/>
    <d v="2019-12-01T00:00:00"/>
    <d v="2019-12-01T00:00:00"/>
    <x v="2"/>
    <n v="70"/>
    <s v="frank.hoffman@saltcorp.com"/>
    <s v="123-456-7890"/>
    <s v="Part-Time"/>
    <x v="2"/>
    <m/>
    <n v="7"/>
    <n v="10"/>
    <n v="1"/>
    <s v="N/A"/>
    <m/>
    <m/>
    <x v="0"/>
    <x v="0"/>
  </r>
  <r>
    <s v="EMP-2020-0780"/>
    <s v="Jack"/>
    <s v="Jordan"/>
    <m/>
    <n v="30"/>
    <n v="1994"/>
    <n v="55000"/>
    <x v="6"/>
    <x v="0"/>
    <x v="0"/>
    <x v="0"/>
    <s v="Clerk"/>
    <d v="2020-02-20T00:00:00"/>
    <d v="2020-02-20T00:00:00"/>
    <x v="1"/>
    <n v="31"/>
    <s v="jack.jordan@saltcorp.com"/>
    <s v="123-456-7890"/>
    <s v="Full-Time"/>
    <x v="1"/>
    <m/>
    <n v="5"/>
    <n v="5"/>
    <n v="19"/>
    <m/>
    <m/>
    <s v="no"/>
    <x v="1"/>
    <x v="1"/>
  </r>
  <r>
    <s v="EMP-2020-0781"/>
    <s v="Grace"/>
    <s v="Bell"/>
    <n v="50"/>
    <n v="50"/>
    <n v="1974"/>
    <s v="SIXTY THOUSAND"/>
    <x v="2"/>
    <x v="1"/>
    <x v="1"/>
    <x v="1"/>
    <s v="Director"/>
    <d v="2020-02-20T00:00:00"/>
    <d v="2020-02-20T00:00:00"/>
    <x v="0"/>
    <n v="62"/>
    <s v="grace.bell@saltcorp.com"/>
    <s v="098-765-4321"/>
    <s v="Part-Time"/>
    <x v="2"/>
    <m/>
    <n v="1"/>
    <n v="13"/>
    <m/>
    <m/>
    <m/>
    <s v="YES"/>
    <x v="3"/>
    <x v="1"/>
  </r>
  <r>
    <s v="EMP-2019-0782"/>
    <s v="Hannah"/>
    <s v="Williamson"/>
    <n v="35"/>
    <n v="35"/>
    <n v="1989"/>
    <n v="70000"/>
    <x v="5"/>
    <x v="1"/>
    <x v="2"/>
    <x v="2"/>
    <s v="Assistant"/>
    <d v="2019-12-01T00:00:00"/>
    <d v="2019-12-01T00:00:00"/>
    <x v="2"/>
    <n v="74"/>
    <s v="hannah.williamson@saltcorp.com"/>
    <m/>
    <s v="contract"/>
    <x v="0"/>
    <s v="EMP-2018-0008"/>
    <n v="3"/>
    <s v="N/A"/>
    <n v="15"/>
    <m/>
    <m/>
    <s v="no"/>
    <x v="3"/>
    <x v="0"/>
  </r>
  <r>
    <s v="EMP-2020-0783"/>
    <s v="Bob"/>
    <s v="Smith"/>
    <n v="35"/>
    <n v="35"/>
    <n v="1989"/>
    <s v="SIXTY THOUSAND"/>
    <x v="2"/>
    <x v="0"/>
    <x v="2"/>
    <x v="2"/>
    <s v="Manager"/>
    <d v="2020-01-15T00:00:00"/>
    <d v="2020-01-15T00:00:00"/>
    <x v="3"/>
    <n v="92"/>
    <s v="bob.smith@saltcorp.com"/>
    <s v=" "/>
    <s v="Full-Time"/>
    <x v="1"/>
    <m/>
    <n v="8"/>
    <n v="1"/>
    <n v="9"/>
    <m/>
    <m/>
    <s v="YES"/>
    <x v="2"/>
    <x v="0"/>
  </r>
  <r>
    <s v="EMP-2018-0784"/>
    <s v="Jack"/>
    <s v="Ryan"/>
    <m/>
    <n v="33"/>
    <n v="1991"/>
    <n v="50000"/>
    <x v="0"/>
    <x v="0"/>
    <x v="3"/>
    <x v="3"/>
    <s v="Assistant"/>
    <d v="2018-04-05T00:00:00"/>
    <d v="2018-04-05T00:00:00"/>
    <x v="4"/>
    <n v="84"/>
    <s v="jack.ryan@saltcorp.com"/>
    <m/>
    <s v="Full-Time"/>
    <x v="1"/>
    <m/>
    <n v="8"/>
    <m/>
    <m/>
    <m/>
    <m/>
    <s v="YES"/>
    <x v="1"/>
    <x v="1"/>
  </r>
  <r>
    <s v="EMP-2020-0785"/>
    <s v="Hannah"/>
    <s v="Long"/>
    <m/>
    <n v="27"/>
    <n v="1997"/>
    <n v="59300"/>
    <x v="13"/>
    <x v="0"/>
    <x v="3"/>
    <x v="3"/>
    <s v="Analyst"/>
    <d v="2020-02-20T00:00:00"/>
    <d v="2020-02-20T00:00:00"/>
    <x v="1"/>
    <n v="17"/>
    <s v="hannah.long@saltcorp.com"/>
    <s v="123-456-7890"/>
    <s v="Full-Time"/>
    <x v="1"/>
    <s v="EMP-2020-0023"/>
    <n v="1"/>
    <m/>
    <m/>
    <m/>
    <m/>
    <m/>
    <x v="3"/>
    <x v="0"/>
  </r>
  <r>
    <s v="EMP-2019-0786"/>
    <s v="Charlie"/>
    <s v="Jordan"/>
    <n v="50"/>
    <n v="50"/>
    <n v="1974"/>
    <n v="58500"/>
    <x v="4"/>
    <x v="0"/>
    <x v="1"/>
    <x v="1"/>
    <s v="Assistant"/>
    <d v="2019-12-01T00:00:00"/>
    <d v="2019-12-01T00:00:00"/>
    <x v="3"/>
    <n v="96"/>
    <s v="charlie.jordan@saltcorp.com"/>
    <s v=" "/>
    <s v="contract"/>
    <x v="0"/>
    <s v="EMP-2018-0090"/>
    <n v="4"/>
    <m/>
    <m/>
    <m/>
    <m/>
    <m/>
    <x v="3"/>
    <x v="0"/>
  </r>
  <r>
    <s v="EMP-2019-0787"/>
    <s v="Grace"/>
    <s v="Yang"/>
    <s v="thirty"/>
    <n v="30"/>
    <n v="1994"/>
    <n v="58800"/>
    <x v="17"/>
    <x v="0"/>
    <x v="0"/>
    <x v="0"/>
    <s v="Clerk"/>
    <d v="2019-03-25T00:00:00"/>
    <d v="2019-03-25T00:00:00"/>
    <x v="0"/>
    <n v="60"/>
    <s v="grace.yang@saltcorp.com"/>
    <s v="555-555-5555"/>
    <s v="Full-Time"/>
    <x v="1"/>
    <m/>
    <n v="5"/>
    <s v="N/A"/>
    <n v="5"/>
    <d v="2021-10-01T00:00:00"/>
    <m/>
    <m/>
    <x v="0"/>
    <x v="0"/>
  </r>
  <r>
    <s v="EMP-2020-0788"/>
    <s v="Charlie"/>
    <s v="Gomez"/>
    <n v="50"/>
    <n v="50"/>
    <n v="1974"/>
    <n v="70000"/>
    <x v="5"/>
    <x v="0"/>
    <x v="2"/>
    <x v="2"/>
    <s v="Clerk"/>
    <d v="2020-02-20T00:00:00"/>
    <d v="2020-02-20T00:00:00"/>
    <x v="0"/>
    <n v="67"/>
    <s v="charlie.gomez@saltcorp.com"/>
    <s v=" "/>
    <s v="Part-Time"/>
    <x v="2"/>
    <s v="EMP-2020-0034"/>
    <n v="4"/>
    <s v="N/A"/>
    <n v="8"/>
    <d v="2021-10-01T00:00:00"/>
    <m/>
    <s v="YES"/>
    <x v="1"/>
    <x v="0"/>
  </r>
  <r>
    <s v="EMP-2018-0789"/>
    <s v="Grace"/>
    <s v="Figueroa"/>
    <s v="thirty"/>
    <n v="30"/>
    <n v="1994"/>
    <n v="60300"/>
    <x v="14"/>
    <x v="0"/>
    <x v="1"/>
    <x v="1"/>
    <s v="Director"/>
    <d v="2018-04-05T00:00:00"/>
    <d v="2018-04-05T00:00:00"/>
    <x v="4"/>
    <n v="88"/>
    <s v="grace.figueroa@saltcorp.com"/>
    <m/>
    <s v="Full-Time"/>
    <x v="1"/>
    <m/>
    <n v="1"/>
    <n v="5"/>
    <n v="3"/>
    <m/>
    <m/>
    <s v="no"/>
    <x v="2"/>
    <x v="0"/>
  </r>
  <r>
    <s v="EMP-2020-0790"/>
    <s v="Bob"/>
    <s v="Rodriguez"/>
    <n v="35"/>
    <n v="35"/>
    <n v="1989"/>
    <n v="50000"/>
    <x v="0"/>
    <x v="0"/>
    <x v="4"/>
    <x v="4"/>
    <s v="Director"/>
    <d v="2020-01-15T00:00:00"/>
    <d v="2020-01-15T00:00:00"/>
    <x v="4"/>
    <n v="80"/>
    <s v="bob.rodriguez@saltcorp.com"/>
    <s v="098-765-4321"/>
    <s v="contract"/>
    <x v="0"/>
    <s v="EMP-2018-0099"/>
    <n v="4"/>
    <s v="N/A"/>
    <n v="12"/>
    <m/>
    <m/>
    <s v="no"/>
    <x v="3"/>
    <x v="1"/>
  </r>
  <r>
    <s v="EMP-2020-0791"/>
    <s v="Jack"/>
    <s v="Andrews"/>
    <n v="25"/>
    <n v="25"/>
    <n v="1999"/>
    <s v="SIXTY THOUSAND"/>
    <x v="2"/>
    <x v="0"/>
    <x v="4"/>
    <x v="4"/>
    <s v="Director"/>
    <d v="2020-02-20T00:00:00"/>
    <d v="2020-02-20T00:00:00"/>
    <x v="1"/>
    <n v="33"/>
    <s v="jack.andrews@saltcorp.com"/>
    <s v="555-555-5555"/>
    <s v="contract"/>
    <x v="0"/>
    <m/>
    <n v="3"/>
    <m/>
    <m/>
    <m/>
    <m/>
    <s v="YES"/>
    <x v="2"/>
    <x v="0"/>
  </r>
  <r>
    <s v="EMP-2020-0792"/>
    <s v="Frank"/>
    <s v="Flores"/>
    <m/>
    <n v="36"/>
    <n v="1988"/>
    <n v="70000"/>
    <x v="5"/>
    <x v="0"/>
    <x v="1"/>
    <x v="1"/>
    <s v="Manager"/>
    <d v="2020-02-20T00:00:00"/>
    <d v="2020-02-20T00:00:00"/>
    <x v="1"/>
    <n v="6"/>
    <s v="frank.flores@saltcorp.com"/>
    <m/>
    <s v="Full-Time"/>
    <x v="1"/>
    <m/>
    <n v="1"/>
    <n v="0"/>
    <m/>
    <m/>
    <n v="28"/>
    <s v="no"/>
    <x v="1"/>
    <x v="1"/>
  </r>
  <r>
    <s v="EMP-2019-0793"/>
    <s v="Charlie"/>
    <s v="Santos"/>
    <s v="thirty"/>
    <n v="30"/>
    <n v="1994"/>
    <s v="SIXTY THOUSAND"/>
    <x v="2"/>
    <x v="0"/>
    <x v="2"/>
    <x v="2"/>
    <s v="Director"/>
    <d v="2019-12-01T00:00:00"/>
    <d v="2019-12-01T00:00:00"/>
    <x v="4"/>
    <n v="83"/>
    <s v="charlie.santos@saltcorp.com"/>
    <s v="555-555-5555"/>
    <s v="Full-Time"/>
    <x v="1"/>
    <m/>
    <n v="6"/>
    <m/>
    <m/>
    <m/>
    <m/>
    <m/>
    <x v="3"/>
    <x v="0"/>
  </r>
  <r>
    <s v="EMP-2019-0794"/>
    <s v="Charlie"/>
    <s v="Knight"/>
    <n v="50"/>
    <n v="50"/>
    <n v="1974"/>
    <n v="70000"/>
    <x v="5"/>
    <x v="1"/>
    <x v="1"/>
    <x v="1"/>
    <s v="Manager"/>
    <d v="2019-03-25T00:00:00"/>
    <d v="2019-03-25T00:00:00"/>
    <x v="4"/>
    <n v="83"/>
    <s v="charlie.knight@saltcorp.com"/>
    <s v=" "/>
    <s v="Part-Time"/>
    <x v="2"/>
    <m/>
    <n v="4"/>
    <m/>
    <n v="16"/>
    <m/>
    <m/>
    <m/>
    <x v="0"/>
    <x v="0"/>
  </r>
  <r>
    <s v="EMP-2019-0795"/>
    <s v="Ivy"/>
    <s v="Kumar"/>
    <n v="35"/>
    <n v="35"/>
    <n v="1989"/>
    <s v="SIXTY THOUSAND"/>
    <x v="2"/>
    <x v="0"/>
    <x v="2"/>
    <x v="2"/>
    <s v="Director"/>
    <d v="2019-03-25T00:00:00"/>
    <d v="2019-03-25T00:00:00"/>
    <x v="0"/>
    <n v="69"/>
    <s v="ivy.kumar@saltcorp.com"/>
    <s v="123-456-7890"/>
    <s v="Full-Time"/>
    <x v="1"/>
    <m/>
    <n v="1"/>
    <s v="N/A"/>
    <n v="1"/>
    <d v="2023-01-15T00:00:00"/>
    <m/>
    <m/>
    <x v="3"/>
    <x v="1"/>
  </r>
  <r>
    <s v="EMP-2020-0796"/>
    <s v="Grace"/>
    <s v="West"/>
    <s v="thirty"/>
    <n v="30"/>
    <n v="1994"/>
    <n v="55000"/>
    <x v="6"/>
    <x v="0"/>
    <x v="3"/>
    <x v="3"/>
    <s v="Manager"/>
    <d v="2020-01-15T00:00:00"/>
    <d v="2020-01-15T00:00:00"/>
    <x v="4"/>
    <n v="89"/>
    <s v="grace.west@saltcorp.com"/>
    <m/>
    <s v="contract"/>
    <x v="0"/>
    <m/>
    <n v="3"/>
    <m/>
    <n v="7"/>
    <d v="2021-10-01T00:00:00"/>
    <n v="20"/>
    <s v="YES"/>
    <x v="4"/>
    <x v="0"/>
  </r>
  <r>
    <s v="EMP-2018-0797"/>
    <s v="Eve"/>
    <s v="Carter"/>
    <n v="50"/>
    <n v="50"/>
    <n v="1974"/>
    <s v="SIXTY THOUSAND"/>
    <x v="2"/>
    <x v="1"/>
    <x v="1"/>
    <x v="1"/>
    <s v="Assistant"/>
    <d v="2018-04-05T00:00:00"/>
    <d v="2018-04-05T00:00:00"/>
    <x v="2"/>
    <n v="79"/>
    <s v="eve.carter@saltcorp.com"/>
    <s v="098-765-4321"/>
    <s v="Part-Time"/>
    <x v="2"/>
    <s v="EMP-2018-0032"/>
    <n v="2"/>
    <m/>
    <n v="9"/>
    <m/>
    <m/>
    <s v="YES"/>
    <x v="4"/>
    <x v="0"/>
  </r>
  <r>
    <s v="EMP-2020-0798"/>
    <s v="Jack"/>
    <s v="Sullivan"/>
    <m/>
    <n v="32"/>
    <n v="1992"/>
    <n v="58300"/>
    <x v="12"/>
    <x v="0"/>
    <x v="2"/>
    <x v="2"/>
    <s v="Assistant"/>
    <d v="2020-01-15T00:00:00"/>
    <d v="2020-01-15T00:00:00"/>
    <x v="3"/>
    <n v="97"/>
    <s v="jack.sullivan@saltcorp.com"/>
    <s v=" "/>
    <s v="contract"/>
    <x v="0"/>
    <s v="EMP-2019-0020"/>
    <n v="5"/>
    <n v="9"/>
    <m/>
    <m/>
    <m/>
    <s v="YES"/>
    <x v="0"/>
    <x v="0"/>
  </r>
  <r>
    <s v="EMP-2020-0799"/>
    <s v="Grace"/>
    <s v="Le"/>
    <m/>
    <n v="33"/>
    <n v="1991"/>
    <n v="55000"/>
    <x v="6"/>
    <x v="0"/>
    <x v="1"/>
    <x v="1"/>
    <s v="Clerk"/>
    <d v="2020-02-20T00:00:00"/>
    <d v="2020-02-20T00:00:00"/>
    <x v="4"/>
    <n v="81"/>
    <s v="grace.le@saltcorp.com"/>
    <m/>
    <s v="Full-Time"/>
    <x v="1"/>
    <m/>
    <n v="7"/>
    <m/>
    <m/>
    <d v="2023-01-15T00:00:00"/>
    <n v="37"/>
    <s v="YES"/>
    <x v="3"/>
    <x v="1"/>
  </r>
  <r>
    <s v="EMP-2020-0800"/>
    <s v="Ivy"/>
    <s v="Sharma"/>
    <n v="40"/>
    <n v="40"/>
    <n v="1984"/>
    <s v="SIXTY THOUSAND"/>
    <x v="2"/>
    <x v="1"/>
    <x v="1"/>
    <x v="1"/>
    <s v="Manager"/>
    <d v="2020-02-20T00:00:00"/>
    <d v="2020-02-20T00:00:00"/>
    <x v="1"/>
    <n v="0"/>
    <s v="ivy.sharma@saltcorp.com"/>
    <s v="098-765-4321"/>
    <s v="Full-Time"/>
    <x v="1"/>
    <m/>
    <n v="6"/>
    <n v="9"/>
    <n v="17"/>
    <m/>
    <m/>
    <m/>
    <x v="3"/>
    <x v="1"/>
  </r>
  <r>
    <s v="EMP-2019-0801"/>
    <s v="Alice"/>
    <s v="Pearson"/>
    <n v="25"/>
    <n v="25"/>
    <n v="1999"/>
    <n v="70000"/>
    <x v="5"/>
    <x v="0"/>
    <x v="2"/>
    <x v="2"/>
    <s v="Analyst"/>
    <d v="2019-03-25T00:00:00"/>
    <d v="2019-03-25T00:00:00"/>
    <x v="2"/>
    <n v="73"/>
    <s v="alice.pearson@saltcorp.com"/>
    <m/>
    <s v="contract"/>
    <x v="0"/>
    <m/>
    <n v="7"/>
    <n v="3"/>
    <n v="3"/>
    <m/>
    <m/>
    <s v="YES"/>
    <x v="1"/>
    <x v="0"/>
  </r>
  <r>
    <s v="EMP-2018-0802"/>
    <s v="Grace"/>
    <s v="Vega"/>
    <n v="40"/>
    <n v="40"/>
    <n v="1984"/>
    <n v="70000"/>
    <x v="5"/>
    <x v="0"/>
    <x v="2"/>
    <x v="2"/>
    <s v="Clerk"/>
    <d v="2018-04-05T00:00:00"/>
    <d v="2018-04-05T00:00:00"/>
    <x v="1"/>
    <n v="9"/>
    <s v="grace.vega@saltcorp.com"/>
    <s v=" "/>
    <s v="contract"/>
    <x v="0"/>
    <m/>
    <n v="7"/>
    <s v="N/A"/>
    <m/>
    <m/>
    <n v="59"/>
    <s v="YES"/>
    <x v="0"/>
    <x v="0"/>
  </r>
  <r>
    <s v="EMP-2019-0803"/>
    <s v="Frank"/>
    <s v="Sanchez"/>
    <n v="35"/>
    <n v="35"/>
    <n v="1989"/>
    <n v="70000"/>
    <x v="5"/>
    <x v="1"/>
    <x v="0"/>
    <x v="0"/>
    <s v="Assistant"/>
    <d v="2019-12-01T00:00:00"/>
    <d v="2019-12-01T00:00:00"/>
    <x v="2"/>
    <n v="71"/>
    <s v="frank.sanchez@saltcorp.com"/>
    <m/>
    <s v="Part-Time"/>
    <x v="2"/>
    <m/>
    <n v="4"/>
    <n v="15"/>
    <m/>
    <m/>
    <n v="54"/>
    <s v="YES"/>
    <x v="0"/>
    <x v="0"/>
  </r>
  <r>
    <s v="EMP-2018-0804"/>
    <s v="Jack"/>
    <s v="Sullivan"/>
    <s v="thirty"/>
    <n v="30"/>
    <n v="1994"/>
    <n v="65000"/>
    <x v="1"/>
    <x v="0"/>
    <x v="1"/>
    <x v="1"/>
    <s v="Manager"/>
    <d v="2018-04-05T00:00:00"/>
    <d v="2018-04-05T00:00:00"/>
    <x v="4"/>
    <n v="81"/>
    <s v="jack.sullivan@saltcorp.com"/>
    <s v="555-555-5555"/>
    <s v="contract"/>
    <x v="0"/>
    <m/>
    <n v="1"/>
    <m/>
    <m/>
    <d v="2023-03-05T00:00:00"/>
    <n v="20"/>
    <s v="YES"/>
    <x v="1"/>
    <x v="1"/>
  </r>
  <r>
    <s v="EMP-2020-0805"/>
    <s v="Ivy"/>
    <s v="Desai"/>
    <n v="35"/>
    <n v="35"/>
    <n v="1989"/>
    <n v="50000"/>
    <x v="0"/>
    <x v="0"/>
    <x v="4"/>
    <x v="4"/>
    <s v="Director"/>
    <d v="2020-02-20T00:00:00"/>
    <d v="2020-02-20T00:00:00"/>
    <x v="3"/>
    <n v="91"/>
    <s v="ivy.desai@saltcorp.com"/>
    <s v=" "/>
    <s v="contract"/>
    <x v="0"/>
    <s v="EMP-2020-0007"/>
    <n v="2"/>
    <m/>
    <m/>
    <d v="2024-08-12T00:00:00"/>
    <n v="13"/>
    <s v="YES"/>
    <x v="2"/>
    <x v="0"/>
  </r>
  <r>
    <s v="EMP-2019-0806"/>
    <s v="Alice"/>
    <s v="Medina"/>
    <n v="50"/>
    <n v="50"/>
    <n v="1974"/>
    <n v="70000"/>
    <x v="5"/>
    <x v="1"/>
    <x v="1"/>
    <x v="1"/>
    <s v="Analyst"/>
    <d v="2019-12-01T00:00:00"/>
    <d v="2019-12-01T00:00:00"/>
    <x v="1"/>
    <n v="11"/>
    <s v="alice.medina@saltcorp.com"/>
    <m/>
    <s v="contract"/>
    <x v="0"/>
    <m/>
    <n v="2"/>
    <n v="15"/>
    <n v="4"/>
    <m/>
    <n v="39"/>
    <s v="YES"/>
    <x v="2"/>
    <x v="0"/>
  </r>
  <r>
    <s v="EMP-2018-0807"/>
    <s v="David"/>
    <s v="Ross"/>
    <m/>
    <n v="40"/>
    <n v="1984"/>
    <n v="55000"/>
    <x v="6"/>
    <x v="0"/>
    <x v="1"/>
    <x v="1"/>
    <s v="Assistant"/>
    <d v="2018-04-05T00:00:00"/>
    <d v="2018-04-05T00:00:00"/>
    <x v="2"/>
    <n v="75"/>
    <s v="david.ross@saltcorp.com"/>
    <s v="123-456-7890"/>
    <s v="Part-Time"/>
    <x v="2"/>
    <m/>
    <n v="5"/>
    <m/>
    <n v="6"/>
    <d v="2021-10-01T00:00:00"/>
    <m/>
    <s v="no"/>
    <x v="0"/>
    <x v="0"/>
  </r>
  <r>
    <s v="EMP-2018-0808"/>
    <s v="Ivy"/>
    <s v="Thomas"/>
    <n v="40"/>
    <n v="40"/>
    <n v="1984"/>
    <n v="70000"/>
    <x v="5"/>
    <x v="1"/>
    <x v="2"/>
    <x v="2"/>
    <s v="Clerk"/>
    <d v="2018-04-05T00:00:00"/>
    <d v="2018-04-05T00:00:00"/>
    <x v="0"/>
    <n v="64"/>
    <s v="ivy.thomas@saltcorp.com"/>
    <m/>
    <s v="Full-Time"/>
    <x v="1"/>
    <s v="EMP-2020-0059"/>
    <n v="6"/>
    <m/>
    <m/>
    <d v="2024-08-12T00:00:00"/>
    <m/>
    <s v="no"/>
    <x v="3"/>
    <x v="1"/>
  </r>
  <r>
    <s v="EMP-2019-0809"/>
    <s v="David"/>
    <s v="Powers"/>
    <n v="40"/>
    <n v="40"/>
    <n v="1984"/>
    <n v="65000"/>
    <x v="1"/>
    <x v="1"/>
    <x v="1"/>
    <x v="1"/>
    <s v="Manager"/>
    <d v="2019-12-01T00:00:00"/>
    <d v="2019-12-01T00:00:00"/>
    <x v="4"/>
    <n v="82"/>
    <s v="david.powers@saltcorp.com"/>
    <s v="555-555-5555"/>
    <s v="Part-Time"/>
    <x v="2"/>
    <m/>
    <n v="6"/>
    <s v="N/A"/>
    <m/>
    <s v="N/A"/>
    <n v="77"/>
    <s v="no"/>
    <x v="3"/>
    <x v="1"/>
  </r>
  <r>
    <s v="EMP-2020-0810"/>
    <s v="Jack"/>
    <s v="Gibson"/>
    <n v="40"/>
    <n v="40"/>
    <n v="1984"/>
    <n v="60800"/>
    <x v="19"/>
    <x v="0"/>
    <x v="1"/>
    <x v="1"/>
    <s v="Analyst"/>
    <d v="2020-02-20T00:00:00"/>
    <d v="2020-02-20T00:00:00"/>
    <x v="3"/>
    <n v="99"/>
    <s v="jack.gibson@saltcorp.com"/>
    <s v="098-765-4321"/>
    <s v="Part-Time"/>
    <x v="2"/>
    <m/>
    <n v="5"/>
    <m/>
    <n v="13"/>
    <m/>
    <n v="41"/>
    <s v="no"/>
    <x v="3"/>
    <x v="1"/>
  </r>
  <r>
    <s v="EMP-2018-0811"/>
    <s v="Charlie"/>
    <s v="Clark"/>
    <n v="35"/>
    <n v="35"/>
    <n v="1989"/>
    <n v="55000"/>
    <x v="6"/>
    <x v="0"/>
    <x v="4"/>
    <x v="4"/>
    <s v="Manager"/>
    <d v="2018-04-05T00:00:00"/>
    <d v="2018-04-05T00:00:00"/>
    <x v="4"/>
    <n v="85"/>
    <s v="charlie.clark@saltcorp.com"/>
    <s v="098-765-4321"/>
    <s v="Part-Time"/>
    <x v="2"/>
    <s v="EMP-2019-0099"/>
    <n v="4"/>
    <m/>
    <n v="0"/>
    <m/>
    <m/>
    <s v="YES"/>
    <x v="2"/>
    <x v="0"/>
  </r>
  <r>
    <s v="EMP-2019-0812"/>
    <s v="Ivy"/>
    <s v="Desai"/>
    <m/>
    <n v="51"/>
    <n v="1973"/>
    <n v="65000"/>
    <x v="1"/>
    <x v="1"/>
    <x v="2"/>
    <x v="2"/>
    <s v="Director"/>
    <d v="2019-12-01T00:00:00"/>
    <d v="2019-12-01T00:00:00"/>
    <x v="0"/>
    <n v="62"/>
    <s v="ivy.desai@saltcorp.com"/>
    <s v="098-765-4321"/>
    <s v="Full-Time"/>
    <x v="1"/>
    <s v="EMP-2020-0098"/>
    <n v="4"/>
    <n v="1"/>
    <n v="20"/>
    <m/>
    <m/>
    <s v="no"/>
    <x v="4"/>
    <x v="0"/>
  </r>
  <r>
    <s v="EMP-2020-0813"/>
    <s v="Bob"/>
    <s v="Harrison"/>
    <s v="thirty"/>
    <n v="30"/>
    <n v="1994"/>
    <n v="61300"/>
    <x v="18"/>
    <x v="0"/>
    <x v="1"/>
    <x v="1"/>
    <s v="Clerk"/>
    <d v="2020-02-20T00:00:00"/>
    <d v="2020-02-20T00:00:00"/>
    <x v="3"/>
    <n v="91"/>
    <s v="bob.harrison@saltcorp.com"/>
    <s v="123-456-7890"/>
    <s v="contract"/>
    <x v="0"/>
    <s v="EMP-2019-0004"/>
    <n v="8"/>
    <n v="7"/>
    <n v="8"/>
    <m/>
    <n v="35"/>
    <m/>
    <x v="2"/>
    <x v="0"/>
  </r>
  <r>
    <s v="EMP-2019-0814"/>
    <s v="David"/>
    <s v="Harrison"/>
    <n v="50"/>
    <n v="50"/>
    <n v="1974"/>
    <n v="55000"/>
    <x v="6"/>
    <x v="0"/>
    <x v="3"/>
    <x v="3"/>
    <s v="Manager"/>
    <d v="2019-12-01T00:00:00"/>
    <d v="2019-12-01T00:00:00"/>
    <x v="0"/>
    <n v="67"/>
    <s v="david.harrison@saltcorp.com"/>
    <s v="555-555-5555"/>
    <s v="Part-Time"/>
    <x v="2"/>
    <s v="EMP-2020-0089"/>
    <n v="7"/>
    <m/>
    <m/>
    <d v="2022-06-20T00:00:00"/>
    <m/>
    <s v="YES"/>
    <x v="3"/>
    <x v="1"/>
  </r>
  <r>
    <s v="EMP-2019-0815"/>
    <s v="Frank"/>
    <s v="Perez"/>
    <s v="thirty"/>
    <n v="30"/>
    <n v="1994"/>
    <s v="SIXTY THOUSAND"/>
    <x v="2"/>
    <x v="1"/>
    <x v="0"/>
    <x v="0"/>
    <s v="Assistant"/>
    <d v="2019-12-01T00:00:00"/>
    <d v="2019-12-01T00:00:00"/>
    <x v="4"/>
    <n v="83"/>
    <s v="frank.perez@saltcorp.com"/>
    <s v=" "/>
    <s v="contract"/>
    <x v="0"/>
    <m/>
    <n v="1"/>
    <m/>
    <n v="8"/>
    <d v="2022-06-20T00:00:00"/>
    <m/>
    <s v="YES"/>
    <x v="4"/>
    <x v="0"/>
  </r>
  <r>
    <s v="EMP-2018-0816"/>
    <s v="Bob"/>
    <s v="Garcia"/>
    <n v="35"/>
    <n v="35"/>
    <n v="1989"/>
    <n v="50000"/>
    <x v="0"/>
    <x v="0"/>
    <x v="4"/>
    <x v="4"/>
    <s v="Clerk"/>
    <d v="2018-04-05T00:00:00"/>
    <d v="2018-04-05T00:00:00"/>
    <x v="2"/>
    <n v="70"/>
    <s v="bob.garcia@saltcorp.com"/>
    <s v="098-765-4321"/>
    <s v="Part-Time"/>
    <x v="2"/>
    <m/>
    <n v="5"/>
    <s v="N/A"/>
    <m/>
    <m/>
    <m/>
    <s v="no"/>
    <x v="1"/>
    <x v="1"/>
  </r>
  <r>
    <s v="EMP-2020-0817"/>
    <s v="Hannah"/>
    <s v="Rivera"/>
    <n v="50"/>
    <n v="50"/>
    <n v="1974"/>
    <n v="50000"/>
    <x v="0"/>
    <x v="0"/>
    <x v="1"/>
    <x v="1"/>
    <s v="Assistant"/>
    <d v="2020-02-20T00:00:00"/>
    <d v="2020-02-20T00:00:00"/>
    <x v="4"/>
    <n v="86"/>
    <s v="hannah.rivera@saltcorp.com"/>
    <s v="555-555-5555"/>
    <s v="Full-Time"/>
    <x v="1"/>
    <m/>
    <n v="3"/>
    <m/>
    <n v="13"/>
    <d v="2023-01-15T00:00:00"/>
    <n v="7"/>
    <s v="no"/>
    <x v="3"/>
    <x v="1"/>
  </r>
  <r>
    <s v="EMP-2018-0818"/>
    <s v="Hannah"/>
    <s v="Andrews"/>
    <n v="40"/>
    <n v="40"/>
    <n v="1984"/>
    <n v="65000"/>
    <x v="1"/>
    <x v="1"/>
    <x v="3"/>
    <x v="3"/>
    <s v="Manager"/>
    <d v="2018-04-05T00:00:00"/>
    <d v="2018-04-05T00:00:00"/>
    <x v="4"/>
    <n v="85"/>
    <s v="hannah.andrews@saltcorp.com"/>
    <m/>
    <s v="Full-Time"/>
    <x v="1"/>
    <m/>
    <n v="7"/>
    <s v="N/A"/>
    <m/>
    <d v="2021-10-01T00:00:00"/>
    <n v="39"/>
    <s v="no"/>
    <x v="0"/>
    <x v="1"/>
  </r>
  <r>
    <s v="EMP-2020-0819"/>
    <s v="Alice"/>
    <s v="Davidson"/>
    <n v="25"/>
    <n v="25"/>
    <n v="1999"/>
    <n v="61300"/>
    <x v="18"/>
    <x v="1"/>
    <x v="1"/>
    <x v="1"/>
    <s v="Clerk"/>
    <d v="2020-01-15T00:00:00"/>
    <d v="2020-01-15T00:00:00"/>
    <x v="4"/>
    <n v="89"/>
    <s v="alice.davidson@saltcorp.com"/>
    <s v="123-456-7890"/>
    <s v="Full-Time"/>
    <x v="1"/>
    <m/>
    <n v="2"/>
    <m/>
    <m/>
    <m/>
    <m/>
    <s v="YES"/>
    <x v="0"/>
    <x v="1"/>
  </r>
  <r>
    <s v="EMP-2020-0820"/>
    <s v="Charlie"/>
    <s v="Bennett"/>
    <n v="35"/>
    <n v="35"/>
    <n v="1989"/>
    <n v="50000"/>
    <x v="0"/>
    <x v="0"/>
    <x v="1"/>
    <x v="1"/>
    <s v="Assistant"/>
    <d v="2020-01-15T00:00:00"/>
    <d v="2020-01-15T00:00:00"/>
    <x v="1"/>
    <n v="20"/>
    <s v="charlie.bennett@saltcorp.com"/>
    <s v="555-555-5555"/>
    <s v="contract"/>
    <x v="0"/>
    <m/>
    <n v="2"/>
    <s v="N/A"/>
    <m/>
    <m/>
    <m/>
    <s v="no"/>
    <x v="0"/>
    <x v="0"/>
  </r>
  <r>
    <s v="EMP-2020-0821"/>
    <s v="Jack"/>
    <s v="O'Neill"/>
    <n v="35"/>
    <n v="35"/>
    <n v="1989"/>
    <n v="63000"/>
    <x v="9"/>
    <x v="0"/>
    <x v="2"/>
    <x v="2"/>
    <s v="Director"/>
    <d v="2020-02-20T00:00:00"/>
    <d v="2020-02-20T00:00:00"/>
    <x v="0"/>
    <n v="65"/>
    <s v="jack.o'neill@saltcorp.com"/>
    <s v="555-555-5555"/>
    <s v="Part-Time"/>
    <x v="2"/>
    <m/>
    <n v="5"/>
    <n v="5"/>
    <m/>
    <m/>
    <m/>
    <s v="no"/>
    <x v="0"/>
    <x v="0"/>
  </r>
  <r>
    <s v="EMP-2019-0822"/>
    <s v="Ivy"/>
    <s v="Gupta"/>
    <m/>
    <n v="43"/>
    <n v="1981"/>
    <n v="63000"/>
    <x v="9"/>
    <x v="1"/>
    <x v="2"/>
    <x v="2"/>
    <s v="Director"/>
    <d v="2019-12-01T00:00:00"/>
    <d v="2019-12-01T00:00:00"/>
    <x v="0"/>
    <n v="68"/>
    <s v="ivy.gupta@saltcorp.com"/>
    <s v=" "/>
    <s v="Full-Time"/>
    <x v="1"/>
    <s v="EMP-2018-0065"/>
    <n v="6"/>
    <s v="N/A"/>
    <m/>
    <d v="2023-01-15T00:00:00"/>
    <m/>
    <s v="no"/>
    <x v="3"/>
    <x v="0"/>
  </r>
  <r>
    <s v="EMP-2018-0823"/>
    <s v="Eve"/>
    <s v="Graham"/>
    <s v="thirty"/>
    <n v="30"/>
    <n v="1994"/>
    <n v="65000"/>
    <x v="1"/>
    <x v="1"/>
    <x v="2"/>
    <x v="2"/>
    <s v="Manager"/>
    <d v="2018-04-05T00:00:00"/>
    <d v="2018-04-05T00:00:00"/>
    <x v="0"/>
    <n v="69"/>
    <s v="eve.graham@saltcorp.com"/>
    <s v="555-555-5555"/>
    <s v="Full-Time"/>
    <x v="1"/>
    <m/>
    <n v="2"/>
    <m/>
    <m/>
    <d v="2024-08-12T00:00:00"/>
    <n v="57"/>
    <m/>
    <x v="0"/>
    <x v="0"/>
  </r>
  <r>
    <s v="EMP-2018-0824"/>
    <s v="Frank"/>
    <s v="Thomas"/>
    <n v="35"/>
    <n v="35"/>
    <n v="1989"/>
    <n v="65000"/>
    <x v="1"/>
    <x v="1"/>
    <x v="3"/>
    <x v="3"/>
    <s v="Clerk"/>
    <d v="2018-04-05T00:00:00"/>
    <d v="2018-04-05T00:00:00"/>
    <x v="1"/>
    <n v="38"/>
    <s v="frank.thomas@saltcorp.com"/>
    <s v=" "/>
    <s v="Full-Time"/>
    <x v="1"/>
    <s v="EMP-2019-0085"/>
    <n v="5"/>
    <m/>
    <m/>
    <m/>
    <n v="54"/>
    <m/>
    <x v="2"/>
    <x v="1"/>
  </r>
  <r>
    <s v="EMP-2020-0825"/>
    <s v="David"/>
    <s v="Ross"/>
    <n v="35"/>
    <n v="35"/>
    <n v="1989"/>
    <n v="65000"/>
    <x v="1"/>
    <x v="1"/>
    <x v="1"/>
    <x v="1"/>
    <s v="Analyst"/>
    <d v="2020-02-20T00:00:00"/>
    <d v="2020-02-20T00:00:00"/>
    <x v="2"/>
    <n v="70"/>
    <s v="david.ross@saltcorp.com"/>
    <s v="123-456-7890"/>
    <s v="Part-Time"/>
    <x v="2"/>
    <m/>
    <n v="5"/>
    <n v="13"/>
    <n v="3"/>
    <s v="N/A"/>
    <n v="31"/>
    <m/>
    <x v="4"/>
    <x v="0"/>
  </r>
  <r>
    <s v="EMP-2020-0826"/>
    <s v="Jack"/>
    <s v="Murphy"/>
    <n v="40"/>
    <n v="40"/>
    <n v="1984"/>
    <n v="50000"/>
    <x v="0"/>
    <x v="0"/>
    <x v="0"/>
    <x v="0"/>
    <s v="Clerk"/>
    <d v="2020-02-20T00:00:00"/>
    <d v="2020-02-20T00:00:00"/>
    <x v="4"/>
    <n v="83"/>
    <s v="jack.murphy@saltcorp.com"/>
    <s v="123-456-7890"/>
    <s v="Full-Time"/>
    <x v="1"/>
    <m/>
    <n v="8"/>
    <s v="N/A"/>
    <m/>
    <s v="N/A"/>
    <m/>
    <s v="no"/>
    <x v="1"/>
    <x v="0"/>
  </r>
  <r>
    <s v="EMP-2020-0827"/>
    <s v="Bob"/>
    <s v="Brown"/>
    <n v="40"/>
    <n v="40"/>
    <n v="1984"/>
    <n v="65000"/>
    <x v="1"/>
    <x v="0"/>
    <x v="4"/>
    <x v="4"/>
    <s v="Director"/>
    <d v="2020-01-15T00:00:00"/>
    <d v="2020-01-15T00:00:00"/>
    <x v="2"/>
    <n v="74"/>
    <s v="bob.brown@saltcorp.com"/>
    <m/>
    <s v="Full-Time"/>
    <x v="1"/>
    <s v="EMP-2018-0010"/>
    <n v="7"/>
    <m/>
    <n v="20"/>
    <m/>
    <n v="54"/>
    <m/>
    <x v="1"/>
    <x v="1"/>
  </r>
  <r>
    <s v="EMP-2019-0828"/>
    <s v="Hannah"/>
    <s v="Garrett"/>
    <n v="50"/>
    <n v="50"/>
    <n v="1974"/>
    <n v="50000"/>
    <x v="0"/>
    <x v="1"/>
    <x v="2"/>
    <x v="2"/>
    <s v="Assistant"/>
    <d v="2019-03-25T00:00:00"/>
    <d v="2019-03-25T00:00:00"/>
    <x v="1"/>
    <n v="35"/>
    <s v="hannah.garrett@saltcorp.com"/>
    <s v=" "/>
    <s v="Full-Time"/>
    <x v="1"/>
    <s v="EMP-2020-0014"/>
    <n v="8"/>
    <m/>
    <m/>
    <m/>
    <n v="52"/>
    <s v="YES"/>
    <x v="0"/>
    <x v="0"/>
  </r>
  <r>
    <s v="EMP-2020-0829"/>
    <s v="Frank"/>
    <s v="Ross"/>
    <n v="25"/>
    <n v="25"/>
    <n v="1999"/>
    <n v="65000"/>
    <x v="1"/>
    <x v="0"/>
    <x v="2"/>
    <x v="2"/>
    <s v="Analyst"/>
    <d v="2020-02-20T00:00:00"/>
    <d v="2020-02-20T00:00:00"/>
    <x v="0"/>
    <n v="65"/>
    <s v="frank.ross@saltcorp.com"/>
    <s v=" "/>
    <s v="Full-Time"/>
    <x v="1"/>
    <m/>
    <n v="4"/>
    <m/>
    <m/>
    <m/>
    <n v="26"/>
    <s v="no"/>
    <x v="2"/>
    <x v="0"/>
  </r>
  <r>
    <s v="EMP-2019-0830"/>
    <s v="Eve"/>
    <s v="Olson"/>
    <m/>
    <n v="46"/>
    <n v="1978"/>
    <n v="70000"/>
    <x v="5"/>
    <x v="0"/>
    <x v="1"/>
    <x v="1"/>
    <s v="Manager"/>
    <d v="2019-03-25T00:00:00"/>
    <d v="2019-03-25T00:00:00"/>
    <x v="4"/>
    <n v="81"/>
    <s v="eve.olson@saltcorp.com"/>
    <s v="098-765-4321"/>
    <s v="Part-Time"/>
    <x v="2"/>
    <s v="EMP-2020-0046"/>
    <n v="6"/>
    <m/>
    <m/>
    <d v="2021-10-01T00:00:00"/>
    <n v="50"/>
    <s v="no"/>
    <x v="3"/>
    <x v="0"/>
  </r>
  <r>
    <s v="EMP-2020-0831"/>
    <s v="Ivy"/>
    <s v="Shah"/>
    <n v="25"/>
    <n v="25"/>
    <n v="1999"/>
    <n v="60800"/>
    <x v="19"/>
    <x v="1"/>
    <x v="1"/>
    <x v="1"/>
    <s v="Analyst"/>
    <d v="2020-02-20T00:00:00"/>
    <d v="2020-02-20T00:00:00"/>
    <x v="3"/>
    <n v="93"/>
    <s v="ivy.shah@saltcorp.com"/>
    <s v="098-765-4321"/>
    <s v="contract"/>
    <x v="0"/>
    <s v="EMP-2019-0034"/>
    <n v="8"/>
    <m/>
    <m/>
    <m/>
    <n v="34"/>
    <s v="no"/>
    <x v="4"/>
    <x v="0"/>
  </r>
  <r>
    <s v="EMP-2019-0832"/>
    <s v="Alice"/>
    <s v="Schmidt"/>
    <n v="50"/>
    <n v="50"/>
    <n v="1974"/>
    <n v="65000"/>
    <x v="1"/>
    <x v="0"/>
    <x v="3"/>
    <x v="3"/>
    <s v="Manager"/>
    <d v="2019-12-01T00:00:00"/>
    <d v="2019-12-01T00:00:00"/>
    <x v="3"/>
    <n v="100"/>
    <s v="alice.schmidt@saltcorp.com"/>
    <m/>
    <s v="Full-Time"/>
    <x v="1"/>
    <m/>
    <n v="8"/>
    <s v="N/A"/>
    <m/>
    <m/>
    <m/>
    <s v="no"/>
    <x v="2"/>
    <x v="0"/>
  </r>
  <r>
    <s v="EMP-2019-0833"/>
    <s v="Eve"/>
    <s v="Weber"/>
    <n v="40"/>
    <n v="40"/>
    <n v="1984"/>
    <n v="55000"/>
    <x v="6"/>
    <x v="1"/>
    <x v="3"/>
    <x v="3"/>
    <s v="Analyst"/>
    <d v="2019-12-01T00:00:00"/>
    <d v="2019-12-01T00:00:00"/>
    <x v="2"/>
    <n v="76"/>
    <s v="eve.weber@saltcorp.com"/>
    <s v="123-456-7890"/>
    <s v="Full-Time"/>
    <x v="1"/>
    <m/>
    <n v="1"/>
    <n v="3"/>
    <n v="9"/>
    <m/>
    <n v="13"/>
    <m/>
    <x v="0"/>
    <x v="1"/>
  </r>
  <r>
    <s v="EMP-2020-0834"/>
    <s v="Frank"/>
    <s v="McCoy"/>
    <s v="thirty"/>
    <n v="30"/>
    <n v="1994"/>
    <n v="61500"/>
    <x v="11"/>
    <x v="1"/>
    <x v="2"/>
    <x v="2"/>
    <s v="Manager"/>
    <d v="2020-01-15T00:00:00"/>
    <d v="2020-01-15T00:00:00"/>
    <x v="0"/>
    <n v="68"/>
    <s v="frank.mccoy@saltcorp.com"/>
    <s v="098-765-4321"/>
    <s v="Full-Time"/>
    <x v="1"/>
    <m/>
    <n v="8"/>
    <s v="N/A"/>
    <n v="14"/>
    <d v="2023-01-15T00:00:00"/>
    <n v="51"/>
    <s v="no"/>
    <x v="1"/>
    <x v="1"/>
  </r>
  <r>
    <s v="EMP-2020-0835"/>
    <s v="Eve"/>
    <s v="Reed"/>
    <n v="40"/>
    <n v="40"/>
    <n v="1984"/>
    <n v="59500"/>
    <x v="3"/>
    <x v="1"/>
    <x v="1"/>
    <x v="1"/>
    <s v="Manager"/>
    <d v="2020-01-15T00:00:00"/>
    <d v="2020-01-15T00:00:00"/>
    <x v="3"/>
    <n v="92"/>
    <s v="eve.reed@saltcorp.com"/>
    <s v="555-555-5555"/>
    <s v="Part-Time"/>
    <x v="2"/>
    <m/>
    <n v="2"/>
    <s v="N/A"/>
    <n v="17"/>
    <d v="2024-08-12T00:00:00"/>
    <n v="62"/>
    <s v="YES"/>
    <x v="2"/>
    <x v="0"/>
  </r>
  <r>
    <s v="EMP-2019-0836"/>
    <s v="Frank"/>
    <s v="Gonzalez"/>
    <m/>
    <n v="39"/>
    <n v="1985"/>
    <n v="65000"/>
    <x v="1"/>
    <x v="1"/>
    <x v="0"/>
    <x v="0"/>
    <s v="Analyst"/>
    <d v="2019-03-25T00:00:00"/>
    <d v="2019-03-25T00:00:00"/>
    <x v="2"/>
    <n v="74"/>
    <s v="frank.gonzalez@saltcorp.com"/>
    <s v="123-456-7890"/>
    <s v="Full-Time"/>
    <x v="1"/>
    <m/>
    <n v="5"/>
    <m/>
    <m/>
    <s v="N/A"/>
    <m/>
    <s v="no"/>
    <x v="4"/>
    <x v="0"/>
  </r>
  <r>
    <s v="EMP-2020-0837"/>
    <s v="Frank"/>
    <s v="Johnston"/>
    <n v="40"/>
    <n v="40"/>
    <n v="1984"/>
    <s v="SIXTY THOUSAND"/>
    <x v="2"/>
    <x v="0"/>
    <x v="4"/>
    <x v="4"/>
    <s v="Analyst"/>
    <d v="2020-02-20T00:00:00"/>
    <d v="2020-02-20T00:00:00"/>
    <x v="1"/>
    <n v="3"/>
    <s v="frank.johnston@saltcorp.com"/>
    <s v="555-555-5555"/>
    <s v="Full-Time"/>
    <x v="1"/>
    <m/>
    <n v="2"/>
    <n v="4"/>
    <m/>
    <s v="N/A"/>
    <m/>
    <s v="YES"/>
    <x v="1"/>
    <x v="0"/>
  </r>
  <r>
    <s v="EMP-2018-0838"/>
    <s v="Grace"/>
    <s v="Williamson"/>
    <m/>
    <n v="46"/>
    <n v="1978"/>
    <n v="65000"/>
    <x v="1"/>
    <x v="1"/>
    <x v="1"/>
    <x v="1"/>
    <s v="Manager"/>
    <d v="2018-04-05T00:00:00"/>
    <d v="2018-04-05T00:00:00"/>
    <x v="2"/>
    <n v="71"/>
    <s v="grace.williamson@saltcorp.com"/>
    <s v=" "/>
    <s v="Full-Time"/>
    <x v="1"/>
    <s v="EMP-2020-0032"/>
    <n v="7"/>
    <m/>
    <n v="9"/>
    <d v="2022-06-20T00:00:00"/>
    <m/>
    <s v="no"/>
    <x v="0"/>
    <x v="0"/>
  </r>
  <r>
    <s v="EMP-2020-0839"/>
    <s v="David"/>
    <s v="Murphy"/>
    <m/>
    <n v="59"/>
    <n v="1965"/>
    <n v="60300"/>
    <x v="14"/>
    <x v="1"/>
    <x v="1"/>
    <x v="1"/>
    <s v="Director"/>
    <d v="2020-01-15T00:00:00"/>
    <d v="2020-01-15T00:00:00"/>
    <x v="2"/>
    <n v="79"/>
    <s v="david.murphy@saltcorp.com"/>
    <s v="123-456-7890"/>
    <s v="contract"/>
    <x v="0"/>
    <s v="EMP-2018-0016"/>
    <n v="4"/>
    <s v="N/A"/>
    <n v="19"/>
    <m/>
    <m/>
    <s v="YES"/>
    <x v="4"/>
    <x v="0"/>
  </r>
  <r>
    <s v="EMP-2018-0840"/>
    <s v="Hannah"/>
    <s v="Powell"/>
    <m/>
    <n v="39"/>
    <n v="1985"/>
    <n v="55000"/>
    <x v="6"/>
    <x v="0"/>
    <x v="3"/>
    <x v="3"/>
    <s v="Analyst"/>
    <d v="2018-04-05T00:00:00"/>
    <d v="2018-04-05T00:00:00"/>
    <x v="2"/>
    <n v="78"/>
    <s v="hannah.powell@saltcorp.com"/>
    <m/>
    <s v="contract"/>
    <x v="0"/>
    <s v="EMP-2018-0017"/>
    <n v="4"/>
    <m/>
    <m/>
    <d v="2023-01-15T00:00:00"/>
    <m/>
    <s v="no"/>
    <x v="4"/>
    <x v="1"/>
  </r>
  <r>
    <s v="EMP-2018-0841"/>
    <s v="Grace"/>
    <s v="Wu"/>
    <n v="50"/>
    <n v="50"/>
    <n v="1974"/>
    <n v="58600"/>
    <x v="8"/>
    <x v="0"/>
    <x v="4"/>
    <x v="4"/>
    <s v="Clerk"/>
    <d v="2018-04-05T00:00:00"/>
    <d v="2018-04-05T00:00:00"/>
    <x v="4"/>
    <n v="87"/>
    <s v="grace.wu@saltcorp.com"/>
    <s v=" "/>
    <s v="Full-Time"/>
    <x v="1"/>
    <m/>
    <n v="6"/>
    <m/>
    <n v="0"/>
    <m/>
    <m/>
    <s v="YES"/>
    <x v="3"/>
    <x v="1"/>
  </r>
  <r>
    <s v="EMP-2020-0842"/>
    <s v="Ivy"/>
    <s v="Ross"/>
    <m/>
    <n v="34"/>
    <n v="1990"/>
    <n v="55000"/>
    <x v="6"/>
    <x v="1"/>
    <x v="2"/>
    <x v="2"/>
    <s v="Assistant"/>
    <d v="2020-02-20T00:00:00"/>
    <d v="2020-02-20T00:00:00"/>
    <x v="2"/>
    <n v="76"/>
    <s v="ivy.ross@saltcorp.com"/>
    <s v=" "/>
    <s v="Full-Time"/>
    <x v="1"/>
    <m/>
    <n v="7"/>
    <s v="N/A"/>
    <n v="19"/>
    <m/>
    <m/>
    <s v="no"/>
    <x v="4"/>
    <x v="0"/>
  </r>
  <r>
    <s v="EMP-2019-0843"/>
    <s v="Grace"/>
    <s v="Huang"/>
    <m/>
    <n v="39"/>
    <n v="1985"/>
    <n v="50000"/>
    <x v="0"/>
    <x v="1"/>
    <x v="1"/>
    <x v="1"/>
    <s v="Manager"/>
    <d v="2019-03-25T00:00:00"/>
    <d v="2019-03-25T00:00:00"/>
    <x v="2"/>
    <n v="79"/>
    <s v="grace.huang@saltcorp.com"/>
    <s v="555-555-5555"/>
    <s v="Full-Time"/>
    <x v="1"/>
    <s v="EMP-2020-0034"/>
    <n v="6"/>
    <n v="1"/>
    <n v="16"/>
    <m/>
    <m/>
    <s v="no"/>
    <x v="1"/>
    <x v="1"/>
  </r>
  <r>
    <s v="EMP-2020-0844"/>
    <s v="Charlie"/>
    <s v="Clark"/>
    <s v="thirty"/>
    <n v="30"/>
    <n v="1994"/>
    <n v="70000"/>
    <x v="5"/>
    <x v="0"/>
    <x v="2"/>
    <x v="2"/>
    <s v="Manager"/>
    <d v="2020-02-20T00:00:00"/>
    <d v="2020-02-20T00:00:00"/>
    <x v="4"/>
    <n v="87"/>
    <s v="charlie.clark@saltcorp.com"/>
    <s v=" "/>
    <s v="Full-Time"/>
    <x v="1"/>
    <m/>
    <n v="1"/>
    <s v="N/A"/>
    <m/>
    <m/>
    <m/>
    <m/>
    <x v="3"/>
    <x v="0"/>
  </r>
  <r>
    <s v="EMP-2020-0845"/>
    <s v="Charlie"/>
    <s v="Harris"/>
    <n v="25"/>
    <n v="25"/>
    <n v="1999"/>
    <n v="58500"/>
    <x v="4"/>
    <x v="0"/>
    <x v="1"/>
    <x v="1"/>
    <s v="Assistant"/>
    <d v="2020-01-15T00:00:00"/>
    <d v="2020-01-15T00:00:00"/>
    <x v="4"/>
    <n v="82"/>
    <s v="charlie.harris@saltcorp.com"/>
    <s v="098-765-4321"/>
    <s v="Full-Time"/>
    <x v="1"/>
    <m/>
    <n v="5"/>
    <m/>
    <m/>
    <m/>
    <n v="44"/>
    <m/>
    <x v="2"/>
    <x v="0"/>
  </r>
  <r>
    <s v="EMP-2018-0846"/>
    <s v="Hannah"/>
    <s v="Gibson"/>
    <n v="35"/>
    <n v="35"/>
    <n v="1989"/>
    <n v="65000"/>
    <x v="1"/>
    <x v="0"/>
    <x v="2"/>
    <x v="2"/>
    <s v="Director"/>
    <d v="2018-04-05T00:00:00"/>
    <d v="2018-04-05T00:00:00"/>
    <x v="1"/>
    <n v="53"/>
    <s v="hannah.gibson@saltcorp.com"/>
    <s v="123-456-7890"/>
    <s v="Part-Time"/>
    <x v="2"/>
    <s v="EMP-2019-0007"/>
    <n v="4"/>
    <m/>
    <n v="6"/>
    <d v="2024-08-12T00:00:00"/>
    <m/>
    <s v="YES"/>
    <x v="2"/>
    <x v="0"/>
  </r>
  <r>
    <s v="EMP-2020-0847"/>
    <s v="Eve"/>
    <s v="Stevens"/>
    <n v="25"/>
    <n v="25"/>
    <n v="1999"/>
    <n v="50000"/>
    <x v="0"/>
    <x v="1"/>
    <x v="4"/>
    <x v="4"/>
    <s v="Assistant"/>
    <d v="2020-02-20T00:00:00"/>
    <d v="2020-02-20T00:00:00"/>
    <x v="0"/>
    <n v="61"/>
    <s v="eve.stevens@saltcorp.com"/>
    <s v="098-765-4321"/>
    <s v="contract"/>
    <x v="0"/>
    <m/>
    <n v="5"/>
    <n v="3"/>
    <m/>
    <m/>
    <m/>
    <s v="no"/>
    <x v="3"/>
    <x v="1"/>
  </r>
  <r>
    <s v="EMP-2020-0848"/>
    <s v="David"/>
    <s v="Kim"/>
    <m/>
    <n v="34"/>
    <n v="1990"/>
    <n v="70000"/>
    <x v="5"/>
    <x v="1"/>
    <x v="3"/>
    <x v="3"/>
    <s v="Analyst"/>
    <d v="2020-02-20T00:00:00"/>
    <d v="2020-02-20T00:00:00"/>
    <x v="3"/>
    <n v="96"/>
    <s v="david.kim@saltcorp.com"/>
    <s v="555-555-5555"/>
    <s v="contract"/>
    <x v="0"/>
    <m/>
    <n v="2"/>
    <s v="N/A"/>
    <n v="13"/>
    <s v="N/A"/>
    <n v="30"/>
    <s v="no"/>
    <x v="3"/>
    <x v="0"/>
  </r>
  <r>
    <s v="EMP-2020-0849"/>
    <s v="Hannah"/>
    <s v="Foster"/>
    <s v="thirty"/>
    <n v="30"/>
    <n v="1994"/>
    <n v="65000"/>
    <x v="1"/>
    <x v="1"/>
    <x v="4"/>
    <x v="4"/>
    <s v="Assistant"/>
    <d v="2020-02-20T00:00:00"/>
    <d v="2020-02-20T00:00:00"/>
    <x v="3"/>
    <n v="94"/>
    <s v="hannah.foster@saltcorp.com"/>
    <s v="555-555-5555"/>
    <s v="Part-Time"/>
    <x v="2"/>
    <s v="EMP-2020-0055"/>
    <n v="7"/>
    <m/>
    <m/>
    <d v="2023-01-15T00:00:00"/>
    <m/>
    <m/>
    <x v="0"/>
    <x v="0"/>
  </r>
  <r>
    <s v="EMP-2020-0850"/>
    <s v="Frank"/>
    <s v="Garrett"/>
    <n v="40"/>
    <n v="40"/>
    <n v="1984"/>
    <s v="SIXTY THOUSAND"/>
    <x v="2"/>
    <x v="0"/>
    <x v="0"/>
    <x v="0"/>
    <s v="Manager"/>
    <d v="2020-01-15T00:00:00"/>
    <d v="2020-01-15T00:00:00"/>
    <x v="2"/>
    <n v="78"/>
    <s v="frank.garrett@saltcorp.com"/>
    <s v="123-456-7890"/>
    <s v="Full-Time"/>
    <x v="1"/>
    <m/>
    <n v="6"/>
    <m/>
    <n v="9"/>
    <m/>
    <n v="27"/>
    <m/>
    <x v="3"/>
    <x v="1"/>
  </r>
  <r>
    <s v="EMP-2019-0851"/>
    <s v="Bob"/>
    <s v="Rogers"/>
    <s v="thirty"/>
    <n v="30"/>
    <n v="1994"/>
    <n v="65000"/>
    <x v="1"/>
    <x v="0"/>
    <x v="3"/>
    <x v="3"/>
    <s v="Assistant"/>
    <d v="2019-03-25T00:00:00"/>
    <d v="2019-03-25T00:00:00"/>
    <x v="1"/>
    <n v="37"/>
    <s v="bob.rogers@saltcorp.com"/>
    <s v=" "/>
    <s v="Part-Time"/>
    <x v="2"/>
    <m/>
    <n v="2"/>
    <m/>
    <n v="0"/>
    <m/>
    <m/>
    <s v="no"/>
    <x v="3"/>
    <x v="1"/>
  </r>
  <r>
    <s v="EMP-2020-0852"/>
    <s v="David"/>
    <s v="Jordan"/>
    <m/>
    <n v="30"/>
    <n v="1994"/>
    <n v="55000"/>
    <x v="6"/>
    <x v="0"/>
    <x v="4"/>
    <x v="4"/>
    <s v="Clerk"/>
    <d v="2020-02-20T00:00:00"/>
    <d v="2020-02-20T00:00:00"/>
    <x v="2"/>
    <n v="71"/>
    <s v="david.jordan@saltcorp.com"/>
    <m/>
    <s v="Part-Time"/>
    <x v="2"/>
    <m/>
    <n v="3"/>
    <m/>
    <m/>
    <m/>
    <m/>
    <m/>
    <x v="4"/>
    <x v="1"/>
  </r>
  <r>
    <s v="EMP-2020-0853"/>
    <s v="David"/>
    <s v="O'Brien"/>
    <s v="thirty"/>
    <n v="30"/>
    <n v="1994"/>
    <n v="55000"/>
    <x v="6"/>
    <x v="1"/>
    <x v="0"/>
    <x v="0"/>
    <s v="Analyst"/>
    <d v="2020-01-15T00:00:00"/>
    <d v="2020-01-15T00:00:00"/>
    <x v="3"/>
    <n v="91"/>
    <s v="david.o'brien@saltcorp.com"/>
    <s v="555-555-5555"/>
    <s v="Full-Time"/>
    <x v="1"/>
    <s v="EMP-2020-0062"/>
    <n v="8"/>
    <m/>
    <m/>
    <d v="2022-06-20T00:00:00"/>
    <n v="28"/>
    <m/>
    <x v="0"/>
    <x v="0"/>
  </r>
  <r>
    <s v="EMP-2018-0854"/>
    <s v="Frank"/>
    <s v="Lopez"/>
    <s v="thirty"/>
    <n v="30"/>
    <n v="1994"/>
    <s v="SIXTY THOUSAND"/>
    <x v="2"/>
    <x v="1"/>
    <x v="1"/>
    <x v="1"/>
    <s v="Assistant"/>
    <d v="2018-04-05T00:00:00"/>
    <d v="2018-04-05T00:00:00"/>
    <x v="4"/>
    <n v="84"/>
    <s v="frank.lopez@saltcorp.com"/>
    <s v="123-456-7890"/>
    <s v="Part-Time"/>
    <x v="2"/>
    <m/>
    <n v="6"/>
    <s v="N/A"/>
    <n v="6"/>
    <d v="2021-10-01T00:00:00"/>
    <n v="26"/>
    <s v="YES"/>
    <x v="1"/>
    <x v="1"/>
  </r>
  <r>
    <s v="EMP-2019-0855"/>
    <s v="Frank"/>
    <s v="Olson"/>
    <m/>
    <n v="45"/>
    <n v="1979"/>
    <n v="50000"/>
    <x v="0"/>
    <x v="0"/>
    <x v="1"/>
    <x v="1"/>
    <s v="Manager"/>
    <d v="2019-12-01T00:00:00"/>
    <d v="2019-12-01T00:00:00"/>
    <x v="0"/>
    <n v="62"/>
    <s v="frank.olson@saltcorp.com"/>
    <m/>
    <s v="contract"/>
    <x v="0"/>
    <m/>
    <n v="6"/>
    <s v="N/A"/>
    <m/>
    <m/>
    <m/>
    <s v="YES"/>
    <x v="4"/>
    <x v="1"/>
  </r>
  <r>
    <s v="EMP-2020-0856"/>
    <s v="Alice"/>
    <s v="Lee"/>
    <n v="50"/>
    <n v="50"/>
    <n v="1974"/>
    <n v="70000"/>
    <x v="5"/>
    <x v="0"/>
    <x v="2"/>
    <x v="2"/>
    <s v="Analyst"/>
    <d v="2020-01-15T00:00:00"/>
    <d v="2020-01-15T00:00:00"/>
    <x v="1"/>
    <n v="43"/>
    <s v="alice.lee@saltcorp.com"/>
    <s v=" "/>
    <s v="Full-Time"/>
    <x v="1"/>
    <m/>
    <n v="4"/>
    <m/>
    <m/>
    <m/>
    <m/>
    <s v="YES"/>
    <x v="2"/>
    <x v="0"/>
  </r>
  <r>
    <s v="EMP-2019-0857"/>
    <s v="Hannah"/>
    <s v="Mason"/>
    <s v="thirty"/>
    <n v="30"/>
    <n v="1994"/>
    <n v="65000"/>
    <x v="1"/>
    <x v="1"/>
    <x v="3"/>
    <x v="3"/>
    <s v="Manager"/>
    <d v="2019-12-01T00:00:00"/>
    <d v="2019-12-01T00:00:00"/>
    <x v="4"/>
    <n v="80"/>
    <s v="hannah.mason@saltcorp.com"/>
    <s v="555-555-5555"/>
    <s v="Full-Time"/>
    <x v="1"/>
    <m/>
    <n v="5"/>
    <m/>
    <n v="20"/>
    <d v="2024-08-12T00:00:00"/>
    <m/>
    <s v="no"/>
    <x v="0"/>
    <x v="1"/>
  </r>
  <r>
    <s v="EMP-2020-0858"/>
    <s v="Frank"/>
    <s v="Jordan"/>
    <n v="35"/>
    <n v="35"/>
    <n v="1989"/>
    <n v="55000"/>
    <x v="6"/>
    <x v="1"/>
    <x v="1"/>
    <x v="1"/>
    <s v="Director"/>
    <d v="2020-02-20T00:00:00"/>
    <d v="2020-02-20T00:00:00"/>
    <x v="0"/>
    <n v="64"/>
    <s v="frank.jordan@saltcorp.com"/>
    <s v="123-456-7890"/>
    <s v="Full-Time"/>
    <x v="1"/>
    <m/>
    <n v="3"/>
    <m/>
    <m/>
    <s v="N/A"/>
    <n v="63"/>
    <s v="YES"/>
    <x v="3"/>
    <x v="0"/>
  </r>
  <r>
    <s v="EMP-2020-0859"/>
    <s v="Charlie"/>
    <s v="Graham"/>
    <n v="35"/>
    <n v="35"/>
    <n v="1989"/>
    <n v="50000"/>
    <x v="0"/>
    <x v="1"/>
    <x v="3"/>
    <x v="3"/>
    <s v="Clerk"/>
    <d v="2020-02-20T00:00:00"/>
    <d v="2020-02-20T00:00:00"/>
    <x v="1"/>
    <n v="19"/>
    <s v="charlie.graham@saltcorp.com"/>
    <s v="123-456-7890"/>
    <s v="Full-Time"/>
    <x v="1"/>
    <m/>
    <n v="4"/>
    <m/>
    <m/>
    <m/>
    <m/>
    <s v="YES"/>
    <x v="1"/>
    <x v="1"/>
  </r>
  <r>
    <s v="EMP-2020-0860"/>
    <s v="Ivy"/>
    <s v="Patel"/>
    <s v="thirty"/>
    <n v="30"/>
    <n v="1994"/>
    <s v="SIXTY THOUSAND"/>
    <x v="2"/>
    <x v="0"/>
    <x v="1"/>
    <x v="1"/>
    <s v="Director"/>
    <d v="2020-01-15T00:00:00"/>
    <d v="2020-01-15T00:00:00"/>
    <x v="1"/>
    <n v="8"/>
    <s v="ivy.patel@saltcorp.com"/>
    <s v="123-456-7890"/>
    <s v="contract"/>
    <x v="0"/>
    <s v="EMP-2019-0035"/>
    <n v="8"/>
    <m/>
    <n v="3"/>
    <s v="N/A"/>
    <n v="13"/>
    <s v="no"/>
    <x v="0"/>
    <x v="0"/>
  </r>
  <r>
    <s v="EMP-2019-0861"/>
    <s v="Bob"/>
    <s v="Wilson"/>
    <n v="50"/>
    <n v="50"/>
    <n v="1974"/>
    <n v="63000"/>
    <x v="9"/>
    <x v="1"/>
    <x v="2"/>
    <x v="2"/>
    <s v="Clerk"/>
    <d v="2019-12-01T00:00:00"/>
    <d v="2019-12-01T00:00:00"/>
    <x v="3"/>
    <n v="94"/>
    <s v="bob.wilson@saltcorp.com"/>
    <s v="555-555-5555"/>
    <s v="contract"/>
    <x v="0"/>
    <s v="EMP-2020-0029"/>
    <n v="4"/>
    <m/>
    <m/>
    <m/>
    <n v="63"/>
    <s v="YES"/>
    <x v="1"/>
    <x v="1"/>
  </r>
  <r>
    <s v="EMP-2020-0862"/>
    <s v="Hannah"/>
    <s v="Young"/>
    <n v="40"/>
    <n v="40"/>
    <n v="1984"/>
    <n v="55000"/>
    <x v="6"/>
    <x v="1"/>
    <x v="4"/>
    <x v="4"/>
    <s v="Assistant"/>
    <d v="2020-02-20T00:00:00"/>
    <d v="2020-02-20T00:00:00"/>
    <x v="4"/>
    <n v="89"/>
    <s v="hannah.young@saltcorp.com"/>
    <m/>
    <s v="contract"/>
    <x v="0"/>
    <m/>
    <n v="4"/>
    <n v="1"/>
    <m/>
    <d v="2021-10-01T00:00:00"/>
    <m/>
    <s v="no"/>
    <x v="4"/>
    <x v="1"/>
  </r>
  <r>
    <s v="EMP-2018-0863"/>
    <s v="Jack"/>
    <s v="Oliver"/>
    <m/>
    <n v="33"/>
    <n v="1991"/>
    <s v="SIXTY THOUSAND"/>
    <x v="2"/>
    <x v="0"/>
    <x v="2"/>
    <x v="2"/>
    <s v="Analyst"/>
    <d v="2018-04-05T00:00:00"/>
    <d v="2018-04-05T00:00:00"/>
    <x v="1"/>
    <n v="55"/>
    <s v="jack.oliver@saltcorp.com"/>
    <s v="123-456-7890"/>
    <s v="Full-Time"/>
    <x v="1"/>
    <m/>
    <n v="4"/>
    <m/>
    <n v="10"/>
    <m/>
    <n v="56"/>
    <s v="no"/>
    <x v="3"/>
    <x v="1"/>
  </r>
  <r>
    <s v="EMP-2019-0864"/>
    <s v="Charlie"/>
    <s v="Matthews"/>
    <n v="35"/>
    <n v="35"/>
    <n v="1989"/>
    <n v="65000"/>
    <x v="1"/>
    <x v="0"/>
    <x v="0"/>
    <x v="0"/>
    <s v="Assistant"/>
    <d v="2019-03-25T00:00:00"/>
    <d v="2019-03-25T00:00:00"/>
    <x v="1"/>
    <n v="4"/>
    <s v="charlie.matthews@saltcorp.com"/>
    <s v=" "/>
    <s v="Full-Time"/>
    <x v="1"/>
    <s v="EMP-2020-0030"/>
    <n v="5"/>
    <m/>
    <m/>
    <m/>
    <m/>
    <m/>
    <x v="1"/>
    <x v="1"/>
  </r>
  <r>
    <s v="EMP-2019-0865"/>
    <s v="Eve"/>
    <s v="Davidson"/>
    <n v="40"/>
    <n v="40"/>
    <n v="1984"/>
    <n v="70000"/>
    <x v="5"/>
    <x v="1"/>
    <x v="1"/>
    <x v="1"/>
    <s v="Clerk"/>
    <d v="2019-03-25T00:00:00"/>
    <d v="2019-03-25T00:00:00"/>
    <x v="0"/>
    <n v="62"/>
    <s v="eve.davidson@saltcorp.com"/>
    <s v="123-456-7890"/>
    <s v="contract"/>
    <x v="0"/>
    <m/>
    <n v="4"/>
    <m/>
    <n v="2"/>
    <m/>
    <m/>
    <s v="YES"/>
    <x v="0"/>
    <x v="0"/>
  </r>
  <r>
    <s v="EMP-2020-0866"/>
    <s v="Frank"/>
    <s v="Ward"/>
    <s v="thirty"/>
    <n v="30"/>
    <n v="1994"/>
    <n v="55000"/>
    <x v="6"/>
    <x v="0"/>
    <x v="0"/>
    <x v="0"/>
    <s v="Clerk"/>
    <d v="2020-02-20T00:00:00"/>
    <d v="2020-02-20T00:00:00"/>
    <x v="3"/>
    <n v="98"/>
    <s v="frank.ward@saltcorp.com"/>
    <m/>
    <s v="Part-Time"/>
    <x v="2"/>
    <s v="EMP-2020-0008"/>
    <n v="4"/>
    <s v="N/A"/>
    <m/>
    <d v="2022-06-20T00:00:00"/>
    <m/>
    <m/>
    <x v="0"/>
    <x v="1"/>
  </r>
  <r>
    <s v="EMP-2019-0867"/>
    <s v="Jack"/>
    <s v="Ryan"/>
    <n v="40"/>
    <n v="40"/>
    <n v="1984"/>
    <n v="55000"/>
    <x v="6"/>
    <x v="1"/>
    <x v="0"/>
    <x v="0"/>
    <s v="Clerk"/>
    <d v="2019-12-01T00:00:00"/>
    <d v="2019-12-01T00:00:00"/>
    <x v="2"/>
    <n v="73"/>
    <s v="jack.ryan@saltcorp.com"/>
    <s v="555-555-5555"/>
    <s v="Full-Time"/>
    <x v="1"/>
    <s v="EMP-2019-0046"/>
    <n v="4"/>
    <m/>
    <m/>
    <d v="2024-08-12T00:00:00"/>
    <n v="26"/>
    <s v="YES"/>
    <x v="0"/>
    <x v="0"/>
  </r>
  <r>
    <s v="EMP-2020-0868"/>
    <s v="Frank"/>
    <s v="Weber"/>
    <n v="25"/>
    <n v="25"/>
    <n v="1999"/>
    <n v="65000"/>
    <x v="1"/>
    <x v="0"/>
    <x v="3"/>
    <x v="3"/>
    <s v="Manager"/>
    <d v="2020-02-20T00:00:00"/>
    <d v="2020-02-20T00:00:00"/>
    <x v="3"/>
    <n v="90"/>
    <s v="frank.weber@saltcorp.com"/>
    <s v="123-456-7890"/>
    <s v="Full-Time"/>
    <x v="1"/>
    <m/>
    <n v="4"/>
    <m/>
    <m/>
    <d v="2023-01-15T00:00:00"/>
    <n v="9"/>
    <s v="no"/>
    <x v="4"/>
    <x v="1"/>
  </r>
  <r>
    <s v="EMP-2019-0869"/>
    <s v="David"/>
    <s v="O'Brien"/>
    <n v="35"/>
    <n v="35"/>
    <n v="1989"/>
    <n v="60800"/>
    <x v="19"/>
    <x v="1"/>
    <x v="1"/>
    <x v="1"/>
    <s v="Analyst"/>
    <d v="2019-12-01T00:00:00"/>
    <d v="2019-12-01T00:00:00"/>
    <x v="2"/>
    <n v="76"/>
    <s v="david.o'brien@saltcorp.com"/>
    <s v="123-456-7890"/>
    <s v="Part-Time"/>
    <x v="2"/>
    <m/>
    <n v="6"/>
    <s v="N/A"/>
    <m/>
    <d v="2024-08-12T00:00:00"/>
    <n v="52"/>
    <s v="no"/>
    <x v="1"/>
    <x v="1"/>
  </r>
  <r>
    <s v="EMP-2018-0870"/>
    <s v="Charlie"/>
    <s v="Armstrong"/>
    <s v="thirty"/>
    <n v="30"/>
    <n v="1994"/>
    <n v="50000"/>
    <x v="0"/>
    <x v="0"/>
    <x v="0"/>
    <x v="0"/>
    <s v="Assistant"/>
    <d v="2018-04-05T00:00:00"/>
    <d v="2018-04-05T00:00:00"/>
    <x v="4"/>
    <n v="83"/>
    <s v="charlie.armstrong@saltcorp.com"/>
    <s v=" "/>
    <s v="Part-Time"/>
    <x v="2"/>
    <s v="EMP-2020-0073"/>
    <n v="3"/>
    <n v="13"/>
    <n v="20"/>
    <m/>
    <n v="53"/>
    <s v="YES"/>
    <x v="0"/>
    <x v="0"/>
  </r>
  <r>
    <s v="EMP-2019-0871"/>
    <s v="David"/>
    <s v="Walker"/>
    <m/>
    <n v="32"/>
    <n v="1992"/>
    <n v="70000"/>
    <x v="5"/>
    <x v="0"/>
    <x v="4"/>
    <x v="4"/>
    <s v="Assistant"/>
    <d v="2019-12-01T00:00:00"/>
    <d v="2019-12-01T00:00:00"/>
    <x v="4"/>
    <n v="82"/>
    <s v="david.walker@saltcorp.com"/>
    <s v=" "/>
    <s v="Part-Time"/>
    <x v="2"/>
    <m/>
    <n v="2"/>
    <s v="N/A"/>
    <n v="19"/>
    <m/>
    <n v="45"/>
    <m/>
    <x v="1"/>
    <x v="0"/>
  </r>
  <r>
    <s v="EMP-2020-0872"/>
    <s v="Alice"/>
    <s v="Gibson"/>
    <n v="50"/>
    <n v="50"/>
    <n v="1974"/>
    <n v="55000"/>
    <x v="6"/>
    <x v="0"/>
    <x v="0"/>
    <x v="0"/>
    <s v="Director"/>
    <d v="2020-02-20T00:00:00"/>
    <d v="2020-02-20T00:00:00"/>
    <x v="1"/>
    <n v="47"/>
    <s v="alice.gibson@saltcorp.com"/>
    <s v="123-456-7890"/>
    <s v="Full-Time"/>
    <x v="1"/>
    <s v="EMP-2019-0005"/>
    <n v="2"/>
    <n v="2"/>
    <n v="8"/>
    <m/>
    <n v="32"/>
    <m/>
    <x v="2"/>
    <x v="0"/>
  </r>
  <r>
    <s v="EMP-2018-0873"/>
    <s v="David"/>
    <s v="McCoy"/>
    <s v="thirty"/>
    <n v="30"/>
    <n v="1994"/>
    <n v="70000"/>
    <x v="5"/>
    <x v="1"/>
    <x v="4"/>
    <x v="4"/>
    <s v="Clerk"/>
    <d v="2018-04-05T00:00:00"/>
    <d v="2018-04-05T00:00:00"/>
    <x v="4"/>
    <n v="84"/>
    <s v="david.mccoy@saltcorp.com"/>
    <s v="123-456-7890"/>
    <s v="Full-Time"/>
    <x v="1"/>
    <s v="EMP-2020-0029"/>
    <n v="2"/>
    <m/>
    <n v="6"/>
    <m/>
    <m/>
    <s v="YES"/>
    <x v="0"/>
    <x v="0"/>
  </r>
  <r>
    <s v="EMP-2020-0874"/>
    <s v="Alice"/>
    <s v="Johnston"/>
    <m/>
    <n v="31"/>
    <n v="1993"/>
    <n v="55000"/>
    <x v="6"/>
    <x v="1"/>
    <x v="3"/>
    <x v="3"/>
    <s v="Clerk"/>
    <d v="2020-01-15T00:00:00"/>
    <d v="2020-01-15T00:00:00"/>
    <x v="1"/>
    <n v="41"/>
    <s v="alice.johnston@saltcorp.com"/>
    <s v=" "/>
    <s v="Part-Time"/>
    <x v="2"/>
    <m/>
    <n v="8"/>
    <m/>
    <n v="0"/>
    <m/>
    <m/>
    <s v="YES"/>
    <x v="4"/>
    <x v="0"/>
  </r>
  <r>
    <s v="EMP-2019-0875"/>
    <s v="Alice"/>
    <s v="Riley"/>
    <n v="50"/>
    <n v="50"/>
    <n v="1974"/>
    <n v="70000"/>
    <x v="5"/>
    <x v="1"/>
    <x v="0"/>
    <x v="0"/>
    <s v="Clerk"/>
    <d v="2019-03-25T00:00:00"/>
    <d v="2019-03-25T00:00:00"/>
    <x v="3"/>
    <n v="93"/>
    <s v="alice.riley@saltcorp.com"/>
    <m/>
    <s v="Part-Time"/>
    <x v="2"/>
    <m/>
    <n v="1"/>
    <m/>
    <m/>
    <d v="2024-08-12T00:00:00"/>
    <m/>
    <s v="no"/>
    <x v="1"/>
    <x v="0"/>
  </r>
  <r>
    <s v="EMP-2020-0876"/>
    <s v="Jack"/>
    <s v="O'Neill"/>
    <n v="50"/>
    <n v="50"/>
    <n v="1974"/>
    <s v="SIXTY THOUSAND"/>
    <x v="2"/>
    <x v="0"/>
    <x v="2"/>
    <x v="2"/>
    <s v="Assistant"/>
    <d v="2020-02-20T00:00:00"/>
    <d v="2020-02-20T00:00:00"/>
    <x v="4"/>
    <n v="80"/>
    <s v="jack.o'neill@saltcorp.com"/>
    <s v="098-765-4321"/>
    <s v="contract"/>
    <x v="0"/>
    <s v="EMP-2019-0008"/>
    <n v="1"/>
    <m/>
    <n v="10"/>
    <m/>
    <m/>
    <s v="no"/>
    <x v="3"/>
    <x v="0"/>
  </r>
  <r>
    <s v="EMP-2020-0877"/>
    <s v="Frank"/>
    <s v="Andrews"/>
    <s v="thirty"/>
    <n v="30"/>
    <n v="1994"/>
    <n v="55000"/>
    <x v="6"/>
    <x v="0"/>
    <x v="3"/>
    <x v="3"/>
    <s v="Director"/>
    <d v="2020-02-20T00:00:00"/>
    <d v="2020-02-20T00:00:00"/>
    <x v="3"/>
    <n v="92"/>
    <s v="frank.andrews@saltcorp.com"/>
    <s v="098-765-4321"/>
    <s v="Full-Time"/>
    <x v="1"/>
    <s v="EMP-2020-0019"/>
    <n v="8"/>
    <m/>
    <m/>
    <d v="2023-03-05T00:00:00"/>
    <m/>
    <s v="YES"/>
    <x v="3"/>
    <x v="0"/>
  </r>
  <r>
    <s v="EMP-2020-0878"/>
    <s v="Eve"/>
    <s v="Parker"/>
    <n v="40"/>
    <n v="40"/>
    <n v="1984"/>
    <n v="70000"/>
    <x v="5"/>
    <x v="1"/>
    <x v="4"/>
    <x v="4"/>
    <s v="Manager"/>
    <d v="2020-02-20T00:00:00"/>
    <d v="2020-02-20T00:00:00"/>
    <x v="3"/>
    <n v="99"/>
    <s v="eve.parker@saltcorp.com"/>
    <s v="123-456-7890"/>
    <s v="Full-Time"/>
    <x v="1"/>
    <m/>
    <n v="6"/>
    <s v="N/A"/>
    <n v="0"/>
    <m/>
    <n v="64"/>
    <s v="no"/>
    <x v="0"/>
    <x v="0"/>
  </r>
  <r>
    <s v="EMP-2018-0879"/>
    <s v="David"/>
    <s v="Dixon"/>
    <n v="40"/>
    <n v="40"/>
    <n v="1984"/>
    <n v="50000"/>
    <x v="0"/>
    <x v="0"/>
    <x v="3"/>
    <x v="3"/>
    <s v="Analyst"/>
    <d v="2018-04-05T00:00:00"/>
    <d v="2018-04-05T00:00:00"/>
    <x v="4"/>
    <n v="85"/>
    <s v="david.dixon@saltcorp.com"/>
    <s v=" "/>
    <s v="contract"/>
    <x v="0"/>
    <m/>
    <n v="6"/>
    <n v="2"/>
    <n v="11"/>
    <s v="N/A"/>
    <m/>
    <s v="no"/>
    <x v="1"/>
    <x v="1"/>
  </r>
  <r>
    <s v="EMP-2020-0880"/>
    <s v="Charlie"/>
    <s v="White"/>
    <n v="50"/>
    <n v="50"/>
    <n v="1974"/>
    <s v="SIXTY THOUSAND"/>
    <x v="2"/>
    <x v="1"/>
    <x v="0"/>
    <x v="0"/>
    <s v="Manager"/>
    <d v="2020-01-15T00:00:00"/>
    <d v="2020-01-15T00:00:00"/>
    <x v="3"/>
    <n v="97"/>
    <s v="charlie.white@saltcorp.com"/>
    <s v="555-555-5555"/>
    <s v="Full-Time"/>
    <x v="1"/>
    <s v="EMP-2019-0042"/>
    <n v="8"/>
    <n v="4"/>
    <m/>
    <m/>
    <m/>
    <s v="YES"/>
    <x v="1"/>
    <x v="1"/>
  </r>
  <r>
    <s v="EMP-2019-0881"/>
    <s v="Alice"/>
    <s v="Lee"/>
    <n v="40"/>
    <n v="40"/>
    <n v="1984"/>
    <s v="SIXTY THOUSAND"/>
    <x v="2"/>
    <x v="1"/>
    <x v="1"/>
    <x v="1"/>
    <s v="Assistant"/>
    <d v="2019-12-01T00:00:00"/>
    <d v="2019-12-01T00:00:00"/>
    <x v="4"/>
    <n v="81"/>
    <s v="alice.lee@saltcorp.com"/>
    <s v="555-555-5555"/>
    <s v="Part-Time"/>
    <x v="2"/>
    <m/>
    <n v="5"/>
    <m/>
    <m/>
    <d v="2021-10-01T00:00:00"/>
    <m/>
    <s v="YES"/>
    <x v="0"/>
    <x v="0"/>
  </r>
  <r>
    <s v="EMP-2020-0882"/>
    <s v="Frank"/>
    <s v="Harrison"/>
    <n v="25"/>
    <n v="25"/>
    <n v="1999"/>
    <n v="50000"/>
    <x v="0"/>
    <x v="1"/>
    <x v="1"/>
    <x v="1"/>
    <s v="Clerk"/>
    <d v="2020-01-15T00:00:00"/>
    <d v="2020-01-15T00:00:00"/>
    <x v="4"/>
    <n v="88"/>
    <s v="frank.harrison@saltcorp.com"/>
    <s v="098-765-4321"/>
    <s v="Full-Time"/>
    <x v="1"/>
    <m/>
    <n v="8"/>
    <m/>
    <m/>
    <d v="2023-01-15T00:00:00"/>
    <m/>
    <s v="YES"/>
    <x v="1"/>
    <x v="1"/>
  </r>
  <r>
    <s v="EMP-2018-0883"/>
    <s v="Bob"/>
    <s v="Johnson"/>
    <n v="50"/>
    <n v="50"/>
    <n v="1974"/>
    <n v="70000"/>
    <x v="5"/>
    <x v="0"/>
    <x v="4"/>
    <x v="4"/>
    <s v="Analyst"/>
    <d v="2018-04-05T00:00:00"/>
    <d v="2018-04-05T00:00:00"/>
    <x v="4"/>
    <n v="81"/>
    <s v="bob.johnson@saltcorp.com"/>
    <m/>
    <s v="Full-Time"/>
    <x v="1"/>
    <m/>
    <n v="3"/>
    <s v="N/A"/>
    <n v="0"/>
    <m/>
    <n v="49"/>
    <s v="YES"/>
    <x v="3"/>
    <x v="0"/>
  </r>
  <r>
    <s v="EMP-2020-0884"/>
    <s v="Hannah"/>
    <s v="Long"/>
    <n v="50"/>
    <n v="50"/>
    <n v="1974"/>
    <n v="65000"/>
    <x v="1"/>
    <x v="1"/>
    <x v="4"/>
    <x v="4"/>
    <s v="Assistant"/>
    <d v="2020-02-20T00:00:00"/>
    <d v="2020-02-20T00:00:00"/>
    <x v="2"/>
    <n v="74"/>
    <s v="hannah.long@saltcorp.com"/>
    <s v="098-765-4321"/>
    <s v="Part-Time"/>
    <x v="2"/>
    <s v="EMP-2020-0046"/>
    <n v="5"/>
    <m/>
    <m/>
    <m/>
    <m/>
    <s v="no"/>
    <x v="4"/>
    <x v="0"/>
  </r>
  <r>
    <s v="EMP-2019-0885"/>
    <s v="Jack"/>
    <s v="Sullivan"/>
    <m/>
    <n v="41"/>
    <n v="1983"/>
    <n v="50000"/>
    <x v="0"/>
    <x v="0"/>
    <x v="1"/>
    <x v="1"/>
    <s v="Assistant"/>
    <d v="2019-03-25T00:00:00"/>
    <d v="2019-03-25T00:00:00"/>
    <x v="3"/>
    <n v="100"/>
    <s v="jack.sullivan@saltcorp.com"/>
    <s v="123-456-7890"/>
    <s v="Full-Time"/>
    <x v="1"/>
    <m/>
    <n v="7"/>
    <m/>
    <m/>
    <m/>
    <m/>
    <s v="YES"/>
    <x v="1"/>
    <x v="0"/>
  </r>
  <r>
    <s v="EMP-2020-0886"/>
    <s v="Eve"/>
    <s v="Mitchell"/>
    <n v="40"/>
    <n v="40"/>
    <n v="1984"/>
    <n v="70000"/>
    <x v="5"/>
    <x v="1"/>
    <x v="4"/>
    <x v="4"/>
    <s v="Assistant"/>
    <d v="2020-02-20T00:00:00"/>
    <d v="2020-02-20T00:00:00"/>
    <x v="0"/>
    <n v="66"/>
    <s v="eve.mitchell@saltcorp.com"/>
    <m/>
    <s v="contract"/>
    <x v="0"/>
    <s v="EMP-2019-0017"/>
    <n v="4"/>
    <m/>
    <m/>
    <m/>
    <m/>
    <s v="no"/>
    <x v="1"/>
    <x v="0"/>
  </r>
  <r>
    <s v="EMP-2019-0887"/>
    <s v="Grace"/>
    <s v="Wang"/>
    <n v="50"/>
    <n v="50"/>
    <n v="1974"/>
    <n v="50000"/>
    <x v="0"/>
    <x v="1"/>
    <x v="3"/>
    <x v="3"/>
    <s v="Analyst"/>
    <d v="2019-12-01T00:00:00"/>
    <d v="2019-12-01T00:00:00"/>
    <x v="4"/>
    <n v="82"/>
    <s v="grace.wang@saltcorp.com"/>
    <s v="555-555-5555"/>
    <s v="Full-Time"/>
    <x v="1"/>
    <m/>
    <n v="3"/>
    <m/>
    <m/>
    <m/>
    <n v="50"/>
    <s v="no"/>
    <x v="4"/>
    <x v="0"/>
  </r>
  <r>
    <s v="EMP-2019-0888"/>
    <s v="Jack"/>
    <s v="Navarro"/>
    <n v="25"/>
    <n v="25"/>
    <n v="1999"/>
    <n v="50000"/>
    <x v="0"/>
    <x v="0"/>
    <x v="2"/>
    <x v="2"/>
    <s v="Analyst"/>
    <d v="2019-03-25T00:00:00"/>
    <d v="2019-03-25T00:00:00"/>
    <x v="3"/>
    <n v="94"/>
    <s v="jack.navarro@saltcorp.com"/>
    <s v=" "/>
    <s v="contract"/>
    <x v="0"/>
    <m/>
    <n v="1"/>
    <m/>
    <n v="9"/>
    <m/>
    <m/>
    <m/>
    <x v="1"/>
    <x v="1"/>
  </r>
  <r>
    <s v="EMP-2020-0889"/>
    <s v="Bob"/>
    <s v="Lucas"/>
    <m/>
    <n v="47"/>
    <n v="1977"/>
    <n v="55000"/>
    <x v="6"/>
    <x v="1"/>
    <x v="2"/>
    <x v="2"/>
    <s v="Director"/>
    <d v="2020-02-20T00:00:00"/>
    <d v="2020-02-20T00:00:00"/>
    <x v="1"/>
    <n v="21"/>
    <s v="bob.lucas@saltcorp.com"/>
    <s v=" "/>
    <s v="Part-Time"/>
    <x v="2"/>
    <s v="EMP-2020-0005"/>
    <n v="7"/>
    <m/>
    <n v="13"/>
    <s v="N/A"/>
    <m/>
    <s v="YES"/>
    <x v="1"/>
    <x v="1"/>
  </r>
  <r>
    <s v="EMP-2019-0890"/>
    <s v="Hannah"/>
    <s v="Hanson"/>
    <s v="thirty"/>
    <n v="30"/>
    <n v="1994"/>
    <n v="70000"/>
    <x v="5"/>
    <x v="0"/>
    <x v="3"/>
    <x v="3"/>
    <s v="Director"/>
    <d v="2019-03-25T00:00:00"/>
    <d v="2019-03-25T00:00:00"/>
    <x v="4"/>
    <n v="88"/>
    <s v="hannah.hanson@saltcorp.com"/>
    <s v="123-456-7890"/>
    <s v="Full-Time"/>
    <x v="1"/>
    <m/>
    <n v="8"/>
    <m/>
    <m/>
    <m/>
    <m/>
    <s v="no"/>
    <x v="2"/>
    <x v="1"/>
  </r>
  <r>
    <s v="EMP-2020-0891"/>
    <s v="Bob"/>
    <s v="Garcia"/>
    <n v="50"/>
    <n v="50"/>
    <n v="1974"/>
    <n v="65000"/>
    <x v="1"/>
    <x v="1"/>
    <x v="2"/>
    <x v="2"/>
    <s v="Manager"/>
    <d v="2020-01-15T00:00:00"/>
    <d v="2020-01-15T00:00:00"/>
    <x v="4"/>
    <n v="82"/>
    <s v="bob.garcia@saltcorp.com"/>
    <s v="098-765-4321"/>
    <s v="contract"/>
    <x v="0"/>
    <m/>
    <n v="1"/>
    <n v="6"/>
    <n v="8"/>
    <d v="2023-03-05T00:00:00"/>
    <m/>
    <m/>
    <x v="1"/>
    <x v="1"/>
  </r>
  <r>
    <s v="EMP-2018-0892"/>
    <s v="David"/>
    <s v="Knight"/>
    <n v="25"/>
    <n v="25"/>
    <n v="1999"/>
    <n v="55000"/>
    <x v="6"/>
    <x v="0"/>
    <x v="0"/>
    <x v="0"/>
    <s v="Analyst"/>
    <d v="2018-04-05T00:00:00"/>
    <d v="2018-04-05T00:00:00"/>
    <x v="0"/>
    <n v="64"/>
    <s v="david.knight@saltcorp.com"/>
    <s v="123-456-7890"/>
    <s v="contract"/>
    <x v="0"/>
    <m/>
    <n v="6"/>
    <n v="5"/>
    <m/>
    <m/>
    <n v="47"/>
    <s v="YES"/>
    <x v="2"/>
    <x v="0"/>
  </r>
  <r>
    <s v="EMP-2020-0893"/>
    <s v="Alice"/>
    <s v="Aguilar"/>
    <n v="35"/>
    <n v="35"/>
    <n v="1989"/>
    <n v="50000"/>
    <x v="0"/>
    <x v="0"/>
    <x v="3"/>
    <x v="3"/>
    <s v="Analyst"/>
    <d v="2020-02-20T00:00:00"/>
    <d v="2020-02-20T00:00:00"/>
    <x v="2"/>
    <n v="75"/>
    <s v="alice.aguilar@saltcorp.com"/>
    <s v=" "/>
    <s v="Full-Time"/>
    <x v="1"/>
    <m/>
    <n v="7"/>
    <m/>
    <m/>
    <d v="2024-08-12T00:00:00"/>
    <m/>
    <s v="no"/>
    <x v="0"/>
    <x v="0"/>
  </r>
  <r>
    <s v="EMP-2019-0894"/>
    <s v="Eve"/>
    <s v="Turner"/>
    <n v="25"/>
    <n v="25"/>
    <n v="1999"/>
    <n v="60300"/>
    <x v="14"/>
    <x v="0"/>
    <x v="4"/>
    <x v="4"/>
    <s v="Analyst"/>
    <d v="2019-12-01T00:00:00"/>
    <d v="2019-12-01T00:00:00"/>
    <x v="2"/>
    <n v="74"/>
    <s v="eve.turner@saltcorp.com"/>
    <s v="555-555-5555"/>
    <s v="Full-Time"/>
    <x v="1"/>
    <s v="EMP-2019-0058"/>
    <n v="3"/>
    <m/>
    <m/>
    <m/>
    <n v="71"/>
    <s v="no"/>
    <x v="3"/>
    <x v="0"/>
  </r>
  <r>
    <s v="EMP-2020-0895"/>
    <s v="Ivy"/>
    <s v="Kumar"/>
    <n v="25"/>
    <n v="25"/>
    <n v="1999"/>
    <n v="50000"/>
    <x v="0"/>
    <x v="0"/>
    <x v="3"/>
    <x v="3"/>
    <s v="Director"/>
    <d v="2020-01-15T00:00:00"/>
    <d v="2020-01-15T00:00:00"/>
    <x v="4"/>
    <n v="85"/>
    <s v="ivy.kumar@saltcorp.com"/>
    <s v=" "/>
    <s v="contract"/>
    <x v="0"/>
    <s v="EMP-2018-0089"/>
    <n v="8"/>
    <m/>
    <m/>
    <m/>
    <m/>
    <s v="no"/>
    <x v="1"/>
    <x v="0"/>
  </r>
  <r>
    <s v="EMP-2020-0896"/>
    <s v="Alice"/>
    <s v="Castillo"/>
    <m/>
    <n v="38"/>
    <n v="1986"/>
    <n v="50000"/>
    <x v="0"/>
    <x v="1"/>
    <x v="1"/>
    <x v="1"/>
    <s v="Assistant"/>
    <d v="2020-02-20T00:00:00"/>
    <d v="2020-02-20T00:00:00"/>
    <x v="3"/>
    <n v="97"/>
    <s v="alice.castillo@saltcorp.com"/>
    <m/>
    <s v="Full-Time"/>
    <x v="1"/>
    <s v="EMP-2018-0093"/>
    <n v="2"/>
    <s v="N/A"/>
    <m/>
    <m/>
    <m/>
    <m/>
    <x v="0"/>
    <x v="0"/>
  </r>
  <r>
    <s v="EMP-2020-0897"/>
    <s v="Ivy"/>
    <s v="Dominguez"/>
    <s v="thirty"/>
    <n v="30"/>
    <n v="1994"/>
    <n v="70000"/>
    <x v="5"/>
    <x v="1"/>
    <x v="4"/>
    <x v="4"/>
    <s v="Clerk"/>
    <d v="2020-01-15T00:00:00"/>
    <d v="2020-01-15T00:00:00"/>
    <x v="1"/>
    <n v="4"/>
    <s v="ivy.dominguez@saltcorp.com"/>
    <s v=" "/>
    <s v="Full-Time"/>
    <x v="1"/>
    <m/>
    <n v="8"/>
    <m/>
    <n v="12"/>
    <m/>
    <n v="70"/>
    <m/>
    <x v="2"/>
    <x v="0"/>
  </r>
  <r>
    <s v="EMP-2019-0898"/>
    <s v="Hannah"/>
    <s v="Santos"/>
    <n v="35"/>
    <n v="35"/>
    <n v="1989"/>
    <n v="70000"/>
    <x v="5"/>
    <x v="1"/>
    <x v="1"/>
    <x v="1"/>
    <s v="Director"/>
    <d v="2019-12-01T00:00:00"/>
    <d v="2019-12-01T00:00:00"/>
    <x v="1"/>
    <n v="55"/>
    <s v="hannah.santos@saltcorp.com"/>
    <s v=" "/>
    <s v="Full-Time"/>
    <x v="1"/>
    <m/>
    <n v="6"/>
    <m/>
    <n v="11"/>
    <m/>
    <m/>
    <s v="YES"/>
    <x v="0"/>
    <x v="0"/>
  </r>
  <r>
    <s v="EMP-2020-0899"/>
    <s v="Frank"/>
    <s v="Schmidt"/>
    <n v="40"/>
    <n v="40"/>
    <n v="1984"/>
    <n v="55000"/>
    <x v="6"/>
    <x v="0"/>
    <x v="4"/>
    <x v="4"/>
    <s v="Analyst"/>
    <d v="2020-02-20T00:00:00"/>
    <d v="2020-02-20T00:00:00"/>
    <x v="3"/>
    <n v="100"/>
    <s v="frank.schmidt@saltcorp.com"/>
    <m/>
    <s v="contract"/>
    <x v="0"/>
    <m/>
    <n v="1"/>
    <m/>
    <m/>
    <d v="2023-01-15T00:00:00"/>
    <n v="47"/>
    <s v="YES"/>
    <x v="3"/>
    <x v="1"/>
  </r>
  <r>
    <s v="EMP-2019-0900"/>
    <s v="Grace"/>
    <s v="Wu"/>
    <n v="40"/>
    <n v="40"/>
    <n v="1984"/>
    <n v="65000"/>
    <x v="1"/>
    <x v="1"/>
    <x v="2"/>
    <x v="2"/>
    <s v="Director"/>
    <d v="2019-12-01T00:00:00"/>
    <d v="2019-12-01T00:00:00"/>
    <x v="4"/>
    <n v="82"/>
    <s v="grace.wu@saltcorp.com"/>
    <s v="098-765-4321"/>
    <s v="Full-Time"/>
    <x v="1"/>
    <m/>
    <n v="1"/>
    <m/>
    <m/>
    <m/>
    <m/>
    <s v="YES"/>
    <x v="0"/>
    <x v="1"/>
  </r>
  <r>
    <s v="EMP-2019-0901"/>
    <s v="Charlie"/>
    <s v="Walker"/>
    <n v="25"/>
    <n v="25"/>
    <n v="1999"/>
    <n v="55000"/>
    <x v="6"/>
    <x v="0"/>
    <x v="3"/>
    <x v="3"/>
    <s v="Manager"/>
    <d v="2019-03-25T00:00:00"/>
    <d v="2019-03-25T00:00:00"/>
    <x v="1"/>
    <n v="20"/>
    <s v="charlie.walker@saltcorp.com"/>
    <s v=" "/>
    <s v="Full-Time"/>
    <x v="1"/>
    <m/>
    <n v="4"/>
    <m/>
    <m/>
    <s v="N/A"/>
    <m/>
    <s v="no"/>
    <x v="2"/>
    <x v="0"/>
  </r>
  <r>
    <s v="EMP-2019-0902"/>
    <s v="Alice"/>
    <s v="Chen"/>
    <m/>
    <n v="35"/>
    <n v="1989"/>
    <s v="SIXTY THOUSAND"/>
    <x v="2"/>
    <x v="0"/>
    <x v="0"/>
    <x v="0"/>
    <s v="Analyst"/>
    <d v="2019-12-01T00:00:00"/>
    <d v="2019-12-01T00:00:00"/>
    <x v="2"/>
    <n v="77"/>
    <s v="alice.chen@saltcorp.com"/>
    <s v="123-456-7890"/>
    <s v="Full-Time"/>
    <x v="1"/>
    <m/>
    <n v="7"/>
    <m/>
    <m/>
    <s v="N/A"/>
    <n v="40"/>
    <s v="no"/>
    <x v="0"/>
    <x v="0"/>
  </r>
  <r>
    <s v="EMP-2019-0903"/>
    <s v="Eve"/>
    <s v="Turner"/>
    <m/>
    <n v="43"/>
    <n v="1981"/>
    <n v="50000"/>
    <x v="0"/>
    <x v="0"/>
    <x v="4"/>
    <x v="4"/>
    <s v="Manager"/>
    <d v="2019-03-25T00:00:00"/>
    <d v="2019-03-25T00:00:00"/>
    <x v="3"/>
    <n v="92"/>
    <s v="eve.turner@saltcorp.com"/>
    <s v=" "/>
    <s v="Full-Time"/>
    <x v="1"/>
    <s v="EMP-2018-0038"/>
    <n v="2"/>
    <m/>
    <m/>
    <d v="2021-10-01T00:00:00"/>
    <n v="10"/>
    <s v="YES"/>
    <x v="3"/>
    <x v="0"/>
  </r>
  <r>
    <s v="EMP-2020-0904"/>
    <s v="Bob"/>
    <s v="Johnson"/>
    <n v="40"/>
    <n v="40"/>
    <n v="1984"/>
    <n v="60300"/>
    <x v="14"/>
    <x v="0"/>
    <x v="4"/>
    <x v="4"/>
    <s v="Analyst"/>
    <d v="2020-02-20T00:00:00"/>
    <d v="2020-02-20T00:00:00"/>
    <x v="0"/>
    <n v="69"/>
    <s v="bob.johnson@saltcorp.com"/>
    <s v="123-456-7890"/>
    <s v="contract"/>
    <x v="0"/>
    <m/>
    <n v="6"/>
    <m/>
    <m/>
    <m/>
    <m/>
    <s v="YES"/>
    <x v="0"/>
    <x v="0"/>
  </r>
  <r>
    <s v="EMP-2019-0905"/>
    <s v="Eve"/>
    <s v="Castillo"/>
    <n v="35"/>
    <n v="35"/>
    <n v="1989"/>
    <n v="50000"/>
    <x v="0"/>
    <x v="1"/>
    <x v="1"/>
    <x v="1"/>
    <s v="Director"/>
    <d v="2019-03-25T00:00:00"/>
    <d v="2019-03-25T00:00:00"/>
    <x v="4"/>
    <n v="87"/>
    <s v="eve.castillo@saltcorp.com"/>
    <m/>
    <s v="Part-Time"/>
    <x v="2"/>
    <m/>
    <n v="6"/>
    <m/>
    <m/>
    <d v="2023-01-15T00:00:00"/>
    <n v="29"/>
    <s v="no"/>
    <x v="3"/>
    <x v="0"/>
  </r>
  <r>
    <s v="EMP-2020-0906"/>
    <s v="Hannah"/>
    <s v="Thomas"/>
    <s v="thirty"/>
    <n v="30"/>
    <n v="1994"/>
    <n v="50000"/>
    <x v="0"/>
    <x v="1"/>
    <x v="2"/>
    <x v="2"/>
    <s v="Assistant"/>
    <d v="2020-02-20T00:00:00"/>
    <d v="2020-02-20T00:00:00"/>
    <x v="3"/>
    <n v="96"/>
    <s v="hannah.thomas@saltcorp.com"/>
    <s v=" "/>
    <s v="Full-Time"/>
    <x v="1"/>
    <m/>
    <n v="5"/>
    <n v="14"/>
    <m/>
    <m/>
    <m/>
    <m/>
    <x v="3"/>
    <x v="0"/>
  </r>
  <r>
    <s v="EMP-2020-0907"/>
    <s v="Ivy"/>
    <s v="McCoy"/>
    <n v="35"/>
    <n v="35"/>
    <n v="1989"/>
    <n v="55000"/>
    <x v="6"/>
    <x v="0"/>
    <x v="1"/>
    <x v="1"/>
    <s v="Clerk"/>
    <d v="2020-02-20T00:00:00"/>
    <d v="2020-02-20T00:00:00"/>
    <x v="1"/>
    <n v="12"/>
    <s v="ivy.mccoy@saltcorp.com"/>
    <m/>
    <s v="contract"/>
    <x v="0"/>
    <m/>
    <n v="3"/>
    <m/>
    <m/>
    <d v="2022-06-20T00:00:00"/>
    <m/>
    <s v="YES"/>
    <x v="4"/>
    <x v="1"/>
  </r>
  <r>
    <s v="EMP-2018-0908"/>
    <s v="Bob"/>
    <s v="Hanson"/>
    <n v="50"/>
    <n v="50"/>
    <n v="1974"/>
    <n v="59500"/>
    <x v="3"/>
    <x v="0"/>
    <x v="1"/>
    <x v="1"/>
    <s v="Manager"/>
    <d v="2018-04-05T00:00:00"/>
    <d v="2018-04-05T00:00:00"/>
    <x v="4"/>
    <n v="80"/>
    <s v="bob.hanson@saltcorp.com"/>
    <m/>
    <s v="Part-Time"/>
    <x v="2"/>
    <m/>
    <n v="5"/>
    <m/>
    <m/>
    <m/>
    <m/>
    <s v="no"/>
    <x v="3"/>
    <x v="1"/>
  </r>
  <r>
    <s v="EMP-2020-0909"/>
    <s v="Charlie"/>
    <s v="Lewis"/>
    <n v="50"/>
    <n v="50"/>
    <n v="1974"/>
    <n v="63000"/>
    <x v="9"/>
    <x v="0"/>
    <x v="2"/>
    <x v="2"/>
    <s v="Director"/>
    <d v="2020-02-20T00:00:00"/>
    <d v="2020-02-20T00:00:00"/>
    <x v="2"/>
    <n v="73"/>
    <s v="charlie.lewis@saltcorp.com"/>
    <s v="098-765-4321"/>
    <s v="contract"/>
    <x v="0"/>
    <s v="EMP-2019-0084"/>
    <n v="4"/>
    <s v="N/A"/>
    <n v="18"/>
    <m/>
    <n v="13"/>
    <s v="no"/>
    <x v="2"/>
    <x v="0"/>
  </r>
  <r>
    <s v="EMP-2019-0910"/>
    <s v="Charlie"/>
    <s v="White"/>
    <s v="thirty"/>
    <n v="30"/>
    <n v="1994"/>
    <n v="61500"/>
    <x v="11"/>
    <x v="0"/>
    <x v="0"/>
    <x v="0"/>
    <s v="Assistant"/>
    <d v="2019-03-25T00:00:00"/>
    <d v="2019-03-25T00:00:00"/>
    <x v="4"/>
    <n v="84"/>
    <s v="charlie.white@saltcorp.com"/>
    <s v=" "/>
    <s v="Full-Time"/>
    <x v="1"/>
    <s v="EMP-2019-0021"/>
    <n v="5"/>
    <m/>
    <m/>
    <m/>
    <m/>
    <m/>
    <x v="2"/>
    <x v="0"/>
  </r>
  <r>
    <s v="EMP-2018-0911"/>
    <s v="Alice"/>
    <s v="Williams"/>
    <n v="40"/>
    <n v="40"/>
    <n v="1984"/>
    <n v="55000"/>
    <x v="6"/>
    <x v="0"/>
    <x v="1"/>
    <x v="1"/>
    <s v="Director"/>
    <d v="2018-04-05T00:00:00"/>
    <d v="2018-04-05T00:00:00"/>
    <x v="4"/>
    <n v="89"/>
    <s v="alice.williams@saltcorp.com"/>
    <s v="123-456-7890"/>
    <s v="Full-Time"/>
    <x v="1"/>
    <m/>
    <n v="8"/>
    <m/>
    <n v="15"/>
    <m/>
    <n v="26"/>
    <s v="YES"/>
    <x v="1"/>
    <x v="1"/>
  </r>
  <r>
    <s v="EMP-2018-0912"/>
    <s v="Hannah"/>
    <s v="Powell"/>
    <s v="thirty"/>
    <n v="30"/>
    <n v="1994"/>
    <n v="50000"/>
    <x v="0"/>
    <x v="0"/>
    <x v="1"/>
    <x v="1"/>
    <s v="Manager"/>
    <d v="2018-04-05T00:00:00"/>
    <d v="2018-04-05T00:00:00"/>
    <x v="2"/>
    <n v="74"/>
    <s v="hannah.powell@saltcorp.com"/>
    <s v="123-456-7890"/>
    <s v="contract"/>
    <x v="0"/>
    <m/>
    <n v="6"/>
    <n v="3"/>
    <n v="8"/>
    <s v="N/A"/>
    <m/>
    <s v="YES"/>
    <x v="3"/>
    <x v="1"/>
  </r>
  <r>
    <s v="EMP-2020-0913"/>
    <s v="Frank"/>
    <s v="Perez"/>
    <m/>
    <n v="33"/>
    <n v="1991"/>
    <n v="55000"/>
    <x v="6"/>
    <x v="1"/>
    <x v="4"/>
    <x v="4"/>
    <s v="Clerk"/>
    <d v="2020-02-20T00:00:00"/>
    <d v="2020-02-20T00:00:00"/>
    <x v="2"/>
    <n v="78"/>
    <s v="frank.perez@saltcorp.com"/>
    <s v=" "/>
    <s v="Full-Time"/>
    <x v="1"/>
    <s v="EMP-2019-0039"/>
    <n v="6"/>
    <s v="N/A"/>
    <m/>
    <d v="2021-10-01T00:00:00"/>
    <m/>
    <s v="YES"/>
    <x v="2"/>
    <x v="1"/>
  </r>
  <r>
    <s v="EMP-2019-0914"/>
    <s v="Hannah"/>
    <s v="Hansen"/>
    <n v="50"/>
    <n v="50"/>
    <n v="1974"/>
    <n v="70000"/>
    <x v="5"/>
    <x v="1"/>
    <x v="2"/>
    <x v="2"/>
    <s v="Director"/>
    <d v="2019-12-01T00:00:00"/>
    <d v="2019-12-01T00:00:00"/>
    <x v="4"/>
    <n v="82"/>
    <s v="hannah.hansen@saltcorp.com"/>
    <s v="098-765-4321"/>
    <s v="Full-Time"/>
    <x v="1"/>
    <m/>
    <n v="3"/>
    <m/>
    <n v="7"/>
    <m/>
    <m/>
    <s v="no"/>
    <x v="2"/>
    <x v="0"/>
  </r>
  <r>
    <s v="EMP-2019-0915"/>
    <s v="Ivy"/>
    <s v="Singh"/>
    <n v="25"/>
    <n v="25"/>
    <n v="1999"/>
    <n v="70000"/>
    <x v="5"/>
    <x v="1"/>
    <x v="3"/>
    <x v="3"/>
    <s v="Analyst"/>
    <d v="2019-12-01T00:00:00"/>
    <d v="2019-12-01T00:00:00"/>
    <x v="2"/>
    <n v="76"/>
    <s v="ivy.singh@saltcorp.com"/>
    <s v="098-765-4321"/>
    <s v="Full-Time"/>
    <x v="1"/>
    <m/>
    <n v="8"/>
    <n v="3"/>
    <n v="20"/>
    <m/>
    <m/>
    <s v="no"/>
    <x v="2"/>
    <x v="0"/>
  </r>
  <r>
    <s v="EMP-2018-0916"/>
    <s v="Eve"/>
    <s v="Bishop"/>
    <n v="25"/>
    <n v="25"/>
    <n v="1999"/>
    <n v="55000"/>
    <x v="6"/>
    <x v="0"/>
    <x v="0"/>
    <x v="0"/>
    <s v="Assistant"/>
    <d v="2018-04-05T00:00:00"/>
    <d v="2018-04-05T00:00:00"/>
    <x v="3"/>
    <n v="93"/>
    <s v="eve.bishop@saltcorp.com"/>
    <s v="098-765-4321"/>
    <s v="Part-Time"/>
    <x v="2"/>
    <m/>
    <n v="7"/>
    <m/>
    <m/>
    <m/>
    <m/>
    <s v="no"/>
    <x v="1"/>
    <x v="0"/>
  </r>
  <r>
    <s v="EMP-2020-0917"/>
    <s v="Charlie"/>
    <s v="Gibson"/>
    <n v="40"/>
    <n v="40"/>
    <n v="1984"/>
    <n v="60900"/>
    <x v="15"/>
    <x v="0"/>
    <x v="0"/>
    <x v="0"/>
    <s v="Director"/>
    <d v="2020-02-20T00:00:00"/>
    <d v="2020-02-20T00:00:00"/>
    <x v="2"/>
    <n v="71"/>
    <s v="charlie.gibson@saltcorp.com"/>
    <s v="123-456-7890"/>
    <s v="Part-Time"/>
    <x v="2"/>
    <s v="EMP-2019-0026"/>
    <n v="4"/>
    <m/>
    <n v="12"/>
    <d v="2024-08-12T00:00:00"/>
    <m/>
    <s v="YES"/>
    <x v="4"/>
    <x v="0"/>
  </r>
  <r>
    <s v="EMP-2019-0918"/>
    <s v="Eve"/>
    <s v="Schmidt"/>
    <m/>
    <n v="30"/>
    <n v="1994"/>
    <n v="50000"/>
    <x v="0"/>
    <x v="0"/>
    <x v="2"/>
    <x v="2"/>
    <s v="Assistant"/>
    <d v="2019-12-01T00:00:00"/>
    <d v="2019-12-01T00:00:00"/>
    <x v="2"/>
    <n v="76"/>
    <s v="eve.schmidt@saltcorp.com"/>
    <m/>
    <s v="Full-Time"/>
    <x v="1"/>
    <m/>
    <n v="7"/>
    <n v="1"/>
    <n v="2"/>
    <s v="N/A"/>
    <m/>
    <s v="YES"/>
    <x v="1"/>
    <x v="1"/>
  </r>
  <r>
    <s v="EMP-2020-0919"/>
    <s v="Eve"/>
    <s v="Andrews"/>
    <n v="35"/>
    <n v="35"/>
    <n v="1989"/>
    <n v="55000"/>
    <x v="6"/>
    <x v="1"/>
    <x v="4"/>
    <x v="4"/>
    <s v="Analyst"/>
    <d v="2020-02-20T00:00:00"/>
    <d v="2020-02-20T00:00:00"/>
    <x v="4"/>
    <n v="89"/>
    <s v="eve.andrews@saltcorp.com"/>
    <s v="098-765-4321"/>
    <s v="Full-Time"/>
    <x v="1"/>
    <m/>
    <n v="6"/>
    <m/>
    <m/>
    <m/>
    <m/>
    <s v="YES"/>
    <x v="1"/>
    <x v="0"/>
  </r>
  <r>
    <s v="EMP-2020-0920"/>
    <s v="Eve"/>
    <s v="Bell"/>
    <m/>
    <n v="32"/>
    <n v="1992"/>
    <n v="55000"/>
    <x v="6"/>
    <x v="1"/>
    <x v="4"/>
    <x v="4"/>
    <s v="Clerk"/>
    <d v="2020-02-20T00:00:00"/>
    <d v="2020-02-20T00:00:00"/>
    <x v="3"/>
    <n v="100"/>
    <s v="eve.bell@saltcorp.com"/>
    <s v="123-456-7890"/>
    <s v="Part-Time"/>
    <x v="2"/>
    <m/>
    <n v="6"/>
    <m/>
    <n v="11"/>
    <d v="2021-10-01T00:00:00"/>
    <m/>
    <s v="YES"/>
    <x v="4"/>
    <x v="0"/>
  </r>
  <r>
    <s v="EMP-2018-0921"/>
    <s v="Charlie"/>
    <s v="Taylor"/>
    <n v="25"/>
    <n v="25"/>
    <n v="1999"/>
    <n v="55000"/>
    <x v="6"/>
    <x v="0"/>
    <x v="2"/>
    <x v="2"/>
    <s v="Clerk"/>
    <d v="2018-04-05T00:00:00"/>
    <d v="2018-04-05T00:00:00"/>
    <x v="0"/>
    <n v="66"/>
    <s v="charlie.taylor@saltcorp.com"/>
    <s v="123-456-7890"/>
    <s v="Part-Time"/>
    <x v="2"/>
    <s v="EMP-2020-0034"/>
    <n v="7"/>
    <n v="4"/>
    <n v="10"/>
    <d v="2022-06-20T00:00:00"/>
    <m/>
    <m/>
    <x v="3"/>
    <x v="1"/>
  </r>
  <r>
    <s v="EMP-2018-0922"/>
    <s v="Jack"/>
    <s v="Gutierrez"/>
    <n v="25"/>
    <n v="25"/>
    <n v="1999"/>
    <s v="SIXTY THOUSAND"/>
    <x v="2"/>
    <x v="0"/>
    <x v="4"/>
    <x v="4"/>
    <s v="Analyst"/>
    <d v="2018-04-05T00:00:00"/>
    <d v="2018-04-05T00:00:00"/>
    <x v="0"/>
    <n v="62"/>
    <s v="jack.gutierrez@saltcorp.com"/>
    <m/>
    <s v="Part-Time"/>
    <x v="2"/>
    <m/>
    <n v="5"/>
    <m/>
    <n v="14"/>
    <d v="2023-03-05T00:00:00"/>
    <m/>
    <m/>
    <x v="4"/>
    <x v="1"/>
  </r>
  <r>
    <s v="EMP-2020-0923"/>
    <s v="David"/>
    <s v="Patel"/>
    <n v="50"/>
    <n v="50"/>
    <n v="1974"/>
    <n v="70000"/>
    <x v="5"/>
    <x v="0"/>
    <x v="0"/>
    <x v="0"/>
    <s v="Assistant"/>
    <d v="2020-01-15T00:00:00"/>
    <d v="2020-01-15T00:00:00"/>
    <x v="1"/>
    <n v="42"/>
    <s v="david.patel@saltcorp.com"/>
    <s v=" "/>
    <s v="Part-Time"/>
    <x v="2"/>
    <m/>
    <n v="8"/>
    <s v="N/A"/>
    <m/>
    <d v="2022-06-20T00:00:00"/>
    <m/>
    <s v="no"/>
    <x v="4"/>
    <x v="1"/>
  </r>
  <r>
    <s v="EMP-2019-0924"/>
    <s v="Ivy"/>
    <s v="Shah"/>
    <m/>
    <n v="56"/>
    <n v="1968"/>
    <n v="60900"/>
    <x v="15"/>
    <x v="1"/>
    <x v="0"/>
    <x v="0"/>
    <s v="Director"/>
    <d v="2019-12-01T00:00:00"/>
    <d v="2019-12-01T00:00:00"/>
    <x v="2"/>
    <n v="74"/>
    <s v="ivy.shah@saltcorp.com"/>
    <s v=" "/>
    <s v="Full-Time"/>
    <x v="1"/>
    <m/>
    <n v="3"/>
    <s v="N/A"/>
    <m/>
    <d v="2021-10-01T00:00:00"/>
    <m/>
    <s v="YES"/>
    <x v="0"/>
    <x v="0"/>
  </r>
  <r>
    <s v="EMP-2019-0925"/>
    <s v="Jack"/>
    <s v="Schmidt"/>
    <m/>
    <n v="27"/>
    <n v="1997"/>
    <n v="65000"/>
    <x v="1"/>
    <x v="1"/>
    <x v="3"/>
    <x v="3"/>
    <s v="Analyst"/>
    <d v="2019-12-01T00:00:00"/>
    <d v="2019-12-01T00:00:00"/>
    <x v="2"/>
    <n v="71"/>
    <s v="jack.schmidt@saltcorp.com"/>
    <s v="098-765-4321"/>
    <s v="contract"/>
    <x v="0"/>
    <m/>
    <n v="3"/>
    <m/>
    <n v="7"/>
    <m/>
    <m/>
    <s v="YES"/>
    <x v="2"/>
    <x v="0"/>
  </r>
  <r>
    <s v="EMP-2019-0926"/>
    <s v="Ivy"/>
    <s v="Ward"/>
    <n v="25"/>
    <n v="25"/>
    <n v="1999"/>
    <n v="61500"/>
    <x v="11"/>
    <x v="0"/>
    <x v="2"/>
    <x v="2"/>
    <s v="Manager"/>
    <d v="2019-12-01T00:00:00"/>
    <d v="2019-12-01T00:00:00"/>
    <x v="3"/>
    <n v="99"/>
    <s v="ivy.ward@saltcorp.com"/>
    <s v="098-765-4321"/>
    <s v="Full-Time"/>
    <x v="1"/>
    <m/>
    <n v="4"/>
    <s v="N/A"/>
    <m/>
    <m/>
    <m/>
    <s v="YES"/>
    <x v="3"/>
    <x v="0"/>
  </r>
  <r>
    <s v="EMP-2019-0927"/>
    <s v="Bob"/>
    <s v="Hansen"/>
    <n v="35"/>
    <n v="35"/>
    <n v="1989"/>
    <n v="65000"/>
    <x v="1"/>
    <x v="0"/>
    <x v="1"/>
    <x v="1"/>
    <s v="Assistant"/>
    <d v="2019-03-25T00:00:00"/>
    <d v="2019-03-25T00:00:00"/>
    <x v="0"/>
    <n v="69"/>
    <s v="bob.hansen@saltcorp.com"/>
    <m/>
    <s v="Part-Time"/>
    <x v="2"/>
    <m/>
    <n v="2"/>
    <m/>
    <n v="6"/>
    <m/>
    <m/>
    <s v="YES"/>
    <x v="0"/>
    <x v="1"/>
  </r>
  <r>
    <s v="EMP-2020-0928"/>
    <s v="Hannah"/>
    <s v="Dixon"/>
    <n v="40"/>
    <n v="40"/>
    <n v="1984"/>
    <s v="SIXTY THOUSAND"/>
    <x v="2"/>
    <x v="0"/>
    <x v="1"/>
    <x v="1"/>
    <s v="Clerk"/>
    <d v="2020-02-20T00:00:00"/>
    <d v="2020-02-20T00:00:00"/>
    <x v="1"/>
    <n v="45"/>
    <s v="hannah.dixon@saltcorp.com"/>
    <s v="098-765-4321"/>
    <s v="Part-Time"/>
    <x v="2"/>
    <m/>
    <n v="5"/>
    <m/>
    <m/>
    <m/>
    <m/>
    <s v="no"/>
    <x v="2"/>
    <x v="0"/>
  </r>
  <r>
    <s v="EMP-2018-0929"/>
    <s v="Hannah"/>
    <s v="Aguilar"/>
    <n v="40"/>
    <n v="40"/>
    <n v="1984"/>
    <n v="55000"/>
    <x v="6"/>
    <x v="1"/>
    <x v="3"/>
    <x v="3"/>
    <s v="Analyst"/>
    <d v="2018-04-05T00:00:00"/>
    <d v="2018-04-05T00:00:00"/>
    <x v="3"/>
    <n v="96"/>
    <s v="hannah.aguilar@saltcorp.com"/>
    <m/>
    <s v="Full-Time"/>
    <x v="1"/>
    <m/>
    <n v="4"/>
    <m/>
    <m/>
    <m/>
    <n v="56"/>
    <m/>
    <x v="1"/>
    <x v="1"/>
  </r>
  <r>
    <s v="EMP-2019-0930"/>
    <s v="Grace"/>
    <s v="Ward"/>
    <m/>
    <n v="28"/>
    <n v="1996"/>
    <s v="SIXTY THOUSAND"/>
    <x v="2"/>
    <x v="1"/>
    <x v="3"/>
    <x v="3"/>
    <s v="Clerk"/>
    <d v="2019-12-01T00:00:00"/>
    <d v="2019-12-01T00:00:00"/>
    <x v="2"/>
    <n v="77"/>
    <s v="grace.ward@saltcorp.com"/>
    <s v="123-456-7890"/>
    <s v="contract"/>
    <x v="0"/>
    <m/>
    <n v="7"/>
    <n v="5"/>
    <n v="1"/>
    <m/>
    <m/>
    <s v="no"/>
    <x v="3"/>
    <x v="0"/>
  </r>
  <r>
    <s v="EMP-2020-0931"/>
    <s v="Hannah"/>
    <s v="Hudson"/>
    <n v="40"/>
    <n v="40"/>
    <n v="1984"/>
    <s v="SIXTY THOUSAND"/>
    <x v="2"/>
    <x v="1"/>
    <x v="4"/>
    <x v="4"/>
    <s v="Assistant"/>
    <d v="2020-01-15T00:00:00"/>
    <d v="2020-01-15T00:00:00"/>
    <x v="0"/>
    <n v="61"/>
    <s v="hannah.hudson@saltcorp.com"/>
    <s v="098-765-4321"/>
    <s v="contract"/>
    <x v="0"/>
    <m/>
    <n v="7"/>
    <m/>
    <m/>
    <d v="2024-08-12T00:00:00"/>
    <m/>
    <s v="no"/>
    <x v="0"/>
    <x v="0"/>
  </r>
  <r>
    <s v="EMP-2019-0932"/>
    <s v="Charlie"/>
    <s v="White"/>
    <n v="25"/>
    <n v="25"/>
    <n v="1999"/>
    <n v="50000"/>
    <x v="0"/>
    <x v="1"/>
    <x v="3"/>
    <x v="3"/>
    <s v="Clerk"/>
    <d v="2019-12-01T00:00:00"/>
    <d v="2019-12-01T00:00:00"/>
    <x v="1"/>
    <n v="49"/>
    <s v="charlie.white@saltcorp.com"/>
    <s v="123-456-7890"/>
    <s v="Full-Time"/>
    <x v="1"/>
    <m/>
    <n v="4"/>
    <m/>
    <n v="19"/>
    <m/>
    <m/>
    <s v="no"/>
    <x v="3"/>
    <x v="0"/>
  </r>
  <r>
    <s v="EMP-2020-0933"/>
    <s v="Frank"/>
    <s v="Gonzalez"/>
    <n v="25"/>
    <n v="25"/>
    <n v="1999"/>
    <n v="70000"/>
    <x v="5"/>
    <x v="0"/>
    <x v="3"/>
    <x v="3"/>
    <s v="Analyst"/>
    <d v="2020-02-20T00:00:00"/>
    <d v="2020-02-20T00:00:00"/>
    <x v="4"/>
    <n v="81"/>
    <s v="frank.gonzalez@saltcorp.com"/>
    <s v="555-555-5555"/>
    <s v="contract"/>
    <x v="0"/>
    <m/>
    <n v="3"/>
    <m/>
    <n v="4"/>
    <m/>
    <m/>
    <s v="YES"/>
    <x v="4"/>
    <x v="0"/>
  </r>
  <r>
    <s v="EMP-2020-0934"/>
    <s v="Alice"/>
    <s v="Le"/>
    <m/>
    <n v="32"/>
    <n v="1992"/>
    <n v="65000"/>
    <x v="1"/>
    <x v="0"/>
    <x v="1"/>
    <x v="1"/>
    <s v="Assistant"/>
    <d v="2020-02-20T00:00:00"/>
    <d v="2020-02-20T00:00:00"/>
    <x v="0"/>
    <n v="64"/>
    <s v="alice.le@saltcorp.com"/>
    <m/>
    <s v="Part-Time"/>
    <x v="2"/>
    <m/>
    <n v="3"/>
    <n v="14"/>
    <n v="4"/>
    <m/>
    <m/>
    <m/>
    <x v="0"/>
    <x v="1"/>
  </r>
  <r>
    <s v="EMP-2018-0935"/>
    <s v="Grace"/>
    <s v="Zhou"/>
    <m/>
    <n v="51"/>
    <n v="1973"/>
    <n v="55000"/>
    <x v="6"/>
    <x v="1"/>
    <x v="4"/>
    <x v="4"/>
    <s v="Manager"/>
    <d v="2018-04-05T00:00:00"/>
    <d v="2018-04-05T00:00:00"/>
    <x v="1"/>
    <n v="54"/>
    <s v="grace.zhou@saltcorp.com"/>
    <s v="555-555-5555"/>
    <s v="Part-Time"/>
    <x v="2"/>
    <s v="EMP-2019-0023"/>
    <n v="8"/>
    <m/>
    <m/>
    <m/>
    <n v="67"/>
    <s v="no"/>
    <x v="4"/>
    <x v="0"/>
  </r>
  <r>
    <s v="EMP-2019-0936"/>
    <s v="Alice"/>
    <s v="Harrison"/>
    <n v="50"/>
    <n v="50"/>
    <n v="1974"/>
    <n v="65000"/>
    <x v="1"/>
    <x v="1"/>
    <x v="3"/>
    <x v="3"/>
    <s v="Analyst"/>
    <d v="2019-03-25T00:00:00"/>
    <d v="2019-03-25T00:00:00"/>
    <x v="3"/>
    <n v="94"/>
    <s v="alice.harrison@saltcorp.com"/>
    <s v="098-765-4321"/>
    <s v="Part-Time"/>
    <x v="2"/>
    <m/>
    <n v="1"/>
    <m/>
    <m/>
    <m/>
    <m/>
    <s v="no"/>
    <x v="3"/>
    <x v="0"/>
  </r>
  <r>
    <s v="EMP-2018-0937"/>
    <s v="Ivy"/>
    <s v="Oliver"/>
    <m/>
    <n v="44"/>
    <n v="1980"/>
    <n v="60100"/>
    <x v="10"/>
    <x v="1"/>
    <x v="3"/>
    <x v="3"/>
    <s v="Director"/>
    <d v="2018-04-05T00:00:00"/>
    <d v="2018-04-05T00:00:00"/>
    <x v="4"/>
    <n v="81"/>
    <s v="ivy.oliver@saltcorp.com"/>
    <s v="123-456-7890"/>
    <s v="contract"/>
    <x v="0"/>
    <m/>
    <n v="3"/>
    <s v="N/A"/>
    <m/>
    <m/>
    <n v="56"/>
    <s v="YES"/>
    <x v="1"/>
    <x v="1"/>
  </r>
  <r>
    <s v="EMP-2019-0938"/>
    <s v="Alice"/>
    <s v="Ross"/>
    <n v="35"/>
    <n v="35"/>
    <n v="1989"/>
    <n v="65000"/>
    <x v="1"/>
    <x v="1"/>
    <x v="4"/>
    <x v="4"/>
    <s v="Analyst"/>
    <d v="2019-12-01T00:00:00"/>
    <d v="2019-12-01T00:00:00"/>
    <x v="1"/>
    <n v="57"/>
    <s v="alice.ross@saltcorp.com"/>
    <s v="098-765-4321"/>
    <s v="contract"/>
    <x v="0"/>
    <s v="EMP-2020-0056"/>
    <n v="7"/>
    <n v="15"/>
    <m/>
    <m/>
    <m/>
    <s v="no"/>
    <x v="0"/>
    <x v="0"/>
  </r>
  <r>
    <s v="EMP-2020-0939"/>
    <s v="Alice"/>
    <s v="Lee"/>
    <n v="40"/>
    <n v="40"/>
    <n v="1984"/>
    <n v="58300"/>
    <x v="12"/>
    <x v="0"/>
    <x v="2"/>
    <x v="2"/>
    <s v="Assistant"/>
    <d v="2020-01-15T00:00:00"/>
    <d v="2020-01-15T00:00:00"/>
    <x v="1"/>
    <n v="23"/>
    <s v="alice.lee@saltcorp.com"/>
    <s v="555-555-5555"/>
    <s v="Full-Time"/>
    <x v="1"/>
    <m/>
    <n v="8"/>
    <s v="N/A"/>
    <m/>
    <m/>
    <m/>
    <s v="YES"/>
    <x v="3"/>
    <x v="1"/>
  </r>
  <r>
    <s v="EMP-2018-0940"/>
    <s v="Grace"/>
    <s v="Powers"/>
    <m/>
    <n v="32"/>
    <n v="1992"/>
    <n v="70000"/>
    <x v="5"/>
    <x v="1"/>
    <x v="4"/>
    <x v="4"/>
    <s v="Analyst"/>
    <d v="2018-04-05T00:00:00"/>
    <d v="2018-04-05T00:00:00"/>
    <x v="2"/>
    <n v="71"/>
    <s v="grace.powers@saltcorp.com"/>
    <s v="098-765-4321"/>
    <s v="Full-Time"/>
    <x v="1"/>
    <m/>
    <n v="3"/>
    <n v="4"/>
    <n v="6"/>
    <s v="N/A"/>
    <n v="80"/>
    <s v="YES"/>
    <x v="0"/>
    <x v="0"/>
  </r>
  <r>
    <s v="EMP-2019-0941"/>
    <s v="Bob"/>
    <s v="Walker"/>
    <s v="thirty"/>
    <n v="30"/>
    <n v="1994"/>
    <n v="59500"/>
    <x v="3"/>
    <x v="0"/>
    <x v="1"/>
    <x v="1"/>
    <s v="Manager"/>
    <d v="2019-03-25T00:00:00"/>
    <d v="2019-03-25T00:00:00"/>
    <x v="0"/>
    <n v="67"/>
    <s v="bob.walker@saltcorp.com"/>
    <s v=" "/>
    <s v="Full-Time"/>
    <x v="1"/>
    <m/>
    <n v="6"/>
    <m/>
    <m/>
    <s v="N/A"/>
    <m/>
    <s v="no"/>
    <x v="0"/>
    <x v="0"/>
  </r>
  <r>
    <s v="EMP-2018-0942"/>
    <s v="Eve"/>
    <s v="Thomas"/>
    <n v="50"/>
    <n v="50"/>
    <n v="1974"/>
    <n v="65000"/>
    <x v="1"/>
    <x v="1"/>
    <x v="2"/>
    <x v="2"/>
    <s v="Manager"/>
    <d v="2018-04-05T00:00:00"/>
    <d v="2018-04-05T00:00:00"/>
    <x v="2"/>
    <n v="71"/>
    <s v="eve.thomas@saltcorp.com"/>
    <s v="555-555-5555"/>
    <s v="Part-Time"/>
    <x v="2"/>
    <m/>
    <n v="8"/>
    <n v="1"/>
    <n v="6"/>
    <d v="2021-10-01T00:00:00"/>
    <m/>
    <s v="YES"/>
    <x v="3"/>
    <x v="1"/>
  </r>
  <r>
    <s v="EMP-2020-0943"/>
    <s v="Hannah"/>
    <s v="Hoffman"/>
    <s v="thirty"/>
    <n v="30"/>
    <n v="1994"/>
    <n v="65000"/>
    <x v="1"/>
    <x v="1"/>
    <x v="0"/>
    <x v="0"/>
    <s v="Director"/>
    <d v="2020-02-20T00:00:00"/>
    <d v="2020-02-20T00:00:00"/>
    <x v="4"/>
    <n v="82"/>
    <s v="hannah.hoffman@saltcorp.com"/>
    <s v="098-765-4321"/>
    <s v="contract"/>
    <x v="0"/>
    <m/>
    <n v="5"/>
    <n v="6"/>
    <m/>
    <d v="2023-01-15T00:00:00"/>
    <m/>
    <m/>
    <x v="1"/>
    <x v="0"/>
  </r>
  <r>
    <s v="EMP-2019-0944"/>
    <s v="Hannah"/>
    <s v="Powell"/>
    <n v="25"/>
    <n v="25"/>
    <n v="1999"/>
    <n v="58600"/>
    <x v="8"/>
    <x v="0"/>
    <x v="4"/>
    <x v="4"/>
    <s v="Clerk"/>
    <d v="2019-12-01T00:00:00"/>
    <d v="2019-12-01T00:00:00"/>
    <x v="1"/>
    <n v="11"/>
    <s v="hannah.powell@saltcorp.com"/>
    <s v="123-456-7890"/>
    <s v="Full-Time"/>
    <x v="1"/>
    <m/>
    <n v="5"/>
    <s v="N/A"/>
    <m/>
    <m/>
    <m/>
    <s v="no"/>
    <x v="2"/>
    <x v="1"/>
  </r>
  <r>
    <s v="EMP-2019-0945"/>
    <s v="Charlie"/>
    <s v="Moore"/>
    <n v="40"/>
    <n v="40"/>
    <n v="1984"/>
    <s v="SIXTY THOUSAND"/>
    <x v="2"/>
    <x v="0"/>
    <x v="1"/>
    <x v="1"/>
    <s v="Assistant"/>
    <d v="2019-12-01T00:00:00"/>
    <d v="2019-12-01T00:00:00"/>
    <x v="2"/>
    <n v="75"/>
    <s v="charlie.moore@saltcorp.com"/>
    <s v="098-765-4321"/>
    <s v="Part-Time"/>
    <x v="2"/>
    <m/>
    <n v="1"/>
    <m/>
    <m/>
    <m/>
    <n v="51"/>
    <s v="YES"/>
    <x v="4"/>
    <x v="0"/>
  </r>
  <r>
    <s v="EMP-2019-0946"/>
    <s v="Grace"/>
    <s v="Wu"/>
    <m/>
    <n v="33"/>
    <n v="1991"/>
    <n v="70000"/>
    <x v="5"/>
    <x v="1"/>
    <x v="2"/>
    <x v="2"/>
    <s v="Assistant"/>
    <d v="2019-12-01T00:00:00"/>
    <d v="2019-12-01T00:00:00"/>
    <x v="0"/>
    <n v="67"/>
    <s v="grace.wu@saltcorp.com"/>
    <s v="123-456-7890"/>
    <s v="Full-Time"/>
    <x v="1"/>
    <m/>
    <n v="7"/>
    <n v="15"/>
    <m/>
    <m/>
    <n v="44"/>
    <s v="no"/>
    <x v="3"/>
    <x v="0"/>
  </r>
  <r>
    <s v="EMP-2019-0947"/>
    <s v="Charlie"/>
    <s v="Taylor"/>
    <s v="thirty"/>
    <n v="30"/>
    <n v="1994"/>
    <n v="50000"/>
    <x v="0"/>
    <x v="0"/>
    <x v="4"/>
    <x v="4"/>
    <s v="Clerk"/>
    <d v="2019-12-01T00:00:00"/>
    <d v="2019-12-01T00:00:00"/>
    <x v="4"/>
    <n v="87"/>
    <s v="charlie.taylor@saltcorp.com"/>
    <s v=" "/>
    <s v="contract"/>
    <x v="0"/>
    <m/>
    <n v="2"/>
    <m/>
    <n v="9"/>
    <m/>
    <n v="79"/>
    <s v="no"/>
    <x v="0"/>
    <x v="0"/>
  </r>
  <r>
    <s v="EMP-2019-0948"/>
    <s v="Frank"/>
    <s v="Sanchez"/>
    <n v="40"/>
    <n v="40"/>
    <n v="1984"/>
    <n v="55000"/>
    <x v="6"/>
    <x v="0"/>
    <x v="3"/>
    <x v="3"/>
    <s v="Manager"/>
    <d v="2019-12-01T00:00:00"/>
    <d v="2019-12-01T00:00:00"/>
    <x v="3"/>
    <n v="100"/>
    <s v="frank.sanchez@saltcorp.com"/>
    <s v="098-765-4321"/>
    <s v="Part-Time"/>
    <x v="2"/>
    <m/>
    <n v="3"/>
    <s v="N/A"/>
    <m/>
    <m/>
    <n v="26"/>
    <s v="no"/>
    <x v="3"/>
    <x v="0"/>
  </r>
  <r>
    <s v="EMP-2019-0949"/>
    <s v="Frank"/>
    <s v="Lopez"/>
    <n v="25"/>
    <n v="25"/>
    <n v="1999"/>
    <n v="65000"/>
    <x v="1"/>
    <x v="0"/>
    <x v="4"/>
    <x v="4"/>
    <s v="Manager"/>
    <d v="2019-12-01T00:00:00"/>
    <d v="2019-12-01T00:00:00"/>
    <x v="2"/>
    <n v="73"/>
    <s v="frank.lopez@saltcorp.com"/>
    <s v=" "/>
    <s v="contract"/>
    <x v="0"/>
    <m/>
    <n v="1"/>
    <m/>
    <n v="12"/>
    <m/>
    <m/>
    <s v="YES"/>
    <x v="4"/>
    <x v="0"/>
  </r>
  <r>
    <s v="EMP-2020-0950"/>
    <s v="Charlie"/>
    <s v="Navarro"/>
    <n v="35"/>
    <n v="35"/>
    <n v="1989"/>
    <n v="55000"/>
    <x v="6"/>
    <x v="0"/>
    <x v="0"/>
    <x v="0"/>
    <s v="Analyst"/>
    <d v="2020-01-15T00:00:00"/>
    <d v="2020-01-15T00:00:00"/>
    <x v="4"/>
    <n v="89"/>
    <s v="charlie.navarro@saltcorp.com"/>
    <s v="555-555-5555"/>
    <s v="Full-Time"/>
    <x v="1"/>
    <m/>
    <n v="4"/>
    <s v="N/A"/>
    <m/>
    <d v="2023-01-15T00:00:00"/>
    <m/>
    <s v="no"/>
    <x v="0"/>
    <x v="0"/>
  </r>
  <r>
    <s v="EMP-2019-0951"/>
    <s v="Grace"/>
    <s v="Huang"/>
    <n v="50"/>
    <n v="50"/>
    <n v="1974"/>
    <n v="50000"/>
    <x v="0"/>
    <x v="1"/>
    <x v="4"/>
    <x v="4"/>
    <s v="Director"/>
    <d v="2019-03-25T00:00:00"/>
    <d v="2019-03-25T00:00:00"/>
    <x v="3"/>
    <n v="93"/>
    <s v="grace.huang@saltcorp.com"/>
    <s v="123-456-7890"/>
    <s v="Full-Time"/>
    <x v="1"/>
    <m/>
    <n v="5"/>
    <m/>
    <n v="12"/>
    <m/>
    <m/>
    <s v="YES"/>
    <x v="3"/>
    <x v="1"/>
  </r>
  <r>
    <s v="EMP-2019-0952"/>
    <s v="Charlie"/>
    <s v="White"/>
    <n v="40"/>
    <n v="40"/>
    <n v="1984"/>
    <n v="55000"/>
    <x v="6"/>
    <x v="0"/>
    <x v="2"/>
    <x v="2"/>
    <s v="Director"/>
    <d v="2019-12-01T00:00:00"/>
    <d v="2019-12-01T00:00:00"/>
    <x v="2"/>
    <n v="70"/>
    <s v="charlie.white@saltcorp.com"/>
    <s v="555-555-5555"/>
    <s v="contract"/>
    <x v="0"/>
    <m/>
    <n v="8"/>
    <m/>
    <n v="5"/>
    <d v="2022-06-20T00:00:00"/>
    <m/>
    <m/>
    <x v="1"/>
    <x v="1"/>
  </r>
  <r>
    <s v="EMP-2019-0953"/>
    <s v="Hannah"/>
    <s v="Perry"/>
    <n v="40"/>
    <n v="40"/>
    <n v="1984"/>
    <n v="50000"/>
    <x v="0"/>
    <x v="0"/>
    <x v="2"/>
    <x v="2"/>
    <s v="Director"/>
    <d v="2019-03-25T00:00:00"/>
    <d v="2019-03-25T00:00:00"/>
    <x v="4"/>
    <n v="88"/>
    <s v="hannah.perry@saltcorp.com"/>
    <s v="123-456-7890"/>
    <s v="Part-Time"/>
    <x v="2"/>
    <m/>
    <n v="2"/>
    <m/>
    <m/>
    <m/>
    <n v="17"/>
    <s v="no"/>
    <x v="2"/>
    <x v="1"/>
  </r>
  <r>
    <s v="EMP-2019-0954"/>
    <s v="Jack"/>
    <s v="Walsh"/>
    <n v="35"/>
    <n v="35"/>
    <n v="1989"/>
    <n v="60300"/>
    <x v="14"/>
    <x v="0"/>
    <x v="4"/>
    <x v="4"/>
    <s v="Analyst"/>
    <d v="2019-12-01T00:00:00"/>
    <d v="2019-12-01T00:00:00"/>
    <x v="4"/>
    <n v="81"/>
    <s v="jack.walsh@saltcorp.com"/>
    <s v=" "/>
    <s v="Full-Time"/>
    <x v="1"/>
    <m/>
    <n v="8"/>
    <m/>
    <m/>
    <m/>
    <n v="9"/>
    <s v="YES"/>
    <x v="3"/>
    <x v="0"/>
  </r>
  <r>
    <s v="EMP-2018-0955"/>
    <s v="David"/>
    <s v="Kim"/>
    <n v="40"/>
    <n v="40"/>
    <n v="1984"/>
    <s v="SIXTY THOUSAND"/>
    <x v="2"/>
    <x v="0"/>
    <x v="2"/>
    <x v="2"/>
    <s v="Director"/>
    <d v="2018-04-05T00:00:00"/>
    <d v="2018-04-05T00:00:00"/>
    <x v="2"/>
    <n v="70"/>
    <s v="david.kim@saltcorp.com"/>
    <m/>
    <s v="Part-Time"/>
    <x v="2"/>
    <m/>
    <n v="6"/>
    <n v="3"/>
    <m/>
    <d v="2023-03-05T00:00:00"/>
    <m/>
    <s v="no"/>
    <x v="1"/>
    <x v="1"/>
  </r>
  <r>
    <s v="EMP-2019-0956"/>
    <s v="Alice"/>
    <s v="Williams"/>
    <n v="25"/>
    <n v="25"/>
    <n v="1999"/>
    <n v="65000"/>
    <x v="1"/>
    <x v="1"/>
    <x v="3"/>
    <x v="3"/>
    <s v="Clerk"/>
    <d v="2019-12-01T00:00:00"/>
    <d v="2019-12-01T00:00:00"/>
    <x v="4"/>
    <n v="86"/>
    <s v="alice.williams@saltcorp.com"/>
    <s v="098-765-4321"/>
    <s v="contract"/>
    <x v="0"/>
    <m/>
    <n v="5"/>
    <m/>
    <m/>
    <s v="N/A"/>
    <m/>
    <s v="no"/>
    <x v="0"/>
    <x v="0"/>
  </r>
  <r>
    <s v="EMP-2020-0957"/>
    <s v="David"/>
    <s v="Ross"/>
    <n v="25"/>
    <n v="25"/>
    <n v="1999"/>
    <n v="50000"/>
    <x v="0"/>
    <x v="1"/>
    <x v="4"/>
    <x v="4"/>
    <s v="Analyst"/>
    <d v="2020-02-20T00:00:00"/>
    <d v="2020-02-20T00:00:00"/>
    <x v="1"/>
    <n v="5"/>
    <s v="david.ross@saltcorp.com"/>
    <s v=" "/>
    <s v="Full-Time"/>
    <x v="1"/>
    <m/>
    <n v="6"/>
    <m/>
    <n v="12"/>
    <m/>
    <m/>
    <s v="YES"/>
    <x v="1"/>
    <x v="0"/>
  </r>
  <r>
    <s v="EMP-2020-0958"/>
    <s v="Grace"/>
    <s v="Zhang"/>
    <n v="35"/>
    <n v="35"/>
    <n v="1989"/>
    <n v="55000"/>
    <x v="6"/>
    <x v="0"/>
    <x v="3"/>
    <x v="3"/>
    <s v="Clerk"/>
    <d v="2020-01-15T00:00:00"/>
    <d v="2020-01-15T00:00:00"/>
    <x v="2"/>
    <n v="75"/>
    <s v="grace.zhang@saltcorp.com"/>
    <s v="123-456-7890"/>
    <s v="contract"/>
    <x v="0"/>
    <m/>
    <n v="6"/>
    <m/>
    <m/>
    <m/>
    <m/>
    <s v="no"/>
    <x v="0"/>
    <x v="0"/>
  </r>
  <r>
    <s v="EMP-2018-0959"/>
    <s v="David"/>
    <s v="Sullivan"/>
    <n v="50"/>
    <n v="50"/>
    <n v="1974"/>
    <n v="65000"/>
    <x v="1"/>
    <x v="0"/>
    <x v="3"/>
    <x v="3"/>
    <s v="Analyst"/>
    <d v="2018-04-05T00:00:00"/>
    <d v="2018-04-05T00:00:00"/>
    <x v="4"/>
    <n v="80"/>
    <s v="david.sullivan@saltcorp.com"/>
    <s v="123-456-7890"/>
    <s v="Part-Time"/>
    <x v="2"/>
    <m/>
    <n v="5"/>
    <m/>
    <n v="20"/>
    <m/>
    <m/>
    <s v="YES"/>
    <x v="1"/>
    <x v="1"/>
  </r>
  <r>
    <s v="EMP-2018-0960"/>
    <s v="Frank"/>
    <s v="Hudson"/>
    <m/>
    <n v="58"/>
    <n v="1966"/>
    <s v="SIXTY THOUSAND"/>
    <x v="2"/>
    <x v="0"/>
    <x v="1"/>
    <x v="1"/>
    <s v="Director"/>
    <d v="2018-04-05T00:00:00"/>
    <d v="2018-04-05T00:00:00"/>
    <x v="3"/>
    <n v="90"/>
    <s v="frank.hudson@saltcorp.com"/>
    <s v="123-456-7890"/>
    <s v="Full-Time"/>
    <x v="1"/>
    <s v="EMP-2020-0088"/>
    <n v="6"/>
    <m/>
    <m/>
    <d v="2023-03-05T00:00:00"/>
    <m/>
    <s v="YES"/>
    <x v="2"/>
    <x v="0"/>
  </r>
  <r>
    <s v="EMP-2020-0961"/>
    <s v="Ivy"/>
    <s v="Bennett"/>
    <s v="thirty"/>
    <n v="30"/>
    <n v="1994"/>
    <n v="58600"/>
    <x v="8"/>
    <x v="0"/>
    <x v="4"/>
    <x v="4"/>
    <s v="Clerk"/>
    <d v="2020-02-20T00:00:00"/>
    <d v="2020-02-20T00:00:00"/>
    <x v="3"/>
    <n v="91"/>
    <s v="ivy.bennett@saltcorp.com"/>
    <s v="123-456-7890"/>
    <s v="contract"/>
    <x v="0"/>
    <m/>
    <n v="1"/>
    <n v="1"/>
    <m/>
    <m/>
    <m/>
    <s v="YES"/>
    <x v="2"/>
    <x v="0"/>
  </r>
  <r>
    <s v="EMP-2019-0962"/>
    <s v="Alice"/>
    <s v="Weber"/>
    <m/>
    <n v="28"/>
    <n v="1996"/>
    <n v="65000"/>
    <x v="1"/>
    <x v="1"/>
    <x v="2"/>
    <x v="2"/>
    <s v="Clerk"/>
    <d v="2019-12-01T00:00:00"/>
    <d v="2019-12-01T00:00:00"/>
    <x v="1"/>
    <n v="21"/>
    <s v="alice.weber@saltcorp.com"/>
    <s v="098-765-4321"/>
    <s v="Full-Time"/>
    <x v="1"/>
    <m/>
    <n v="7"/>
    <n v="12"/>
    <n v="16"/>
    <m/>
    <m/>
    <s v="YES"/>
    <x v="4"/>
    <x v="0"/>
  </r>
  <r>
    <s v="EMP-2020-0963"/>
    <s v="Eve"/>
    <s v="Hanson"/>
    <n v="40"/>
    <n v="40"/>
    <n v="1984"/>
    <n v="50000"/>
    <x v="0"/>
    <x v="1"/>
    <x v="3"/>
    <x v="3"/>
    <s v="Clerk"/>
    <d v="2020-01-15T00:00:00"/>
    <d v="2020-01-15T00:00:00"/>
    <x v="2"/>
    <n v="73"/>
    <s v="eve.hanson@saltcorp.com"/>
    <s v="555-555-5555"/>
    <s v="contract"/>
    <x v="0"/>
    <m/>
    <n v="2"/>
    <m/>
    <m/>
    <m/>
    <m/>
    <s v="no"/>
    <x v="3"/>
    <x v="0"/>
  </r>
  <r>
    <s v="EMP-2018-0964"/>
    <s v="Grace"/>
    <s v="Wu"/>
    <s v="thirty"/>
    <n v="30"/>
    <n v="1994"/>
    <s v="SIXTY THOUSAND"/>
    <x v="2"/>
    <x v="1"/>
    <x v="1"/>
    <x v="1"/>
    <s v="Analyst"/>
    <d v="2018-04-05T00:00:00"/>
    <d v="2018-04-05T00:00:00"/>
    <x v="4"/>
    <n v="89"/>
    <s v="grace.wu@saltcorp.com"/>
    <m/>
    <s v="Full-Time"/>
    <x v="1"/>
    <s v="EMP-2020-0012"/>
    <n v="6"/>
    <m/>
    <m/>
    <s v="N/A"/>
    <n v="12"/>
    <m/>
    <x v="4"/>
    <x v="0"/>
  </r>
  <r>
    <s v="EMP-2020-0965"/>
    <s v="Alice"/>
    <s v="Thompson"/>
    <n v="35"/>
    <n v="35"/>
    <n v="1989"/>
    <n v="55000"/>
    <x v="6"/>
    <x v="0"/>
    <x v="4"/>
    <x v="4"/>
    <s v="Assistant"/>
    <d v="2020-01-15T00:00:00"/>
    <d v="2020-01-15T00:00:00"/>
    <x v="4"/>
    <n v="85"/>
    <s v="alice.thompson@saltcorp.com"/>
    <s v="098-765-4321"/>
    <s v="contract"/>
    <x v="0"/>
    <m/>
    <n v="4"/>
    <m/>
    <m/>
    <m/>
    <m/>
    <m/>
    <x v="4"/>
    <x v="0"/>
  </r>
  <r>
    <s v="EMP-2018-0966"/>
    <s v="David"/>
    <s v="Bennett"/>
    <n v="35"/>
    <n v="35"/>
    <n v="1989"/>
    <s v="SIXTY THOUSAND"/>
    <x v="2"/>
    <x v="1"/>
    <x v="4"/>
    <x v="4"/>
    <s v="Director"/>
    <d v="2018-04-05T00:00:00"/>
    <d v="2018-04-05T00:00:00"/>
    <x v="3"/>
    <n v="100"/>
    <s v="david.bennett@saltcorp.com"/>
    <s v="123-456-7890"/>
    <s v="Part-Time"/>
    <x v="2"/>
    <m/>
    <n v="3"/>
    <n v="2"/>
    <m/>
    <m/>
    <m/>
    <s v="YES"/>
    <x v="4"/>
    <x v="0"/>
  </r>
  <r>
    <s v="EMP-2019-0967"/>
    <s v="Frank"/>
    <s v="Barnett"/>
    <n v="50"/>
    <n v="50"/>
    <n v="1974"/>
    <s v="SIXTY THOUSAND"/>
    <x v="2"/>
    <x v="0"/>
    <x v="0"/>
    <x v="0"/>
    <s v="Clerk"/>
    <d v="2019-12-01T00:00:00"/>
    <d v="2019-12-01T00:00:00"/>
    <x v="1"/>
    <n v="23"/>
    <s v="frank.barnett@saltcorp.com"/>
    <s v="098-765-4321"/>
    <s v="Full-Time"/>
    <x v="1"/>
    <m/>
    <n v="5"/>
    <m/>
    <n v="12"/>
    <d v="2024-08-12T00:00:00"/>
    <m/>
    <s v="no"/>
    <x v="4"/>
    <x v="1"/>
  </r>
  <r>
    <s v="EMP-2018-0968"/>
    <s v="Bob"/>
    <s v="Johnson"/>
    <s v="thirty"/>
    <n v="30"/>
    <n v="1994"/>
    <n v="70000"/>
    <x v="5"/>
    <x v="0"/>
    <x v="0"/>
    <x v="0"/>
    <s v="Assistant"/>
    <d v="2018-04-05T00:00:00"/>
    <d v="2018-04-05T00:00:00"/>
    <x v="3"/>
    <n v="91"/>
    <s v="bob.johnson@saltcorp.com"/>
    <s v=" "/>
    <s v="Full-Time"/>
    <x v="1"/>
    <m/>
    <n v="6"/>
    <n v="4"/>
    <n v="8"/>
    <d v="2023-01-15T00:00:00"/>
    <m/>
    <s v="no"/>
    <x v="4"/>
    <x v="0"/>
  </r>
  <r>
    <s v="EMP-2018-0969"/>
    <s v="Jack"/>
    <s v="Knight"/>
    <n v="25"/>
    <n v="25"/>
    <n v="1999"/>
    <s v="SIXTY THOUSAND"/>
    <x v="2"/>
    <x v="0"/>
    <x v="3"/>
    <x v="3"/>
    <s v="Director"/>
    <d v="2018-04-05T00:00:00"/>
    <d v="2018-04-05T00:00:00"/>
    <x v="3"/>
    <n v="96"/>
    <s v="jack.knight@saltcorp.com"/>
    <s v="123-456-7890"/>
    <s v="Full-Time"/>
    <x v="1"/>
    <m/>
    <n v="6"/>
    <m/>
    <m/>
    <s v="N/A"/>
    <m/>
    <m/>
    <x v="1"/>
    <x v="1"/>
  </r>
  <r>
    <s v="EMP-2019-0970"/>
    <s v="Eve"/>
    <s v="Gibson"/>
    <s v="thirty"/>
    <n v="30"/>
    <n v="1994"/>
    <s v="SIXTY THOUSAND"/>
    <x v="2"/>
    <x v="1"/>
    <x v="0"/>
    <x v="0"/>
    <s v="Director"/>
    <d v="2019-03-25T00:00:00"/>
    <d v="2019-03-25T00:00:00"/>
    <x v="1"/>
    <n v="29"/>
    <s v="eve.gibson@saltcorp.com"/>
    <m/>
    <s v="Part-Time"/>
    <x v="2"/>
    <s v="EMP-2018-0026"/>
    <n v="8"/>
    <m/>
    <n v="9"/>
    <s v="N/A"/>
    <m/>
    <m/>
    <x v="0"/>
    <x v="0"/>
  </r>
  <r>
    <s v="EMP-2019-0971"/>
    <s v="Jack"/>
    <s v="Wells"/>
    <n v="40"/>
    <n v="40"/>
    <n v="1984"/>
    <n v="65000"/>
    <x v="1"/>
    <x v="0"/>
    <x v="3"/>
    <x v="3"/>
    <s v="Clerk"/>
    <d v="2019-12-01T00:00:00"/>
    <d v="2019-12-01T00:00:00"/>
    <x v="2"/>
    <n v="71"/>
    <s v="jack.wells@saltcorp.com"/>
    <s v="123-456-7890"/>
    <s v="Full-Time"/>
    <x v="1"/>
    <m/>
    <n v="8"/>
    <n v="11"/>
    <m/>
    <m/>
    <m/>
    <s v="no"/>
    <x v="0"/>
    <x v="0"/>
  </r>
  <r>
    <s v="EMP-2020-0972"/>
    <s v="Alice"/>
    <s v="Hoffman"/>
    <n v="25"/>
    <n v="25"/>
    <n v="1999"/>
    <n v="55000"/>
    <x v="6"/>
    <x v="1"/>
    <x v="2"/>
    <x v="2"/>
    <s v="Clerk"/>
    <d v="2020-02-20T00:00:00"/>
    <d v="2020-02-20T00:00:00"/>
    <x v="4"/>
    <n v="89"/>
    <s v="alice.hoffman@saltcorp.com"/>
    <m/>
    <s v="Full-Time"/>
    <x v="1"/>
    <m/>
    <n v="2"/>
    <m/>
    <m/>
    <m/>
    <n v="29"/>
    <m/>
    <x v="4"/>
    <x v="1"/>
  </r>
  <r>
    <s v="EMP-2020-0973"/>
    <s v="Frank"/>
    <s v="Perez"/>
    <n v="35"/>
    <n v="35"/>
    <n v="1989"/>
    <n v="65000"/>
    <x v="1"/>
    <x v="1"/>
    <x v="3"/>
    <x v="3"/>
    <s v="Analyst"/>
    <d v="2020-02-20T00:00:00"/>
    <d v="2020-02-20T00:00:00"/>
    <x v="2"/>
    <n v="78"/>
    <s v="frank.perez@saltcorp.com"/>
    <m/>
    <s v="contract"/>
    <x v="0"/>
    <m/>
    <n v="7"/>
    <s v="N/A"/>
    <n v="5"/>
    <m/>
    <m/>
    <s v="YES"/>
    <x v="0"/>
    <x v="1"/>
  </r>
  <r>
    <s v="EMP-2019-0974"/>
    <s v="Frank"/>
    <s v="Gonzalez"/>
    <s v="thirty"/>
    <n v="30"/>
    <n v="1994"/>
    <n v="65000"/>
    <x v="1"/>
    <x v="0"/>
    <x v="0"/>
    <x v="0"/>
    <s v="Assistant"/>
    <d v="2019-12-01T00:00:00"/>
    <d v="2019-12-01T00:00:00"/>
    <x v="0"/>
    <n v="68"/>
    <s v="frank.gonzalez@saltcorp.com"/>
    <s v="555-555-5555"/>
    <s v="Part-Time"/>
    <x v="2"/>
    <m/>
    <n v="5"/>
    <m/>
    <m/>
    <d v="2022-06-20T00:00:00"/>
    <m/>
    <s v="no"/>
    <x v="3"/>
    <x v="0"/>
  </r>
  <r>
    <s v="EMP-2020-0975"/>
    <s v="David"/>
    <s v="Oliver"/>
    <m/>
    <n v="31"/>
    <n v="1993"/>
    <n v="50000"/>
    <x v="0"/>
    <x v="1"/>
    <x v="2"/>
    <x v="2"/>
    <s v="Assistant"/>
    <d v="2020-02-20T00:00:00"/>
    <d v="2020-02-20T00:00:00"/>
    <x v="0"/>
    <n v="68"/>
    <s v="david.oliver@saltcorp.com"/>
    <s v="555-555-5555"/>
    <s v="Full-Time"/>
    <x v="1"/>
    <m/>
    <n v="8"/>
    <n v="13"/>
    <m/>
    <m/>
    <n v="46"/>
    <m/>
    <x v="2"/>
    <x v="0"/>
  </r>
  <r>
    <s v="EMP-2019-0976"/>
    <s v="Hannah"/>
    <s v="Figueroa"/>
    <n v="50"/>
    <n v="50"/>
    <n v="1974"/>
    <n v="65000"/>
    <x v="1"/>
    <x v="1"/>
    <x v="0"/>
    <x v="0"/>
    <s v="Clerk"/>
    <d v="2019-12-01T00:00:00"/>
    <d v="2019-12-01T00:00:00"/>
    <x v="0"/>
    <n v="62"/>
    <s v="hannah.figueroa@saltcorp.com"/>
    <s v="098-765-4321"/>
    <s v="contract"/>
    <x v="0"/>
    <m/>
    <n v="3"/>
    <m/>
    <n v="13"/>
    <m/>
    <m/>
    <s v="YES"/>
    <x v="0"/>
    <x v="0"/>
  </r>
  <r>
    <s v="EMP-2020-0977"/>
    <s v="David"/>
    <s v="Sullivan"/>
    <m/>
    <n v="55"/>
    <n v="1969"/>
    <n v="70000"/>
    <x v="5"/>
    <x v="0"/>
    <x v="3"/>
    <x v="3"/>
    <s v="Director"/>
    <d v="2020-02-20T00:00:00"/>
    <d v="2020-02-20T00:00:00"/>
    <x v="1"/>
    <n v="32"/>
    <s v="david.sullivan@saltcorp.com"/>
    <s v="098-765-4321"/>
    <s v="contract"/>
    <x v="0"/>
    <s v="EMP-2018-0037"/>
    <n v="3"/>
    <m/>
    <m/>
    <m/>
    <m/>
    <s v="YES"/>
    <x v="4"/>
    <x v="0"/>
  </r>
  <r>
    <s v="EMP-2019-0978"/>
    <s v="Hannah"/>
    <s v="Perry"/>
    <n v="50"/>
    <n v="50"/>
    <n v="1974"/>
    <n v="70000"/>
    <x v="5"/>
    <x v="1"/>
    <x v="1"/>
    <x v="1"/>
    <s v="Clerk"/>
    <d v="2019-03-25T00:00:00"/>
    <d v="2019-03-25T00:00:00"/>
    <x v="3"/>
    <n v="96"/>
    <s v="hannah.perry@saltcorp.com"/>
    <m/>
    <s v="Full-Time"/>
    <x v="1"/>
    <s v="EMP-2018-0074"/>
    <n v="6"/>
    <s v="N/A"/>
    <m/>
    <m/>
    <m/>
    <s v="YES"/>
    <x v="4"/>
    <x v="0"/>
  </r>
  <r>
    <s v="EMP-2020-0979"/>
    <s v="Hannah"/>
    <s v="Rogers"/>
    <n v="40"/>
    <n v="40"/>
    <n v="1984"/>
    <n v="50000"/>
    <x v="0"/>
    <x v="0"/>
    <x v="4"/>
    <x v="4"/>
    <s v="Director"/>
    <d v="2020-02-20T00:00:00"/>
    <d v="2020-02-20T00:00:00"/>
    <x v="2"/>
    <n v="74"/>
    <s v="hannah.rogers@saltcorp.com"/>
    <s v="123-456-7890"/>
    <s v="Part-Time"/>
    <x v="2"/>
    <m/>
    <n v="7"/>
    <s v="N/A"/>
    <m/>
    <d v="2022-06-20T00:00:00"/>
    <m/>
    <s v="no"/>
    <x v="3"/>
    <x v="1"/>
  </r>
  <r>
    <s v="EMP-2018-0980"/>
    <s v="Eve"/>
    <s v="Reed"/>
    <m/>
    <n v="41"/>
    <n v="1983"/>
    <n v="60900"/>
    <x v="15"/>
    <x v="1"/>
    <x v="0"/>
    <x v="0"/>
    <s v="Director"/>
    <d v="2018-04-05T00:00:00"/>
    <d v="2018-04-05T00:00:00"/>
    <x v="4"/>
    <n v="82"/>
    <s v="eve.reed@saltcorp.com"/>
    <s v=" "/>
    <s v="contract"/>
    <x v="0"/>
    <m/>
    <n v="7"/>
    <s v="N/A"/>
    <n v="7"/>
    <d v="2023-01-15T00:00:00"/>
    <n v="37"/>
    <s v="no"/>
    <x v="0"/>
    <x v="1"/>
  </r>
  <r>
    <s v="EMP-2019-0981"/>
    <s v="David"/>
    <s v="Bell"/>
    <s v="thirty"/>
    <n v="30"/>
    <n v="1994"/>
    <n v="55000"/>
    <x v="6"/>
    <x v="0"/>
    <x v="3"/>
    <x v="3"/>
    <s v="Clerk"/>
    <d v="2019-12-01T00:00:00"/>
    <d v="2019-12-01T00:00:00"/>
    <x v="0"/>
    <n v="65"/>
    <s v="david.bell@saltcorp.com"/>
    <s v=" "/>
    <s v="contract"/>
    <x v="0"/>
    <m/>
    <n v="2"/>
    <n v="3"/>
    <m/>
    <m/>
    <n v="47"/>
    <s v="YES"/>
    <x v="0"/>
    <x v="0"/>
  </r>
  <r>
    <s v="EMP-2020-0982"/>
    <s v="Bob"/>
    <s v="Williamson"/>
    <s v="thirty"/>
    <n v="30"/>
    <n v="1994"/>
    <n v="55000"/>
    <x v="6"/>
    <x v="1"/>
    <x v="2"/>
    <x v="2"/>
    <s v="Manager"/>
    <d v="2020-01-15T00:00:00"/>
    <d v="2020-01-15T00:00:00"/>
    <x v="2"/>
    <n v="73"/>
    <s v="bob.williamson@saltcorp.com"/>
    <s v="123-456-7890"/>
    <s v="Full-Time"/>
    <x v="1"/>
    <s v="EMP-2018-0083"/>
    <n v="2"/>
    <s v="N/A"/>
    <m/>
    <s v="N/A"/>
    <m/>
    <m/>
    <x v="2"/>
    <x v="0"/>
  </r>
  <r>
    <s v="EMP-2020-0983"/>
    <s v="Charlie"/>
    <s v="Hudson"/>
    <m/>
    <n v="33"/>
    <n v="1991"/>
    <n v="65000"/>
    <x v="1"/>
    <x v="1"/>
    <x v="0"/>
    <x v="0"/>
    <s v="Assistant"/>
    <d v="2020-01-15T00:00:00"/>
    <d v="2020-01-15T00:00:00"/>
    <x v="0"/>
    <n v="62"/>
    <s v="charlie.hudson@saltcorp.com"/>
    <s v="123-456-7890"/>
    <s v="Full-Time"/>
    <x v="1"/>
    <m/>
    <n v="3"/>
    <m/>
    <n v="5"/>
    <m/>
    <m/>
    <s v="YES"/>
    <x v="4"/>
    <x v="0"/>
  </r>
  <r>
    <s v="EMP-2019-0984"/>
    <s v="Charlie"/>
    <s v="White"/>
    <s v="thirty"/>
    <n v="30"/>
    <n v="1994"/>
    <n v="65000"/>
    <x v="1"/>
    <x v="1"/>
    <x v="0"/>
    <x v="0"/>
    <s v="Director"/>
    <d v="2019-12-01T00:00:00"/>
    <d v="2019-12-01T00:00:00"/>
    <x v="0"/>
    <n v="65"/>
    <s v="charlie.white@saltcorp.com"/>
    <s v="555-555-5555"/>
    <s v="Full-Time"/>
    <x v="1"/>
    <m/>
    <n v="6"/>
    <m/>
    <n v="14"/>
    <m/>
    <m/>
    <m/>
    <x v="4"/>
    <x v="1"/>
  </r>
  <r>
    <s v="EMP-2019-0985"/>
    <s v="David"/>
    <s v="Davidson"/>
    <n v="40"/>
    <n v="40"/>
    <n v="1984"/>
    <n v="60500"/>
    <x v="7"/>
    <x v="1"/>
    <x v="4"/>
    <x v="4"/>
    <s v="Director"/>
    <d v="2019-03-25T00:00:00"/>
    <d v="2019-03-25T00:00:00"/>
    <x v="4"/>
    <n v="89"/>
    <s v="david.davidson@saltcorp.com"/>
    <s v=" "/>
    <s v="Full-Time"/>
    <x v="1"/>
    <m/>
    <n v="4"/>
    <n v="9"/>
    <n v="8"/>
    <m/>
    <m/>
    <m/>
    <x v="3"/>
    <x v="0"/>
  </r>
  <r>
    <s v="EMP-2020-0986"/>
    <s v="David"/>
    <s v="Aguilar"/>
    <n v="25"/>
    <n v="25"/>
    <n v="1999"/>
    <n v="65000"/>
    <x v="1"/>
    <x v="1"/>
    <x v="3"/>
    <x v="3"/>
    <s v="Manager"/>
    <d v="2020-02-20T00:00:00"/>
    <d v="2020-02-20T00:00:00"/>
    <x v="1"/>
    <n v="33"/>
    <s v="david.aguilar@saltcorp.com"/>
    <m/>
    <s v="Full-Time"/>
    <x v="1"/>
    <m/>
    <n v="6"/>
    <n v="1"/>
    <m/>
    <m/>
    <m/>
    <s v="no"/>
    <x v="4"/>
    <x v="0"/>
  </r>
  <r>
    <s v="EMP-2019-0987"/>
    <s v="Jack"/>
    <s v="Pearson"/>
    <n v="40"/>
    <n v="40"/>
    <n v="1984"/>
    <n v="55000"/>
    <x v="6"/>
    <x v="1"/>
    <x v="1"/>
    <x v="1"/>
    <s v="Analyst"/>
    <d v="2019-03-25T00:00:00"/>
    <d v="2019-03-25T00:00:00"/>
    <x v="3"/>
    <n v="91"/>
    <s v="jack.pearson@saltcorp.com"/>
    <s v="098-765-4321"/>
    <s v="Full-Time"/>
    <x v="1"/>
    <m/>
    <n v="6"/>
    <n v="13"/>
    <n v="16"/>
    <d v="2023-01-15T00:00:00"/>
    <n v="18"/>
    <s v="YES"/>
    <x v="0"/>
    <x v="0"/>
  </r>
  <r>
    <s v="EMP-2020-0988"/>
    <s v="Eve"/>
    <s v="Bell"/>
    <n v="50"/>
    <n v="50"/>
    <n v="1974"/>
    <s v="SIXTY THOUSAND"/>
    <x v="2"/>
    <x v="1"/>
    <x v="2"/>
    <x v="2"/>
    <s v="Manager"/>
    <d v="2020-01-15T00:00:00"/>
    <d v="2020-01-15T00:00:00"/>
    <x v="1"/>
    <n v="48"/>
    <s v="eve.bell@saltcorp.com"/>
    <s v="555-555-5555"/>
    <s v="Full-Time"/>
    <x v="1"/>
    <m/>
    <n v="5"/>
    <m/>
    <n v="16"/>
    <d v="2023-01-15T00:00:00"/>
    <m/>
    <s v="YES"/>
    <x v="3"/>
    <x v="0"/>
  </r>
  <r>
    <s v="EMP-2019-0989"/>
    <s v="David"/>
    <s v="Ross"/>
    <n v="40"/>
    <n v="40"/>
    <n v="1984"/>
    <n v="70000"/>
    <x v="5"/>
    <x v="1"/>
    <x v="3"/>
    <x v="3"/>
    <s v="Manager"/>
    <d v="2019-12-01T00:00:00"/>
    <d v="2019-12-01T00:00:00"/>
    <x v="2"/>
    <n v="74"/>
    <s v="david.ross@saltcorp.com"/>
    <s v=" "/>
    <s v="contract"/>
    <x v="0"/>
    <m/>
    <n v="5"/>
    <n v="2"/>
    <m/>
    <m/>
    <m/>
    <s v="no"/>
    <x v="1"/>
    <x v="0"/>
  </r>
  <r>
    <s v="EMP-2019-0990"/>
    <s v="Jack"/>
    <s v="McCoy"/>
    <n v="50"/>
    <n v="50"/>
    <n v="1974"/>
    <s v="SIXTY THOUSAND"/>
    <x v="2"/>
    <x v="1"/>
    <x v="2"/>
    <x v="2"/>
    <s v="Director"/>
    <d v="2019-12-01T00:00:00"/>
    <d v="2019-12-01T00:00:00"/>
    <x v="1"/>
    <n v="2"/>
    <s v="jack.mccoy@saltcorp.com"/>
    <s v="123-456-7890"/>
    <s v="contract"/>
    <x v="0"/>
    <s v="EMP-2018-0062"/>
    <n v="7"/>
    <m/>
    <n v="7"/>
    <m/>
    <m/>
    <m/>
    <x v="2"/>
    <x v="1"/>
  </r>
  <r>
    <s v="EMP-2019-0991"/>
    <s v="Hannah"/>
    <s v="Powell"/>
    <s v="thirty"/>
    <n v="30"/>
    <n v="1994"/>
    <s v="SIXTY THOUSAND"/>
    <x v="2"/>
    <x v="0"/>
    <x v="0"/>
    <x v="0"/>
    <s v="Assistant"/>
    <d v="2019-03-25T00:00:00"/>
    <d v="2019-03-25T00:00:00"/>
    <x v="2"/>
    <n v="71"/>
    <s v="hannah.powell@saltcorp.com"/>
    <s v=" "/>
    <s v="Full-Time"/>
    <x v="1"/>
    <m/>
    <n v="5"/>
    <n v="5"/>
    <n v="6"/>
    <m/>
    <m/>
    <m/>
    <x v="3"/>
    <x v="0"/>
  </r>
  <r>
    <s v="EMP-2019-0992"/>
    <s v="Frank"/>
    <s v="Lopez"/>
    <n v="25"/>
    <n v="25"/>
    <n v="1999"/>
    <n v="55000"/>
    <x v="6"/>
    <x v="0"/>
    <x v="4"/>
    <x v="4"/>
    <s v="Manager"/>
    <d v="2019-03-25T00:00:00"/>
    <d v="2019-03-25T00:00:00"/>
    <x v="2"/>
    <n v="73"/>
    <s v="frank.lopez@saltcorp.com"/>
    <m/>
    <s v="Full-Time"/>
    <x v="1"/>
    <m/>
    <n v="8"/>
    <m/>
    <n v="20"/>
    <m/>
    <m/>
    <m/>
    <x v="3"/>
    <x v="1"/>
  </r>
  <r>
    <s v="EMP-2020-0993"/>
    <s v="Frank"/>
    <s v="Ramirez"/>
    <s v="thirty"/>
    <n v="30"/>
    <n v="1994"/>
    <s v="SIXTY THOUSAND"/>
    <x v="2"/>
    <x v="1"/>
    <x v="4"/>
    <x v="4"/>
    <s v="Analyst"/>
    <d v="2020-02-20T00:00:00"/>
    <d v="2020-02-20T00:00:00"/>
    <x v="3"/>
    <n v="93"/>
    <s v="frank.ramirez@saltcorp.com"/>
    <s v="555-555-5555"/>
    <s v="contract"/>
    <x v="0"/>
    <m/>
    <n v="6"/>
    <m/>
    <m/>
    <m/>
    <m/>
    <s v="YES"/>
    <x v="3"/>
    <x v="0"/>
  </r>
  <r>
    <s v="EMP-2018-0994"/>
    <s v="Hannah"/>
    <s v="Harrison"/>
    <n v="35"/>
    <n v="35"/>
    <n v="1989"/>
    <n v="61300"/>
    <x v="18"/>
    <x v="1"/>
    <x v="1"/>
    <x v="1"/>
    <s v="Clerk"/>
    <d v="2018-04-05T00:00:00"/>
    <d v="2018-04-05T00:00:00"/>
    <x v="4"/>
    <n v="86"/>
    <s v="hannah.harrison@saltcorp.com"/>
    <s v="123-456-7890"/>
    <s v="Part-Time"/>
    <x v="2"/>
    <s v="EMP-2020-0098"/>
    <n v="8"/>
    <s v="N/A"/>
    <m/>
    <s v="N/A"/>
    <n v="57"/>
    <s v="no"/>
    <x v="3"/>
    <x v="0"/>
  </r>
  <r>
    <s v="EMP-2018-0995"/>
    <s v="Grace"/>
    <s v="Zhang"/>
    <s v="thirty"/>
    <n v="30"/>
    <n v="1994"/>
    <n v="50000"/>
    <x v="0"/>
    <x v="1"/>
    <x v="4"/>
    <x v="4"/>
    <s v="Manager"/>
    <d v="2018-04-05T00:00:00"/>
    <d v="2018-04-05T00:00:00"/>
    <x v="3"/>
    <n v="90"/>
    <s v="grace.zhang@saltcorp.com"/>
    <m/>
    <s v="Full-Time"/>
    <x v="1"/>
    <m/>
    <n v="7"/>
    <m/>
    <n v="10"/>
    <d v="2022-06-20T00:00:00"/>
    <m/>
    <s v="YES"/>
    <x v="2"/>
    <x v="0"/>
  </r>
  <r>
    <s v="EMP-2020-0996"/>
    <s v="Jack"/>
    <s v="West"/>
    <n v="50"/>
    <n v="50"/>
    <n v="1974"/>
    <n v="65000"/>
    <x v="1"/>
    <x v="1"/>
    <x v="0"/>
    <x v="0"/>
    <s v="Manager"/>
    <d v="2020-02-20T00:00:00"/>
    <d v="2020-02-20T00:00:00"/>
    <x v="1"/>
    <n v="34"/>
    <s v="jack.west@saltcorp.com"/>
    <s v="098-765-4321"/>
    <s v="Part-Time"/>
    <x v="2"/>
    <m/>
    <n v="3"/>
    <m/>
    <m/>
    <d v="2024-08-12T00:00:00"/>
    <m/>
    <s v="no"/>
    <x v="1"/>
    <x v="0"/>
  </r>
  <r>
    <s v="EMP-2018-0997"/>
    <s v="Jack"/>
    <s v="Hansen"/>
    <s v="thirty"/>
    <n v="30"/>
    <n v="1994"/>
    <n v="50000"/>
    <x v="0"/>
    <x v="0"/>
    <x v="1"/>
    <x v="1"/>
    <s v="Analyst"/>
    <d v="2018-04-05T00:00:00"/>
    <d v="2018-04-05T00:00:00"/>
    <x v="2"/>
    <n v="73"/>
    <s v="jack.hansen@saltcorp.com"/>
    <s v="555-555-5555"/>
    <s v="contract"/>
    <x v="0"/>
    <s v="EMP-2018-0093"/>
    <n v="3"/>
    <m/>
    <n v="16"/>
    <m/>
    <m/>
    <s v="no"/>
    <x v="4"/>
    <x v="1"/>
  </r>
  <r>
    <s v="EMP-2020-0998"/>
    <s v="Hannah"/>
    <s v="Foster"/>
    <s v="thirty"/>
    <n v="30"/>
    <n v="1994"/>
    <n v="70000"/>
    <x v="5"/>
    <x v="0"/>
    <x v="3"/>
    <x v="3"/>
    <s v="Assistant"/>
    <d v="2020-01-15T00:00:00"/>
    <d v="2020-01-15T00:00:00"/>
    <x v="0"/>
    <n v="62"/>
    <s v="hannah.foster@saltcorp.com"/>
    <m/>
    <s v="Part-Time"/>
    <x v="2"/>
    <m/>
    <n v="1"/>
    <n v="5"/>
    <m/>
    <d v="2022-06-20T00:00:00"/>
    <n v="38"/>
    <s v="YES"/>
    <x v="0"/>
    <x v="0"/>
  </r>
  <r>
    <s v="EMP-2018-0999"/>
    <s v="Bob"/>
    <s v="Smith"/>
    <n v="25"/>
    <n v="25"/>
    <n v="1999"/>
    <n v="65000"/>
    <x v="1"/>
    <x v="0"/>
    <x v="4"/>
    <x v="4"/>
    <s v="Manager"/>
    <d v="2018-04-05T00:00:00"/>
    <d v="2018-04-05T00:00:00"/>
    <x v="0"/>
    <n v="60"/>
    <s v="bob.smith@saltcorp.com"/>
    <m/>
    <s v="contract"/>
    <x v="0"/>
    <m/>
    <n v="3"/>
    <m/>
    <m/>
    <m/>
    <m/>
    <s v="no"/>
    <x v="1"/>
    <x v="1"/>
  </r>
  <r>
    <s v="EMP-2020-1000"/>
    <s v="Ivy"/>
    <s v="Garrett"/>
    <s v="thirty"/>
    <n v="30"/>
    <n v="1994"/>
    <s v="SIXTY THOUSAND"/>
    <x v="2"/>
    <x v="0"/>
    <x v="1"/>
    <x v="1"/>
    <s v="Manager"/>
    <d v="2020-02-20T00:00:00"/>
    <d v="2020-02-20T00:00:00"/>
    <x v="2"/>
    <n v="74"/>
    <s v="ivy.garrett@saltcorp.com"/>
    <s v="123-456-7890"/>
    <s v="contract"/>
    <x v="0"/>
    <m/>
    <n v="4"/>
    <s v="N/A"/>
    <m/>
    <m/>
    <m/>
    <s v="YES"/>
    <x v="0"/>
    <x v="0"/>
  </r>
  <r>
    <m/>
    <m/>
    <m/>
    <m/>
    <m/>
    <m/>
    <m/>
    <x v="27"/>
    <x v="2"/>
    <x v="5"/>
    <x v="5"/>
    <m/>
    <m/>
    <m/>
    <x v="5"/>
    <m/>
    <m/>
    <m/>
    <m/>
    <x v="3"/>
    <m/>
    <m/>
    <m/>
    <m/>
    <m/>
    <m/>
    <m/>
    <x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-2018-0001"/>
    <s v="Grace"/>
    <s v="Hansen"/>
    <n v="25"/>
    <n v="25"/>
    <n v="1999"/>
    <n v="50000"/>
    <n v="50000"/>
    <x v="0"/>
    <s v="HR"/>
    <x v="0"/>
    <s v="Manager"/>
    <d v="2018-04-05T00:00:00"/>
    <d v="2018-04-05T00:00:00"/>
    <s v="D"/>
    <n v="64"/>
    <s v="grace.hansen@saltcorp.com"/>
    <m/>
    <s v="contract"/>
    <s v="Contract"/>
    <m/>
    <n v="4"/>
    <m/>
    <n v="0"/>
    <m/>
    <m/>
    <s v="YES"/>
    <s v="Yes"/>
    <n v="4"/>
    <s v="No"/>
  </r>
  <r>
    <s v="EMP-2020-0002"/>
    <s v="David"/>
    <s v="Cohen"/>
    <m/>
    <n v="41"/>
    <n v="1983"/>
    <n v="65000"/>
    <n v="65000"/>
    <x v="1"/>
    <s v="finance"/>
    <x v="1"/>
    <s v="Director"/>
    <d v="2020-02-20T00:00:00"/>
    <d v="2020-02-20T00:00:00"/>
    <s v="F"/>
    <n v="5"/>
    <s v="david.cohen@saltcorp.com"/>
    <s v="123-456-7890"/>
    <s v="Full-Time"/>
    <s v="Full-Time"/>
    <m/>
    <n v="8"/>
    <n v="3"/>
    <n v="15"/>
    <m/>
    <n v="14"/>
    <s v="N"/>
    <s v="No"/>
    <n v="1"/>
    <s v="Yes"/>
  </r>
  <r>
    <s v="EMP-2020-0003"/>
    <s v="Hannah"/>
    <s v="Matthews"/>
    <n v="35"/>
    <n v="35"/>
    <n v="1989"/>
    <s v="SIXTY THOUSAND"/>
    <n v="60000"/>
    <x v="1"/>
    <s v="sales"/>
    <x v="2"/>
    <s v="Director"/>
    <d v="2020-01-15T00:00:00"/>
    <d v="2020-01-15T00:00:00"/>
    <s v="C"/>
    <n v="70"/>
    <s v="hannah.matthews@saltcorp.com"/>
    <s v="098-765-4321"/>
    <s v="Full-Time"/>
    <s v="Full-Time"/>
    <m/>
    <n v="6"/>
    <n v="15"/>
    <m/>
    <d v="2024-08-12T00:00:00"/>
    <m/>
    <s v="YES"/>
    <s v="Yes"/>
    <n v="5"/>
    <s v="No"/>
  </r>
  <r>
    <s v="EMP-2018-0004"/>
    <s v="Eve"/>
    <s v="Parker"/>
    <m/>
    <n v="48"/>
    <n v="1976"/>
    <n v="50000"/>
    <n v="50000"/>
    <x v="1"/>
    <s v="it"/>
    <x v="3"/>
    <s v="Manager"/>
    <d v="2018-04-05T00:00:00"/>
    <d v="2018-04-05T00:00:00"/>
    <s v="A"/>
    <n v="93"/>
    <s v="eve.parker@saltcorp.com"/>
    <s v=" "/>
    <s v="contract"/>
    <s v="Contract"/>
    <m/>
    <n v="5"/>
    <n v="12"/>
    <n v="11"/>
    <d v="2024-08-12T00:00:00"/>
    <m/>
    <s v="YES"/>
    <s v="Yes"/>
    <n v="2"/>
    <s v="Yes"/>
  </r>
  <r>
    <s v="EMP-2020-0005"/>
    <s v="Grace"/>
    <s v="Liu"/>
    <m/>
    <n v="51"/>
    <n v="1973"/>
    <n v="59500"/>
    <n v="59500"/>
    <x v="1"/>
    <s v="finance"/>
    <x v="1"/>
    <s v="Manager"/>
    <d v="2020-01-15T00:00:00"/>
    <d v="2020-01-15T00:00:00"/>
    <s v="F"/>
    <n v="14"/>
    <s v="grace.liu@saltcorp.com"/>
    <s v="098-765-4321"/>
    <s v="contract"/>
    <s v="Contract"/>
    <m/>
    <n v="3"/>
    <n v="4"/>
    <m/>
    <d v="2023-01-15T00:00:00"/>
    <n v="47"/>
    <m/>
    <s v=""/>
    <n v="1"/>
    <s v="No"/>
  </r>
  <r>
    <s v="EMP-2019-0006"/>
    <s v="Jack"/>
    <s v="Evans"/>
    <m/>
    <n v="53"/>
    <n v="1971"/>
    <n v="65000"/>
    <n v="65000"/>
    <x v="0"/>
    <s v="Marketing"/>
    <x v="4"/>
    <s v="Director"/>
    <d v="2019-03-25T00:00:00"/>
    <d v="2019-03-25T00:00:00"/>
    <s v="F"/>
    <n v="48"/>
    <s v="jack.evans@saltcorp.com"/>
    <m/>
    <s v="Part-Time"/>
    <s v="Part-Time"/>
    <m/>
    <n v="3"/>
    <m/>
    <m/>
    <d v="2022-06-20T00:00:00"/>
    <m/>
    <s v="no"/>
    <s v="No"/>
    <n v="5"/>
    <s v="No"/>
  </r>
  <r>
    <s v="EMP-2019-0007"/>
    <s v="Charlie"/>
    <s v="Moore"/>
    <m/>
    <n v="33"/>
    <n v="1991"/>
    <n v="50000"/>
    <n v="50000"/>
    <x v="0"/>
    <s v="Marketing"/>
    <x v="4"/>
    <s v="Clerk"/>
    <d v="2019-12-01T00:00:00"/>
    <d v="2019-12-01T00:00:00"/>
    <s v="B"/>
    <n v="86"/>
    <s v="charlie.moore@saltcorp.com"/>
    <s v="123-456-7890"/>
    <s v="Part-Time"/>
    <s v="Part-Time"/>
    <m/>
    <n v="5"/>
    <s v="N/A"/>
    <n v="0"/>
    <d v="2024-08-12T00:00:00"/>
    <m/>
    <s v="YES"/>
    <s v="Yes"/>
    <n v="4"/>
    <s v="Yes"/>
  </r>
  <r>
    <s v="EMP-2019-0008"/>
    <s v="Grace"/>
    <s v="Wang"/>
    <n v="40"/>
    <n v="40"/>
    <n v="1984"/>
    <n v="50000"/>
    <n v="50000"/>
    <x v="1"/>
    <s v="HR"/>
    <x v="0"/>
    <s v="Director"/>
    <d v="2019-03-25T00:00:00"/>
    <d v="2019-03-25T00:00:00"/>
    <s v="C"/>
    <n v="71"/>
    <s v="grace.wang@saltcorp.com"/>
    <s v=" "/>
    <s v="Part-Time"/>
    <s v="Part-Time"/>
    <m/>
    <n v="2"/>
    <m/>
    <m/>
    <m/>
    <m/>
    <s v="no"/>
    <s v="No"/>
    <n v="3"/>
    <s v="No"/>
  </r>
  <r>
    <s v="EMP-2020-0009"/>
    <s v="Hannah"/>
    <s v="McCoy"/>
    <n v="40"/>
    <n v="40"/>
    <n v="1984"/>
    <s v="SIXTY THOUSAND"/>
    <n v="60000"/>
    <x v="1"/>
    <s v="Marketing"/>
    <x v="4"/>
    <s v="Manager"/>
    <d v="2020-01-15T00:00:00"/>
    <d v="2020-01-15T00:00:00"/>
    <s v="C"/>
    <n v="75"/>
    <s v="hannah.mccoy@saltcorp.com"/>
    <s v="123-456-7890"/>
    <s v="contract"/>
    <s v="Contract"/>
    <m/>
    <n v="8"/>
    <m/>
    <m/>
    <m/>
    <m/>
    <m/>
    <s v=""/>
    <n v="2"/>
    <s v="No"/>
  </r>
  <r>
    <s v="EMP-2020-0010"/>
    <s v="Eve"/>
    <s v="Stevens"/>
    <s v="thirty"/>
    <n v="30"/>
    <n v="1994"/>
    <n v="58500"/>
    <n v="58500"/>
    <x v="1"/>
    <s v="finance"/>
    <x v="1"/>
    <s v="Assistant"/>
    <d v="2020-02-20T00:00:00"/>
    <d v="2020-02-20T00:00:00"/>
    <s v="A"/>
    <n v="90"/>
    <s v="eve.stevens@saltcorp.com"/>
    <s v=" "/>
    <s v="Full-Time"/>
    <s v="Full-Time"/>
    <s v="EMP-2020-0025"/>
    <n v="3"/>
    <m/>
    <n v="4"/>
    <d v="2024-08-12T00:00:00"/>
    <n v="65"/>
    <s v="no"/>
    <s v="No"/>
    <n v="5"/>
    <s v="No"/>
  </r>
  <r>
    <s v="EMP-2019-0011"/>
    <s v="David"/>
    <s v="West"/>
    <n v="25"/>
    <n v="25"/>
    <n v="1999"/>
    <n v="70000"/>
    <n v="70000"/>
    <x v="0"/>
    <s v="Marketing"/>
    <x v="4"/>
    <s v="Analyst"/>
    <d v="2019-12-01T00:00:00"/>
    <d v="2019-12-01T00:00:00"/>
    <s v="B"/>
    <n v="81"/>
    <s v="david.west@saltcorp.com"/>
    <s v="123-456-7890"/>
    <s v="contract"/>
    <s v="Contract"/>
    <m/>
    <n v="5"/>
    <s v="N/A"/>
    <m/>
    <d v="2024-08-12T00:00:00"/>
    <m/>
    <s v="N"/>
    <s v="No"/>
    <n v="1"/>
    <s v="No"/>
  </r>
  <r>
    <s v="EMP-2019-0012"/>
    <s v="Hannah"/>
    <s v="Brooks"/>
    <m/>
    <n v="37"/>
    <n v="1987"/>
    <n v="70000"/>
    <n v="70000"/>
    <x v="1"/>
    <s v="finance"/>
    <x v="1"/>
    <s v="Assistant"/>
    <d v="2019-03-25T00:00:00"/>
    <d v="2019-03-25T00:00:00"/>
    <s v="A"/>
    <n v="100"/>
    <s v="hannah.brooks@saltcorp.com"/>
    <m/>
    <s v="contract"/>
    <s v="Contract"/>
    <m/>
    <n v="3"/>
    <n v="1"/>
    <n v="15"/>
    <m/>
    <m/>
    <s v="YES"/>
    <s v="Yes"/>
    <n v="3"/>
    <s v="Yes"/>
  </r>
  <r>
    <s v="EMP-2018-0013"/>
    <s v="Hannah"/>
    <s v="Gomez"/>
    <s v="thirty"/>
    <n v="30"/>
    <n v="1994"/>
    <n v="50000"/>
    <n v="50000"/>
    <x v="0"/>
    <s v="it"/>
    <x v="3"/>
    <s v="Assistant"/>
    <d v="2018-04-05T00:00:00"/>
    <d v="2018-04-05T00:00:00"/>
    <s v="D"/>
    <n v="64"/>
    <s v="hannah.gomez@saltcorp.com"/>
    <s v=" "/>
    <s v="Part-Time"/>
    <s v="Part-Time"/>
    <s v="EMP-2019-0003"/>
    <n v="6"/>
    <m/>
    <m/>
    <d v="2021-10-01T00:00:00"/>
    <m/>
    <s v="N"/>
    <s v="No"/>
    <n v="2"/>
    <s v="No"/>
  </r>
  <r>
    <s v="EMP-2020-0014"/>
    <s v="Charlie"/>
    <s v="Martin"/>
    <n v="25"/>
    <n v="25"/>
    <n v="1999"/>
    <n v="55000"/>
    <n v="55000"/>
    <x v="0"/>
    <s v="HR"/>
    <x v="0"/>
    <s v="Manager"/>
    <d v="2020-02-20T00:00:00"/>
    <d v="2020-02-20T00:00:00"/>
    <s v="F"/>
    <n v="29"/>
    <s v="charlie.martin@saltcorp.com"/>
    <s v="555-555-5555"/>
    <s v="Full-Time"/>
    <s v="Full-Time"/>
    <s v="EMP-2019-0089"/>
    <n v="2"/>
    <n v="3"/>
    <n v="18"/>
    <m/>
    <m/>
    <s v="YES"/>
    <s v="Yes"/>
    <n v="2"/>
    <s v="No"/>
  </r>
  <r>
    <s v="EMP-2019-0015"/>
    <s v="Frank"/>
    <s v="Young"/>
    <n v="50"/>
    <n v="50"/>
    <n v="1974"/>
    <n v="60500"/>
    <n v="60500"/>
    <x v="0"/>
    <s v="Marketing"/>
    <x v="4"/>
    <s v="Director"/>
    <d v="2019-03-25T00:00:00"/>
    <d v="2019-03-25T00:00:00"/>
    <s v="A"/>
    <n v="100"/>
    <s v="frank.young@saltcorp.com"/>
    <s v="123-456-7890"/>
    <s v="Part-Time"/>
    <s v="Part-Time"/>
    <m/>
    <n v="4"/>
    <n v="7"/>
    <n v="20"/>
    <m/>
    <n v="23"/>
    <s v="no"/>
    <s v="No"/>
    <n v="4"/>
    <s v="No"/>
  </r>
  <r>
    <s v="EMP-2018-0016"/>
    <s v="Eve"/>
    <s v="Pearson"/>
    <n v="35"/>
    <n v="35"/>
    <n v="1989"/>
    <n v="65000"/>
    <n v="65000"/>
    <x v="0"/>
    <s v="finance"/>
    <x v="1"/>
    <s v="Clerk"/>
    <d v="2018-04-05T00:00:00"/>
    <d v="2018-04-05T00:00:00"/>
    <s v="F"/>
    <n v="40"/>
    <s v="eve.pearson@saltcorp.com"/>
    <s v="123-456-7890"/>
    <s v="Full-Time"/>
    <s v="Full-Time"/>
    <m/>
    <n v="6"/>
    <s v="N/A"/>
    <m/>
    <d v="2023-03-05T00:00:00"/>
    <n v="71"/>
    <s v="YES"/>
    <s v="Yes"/>
    <n v="2"/>
    <s v="No"/>
  </r>
  <r>
    <s v="EMP-2020-0017"/>
    <s v="Bob"/>
    <s v="Garcia"/>
    <n v="40"/>
    <n v="40"/>
    <n v="1984"/>
    <n v="55000"/>
    <n v="55000"/>
    <x v="1"/>
    <s v="sales"/>
    <x v="2"/>
    <s v="Assistant"/>
    <d v="2020-01-15T00:00:00"/>
    <d v="2020-01-15T00:00:00"/>
    <s v="B"/>
    <n v="88"/>
    <s v="bob.garcia@saltcorp.com"/>
    <s v="098-765-4321"/>
    <s v="Full-Time"/>
    <s v="Full-Time"/>
    <m/>
    <n v="4"/>
    <n v="9"/>
    <m/>
    <d v="2022-06-20T00:00:00"/>
    <m/>
    <m/>
    <s v=""/>
    <n v="2"/>
    <s v="No"/>
  </r>
  <r>
    <s v="EMP-2018-0018"/>
    <s v="Hannah"/>
    <s v="Weber"/>
    <n v="50"/>
    <n v="50"/>
    <n v="1974"/>
    <n v="55000"/>
    <n v="55000"/>
    <x v="0"/>
    <s v="HR"/>
    <x v="0"/>
    <s v="Director"/>
    <d v="2018-04-05T00:00:00"/>
    <d v="2018-04-05T00:00:00"/>
    <s v="D"/>
    <n v="63"/>
    <s v="hannah.weber@saltcorp.com"/>
    <s v=" "/>
    <s v="Full-Time"/>
    <s v="Full-Time"/>
    <s v="EMP-2019-0030"/>
    <n v="5"/>
    <m/>
    <m/>
    <d v="2023-01-15T00:00:00"/>
    <m/>
    <m/>
    <s v=""/>
    <n v="1"/>
    <s v="Yes"/>
  </r>
  <r>
    <s v="EMP-2019-0019"/>
    <s v="Frank"/>
    <s v="Flores"/>
    <n v="25"/>
    <n v="25"/>
    <n v="1999"/>
    <n v="58600"/>
    <n v="58600"/>
    <x v="1"/>
    <s v="it"/>
    <x v="3"/>
    <s v="Clerk"/>
    <d v="2019-03-25T00:00:00"/>
    <d v="2019-03-25T00:00:00"/>
    <s v="B"/>
    <n v="80"/>
    <s v="frank.flores@saltcorp.com"/>
    <s v="555-555-5555"/>
    <s v="Full-Time"/>
    <s v="Full-Time"/>
    <m/>
    <n v="7"/>
    <s v="N/A"/>
    <n v="15"/>
    <m/>
    <n v="26"/>
    <s v="N"/>
    <s v="No"/>
    <n v="4"/>
    <s v="No"/>
  </r>
  <r>
    <s v="EMP-2019-0020"/>
    <s v="Bob"/>
    <s v="Miller"/>
    <n v="50"/>
    <n v="50"/>
    <n v="1974"/>
    <n v="50000"/>
    <n v="50000"/>
    <x v="1"/>
    <s v="finance"/>
    <x v="1"/>
    <s v="Assistant"/>
    <d v="2019-03-25T00:00:00"/>
    <d v="2019-03-25T00:00:00"/>
    <s v="D"/>
    <n v="61"/>
    <s v="bob.miller@saltcorp.com"/>
    <m/>
    <s v="Part-Time"/>
    <s v="Part-Time"/>
    <s v="EMP-2020-0024"/>
    <n v="6"/>
    <m/>
    <n v="1"/>
    <m/>
    <n v="53"/>
    <s v="YES"/>
    <s v="Yes"/>
    <n v="3"/>
    <s v="No"/>
  </r>
  <r>
    <s v="EMP-2020-0021"/>
    <s v="Eve"/>
    <s v="Stevens"/>
    <n v="35"/>
    <n v="35"/>
    <n v="1989"/>
    <n v="50000"/>
    <n v="50000"/>
    <x v="1"/>
    <s v="it"/>
    <x v="3"/>
    <s v="Clerk"/>
    <d v="2020-01-15T00:00:00"/>
    <d v="2020-01-15T00:00:00"/>
    <s v="D"/>
    <n v="67"/>
    <s v="eve.stevens@saltcorp.com"/>
    <s v="098-765-4321"/>
    <s v="Part-Time"/>
    <s v="Part-Time"/>
    <m/>
    <n v="6"/>
    <s v="N/A"/>
    <n v="10"/>
    <d v="2022-06-20T00:00:00"/>
    <m/>
    <m/>
    <s v=""/>
    <n v="1"/>
    <s v="Yes"/>
  </r>
  <r>
    <s v="EMP-2018-0022"/>
    <s v="Alice"/>
    <s v="Dixon"/>
    <n v="25"/>
    <n v="25"/>
    <n v="1999"/>
    <n v="50000"/>
    <n v="50000"/>
    <x v="1"/>
    <s v="it"/>
    <x v="3"/>
    <s v="Director"/>
    <d v="2018-04-05T00:00:00"/>
    <d v="2018-04-05T00:00:00"/>
    <s v="F"/>
    <n v="8"/>
    <s v="alice.dixon@saltcorp.com"/>
    <s v="555-555-5555"/>
    <s v="Part-Time"/>
    <s v="Part-Time"/>
    <m/>
    <n v="5"/>
    <n v="1"/>
    <n v="13"/>
    <m/>
    <m/>
    <s v="YES"/>
    <s v="Yes"/>
    <n v="3"/>
    <s v="No"/>
  </r>
  <r>
    <s v="EMP-2018-0023"/>
    <s v="Jack"/>
    <s v="Barnett"/>
    <n v="50"/>
    <n v="50"/>
    <n v="1974"/>
    <n v="50000"/>
    <n v="50000"/>
    <x v="0"/>
    <s v="Marketing"/>
    <x v="4"/>
    <s v="Analyst"/>
    <d v="2018-04-05T00:00:00"/>
    <d v="2018-04-05T00:00:00"/>
    <s v="B"/>
    <n v="88"/>
    <s v="jack.barnett@saltcorp.com"/>
    <s v=" "/>
    <s v="Part-Time"/>
    <s v="Part-Time"/>
    <m/>
    <n v="5"/>
    <m/>
    <m/>
    <m/>
    <m/>
    <s v="YES"/>
    <s v="Yes"/>
    <n v="2"/>
    <s v="Yes"/>
  </r>
  <r>
    <s v="EMP-2020-0024"/>
    <s v="Frank"/>
    <s v="Oliver"/>
    <n v="40"/>
    <n v="40"/>
    <n v="1984"/>
    <n v="70000"/>
    <n v="70000"/>
    <x v="0"/>
    <s v="Marketing"/>
    <x v="4"/>
    <s v="Director"/>
    <d v="2020-01-15T00:00:00"/>
    <d v="2020-01-15T00:00:00"/>
    <s v="B"/>
    <n v="86"/>
    <s v="frank.oliver@saltcorp.com"/>
    <s v="555-555-5555"/>
    <s v="Full-Time"/>
    <s v="Full-Time"/>
    <m/>
    <n v="8"/>
    <s v="N/A"/>
    <m/>
    <d v="2021-10-01T00:00:00"/>
    <m/>
    <m/>
    <s v=""/>
    <n v="2"/>
    <s v="No"/>
  </r>
  <r>
    <s v="EMP-2018-0025"/>
    <s v="Ivy"/>
    <s v="Olson"/>
    <n v="40"/>
    <n v="40"/>
    <n v="1984"/>
    <n v="50000"/>
    <n v="50000"/>
    <x v="1"/>
    <s v="finance"/>
    <x v="1"/>
    <s v="Manager"/>
    <d v="2018-04-05T00:00:00"/>
    <d v="2018-04-05T00:00:00"/>
    <s v="A"/>
    <n v="93"/>
    <s v="ivy.olson@saltcorp.com"/>
    <s v="123-456-7890"/>
    <s v="Part-Time"/>
    <s v="Part-Time"/>
    <m/>
    <n v="2"/>
    <n v="3"/>
    <m/>
    <m/>
    <n v="9"/>
    <s v="no"/>
    <s v="No"/>
    <n v="1"/>
    <s v="No"/>
  </r>
  <r>
    <s v="EMP-2020-0026"/>
    <s v="Alice"/>
    <s v="Martinez"/>
    <s v="thirty"/>
    <n v="30"/>
    <n v="1994"/>
    <n v="70000"/>
    <n v="70000"/>
    <x v="0"/>
    <s v="sales"/>
    <x v="2"/>
    <s v="Clerk"/>
    <d v="2020-01-15T00:00:00"/>
    <d v="2020-01-15T00:00:00"/>
    <s v="B"/>
    <n v="81"/>
    <s v="alice.martinez@saltcorp.com"/>
    <s v="123-456-7890"/>
    <s v="Part-Time"/>
    <s v="Part-Time"/>
    <m/>
    <n v="8"/>
    <s v="N/A"/>
    <m/>
    <m/>
    <m/>
    <m/>
    <s v=""/>
    <n v="5"/>
    <s v="No"/>
  </r>
  <r>
    <s v="EMP-2020-0027"/>
    <s v="Jack"/>
    <s v="Sims"/>
    <n v="50"/>
    <n v="50"/>
    <n v="1974"/>
    <n v="70000"/>
    <n v="70000"/>
    <x v="0"/>
    <s v="finance"/>
    <x v="1"/>
    <s v="Analyst"/>
    <d v="2020-02-20T00:00:00"/>
    <d v="2020-02-20T00:00:00"/>
    <s v="A"/>
    <n v="100"/>
    <s v="jack.sims@saltcorp.com"/>
    <s v="098-765-4321"/>
    <s v="contract"/>
    <s v="Contract"/>
    <m/>
    <n v="1"/>
    <m/>
    <m/>
    <d v="2023-03-05T00:00:00"/>
    <n v="39"/>
    <m/>
    <s v=""/>
    <n v="2"/>
    <s v="Yes"/>
  </r>
  <r>
    <s v="EMP-2019-0028"/>
    <s v="Charlie"/>
    <s v="Harris"/>
    <m/>
    <n v="25"/>
    <n v="1999"/>
    <n v="50000"/>
    <n v="50000"/>
    <x v="0"/>
    <s v="sales"/>
    <x v="2"/>
    <s v="Clerk"/>
    <d v="2019-03-25T00:00:00"/>
    <d v="2019-03-25T00:00:00"/>
    <s v="C"/>
    <n v="77"/>
    <s v="charlie.harris@saltcorp.com"/>
    <s v=" "/>
    <s v="contract"/>
    <s v="Contract"/>
    <m/>
    <n v="2"/>
    <n v="2"/>
    <m/>
    <m/>
    <m/>
    <s v="YES"/>
    <s v="Yes"/>
    <n v="2"/>
    <s v="No"/>
  </r>
  <r>
    <s v="EMP-2020-0029"/>
    <s v="Grace"/>
    <s v="Hudson"/>
    <n v="50"/>
    <n v="50"/>
    <n v="1974"/>
    <s v="SIXTY THOUSAND"/>
    <n v="60000"/>
    <x v="0"/>
    <s v="it"/>
    <x v="3"/>
    <s v="Clerk"/>
    <d v="2020-02-20T00:00:00"/>
    <d v="2020-02-20T00:00:00"/>
    <s v="C"/>
    <n v="71"/>
    <s v="grace.hudson@saltcorp.com"/>
    <s v=" "/>
    <s v="contract"/>
    <s v="Contract"/>
    <s v="EMP-2019-0044"/>
    <n v="8"/>
    <m/>
    <m/>
    <d v="2024-08-12T00:00:00"/>
    <m/>
    <s v="no"/>
    <s v="No"/>
    <n v="1"/>
    <s v="Yes"/>
  </r>
  <r>
    <s v="EMP-2019-0030"/>
    <s v="David"/>
    <s v="Kim"/>
    <n v="25"/>
    <n v="25"/>
    <n v="1999"/>
    <n v="65000"/>
    <n v="65000"/>
    <x v="0"/>
    <s v="HR"/>
    <x v="0"/>
    <s v="Assistant"/>
    <d v="2019-12-01T00:00:00"/>
    <d v="2019-12-01T00:00:00"/>
    <s v="C"/>
    <n v="71"/>
    <s v="david.kim@saltcorp.com"/>
    <s v="555-555-5555"/>
    <s v="Part-Time"/>
    <s v="Part-Time"/>
    <m/>
    <n v="4"/>
    <s v="N/A"/>
    <m/>
    <d v="2024-08-12T00:00:00"/>
    <m/>
    <s v="no"/>
    <s v="No"/>
    <n v="3"/>
    <s v="No"/>
  </r>
  <r>
    <s v="EMP-2019-0031"/>
    <s v="Ivy"/>
    <s v="Williamson"/>
    <n v="25"/>
    <n v="25"/>
    <n v="1999"/>
    <n v="55000"/>
    <n v="55000"/>
    <x v="1"/>
    <s v="finance"/>
    <x v="1"/>
    <s v="Manager"/>
    <d v="2019-12-01T00:00:00"/>
    <d v="2019-12-01T00:00:00"/>
    <s v="B"/>
    <n v="87"/>
    <s v="ivy.williamson@saltcorp.com"/>
    <s v="098-765-4321"/>
    <s v="Full-Time"/>
    <s v="Full-Time"/>
    <s v="EMP-2019-0015"/>
    <n v="2"/>
    <n v="5"/>
    <m/>
    <s v="N/A"/>
    <m/>
    <s v="N"/>
    <s v="No"/>
    <n v="2"/>
    <s v="Yes"/>
  </r>
  <r>
    <s v="EMP-2019-0032"/>
    <s v="Charlie"/>
    <s v="Medina"/>
    <n v="50"/>
    <n v="50"/>
    <n v="1974"/>
    <n v="70000"/>
    <n v="70000"/>
    <x v="1"/>
    <s v="finance"/>
    <x v="1"/>
    <s v="Clerk"/>
    <d v="2019-12-01T00:00:00"/>
    <d v="2019-12-01T00:00:00"/>
    <s v="B"/>
    <n v="88"/>
    <s v="charlie.medina@saltcorp.com"/>
    <s v=" "/>
    <s v="Part-Time"/>
    <s v="Part-Time"/>
    <m/>
    <n v="7"/>
    <m/>
    <m/>
    <m/>
    <m/>
    <m/>
    <s v=""/>
    <n v="1"/>
    <s v="No"/>
  </r>
  <r>
    <s v="EMP-2020-0033"/>
    <s v="Eve"/>
    <s v="Cooper"/>
    <n v="35"/>
    <n v="35"/>
    <n v="1989"/>
    <n v="63000"/>
    <n v="63000"/>
    <x v="1"/>
    <s v="sales"/>
    <x v="2"/>
    <s v="Director"/>
    <d v="2020-01-15T00:00:00"/>
    <d v="2020-01-15T00:00:00"/>
    <s v="A"/>
    <n v="100"/>
    <s v="eve.cooper@saltcorp.com"/>
    <s v="123-456-7890"/>
    <s v="Full-Time"/>
    <s v="Full-Time"/>
    <m/>
    <n v="5"/>
    <m/>
    <m/>
    <m/>
    <m/>
    <s v="YES"/>
    <s v="Yes"/>
    <n v="5"/>
    <s v="No"/>
  </r>
  <r>
    <s v="EMP-2018-0034"/>
    <s v="Charlie"/>
    <s v="Hanson"/>
    <n v="40"/>
    <n v="40"/>
    <n v="1984"/>
    <n v="60100"/>
    <n v="60100"/>
    <x v="1"/>
    <s v="it"/>
    <x v="3"/>
    <s v="Director"/>
    <d v="2018-04-05T00:00:00"/>
    <d v="2018-04-05T00:00:00"/>
    <s v="D"/>
    <n v="68"/>
    <s v="charlie.hanson@saltcorp.com"/>
    <s v="555-555-5555"/>
    <s v="Part-Time"/>
    <s v="Part-Time"/>
    <m/>
    <n v="7"/>
    <m/>
    <n v="2"/>
    <m/>
    <m/>
    <s v="YES"/>
    <s v="Yes"/>
    <n v="1"/>
    <s v="Yes"/>
  </r>
  <r>
    <s v="EMP-2020-0035"/>
    <s v="Grace"/>
    <s v="Yang"/>
    <n v="25"/>
    <n v="25"/>
    <n v="1999"/>
    <n v="65000"/>
    <n v="65000"/>
    <x v="0"/>
    <s v="it"/>
    <x v="3"/>
    <s v="Assistant"/>
    <d v="2020-02-20T00:00:00"/>
    <d v="2020-02-20T00:00:00"/>
    <s v="A"/>
    <n v="90"/>
    <s v="grace.yang@saltcorp.com"/>
    <m/>
    <s v="contract"/>
    <s v="Contract"/>
    <m/>
    <n v="1"/>
    <s v="N/A"/>
    <n v="5"/>
    <s v="N/A"/>
    <n v="66"/>
    <m/>
    <s v=""/>
    <n v="2"/>
    <s v="Yes"/>
  </r>
  <r>
    <s v="EMP-2020-0036"/>
    <s v="Eve"/>
    <s v="Stevens"/>
    <n v="40"/>
    <n v="40"/>
    <n v="1984"/>
    <n v="61500"/>
    <n v="61500"/>
    <x v="1"/>
    <s v="sales"/>
    <x v="2"/>
    <s v="Manager"/>
    <d v="2020-02-20T00:00:00"/>
    <d v="2020-02-20T00:00:00"/>
    <s v="C"/>
    <n v="74"/>
    <s v="eve.stevens@saltcorp.com"/>
    <s v="123-456-7890"/>
    <s v="Full-Time"/>
    <s v="Full-Time"/>
    <m/>
    <n v="3"/>
    <m/>
    <m/>
    <m/>
    <n v="11"/>
    <s v="no"/>
    <s v="No"/>
    <n v="3"/>
    <s v="No"/>
  </r>
  <r>
    <s v="EMP-2020-0037"/>
    <s v="Ivy"/>
    <s v="Lucas"/>
    <n v="25"/>
    <n v="25"/>
    <n v="1999"/>
    <s v="SIXTY THOUSAND"/>
    <n v="60000"/>
    <x v="0"/>
    <s v="it"/>
    <x v="3"/>
    <s v="Manager"/>
    <d v="2020-02-20T00:00:00"/>
    <d v="2020-02-20T00:00:00"/>
    <s v="A"/>
    <n v="93"/>
    <s v="ivy.lucas@saltcorp.com"/>
    <s v="098-765-4321"/>
    <s v="Full-Time"/>
    <s v="Full-Time"/>
    <m/>
    <n v="3"/>
    <n v="4"/>
    <n v="17"/>
    <m/>
    <n v="19"/>
    <s v="YES"/>
    <s v="Yes"/>
    <n v="5"/>
    <s v="No"/>
  </r>
  <r>
    <s v="EMP-2020-0038"/>
    <s v="Grace"/>
    <s v="Schmidt"/>
    <s v="thirty"/>
    <n v="30"/>
    <n v="1994"/>
    <n v="60500"/>
    <n v="60500"/>
    <x v="0"/>
    <s v="Marketing"/>
    <x v="4"/>
    <s v="Director"/>
    <d v="2020-02-20T00:00:00"/>
    <d v="2020-02-20T00:00:00"/>
    <s v="D"/>
    <n v="62"/>
    <s v="grace.schmidt@saltcorp.com"/>
    <s v=" "/>
    <s v="Full-Time"/>
    <s v="Full-Time"/>
    <m/>
    <n v="4"/>
    <s v="N/A"/>
    <m/>
    <m/>
    <m/>
    <s v="no"/>
    <s v="No"/>
    <n v="4"/>
    <s v="No"/>
  </r>
  <r>
    <s v="EMP-2019-0039"/>
    <s v="Bob"/>
    <s v="Garcia"/>
    <m/>
    <n v="39"/>
    <n v="1985"/>
    <n v="55000"/>
    <n v="55000"/>
    <x v="0"/>
    <s v="HR"/>
    <x v="0"/>
    <s v="Analyst"/>
    <d v="2019-12-01T00:00:00"/>
    <d v="2019-12-01T00:00:00"/>
    <s v="B"/>
    <n v="87"/>
    <s v="bob.garcia@saltcorp.com"/>
    <s v="123-456-7890"/>
    <s v="Full-Time"/>
    <s v="Full-Time"/>
    <m/>
    <n v="6"/>
    <n v="6"/>
    <n v="16"/>
    <m/>
    <n v="43"/>
    <s v="no"/>
    <s v="No"/>
    <n v="1"/>
    <s v="Yes"/>
  </r>
  <r>
    <s v="EMP-2020-0040"/>
    <s v="David"/>
    <s v="Kim"/>
    <n v="25"/>
    <n v="25"/>
    <n v="1999"/>
    <n v="55000"/>
    <n v="55000"/>
    <x v="1"/>
    <s v="finance"/>
    <x v="1"/>
    <s v="Assistant"/>
    <d v="2020-02-20T00:00:00"/>
    <d v="2020-02-20T00:00:00"/>
    <s v="A"/>
    <n v="98"/>
    <s v="david.kim@saltcorp.com"/>
    <m/>
    <s v="Full-Time"/>
    <s v="Full-Time"/>
    <m/>
    <n v="7"/>
    <m/>
    <m/>
    <d v="2023-01-15T00:00:00"/>
    <m/>
    <s v="YES"/>
    <s v="Yes"/>
    <n v="1"/>
    <s v="No"/>
  </r>
  <r>
    <s v="EMP-2018-0041"/>
    <s v="Ivy"/>
    <s v="Dixon"/>
    <n v="40"/>
    <n v="40"/>
    <n v="1984"/>
    <n v="70000"/>
    <n v="70000"/>
    <x v="1"/>
    <s v="HR"/>
    <x v="0"/>
    <s v="Assistant"/>
    <d v="2018-04-05T00:00:00"/>
    <d v="2018-04-05T00:00:00"/>
    <s v="C"/>
    <n v="74"/>
    <s v="ivy.dixon@saltcorp.com"/>
    <m/>
    <s v="Part-Time"/>
    <s v="Part-Time"/>
    <s v="EMP-2018-0081"/>
    <n v="8"/>
    <n v="4"/>
    <m/>
    <m/>
    <m/>
    <s v="no"/>
    <s v="No"/>
    <n v="5"/>
    <s v="No"/>
  </r>
  <r>
    <s v="EMP-2019-0042"/>
    <s v="Bob"/>
    <s v="Dominguez"/>
    <s v="thirty"/>
    <n v="30"/>
    <n v="1994"/>
    <n v="50000"/>
    <n v="50000"/>
    <x v="1"/>
    <s v="finance"/>
    <x v="1"/>
    <s v="Director"/>
    <d v="2019-12-01T00:00:00"/>
    <d v="2019-12-01T00:00:00"/>
    <s v="C"/>
    <n v="77"/>
    <s v="bob.dominguez@saltcorp.com"/>
    <s v="098-765-4321"/>
    <s v="contract"/>
    <s v="Contract"/>
    <s v="EMP-2018-0021"/>
    <n v="3"/>
    <n v="12"/>
    <m/>
    <d v="2021-10-01T00:00:00"/>
    <m/>
    <m/>
    <s v=""/>
    <n v="4"/>
    <s v="Yes"/>
  </r>
  <r>
    <s v="EMP-2020-0043"/>
    <s v="Jack"/>
    <s v="O'Connor"/>
    <n v="25"/>
    <n v="25"/>
    <n v="1999"/>
    <s v="SIXTY THOUSAND"/>
    <n v="60000"/>
    <x v="0"/>
    <s v="Marketing"/>
    <x v="4"/>
    <s v="Director"/>
    <d v="2020-02-20T00:00:00"/>
    <d v="2020-02-20T00:00:00"/>
    <s v="B"/>
    <n v="83"/>
    <s v="jack.o'connor@saltcorp.com"/>
    <s v="123-456-7890"/>
    <s v="Full-Time"/>
    <s v="Full-Time"/>
    <s v="EMP-2018-0021"/>
    <n v="6"/>
    <m/>
    <m/>
    <m/>
    <m/>
    <s v="YES"/>
    <s v="Yes"/>
    <n v="1"/>
    <s v="Yes"/>
  </r>
  <r>
    <s v="EMP-2020-0044"/>
    <s v="Ivy"/>
    <s v="Shah"/>
    <n v="35"/>
    <n v="35"/>
    <n v="1989"/>
    <n v="70000"/>
    <n v="70000"/>
    <x v="0"/>
    <s v="it"/>
    <x v="3"/>
    <s v="Analyst"/>
    <d v="2020-01-15T00:00:00"/>
    <d v="2020-01-15T00:00:00"/>
    <s v="A"/>
    <n v="90"/>
    <s v="ivy.shah@saltcorp.com"/>
    <s v="555-555-5555"/>
    <s v="contract"/>
    <s v="Contract"/>
    <m/>
    <n v="3"/>
    <m/>
    <m/>
    <d v="2023-03-05T00:00:00"/>
    <m/>
    <s v="no"/>
    <s v="No"/>
    <n v="2"/>
    <s v="No"/>
  </r>
  <r>
    <s v="EMP-2019-0045"/>
    <s v="Jack"/>
    <s v="Byrd"/>
    <m/>
    <n v="28"/>
    <n v="1996"/>
    <s v="SIXTY THOUSAND"/>
    <n v="60000"/>
    <x v="0"/>
    <s v="sales"/>
    <x v="2"/>
    <s v="Analyst"/>
    <d v="2019-03-25T00:00:00"/>
    <d v="2019-03-25T00:00:00"/>
    <s v="D"/>
    <n v="60"/>
    <s v="jack.byrd@saltcorp.com"/>
    <s v="123-456-7890"/>
    <s v="contract"/>
    <s v="Contract"/>
    <m/>
    <n v="2"/>
    <n v="12"/>
    <m/>
    <m/>
    <m/>
    <s v="YES"/>
    <s v="Yes"/>
    <n v="2"/>
    <s v="No"/>
  </r>
  <r>
    <s v="EMP-2019-0046"/>
    <s v="Eve"/>
    <s v="Parker"/>
    <n v="25"/>
    <n v="25"/>
    <n v="1999"/>
    <n v="50000"/>
    <n v="50000"/>
    <x v="1"/>
    <s v="Marketing"/>
    <x v="4"/>
    <s v="Manager"/>
    <d v="2019-03-25T00:00:00"/>
    <d v="2019-03-25T00:00:00"/>
    <s v="B"/>
    <n v="80"/>
    <s v="eve.parker@saltcorp.com"/>
    <m/>
    <s v="Part-Time"/>
    <s v="Part-Time"/>
    <m/>
    <n v="8"/>
    <s v="N/A"/>
    <n v="4"/>
    <d v="2024-08-12T00:00:00"/>
    <m/>
    <s v="YES"/>
    <s v="Yes"/>
    <n v="1"/>
    <s v="No"/>
  </r>
  <r>
    <s v="EMP-2019-0047"/>
    <s v="Bob"/>
    <s v="Le"/>
    <s v="thirty"/>
    <n v="30"/>
    <n v="1994"/>
    <n v="61500"/>
    <n v="61500"/>
    <x v="0"/>
    <s v="HR"/>
    <x v="0"/>
    <s v="Assistant"/>
    <d v="2019-03-25T00:00:00"/>
    <d v="2019-03-25T00:00:00"/>
    <s v="A"/>
    <n v="93"/>
    <s v="bob.le@saltcorp.com"/>
    <s v="098-765-4321"/>
    <s v="Part-Time"/>
    <s v="Part-Time"/>
    <m/>
    <n v="6"/>
    <m/>
    <n v="14"/>
    <m/>
    <n v="28"/>
    <s v="YES"/>
    <s v="Yes"/>
    <n v="3"/>
    <s v="No"/>
  </r>
  <r>
    <s v="EMP-2019-0048"/>
    <s v="David"/>
    <s v="Kim"/>
    <n v="35"/>
    <n v="35"/>
    <n v="1989"/>
    <n v="58300"/>
    <n v="58300"/>
    <x v="0"/>
    <s v="sales"/>
    <x v="2"/>
    <s v="Assistant"/>
    <d v="2019-12-01T00:00:00"/>
    <d v="2019-12-01T00:00:00"/>
    <s v="F"/>
    <n v="15"/>
    <s v="david.kim@saltcorp.com"/>
    <s v="098-765-4321"/>
    <s v="Full-Time"/>
    <s v="Full-Time"/>
    <s v="EMP-2018-0055"/>
    <n v="3"/>
    <m/>
    <m/>
    <d v="2023-01-15T00:00:00"/>
    <n v="65"/>
    <s v="YES"/>
    <s v="Yes"/>
    <n v="3"/>
    <s v="Yes"/>
  </r>
  <r>
    <s v="EMP-2020-0049"/>
    <s v="Grace"/>
    <s v="Liu"/>
    <n v="50"/>
    <n v="50"/>
    <n v="1974"/>
    <n v="50000"/>
    <n v="50000"/>
    <x v="0"/>
    <s v="it"/>
    <x v="3"/>
    <s v="Director"/>
    <d v="2020-02-20T00:00:00"/>
    <d v="2020-02-20T00:00:00"/>
    <s v="C"/>
    <n v="73"/>
    <s v="grace.liu@saltcorp.com"/>
    <s v="555-555-5555"/>
    <s v="contract"/>
    <s v="Contract"/>
    <m/>
    <n v="6"/>
    <m/>
    <m/>
    <s v="N/A"/>
    <m/>
    <s v="YES"/>
    <s v="Yes"/>
    <n v="2"/>
    <s v="Yes"/>
  </r>
  <r>
    <s v="EMP-2019-0050"/>
    <s v="Hannah"/>
    <s v="Armstrong"/>
    <s v="thirty"/>
    <n v="30"/>
    <n v="1994"/>
    <n v="70000"/>
    <n v="70000"/>
    <x v="1"/>
    <s v="Marketing"/>
    <x v="4"/>
    <s v="Manager"/>
    <d v="2019-12-01T00:00:00"/>
    <d v="2019-12-01T00:00:00"/>
    <s v="D"/>
    <n v="66"/>
    <s v="hannah.armstrong@saltcorp.com"/>
    <s v="098-765-4321"/>
    <s v="Full-Time"/>
    <s v="Full-Time"/>
    <s v="EMP-2018-0008"/>
    <n v="1"/>
    <m/>
    <n v="3"/>
    <m/>
    <m/>
    <s v="no"/>
    <s v="No"/>
    <n v="1"/>
    <s v="No"/>
  </r>
  <r>
    <s v="EMP-2018-0051"/>
    <s v="Charlie"/>
    <s v="Clark"/>
    <s v="thirty"/>
    <n v="30"/>
    <n v="1994"/>
    <n v="50000"/>
    <n v="50000"/>
    <x v="1"/>
    <s v="sales"/>
    <x v="2"/>
    <s v="Assistant"/>
    <d v="2018-04-05T00:00:00"/>
    <d v="2018-04-05T00:00:00"/>
    <s v="D"/>
    <n v="60"/>
    <s v="charlie.clark@saltcorp.com"/>
    <s v="098-765-4321"/>
    <s v="Full-Time"/>
    <s v="Full-Time"/>
    <m/>
    <n v="1"/>
    <n v="1"/>
    <n v="5"/>
    <d v="2024-08-12T00:00:00"/>
    <m/>
    <s v="YES"/>
    <s v="Yes"/>
    <n v="1"/>
    <s v="No"/>
  </r>
  <r>
    <s v="EMP-2020-0052"/>
    <s v="Alice"/>
    <s v="Chen"/>
    <n v="35"/>
    <n v="35"/>
    <n v="1989"/>
    <n v="65000"/>
    <n v="65000"/>
    <x v="1"/>
    <s v="Marketing"/>
    <x v="4"/>
    <s v="Manager"/>
    <d v="2020-01-15T00:00:00"/>
    <d v="2020-01-15T00:00:00"/>
    <s v="D"/>
    <n v="63"/>
    <s v="alice.chen@saltcorp.com"/>
    <s v="098-765-4321"/>
    <s v="Full-Time"/>
    <s v="Full-Time"/>
    <m/>
    <n v="8"/>
    <m/>
    <m/>
    <m/>
    <n v="45"/>
    <s v="no"/>
    <s v="No"/>
    <n v="3"/>
    <s v="No"/>
  </r>
  <r>
    <s v="EMP-2020-0053"/>
    <s v="David"/>
    <s v="Ross"/>
    <s v="thirty"/>
    <n v="30"/>
    <n v="1994"/>
    <n v="55000"/>
    <n v="55000"/>
    <x v="1"/>
    <s v="Marketing"/>
    <x v="4"/>
    <s v="Manager"/>
    <d v="2020-01-15T00:00:00"/>
    <d v="2020-01-15T00:00:00"/>
    <s v="C"/>
    <n v="72"/>
    <s v="david.ross@saltcorp.com"/>
    <s v="098-765-4321"/>
    <s v="Full-Time"/>
    <s v="Full-Time"/>
    <m/>
    <n v="5"/>
    <m/>
    <m/>
    <m/>
    <m/>
    <s v="no"/>
    <s v="No"/>
    <n v="1"/>
    <s v="No"/>
  </r>
  <r>
    <s v="EMP-2019-0054"/>
    <s v="Bob"/>
    <s v="Wilson"/>
    <n v="35"/>
    <n v="35"/>
    <n v="1989"/>
    <n v="70000"/>
    <n v="70000"/>
    <x v="1"/>
    <s v="it"/>
    <x v="3"/>
    <s v="Director"/>
    <d v="2019-03-25T00:00:00"/>
    <d v="2019-03-25T00:00:00"/>
    <s v="A"/>
    <n v="94"/>
    <s v="bob.wilson@saltcorp.com"/>
    <s v="098-765-4321"/>
    <s v="contract"/>
    <s v="Contract"/>
    <m/>
    <n v="4"/>
    <m/>
    <n v="14"/>
    <d v="2022-06-20T00:00:00"/>
    <m/>
    <s v="YES"/>
    <s v="Yes"/>
    <n v="2"/>
    <s v="Yes"/>
  </r>
  <r>
    <s v="EMP-2019-0055"/>
    <s v="Hannah"/>
    <s v="Gray"/>
    <n v="25"/>
    <n v="25"/>
    <n v="1999"/>
    <s v="SIXTY THOUSAND"/>
    <n v="60000"/>
    <x v="0"/>
    <s v="finance"/>
    <x v="1"/>
    <s v="Manager"/>
    <d v="2019-03-25T00:00:00"/>
    <d v="2019-03-25T00:00:00"/>
    <s v="B"/>
    <n v="81"/>
    <s v="hannah.gray@saltcorp.com"/>
    <m/>
    <s v="Full-Time"/>
    <s v="Full-Time"/>
    <s v="EMP-2018-0077"/>
    <n v="3"/>
    <m/>
    <m/>
    <m/>
    <m/>
    <s v="YES"/>
    <s v="Yes"/>
    <n v="1"/>
    <s v="Yes"/>
  </r>
  <r>
    <s v="EMP-2019-0056"/>
    <s v="David"/>
    <s v="Gibson"/>
    <n v="35"/>
    <n v="35"/>
    <n v="1989"/>
    <n v="65000"/>
    <n v="65000"/>
    <x v="1"/>
    <s v="sales"/>
    <x v="2"/>
    <s v="Analyst"/>
    <d v="2019-03-25T00:00:00"/>
    <d v="2019-03-25T00:00:00"/>
    <s v="A"/>
    <n v="90"/>
    <s v="david.gibson@saltcorp.com"/>
    <s v="123-456-7890"/>
    <s v="contract"/>
    <s v="Contract"/>
    <m/>
    <n v="3"/>
    <n v="8"/>
    <m/>
    <m/>
    <n v="46"/>
    <s v="no"/>
    <s v="No"/>
    <n v="1"/>
    <s v="Yes"/>
  </r>
  <r>
    <s v="EMP-2020-0057"/>
    <s v="Bob"/>
    <s v="Wilson"/>
    <n v="35"/>
    <n v="35"/>
    <n v="1989"/>
    <n v="70000"/>
    <n v="70000"/>
    <x v="1"/>
    <s v="it"/>
    <x v="3"/>
    <s v="Analyst"/>
    <d v="2020-02-20T00:00:00"/>
    <d v="2020-02-20T00:00:00"/>
    <s v="B"/>
    <n v="87"/>
    <s v="bob.wilson@saltcorp.com"/>
    <s v=" "/>
    <s v="Part-Time"/>
    <s v="Part-Time"/>
    <s v="EMP-2020-0033"/>
    <n v="8"/>
    <n v="7"/>
    <m/>
    <m/>
    <m/>
    <s v="YES"/>
    <s v="Yes"/>
    <n v="2"/>
    <s v="No"/>
  </r>
  <r>
    <s v="EMP-2018-0058"/>
    <s v="Frank"/>
    <s v="Hansen"/>
    <m/>
    <n v="33"/>
    <n v="1991"/>
    <n v="50000"/>
    <n v="50000"/>
    <x v="0"/>
    <s v="Marketing"/>
    <x v="4"/>
    <s v="Clerk"/>
    <d v="2018-04-05T00:00:00"/>
    <d v="2018-04-05T00:00:00"/>
    <s v="D"/>
    <n v="60"/>
    <s v="frank.hansen@saltcorp.com"/>
    <s v="098-765-4321"/>
    <s v="contract"/>
    <s v="Contract"/>
    <m/>
    <n v="2"/>
    <m/>
    <m/>
    <d v="2023-01-15T00:00:00"/>
    <m/>
    <s v="YES"/>
    <s v="Yes"/>
    <n v="2"/>
    <s v="Yes"/>
  </r>
  <r>
    <s v="EMP-2018-0059"/>
    <s v="Frank"/>
    <s v="Dominguez"/>
    <n v="35"/>
    <n v="35"/>
    <n v="1989"/>
    <n v="50000"/>
    <n v="50000"/>
    <x v="0"/>
    <s v="it"/>
    <x v="3"/>
    <s v="Director"/>
    <d v="2018-04-05T00:00:00"/>
    <d v="2018-04-05T00:00:00"/>
    <s v="A"/>
    <n v="94"/>
    <s v="frank.dominguez@saltcorp.com"/>
    <s v=" "/>
    <s v="Full-Time"/>
    <s v="Full-Time"/>
    <m/>
    <n v="3"/>
    <m/>
    <m/>
    <m/>
    <m/>
    <m/>
    <s v=""/>
    <n v="4"/>
    <s v="No"/>
  </r>
  <r>
    <s v="EMP-2018-0060"/>
    <s v="Jack"/>
    <s v="Riley"/>
    <n v="35"/>
    <n v="35"/>
    <n v="1989"/>
    <n v="50000"/>
    <n v="50000"/>
    <x v="0"/>
    <s v="finance"/>
    <x v="1"/>
    <s v="Clerk"/>
    <d v="2018-04-05T00:00:00"/>
    <d v="2018-04-05T00:00:00"/>
    <s v="D"/>
    <n v="63"/>
    <s v="jack.riley@saltcorp.com"/>
    <s v=" "/>
    <s v="Full-Time"/>
    <s v="Full-Time"/>
    <m/>
    <n v="7"/>
    <m/>
    <m/>
    <s v="N/A"/>
    <m/>
    <m/>
    <s v=""/>
    <n v="2"/>
    <s v="Yes"/>
  </r>
  <r>
    <s v="EMP-2018-0061"/>
    <s v="David"/>
    <s v="Patel"/>
    <n v="50"/>
    <n v="50"/>
    <n v="1974"/>
    <n v="50000"/>
    <n v="50000"/>
    <x v="1"/>
    <s v="sales"/>
    <x v="2"/>
    <s v="Analyst"/>
    <d v="2018-04-05T00:00:00"/>
    <d v="2018-04-05T00:00:00"/>
    <s v="F"/>
    <n v="3"/>
    <s v="david.patel@saltcorp.com"/>
    <m/>
    <s v="contract"/>
    <s v="Contract"/>
    <s v="EMP-2019-0074"/>
    <n v="7"/>
    <m/>
    <n v="4"/>
    <d v="2021-10-01T00:00:00"/>
    <m/>
    <s v="no"/>
    <s v="No"/>
    <n v="2"/>
    <s v="Yes"/>
  </r>
  <r>
    <s v="EMP-2019-0062"/>
    <s v="Frank"/>
    <s v="Perez"/>
    <n v="25"/>
    <n v="25"/>
    <n v="1999"/>
    <s v="SIXTY THOUSAND"/>
    <n v="60000"/>
    <x v="0"/>
    <s v="finance"/>
    <x v="1"/>
    <s v="Clerk"/>
    <d v="2019-03-25T00:00:00"/>
    <d v="2019-03-25T00:00:00"/>
    <s v="D"/>
    <n v="69"/>
    <s v="frank.perez@saltcorp.com"/>
    <s v="098-765-4321"/>
    <s v="Full-Time"/>
    <s v="Full-Time"/>
    <m/>
    <n v="7"/>
    <m/>
    <m/>
    <d v="2024-08-12T00:00:00"/>
    <m/>
    <s v="no"/>
    <s v="No"/>
    <n v="1"/>
    <s v="Yes"/>
  </r>
  <r>
    <s v="EMP-2020-0063"/>
    <s v="Bob"/>
    <s v="Hoffman"/>
    <m/>
    <n v="45"/>
    <n v="1979"/>
    <n v="65000"/>
    <n v="65000"/>
    <x v="0"/>
    <s v="HR"/>
    <x v="0"/>
    <s v="Director"/>
    <d v="2020-01-15T00:00:00"/>
    <d v="2020-01-15T00:00:00"/>
    <s v="D"/>
    <n v="60"/>
    <s v="bob.hoffman@saltcorp.com"/>
    <s v=" "/>
    <s v="Part-Time"/>
    <s v="Part-Time"/>
    <m/>
    <n v="7"/>
    <m/>
    <n v="13"/>
    <m/>
    <n v="59"/>
    <s v="YES"/>
    <s v="Yes"/>
    <n v="1"/>
    <s v="Yes"/>
  </r>
  <r>
    <s v="EMP-2019-0064"/>
    <s v="Jack"/>
    <s v="O'Neill"/>
    <n v="50"/>
    <n v="50"/>
    <n v="1974"/>
    <n v="63000"/>
    <n v="63000"/>
    <x v="0"/>
    <s v="sales"/>
    <x v="2"/>
    <s v="Director"/>
    <d v="2019-03-25T00:00:00"/>
    <d v="2019-03-25T00:00:00"/>
    <s v="B"/>
    <n v="82"/>
    <s v="jack.o'neill@saltcorp.com"/>
    <s v="098-765-4321"/>
    <s v="Full-Time"/>
    <s v="Full-Time"/>
    <m/>
    <n v="8"/>
    <m/>
    <m/>
    <m/>
    <m/>
    <s v="no"/>
    <s v="No"/>
    <n v="2"/>
    <s v="Yes"/>
  </r>
  <r>
    <s v="EMP-2018-0065"/>
    <s v="Bob"/>
    <s v="Powers"/>
    <n v="40"/>
    <n v="40"/>
    <n v="1984"/>
    <n v="55000"/>
    <n v="55000"/>
    <x v="1"/>
    <s v="finance"/>
    <x v="1"/>
    <s v="Manager"/>
    <d v="2018-04-05T00:00:00"/>
    <d v="2018-04-05T00:00:00"/>
    <s v="F"/>
    <n v="56"/>
    <s v="bob.powers@saltcorp.com"/>
    <s v="555-555-5555"/>
    <s v="Full-Time"/>
    <s v="Full-Time"/>
    <m/>
    <n v="7"/>
    <m/>
    <m/>
    <m/>
    <n v="12"/>
    <s v="YES"/>
    <s v="Yes"/>
    <n v="2"/>
    <s v="Yes"/>
  </r>
  <r>
    <s v="EMP-2019-0066"/>
    <s v="Jack"/>
    <s v="Sullivan"/>
    <n v="25"/>
    <n v="25"/>
    <n v="1999"/>
    <s v="SIXTY THOUSAND"/>
    <n v="60000"/>
    <x v="1"/>
    <s v="Marketing"/>
    <x v="4"/>
    <s v="Assistant"/>
    <d v="2019-03-25T00:00:00"/>
    <d v="2019-03-25T00:00:00"/>
    <s v="D"/>
    <n v="69"/>
    <s v="jack.sullivan@saltcorp.com"/>
    <s v="555-555-5555"/>
    <s v="Full-Time"/>
    <s v="Full-Time"/>
    <m/>
    <n v="1"/>
    <m/>
    <n v="0"/>
    <m/>
    <m/>
    <s v="no"/>
    <s v="No"/>
    <n v="5"/>
    <s v="No"/>
  </r>
  <r>
    <s v="EMP-2018-0067"/>
    <s v="David"/>
    <s v="Garrett"/>
    <n v="25"/>
    <n v="25"/>
    <n v="1999"/>
    <s v="SIXTY THOUSAND"/>
    <n v="60000"/>
    <x v="0"/>
    <s v="sales"/>
    <x v="2"/>
    <s v="Manager"/>
    <d v="2018-04-05T00:00:00"/>
    <d v="2018-04-05T00:00:00"/>
    <s v="D"/>
    <n v="69"/>
    <s v="david.garrett@saltcorp.com"/>
    <s v="555-555-5555"/>
    <s v="Part-Time"/>
    <s v="Part-Time"/>
    <m/>
    <n v="1"/>
    <m/>
    <n v="0"/>
    <d v="2022-06-20T00:00:00"/>
    <m/>
    <s v="no"/>
    <s v="No"/>
    <n v="1"/>
    <s v="Yes"/>
  </r>
  <r>
    <s v="EMP-2019-0068"/>
    <s v="Hannah"/>
    <s v="Powell"/>
    <n v="40"/>
    <n v="40"/>
    <n v="1984"/>
    <n v="63000"/>
    <n v="63000"/>
    <x v="0"/>
    <s v="sales"/>
    <x v="2"/>
    <s v="Director"/>
    <d v="2019-12-01T00:00:00"/>
    <d v="2019-12-01T00:00:00"/>
    <s v="F"/>
    <n v="42"/>
    <s v="hannah.powell@saltcorp.com"/>
    <s v=" "/>
    <s v="contract"/>
    <s v="Contract"/>
    <m/>
    <n v="4"/>
    <n v="6"/>
    <m/>
    <d v="2022-06-20T00:00:00"/>
    <m/>
    <s v="YES"/>
    <s v="Yes"/>
    <n v="1"/>
    <s v="No"/>
  </r>
  <r>
    <s v="EMP-2020-0069"/>
    <s v="Grace"/>
    <s v="Zhang"/>
    <n v="35"/>
    <n v="35"/>
    <n v="1989"/>
    <n v="59300"/>
    <n v="59300"/>
    <x v="1"/>
    <s v="it"/>
    <x v="3"/>
    <s v="Analyst"/>
    <d v="2020-01-15T00:00:00"/>
    <d v="2020-01-15T00:00:00"/>
    <s v="F"/>
    <n v="8"/>
    <s v="grace.zhang@saltcorp.com"/>
    <s v="555-555-5555"/>
    <s v="Full-Time"/>
    <s v="Full-Time"/>
    <s v="EMP-2019-0042"/>
    <n v="6"/>
    <m/>
    <m/>
    <d v="2023-03-05T00:00:00"/>
    <m/>
    <s v="YES"/>
    <s v="Yes"/>
    <n v="5"/>
    <s v="No"/>
  </r>
  <r>
    <s v="EMP-2019-0070"/>
    <s v="Ivy"/>
    <s v="Kumar"/>
    <n v="50"/>
    <n v="50"/>
    <n v="1974"/>
    <n v="55000"/>
    <n v="55000"/>
    <x v="1"/>
    <s v="Marketing"/>
    <x v="4"/>
    <s v="Analyst"/>
    <d v="2019-12-01T00:00:00"/>
    <d v="2019-12-01T00:00:00"/>
    <s v="A"/>
    <n v="100"/>
    <s v="ivy.kumar@saltcorp.com"/>
    <m/>
    <s v="contract"/>
    <s v="Contract"/>
    <m/>
    <n v="1"/>
    <s v="N/A"/>
    <m/>
    <s v="N/A"/>
    <m/>
    <s v="no"/>
    <s v="No"/>
    <n v="3"/>
    <s v="No"/>
  </r>
  <r>
    <s v="EMP-2020-0071"/>
    <s v="Hannah"/>
    <s v="Bennett"/>
    <s v="thirty"/>
    <n v="30"/>
    <n v="1994"/>
    <n v="55000"/>
    <n v="55000"/>
    <x v="0"/>
    <s v="HR"/>
    <x v="0"/>
    <s v="Manager"/>
    <d v="2020-02-20T00:00:00"/>
    <d v="2020-02-20T00:00:00"/>
    <s v="B"/>
    <n v="80"/>
    <s v="hannah.bennett@saltcorp.com"/>
    <m/>
    <s v="Part-Time"/>
    <s v="Part-Time"/>
    <m/>
    <n v="6"/>
    <m/>
    <m/>
    <s v="N/A"/>
    <n v="61"/>
    <m/>
    <s v=""/>
    <n v="4"/>
    <s v="No"/>
  </r>
  <r>
    <s v="EMP-2019-0072"/>
    <s v="Eve"/>
    <s v="Cooper"/>
    <m/>
    <n v="44"/>
    <n v="1980"/>
    <n v="60300"/>
    <n v="60300"/>
    <x v="0"/>
    <s v="finance"/>
    <x v="1"/>
    <s v="Director"/>
    <d v="2019-03-25T00:00:00"/>
    <d v="2019-03-25T00:00:00"/>
    <s v="F"/>
    <n v="32"/>
    <s v="eve.cooper@saltcorp.com"/>
    <s v=" "/>
    <s v="Full-Time"/>
    <s v="Full-Time"/>
    <m/>
    <n v="4"/>
    <m/>
    <m/>
    <d v="2022-06-20T00:00:00"/>
    <n v="46"/>
    <s v="YES"/>
    <s v="Yes"/>
    <n v="2"/>
    <s v="Yes"/>
  </r>
  <r>
    <s v="EMP-2020-0073"/>
    <s v="Bob"/>
    <s v="Garcia"/>
    <s v="thirty"/>
    <n v="30"/>
    <n v="1994"/>
    <n v="50000"/>
    <n v="50000"/>
    <x v="0"/>
    <s v="it"/>
    <x v="3"/>
    <s v="Analyst"/>
    <d v="2020-02-20T00:00:00"/>
    <d v="2020-02-20T00:00:00"/>
    <s v="F"/>
    <n v="56"/>
    <s v="bob.garcia@saltcorp.com"/>
    <s v="098-765-4321"/>
    <s v="contract"/>
    <s v="Contract"/>
    <m/>
    <n v="1"/>
    <m/>
    <m/>
    <s v="N/A"/>
    <m/>
    <s v="no"/>
    <s v="No"/>
    <n v="1"/>
    <s v="Yes"/>
  </r>
  <r>
    <s v="EMP-2019-0074"/>
    <s v="Eve"/>
    <s v="McCoy"/>
    <n v="40"/>
    <n v="40"/>
    <n v="1984"/>
    <s v="SIXTY THOUSAND"/>
    <n v="60000"/>
    <x v="1"/>
    <s v="finance"/>
    <x v="1"/>
    <s v="Director"/>
    <d v="2019-03-25T00:00:00"/>
    <d v="2019-03-25T00:00:00"/>
    <s v="C"/>
    <n v="74"/>
    <s v="eve.mccoy@saltcorp.com"/>
    <s v="123-456-7890"/>
    <s v="Part-Time"/>
    <s v="Part-Time"/>
    <m/>
    <n v="1"/>
    <m/>
    <m/>
    <m/>
    <n v="54"/>
    <m/>
    <s v=""/>
    <n v="3"/>
    <s v="No"/>
  </r>
  <r>
    <s v="EMP-2019-0075"/>
    <s v="Hannah"/>
    <s v="Davidson"/>
    <n v="25"/>
    <n v="25"/>
    <n v="1999"/>
    <n v="70000"/>
    <n v="70000"/>
    <x v="1"/>
    <s v="HR"/>
    <x v="0"/>
    <s v="Analyst"/>
    <s v="2019.12.01"/>
    <d v="2019-12-01T00:00:00"/>
    <s v="F"/>
    <n v="0"/>
    <s v="hannah.davidson@saltcorp.com"/>
    <s v="098-765-4321"/>
    <s v="Part-Time"/>
    <s v="Part-Time"/>
    <m/>
    <n v="4"/>
    <n v="5"/>
    <m/>
    <m/>
    <n v="80"/>
    <m/>
    <s v=""/>
    <n v="1"/>
    <s v="Yes"/>
  </r>
  <r>
    <s v="EMP-2018-0076"/>
    <s v="Jack"/>
    <s v="O'Connor"/>
    <n v="25"/>
    <n v="25"/>
    <n v="1999"/>
    <n v="55000"/>
    <n v="55000"/>
    <x v="0"/>
    <s v="HR"/>
    <x v="0"/>
    <s v="Director"/>
    <d v="2018-04-05T00:00:00"/>
    <d v="2018-04-05T00:00:00"/>
    <s v="B"/>
    <n v="88"/>
    <s v="jack.o'connor@saltcorp.com"/>
    <s v="098-765-4321"/>
    <s v="contract"/>
    <s v="Contract"/>
    <m/>
    <n v="4"/>
    <m/>
    <m/>
    <m/>
    <m/>
    <m/>
    <s v=""/>
    <n v="1"/>
    <s v="No"/>
  </r>
  <r>
    <s v="EMP-2018-0077"/>
    <s v="Ivy"/>
    <s v="Sharma"/>
    <m/>
    <n v="25"/>
    <n v="1999"/>
    <n v="55000"/>
    <n v="55000"/>
    <x v="1"/>
    <s v="sales"/>
    <x v="2"/>
    <s v="Clerk"/>
    <d v="2018-04-05T00:00:00"/>
    <d v="2018-04-05T00:00:00"/>
    <s v="D"/>
    <n v="61"/>
    <s v="ivy.sharma@saltcorp.com"/>
    <s v="098-765-4321"/>
    <s v="Full-Time"/>
    <s v="Full-Time"/>
    <m/>
    <n v="6"/>
    <m/>
    <n v="20"/>
    <s v="N/A"/>
    <n v="19"/>
    <m/>
    <s v=""/>
    <n v="5"/>
    <s v="Yes"/>
  </r>
  <r>
    <s v="EMP-2019-0078"/>
    <s v="Ivy"/>
    <s v="Kumar"/>
    <n v="25"/>
    <n v="25"/>
    <n v="1999"/>
    <n v="60900"/>
    <n v="60900"/>
    <x v="0"/>
    <s v="HR"/>
    <x v="0"/>
    <s v="Director"/>
    <d v="2019-03-25T00:00:00"/>
    <d v="2019-03-25T00:00:00"/>
    <s v="D"/>
    <n v="64"/>
    <s v="ivy.kumar@saltcorp.com"/>
    <s v="098-765-4321"/>
    <s v="Full-Time"/>
    <s v="Full-Time"/>
    <m/>
    <n v="5"/>
    <n v="14"/>
    <m/>
    <m/>
    <n v="46"/>
    <s v="no"/>
    <s v="No"/>
    <n v="1"/>
    <s v="No"/>
  </r>
  <r>
    <s v="EMP-2018-0079"/>
    <s v="Alice"/>
    <s v="Lee"/>
    <n v="25"/>
    <n v="25"/>
    <n v="1999"/>
    <n v="65000"/>
    <n v="65000"/>
    <x v="0"/>
    <s v="finance"/>
    <x v="1"/>
    <s v="Director"/>
    <d v="2018-04-05T00:00:00"/>
    <d v="2018-04-05T00:00:00"/>
    <s v="D"/>
    <n v="64"/>
    <s v="alice.lee@saltcorp.com"/>
    <s v="123-456-7890"/>
    <s v="contract"/>
    <s v="Contract"/>
    <s v="EMP-2020-0053"/>
    <n v="3"/>
    <m/>
    <m/>
    <m/>
    <m/>
    <m/>
    <s v=""/>
    <n v="3"/>
    <s v="Yes"/>
  </r>
  <r>
    <s v="EMP-2019-0080"/>
    <s v="Ivy"/>
    <s v="Gibson"/>
    <m/>
    <n v="38"/>
    <n v="1986"/>
    <n v="70000"/>
    <n v="70000"/>
    <x v="1"/>
    <s v="Marketing"/>
    <x v="4"/>
    <s v="Manager"/>
    <s v="2019.12.01"/>
    <d v="2019-12-01T00:00:00"/>
    <s v="D"/>
    <n v="61"/>
    <s v="ivy.gibson@saltcorp.com"/>
    <s v="555-555-5555"/>
    <s v="Part-Time"/>
    <s v="Part-Time"/>
    <s v="EMP-2018-0060"/>
    <n v="2"/>
    <n v="5"/>
    <n v="10"/>
    <d v="2023-01-15T00:00:00"/>
    <m/>
    <s v="YES"/>
    <s v="Yes"/>
    <n v="2"/>
    <s v="No"/>
  </r>
  <r>
    <s v="EMP-2018-0081"/>
    <s v="Grace"/>
    <s v="Zhou"/>
    <n v="50"/>
    <n v="50"/>
    <n v="1974"/>
    <n v="70000"/>
    <n v="70000"/>
    <x v="1"/>
    <s v="Marketing"/>
    <x v="4"/>
    <s v="Clerk"/>
    <d v="2018-04-05T00:00:00"/>
    <d v="2018-04-05T00:00:00"/>
    <s v="C"/>
    <n v="70"/>
    <s v="grace.zhou@saltcorp.com"/>
    <s v="098-765-4321"/>
    <s v="Full-Time"/>
    <s v="Full-Time"/>
    <m/>
    <n v="7"/>
    <m/>
    <m/>
    <d v="2023-03-05T00:00:00"/>
    <n v="78"/>
    <s v="no"/>
    <s v="No"/>
    <n v="5"/>
    <s v="Yes"/>
  </r>
  <r>
    <s v="EMP-2019-0082"/>
    <s v="Ivy"/>
    <s v="Reddy"/>
    <n v="50"/>
    <n v="50"/>
    <n v="1974"/>
    <n v="55000"/>
    <n v="55000"/>
    <x v="1"/>
    <s v="sales"/>
    <x v="2"/>
    <s v="Assistant"/>
    <s v="2019.12.01"/>
    <d v="2019-12-01T00:00:00"/>
    <s v="F"/>
    <n v="35"/>
    <s v="ivy.reddy@saltcorp.com"/>
    <m/>
    <s v="contract"/>
    <s v="Contract"/>
    <m/>
    <n v="5"/>
    <s v="N/A"/>
    <m/>
    <d v="2023-03-05T00:00:00"/>
    <m/>
    <s v="YES"/>
    <s v="Yes"/>
    <n v="2"/>
    <s v="Yes"/>
  </r>
  <r>
    <s v="EMP-2020-0083"/>
    <s v="Hannah"/>
    <s v="Jordan"/>
    <m/>
    <n v="44"/>
    <n v="1980"/>
    <n v="50000"/>
    <n v="50000"/>
    <x v="1"/>
    <s v="finance"/>
    <x v="1"/>
    <s v="Manager"/>
    <d v="2020-02-20T00:00:00"/>
    <d v="2020-02-20T00:00:00"/>
    <s v="D"/>
    <n v="61"/>
    <s v="hannah.jordan@saltcorp.com"/>
    <s v=" "/>
    <s v="Full-Time"/>
    <s v="Full-Time"/>
    <m/>
    <n v="3"/>
    <n v="5"/>
    <n v="20"/>
    <d v="2024-08-12T00:00:00"/>
    <m/>
    <s v="no"/>
    <s v="No"/>
    <n v="1"/>
    <s v="No"/>
  </r>
  <r>
    <s v="EMP-2019-0084"/>
    <s v="Alice"/>
    <s v="Martinez"/>
    <n v="40"/>
    <n v="40"/>
    <n v="1984"/>
    <n v="65000"/>
    <n v="65000"/>
    <x v="1"/>
    <s v="finance"/>
    <x v="1"/>
    <s v="Assistant"/>
    <s v="2019.12.01"/>
    <d v="2019-12-01T00:00:00"/>
    <s v="A"/>
    <n v="92"/>
    <s v="alice.martinez@saltcorp.com"/>
    <s v=" "/>
    <s v="Full-Time"/>
    <s v="Full-Time"/>
    <m/>
    <n v="2"/>
    <s v="N/A"/>
    <m/>
    <d v="2022-06-20T00:00:00"/>
    <m/>
    <s v="YES"/>
    <s v="Yes"/>
    <n v="4"/>
    <s v="No"/>
  </r>
  <r>
    <s v="EMP-2020-0085"/>
    <s v="Hannah"/>
    <s v="Knight"/>
    <n v="25"/>
    <n v="25"/>
    <n v="1999"/>
    <n v="70000"/>
    <n v="70000"/>
    <x v="1"/>
    <s v="HR"/>
    <x v="0"/>
    <s v="Analyst"/>
    <d v="2020-01-15T00:00:00"/>
    <d v="2020-01-15T00:00:00"/>
    <s v="D"/>
    <n v="62"/>
    <s v="hannah.knight@saltcorp.com"/>
    <m/>
    <s v="Part-Time"/>
    <s v="Part-Time"/>
    <m/>
    <n v="1"/>
    <n v="3"/>
    <n v="9"/>
    <m/>
    <n v="51"/>
    <s v="YES"/>
    <s v="Yes"/>
    <n v="2"/>
    <s v="No"/>
  </r>
  <r>
    <s v="EMP-2020-0086"/>
    <s v="Hannah"/>
    <s v="Pearson"/>
    <n v="25"/>
    <n v="25"/>
    <n v="1999"/>
    <n v="55000"/>
    <n v="55000"/>
    <x v="0"/>
    <s v="finance"/>
    <x v="1"/>
    <s v="Assistant"/>
    <d v="2020-01-15T00:00:00"/>
    <d v="2020-01-15T00:00:00"/>
    <s v="F"/>
    <n v="13"/>
    <s v="hannah.pearson@saltcorp.com"/>
    <s v="098-765-4321"/>
    <s v="Full-Time"/>
    <s v="Full-Time"/>
    <m/>
    <n v="5"/>
    <n v="2"/>
    <m/>
    <d v="2024-08-12T00:00:00"/>
    <m/>
    <s v="no"/>
    <s v="No"/>
    <n v="2"/>
    <s v="No"/>
  </r>
  <r>
    <s v="EMP-2020-0087"/>
    <s v="Charlie"/>
    <s v="Clark"/>
    <n v="40"/>
    <n v="40"/>
    <n v="1984"/>
    <n v="70000"/>
    <n v="70000"/>
    <x v="0"/>
    <s v="it"/>
    <x v="3"/>
    <s v="Director"/>
    <d v="2020-01-15T00:00:00"/>
    <d v="2020-01-15T00:00:00"/>
    <s v="D"/>
    <n v="65"/>
    <s v="charlie.clark@saltcorp.com"/>
    <s v="123-456-7890"/>
    <s v="Full-Time"/>
    <s v="Full-Time"/>
    <m/>
    <n v="5"/>
    <m/>
    <n v="3"/>
    <d v="2022-06-20T00:00:00"/>
    <m/>
    <s v="no"/>
    <s v="No"/>
    <n v="2"/>
    <s v="Yes"/>
  </r>
  <r>
    <s v="EMP-2019-0088"/>
    <s v="Alice"/>
    <s v="Rivera"/>
    <n v="50"/>
    <n v="50"/>
    <n v="1974"/>
    <n v="65000"/>
    <n v="65000"/>
    <x v="1"/>
    <s v="HR"/>
    <x v="0"/>
    <s v="Assistant"/>
    <d v="2019-03-25T00:00:00"/>
    <d v="2019-03-25T00:00:00"/>
    <s v="C"/>
    <n v="79"/>
    <s v="alice.rivera@saltcorp.com"/>
    <s v="555-555-5555"/>
    <s v="Full-Time"/>
    <s v="Full-Time"/>
    <m/>
    <n v="8"/>
    <m/>
    <m/>
    <m/>
    <m/>
    <m/>
    <s v=""/>
    <n v="2"/>
    <s v="No"/>
  </r>
  <r>
    <s v="EMP-2019-0089"/>
    <s v="Hannah"/>
    <s v="Powell"/>
    <n v="35"/>
    <n v="35"/>
    <n v="1989"/>
    <n v="65000"/>
    <n v="65000"/>
    <x v="1"/>
    <s v="it"/>
    <x v="3"/>
    <s v="Manager"/>
    <d v="2019-03-25T00:00:00"/>
    <d v="2019-03-25T00:00:00"/>
    <s v="B"/>
    <n v="82"/>
    <s v="hannah.powell@saltcorp.com"/>
    <s v=" "/>
    <s v="contract"/>
    <s v="Contract"/>
    <m/>
    <n v="6"/>
    <n v="6"/>
    <m/>
    <d v="2024-08-12T00:00:00"/>
    <n v="7"/>
    <s v="YES"/>
    <s v="Yes"/>
    <n v="3"/>
    <s v="No"/>
  </r>
  <r>
    <s v="EMP-2019-0090"/>
    <s v="Charlie"/>
    <s v="Martin"/>
    <n v="35"/>
    <n v="35"/>
    <n v="1989"/>
    <s v="SIXTY THOUSAND"/>
    <n v="60000"/>
    <x v="0"/>
    <s v="sales"/>
    <x v="2"/>
    <s v="Manager"/>
    <d v="2019-03-25T00:00:00"/>
    <d v="2019-03-25T00:00:00"/>
    <s v="B"/>
    <n v="85"/>
    <s v="charlie.martin@saltcorp.com"/>
    <s v="555-555-5555"/>
    <s v="Full-Time"/>
    <s v="Full-Time"/>
    <m/>
    <n v="7"/>
    <s v="N/A"/>
    <m/>
    <m/>
    <n v="55"/>
    <s v="YES"/>
    <s v="Yes"/>
    <n v="5"/>
    <s v="Yes"/>
  </r>
  <r>
    <s v="EMP-2019-0091"/>
    <s v="Charlie"/>
    <s v="Jackson"/>
    <n v="35"/>
    <n v="35"/>
    <n v="1989"/>
    <n v="61600"/>
    <n v="61600"/>
    <x v="0"/>
    <s v="Marketing"/>
    <x v="4"/>
    <s v="Assistant"/>
    <s v="2019.12.01"/>
    <d v="2019-12-01T00:00:00"/>
    <s v="F"/>
    <n v="54"/>
    <s v="charlie.jackson@saltcorp.com"/>
    <s v="123-456-7890"/>
    <s v="contract"/>
    <s v="Contract"/>
    <m/>
    <n v="3"/>
    <n v="8"/>
    <m/>
    <d v="2024-08-12T00:00:00"/>
    <m/>
    <s v="no"/>
    <s v="No"/>
    <n v="2"/>
    <s v="No"/>
  </r>
  <r>
    <s v="EMP-2019-0092"/>
    <s v="Alice"/>
    <s v="Lucas"/>
    <n v="50"/>
    <n v="50"/>
    <n v="1974"/>
    <n v="61500"/>
    <n v="61500"/>
    <x v="1"/>
    <s v="sales"/>
    <x v="2"/>
    <s v="Manager"/>
    <d v="2019-03-25T00:00:00"/>
    <d v="2019-03-25T00:00:00"/>
    <s v="B"/>
    <n v="83"/>
    <s v="alice.lucas@saltcorp.com"/>
    <s v=" "/>
    <s v="Full-Time"/>
    <s v="Full-Time"/>
    <m/>
    <n v="6"/>
    <n v="2"/>
    <m/>
    <s v="N/A"/>
    <m/>
    <s v="no"/>
    <s v="No"/>
    <n v="4"/>
    <s v="No"/>
  </r>
  <r>
    <s v="EMP-2020-0093"/>
    <s v="Eve"/>
    <s v="Gutierrez"/>
    <n v="50"/>
    <n v="50"/>
    <n v="1974"/>
    <n v="55000"/>
    <n v="55000"/>
    <x v="0"/>
    <s v="Marketing"/>
    <x v="4"/>
    <s v="Manager"/>
    <d v="2020-02-20T00:00:00"/>
    <d v="2020-02-20T00:00:00"/>
    <s v="B"/>
    <n v="83"/>
    <s v="eve.gutierrez@saltcorp.com"/>
    <s v="555-555-5555"/>
    <s v="contract"/>
    <s v="Contract"/>
    <m/>
    <n v="8"/>
    <m/>
    <m/>
    <m/>
    <n v="70"/>
    <s v="YES"/>
    <s v="Yes"/>
    <n v="5"/>
    <s v="No"/>
  </r>
  <r>
    <s v="EMP-2020-0094"/>
    <s v="Jack"/>
    <s v="Murphy"/>
    <n v="40"/>
    <n v="40"/>
    <n v="1984"/>
    <n v="65000"/>
    <n v="65000"/>
    <x v="0"/>
    <s v="sales"/>
    <x v="2"/>
    <s v="Assistant"/>
    <d v="2020-01-15T00:00:00"/>
    <d v="2020-01-15T00:00:00"/>
    <s v="A"/>
    <n v="93"/>
    <s v="jack.murphy@saltcorp.com"/>
    <s v="123-456-7890"/>
    <s v="Part-Time"/>
    <s v="Part-Time"/>
    <m/>
    <n v="6"/>
    <n v="15"/>
    <n v="16"/>
    <m/>
    <m/>
    <s v="YES"/>
    <s v="Yes"/>
    <n v="1"/>
    <s v="Yes"/>
  </r>
  <r>
    <s v="EMP-2019-0095"/>
    <s v="Grace"/>
    <s v="Weber"/>
    <n v="25"/>
    <n v="25"/>
    <n v="1999"/>
    <s v="SIXTY THOUSAND"/>
    <n v="60000"/>
    <x v="1"/>
    <s v="finance"/>
    <x v="1"/>
    <s v="Clerk"/>
    <s v="2019.12.01"/>
    <d v="2019-12-01T00:00:00"/>
    <s v="F"/>
    <n v="25"/>
    <s v="grace.weber@saltcorp.com"/>
    <s v="555-555-5555"/>
    <s v="contract"/>
    <s v="Contract"/>
    <s v="EMP-2020-0084"/>
    <n v="4"/>
    <m/>
    <m/>
    <s v="N/A"/>
    <m/>
    <s v="YES"/>
    <s v="Yes"/>
    <n v="1"/>
    <s v="Yes"/>
  </r>
  <r>
    <s v="EMP-2020-0096"/>
    <s v="Jack"/>
    <s v="Ryan"/>
    <n v="40"/>
    <n v="40"/>
    <n v="1984"/>
    <s v="SIXTY THOUSAND"/>
    <n v="60000"/>
    <x v="0"/>
    <s v="it"/>
    <x v="3"/>
    <s v="Clerk"/>
    <d v="2020-01-15T00:00:00"/>
    <d v="2020-01-15T00:00:00"/>
    <s v="F"/>
    <n v="7"/>
    <s v="jack.ryan@saltcorp.com"/>
    <s v="098-765-4321"/>
    <s v="contract"/>
    <s v="Contract"/>
    <m/>
    <n v="3"/>
    <m/>
    <n v="13"/>
    <d v="2021-10-01T00:00:00"/>
    <n v="78"/>
    <s v="YES"/>
    <s v="Yes"/>
    <n v="3"/>
    <s v="No"/>
  </r>
  <r>
    <s v="EMP-2019-0097"/>
    <s v="Ivy"/>
    <s v="Reddy"/>
    <n v="40"/>
    <n v="40"/>
    <n v="1984"/>
    <n v="70000"/>
    <n v="70000"/>
    <x v="1"/>
    <s v="Marketing"/>
    <x v="4"/>
    <s v="Analyst"/>
    <d v="2019-03-25T00:00:00"/>
    <d v="2019-03-25T00:00:00"/>
    <s v="B"/>
    <n v="82"/>
    <s v="ivy.reddy@saltcorp.com"/>
    <s v="123-456-7890"/>
    <s v="Part-Time"/>
    <s v="Part-Time"/>
    <m/>
    <n v="7"/>
    <m/>
    <m/>
    <d v="2023-03-05T00:00:00"/>
    <m/>
    <m/>
    <s v=""/>
    <n v="5"/>
    <s v="Yes"/>
  </r>
  <r>
    <s v="EMP-2019-0098"/>
    <s v="Grace"/>
    <s v="Wu"/>
    <n v="50"/>
    <n v="50"/>
    <n v="1974"/>
    <n v="70000"/>
    <n v="70000"/>
    <x v="0"/>
    <s v="HR"/>
    <x v="0"/>
    <s v="Manager"/>
    <d v="2019-12-01T00:00:00"/>
    <d v="2019-12-01T00:00:00"/>
    <s v="B"/>
    <n v="89"/>
    <s v="grace.wu@saltcorp.com"/>
    <s v="555-555-5555"/>
    <s v="contract"/>
    <s v="Contract"/>
    <s v="EMP-2018-0057"/>
    <n v="1"/>
    <n v="8"/>
    <m/>
    <m/>
    <m/>
    <m/>
    <s v=""/>
    <n v="4"/>
    <s v="No"/>
  </r>
  <r>
    <s v="EMP-2018-0099"/>
    <s v="Ivy"/>
    <s v="Hoffman"/>
    <n v="35"/>
    <n v="35"/>
    <n v="1989"/>
    <s v="SIXTY THOUSAND"/>
    <n v="60000"/>
    <x v="1"/>
    <s v="it"/>
    <x v="3"/>
    <s v="Assistant"/>
    <d v="2018-04-05T00:00:00"/>
    <d v="2018-04-05T00:00:00"/>
    <s v="B"/>
    <n v="86"/>
    <s v="ivy.hoffman@saltcorp.com"/>
    <s v="098-765-4321"/>
    <s v="contract"/>
    <s v="Contract"/>
    <m/>
    <n v="4"/>
    <n v="4"/>
    <n v="18"/>
    <d v="2021-10-01T00:00:00"/>
    <m/>
    <s v="no"/>
    <s v="No"/>
    <n v="1"/>
    <s v="No"/>
  </r>
  <r>
    <s v="EMP-2020-0100"/>
    <s v="Hannah"/>
    <s v="Perry"/>
    <s v="thirty"/>
    <n v="30"/>
    <n v="1994"/>
    <n v="70000"/>
    <n v="70000"/>
    <x v="0"/>
    <s v="HR"/>
    <x v="0"/>
    <s v="Manager"/>
    <d v="2020-02-20T00:00:00"/>
    <d v="2020-02-20T00:00:00"/>
    <s v="C"/>
    <n v="73"/>
    <s v="hannah.perry@saltcorp.com"/>
    <s v="098-765-4321"/>
    <s v="contract"/>
    <s v="Contract"/>
    <s v="EMP-2020-0020"/>
    <n v="4"/>
    <m/>
    <m/>
    <m/>
    <m/>
    <m/>
    <s v=""/>
    <n v="4"/>
    <s v="Yes"/>
  </r>
  <r>
    <s v="EMP-2019-0101"/>
    <s v="Bob"/>
    <s v="Aguilar"/>
    <n v="25"/>
    <n v="25"/>
    <n v="1999"/>
    <n v="65000"/>
    <n v="65000"/>
    <x v="0"/>
    <s v="it"/>
    <x v="3"/>
    <s v="Director"/>
    <d v="2019-03-25T00:00:00"/>
    <d v="2019-03-25T00:00:00"/>
    <s v="D"/>
    <n v="68"/>
    <s v="bob.aguilar@saltcorp.com"/>
    <s v="123-456-7890"/>
    <s v="contract"/>
    <s v="Contract"/>
    <m/>
    <n v="3"/>
    <n v="6"/>
    <n v="13"/>
    <m/>
    <n v="64"/>
    <s v="YES"/>
    <s v="Yes"/>
    <n v="1"/>
    <s v="Yes"/>
  </r>
  <r>
    <s v="EMP-2019-0102"/>
    <s v="Alice"/>
    <s v="Byrd"/>
    <n v="50"/>
    <n v="50"/>
    <n v="1974"/>
    <n v="50000"/>
    <n v="50000"/>
    <x v="0"/>
    <s v="it"/>
    <x v="3"/>
    <s v="Manager"/>
    <d v="2019-03-25T00:00:00"/>
    <d v="2019-03-25T00:00:00"/>
    <s v="C"/>
    <n v="75"/>
    <s v="alice.byrd@saltcorp.com"/>
    <m/>
    <s v="contract"/>
    <s v="Contract"/>
    <m/>
    <n v="4"/>
    <s v="N/A"/>
    <m/>
    <d v="2021-10-01T00:00:00"/>
    <m/>
    <s v="YES"/>
    <s v="Yes"/>
    <n v="3"/>
    <s v="No"/>
  </r>
  <r>
    <s v="EMP-2020-0103"/>
    <s v="Grace"/>
    <s v="Walker"/>
    <n v="35"/>
    <n v="35"/>
    <n v="1989"/>
    <n v="65000"/>
    <n v="65000"/>
    <x v="1"/>
    <s v="sales"/>
    <x v="2"/>
    <s v="Manager"/>
    <d v="2020-02-20T00:00:00"/>
    <d v="2020-02-20T00:00:00"/>
    <s v="F"/>
    <n v="42"/>
    <s v="grace.walker@saltcorp.com"/>
    <s v=" "/>
    <s v="Full-Time"/>
    <s v="Full-Time"/>
    <m/>
    <n v="1"/>
    <m/>
    <n v="15"/>
    <d v="2024-08-12T00:00:00"/>
    <n v="64"/>
    <s v="YES"/>
    <s v="Yes"/>
    <n v="2"/>
    <s v="No"/>
  </r>
  <r>
    <s v="EMP-2020-0104"/>
    <s v="Grace"/>
    <s v="Gibson"/>
    <s v="thirty"/>
    <n v="30"/>
    <n v="1994"/>
    <s v="SIXTY THOUSAND"/>
    <n v="60000"/>
    <x v="1"/>
    <s v="Marketing"/>
    <x v="4"/>
    <s v="Clerk"/>
    <d v="2020-02-20T00:00:00"/>
    <d v="2020-02-20T00:00:00"/>
    <s v="A"/>
    <n v="91"/>
    <s v="grace.gibson@saltcorp.com"/>
    <s v="123-456-7890"/>
    <s v="Part-Time"/>
    <s v="Part-Time"/>
    <m/>
    <n v="3"/>
    <n v="13"/>
    <n v="16"/>
    <m/>
    <m/>
    <s v="no"/>
    <s v="No"/>
    <n v="2"/>
    <s v="Yes"/>
  </r>
  <r>
    <s v="EMP-2018-0105"/>
    <s v="Hannah"/>
    <s v="West"/>
    <s v="thirty"/>
    <n v="30"/>
    <n v="1994"/>
    <s v="SIXTY THOUSAND"/>
    <n v="60000"/>
    <x v="0"/>
    <s v="Marketing"/>
    <x v="4"/>
    <s v="Assistant"/>
    <d v="2018-04-05T00:00:00"/>
    <d v="2018-04-05T00:00:00"/>
    <s v="D"/>
    <n v="64"/>
    <s v="hannah.west@saltcorp.com"/>
    <s v="098-765-4321"/>
    <s v="contract"/>
    <s v="Contract"/>
    <m/>
    <n v="2"/>
    <n v="2"/>
    <n v="14"/>
    <s v="N/A"/>
    <m/>
    <s v="no"/>
    <s v="No"/>
    <n v="1"/>
    <s v="No"/>
  </r>
  <r>
    <s v="EMP-2019-0106"/>
    <s v="Eve"/>
    <s v="Walker"/>
    <n v="50"/>
    <n v="50"/>
    <n v="1974"/>
    <n v="65000"/>
    <n v="65000"/>
    <x v="1"/>
    <s v="it"/>
    <x v="3"/>
    <s v="Manager"/>
    <d v="2019-03-25T00:00:00"/>
    <d v="2019-03-25T00:00:00"/>
    <s v="A"/>
    <n v="92"/>
    <s v="eve.walker@saltcorp.com"/>
    <s v="098-765-4321"/>
    <s v="Part-Time"/>
    <s v="Part-Time"/>
    <m/>
    <n v="6"/>
    <s v="N/A"/>
    <n v="17"/>
    <s v="N/A"/>
    <m/>
    <s v="no"/>
    <s v="No"/>
    <n v="4"/>
    <s v="No"/>
  </r>
  <r>
    <s v="EMP-2019-0107"/>
    <s v="Charlie"/>
    <s v="Pearson"/>
    <m/>
    <n v="24"/>
    <n v="2000"/>
    <n v="70000"/>
    <n v="70000"/>
    <x v="0"/>
    <s v="finance"/>
    <x v="1"/>
    <s v="Clerk"/>
    <d v="2019-03-25T00:00:00"/>
    <d v="2019-03-25T00:00:00"/>
    <s v="F"/>
    <n v="25"/>
    <s v="charlie.pearson@saltcorp.com"/>
    <s v="123-456-7890"/>
    <s v="Part-Time"/>
    <s v="Part-Time"/>
    <m/>
    <n v="1"/>
    <m/>
    <n v="13"/>
    <m/>
    <n v="63"/>
    <m/>
    <s v=""/>
    <n v="2"/>
    <s v="No"/>
  </r>
  <r>
    <s v="EMP-2020-0108"/>
    <s v="Hannah"/>
    <s v="Brooks"/>
    <n v="25"/>
    <n v="25"/>
    <n v="1999"/>
    <n v="70000"/>
    <n v="70000"/>
    <x v="1"/>
    <s v="finance"/>
    <x v="1"/>
    <s v="Analyst"/>
    <d v="2020-01-15T00:00:00"/>
    <d v="2020-01-15T00:00:00"/>
    <s v="F"/>
    <n v="13"/>
    <s v="hannah.brooks@saltcorp.com"/>
    <m/>
    <s v="contract"/>
    <s v="Contract"/>
    <m/>
    <n v="7"/>
    <s v="N/A"/>
    <m/>
    <d v="2024-08-12T00:00:00"/>
    <m/>
    <s v="no"/>
    <s v="No"/>
    <n v="3"/>
    <s v="No"/>
  </r>
  <r>
    <s v="EMP-2019-0109"/>
    <s v="Frank"/>
    <s v="Sanchez"/>
    <s v="thirty"/>
    <n v="30"/>
    <n v="1994"/>
    <n v="58800"/>
    <n v="58800"/>
    <x v="0"/>
    <s v="HR"/>
    <x v="0"/>
    <s v="Clerk"/>
    <d v="2019-12-01T00:00:00"/>
    <d v="2019-12-01T00:00:00"/>
    <s v="A"/>
    <n v="96"/>
    <s v="frank.sanchez@saltcorp.com"/>
    <s v=" "/>
    <s v="Part-Time"/>
    <s v="Part-Time"/>
    <m/>
    <n v="5"/>
    <s v="N/A"/>
    <m/>
    <m/>
    <n v="5"/>
    <s v="no"/>
    <s v="No"/>
    <n v="1"/>
    <s v="No"/>
  </r>
  <r>
    <s v="EMP-2019-0110"/>
    <s v="Charlie"/>
    <s v="Clark"/>
    <n v="50"/>
    <n v="50"/>
    <n v="1974"/>
    <s v="SIXTY THOUSAND"/>
    <n v="60000"/>
    <x v="0"/>
    <s v="HR"/>
    <x v="0"/>
    <s v="Clerk"/>
    <d v="2019-12-01T00:00:00"/>
    <d v="2019-12-01T00:00:00"/>
    <s v="A"/>
    <n v="97"/>
    <s v="charlie.clark@saltcorp.com"/>
    <s v="555-555-5555"/>
    <s v="Part-Time"/>
    <s v="Part-Time"/>
    <m/>
    <n v="1"/>
    <m/>
    <m/>
    <m/>
    <n v="46"/>
    <s v="YES"/>
    <s v="Yes"/>
    <n v="1"/>
    <s v="No"/>
  </r>
  <r>
    <s v="EMP-2020-0111"/>
    <s v="Alice"/>
    <s v="Wallace"/>
    <n v="50"/>
    <n v="50"/>
    <n v="1974"/>
    <n v="55000"/>
    <n v="55000"/>
    <x v="1"/>
    <s v="sales"/>
    <x v="2"/>
    <s v="Clerk"/>
    <d v="2020-01-15T00:00:00"/>
    <d v="2020-01-15T00:00:00"/>
    <s v="A"/>
    <n v="92"/>
    <s v="alice.wallace@saltcorp.com"/>
    <s v="123-456-7890"/>
    <s v="Full-Time"/>
    <s v="Full-Time"/>
    <s v="EMP-2018-0057"/>
    <n v="1"/>
    <m/>
    <m/>
    <m/>
    <m/>
    <s v="no"/>
    <s v="No"/>
    <n v="3"/>
    <s v="No"/>
  </r>
  <r>
    <s v="EMP-2019-0112"/>
    <s v="Charlie"/>
    <s v="Lewis"/>
    <n v="35"/>
    <n v="35"/>
    <n v="1989"/>
    <n v="60900"/>
    <n v="60900"/>
    <x v="0"/>
    <s v="it"/>
    <x v="3"/>
    <s v="Manager"/>
    <d v="2019-12-01T00:00:00"/>
    <d v="2019-12-01T00:00:00"/>
    <s v="F"/>
    <n v="52"/>
    <s v="charlie.lewis@saltcorp.com"/>
    <s v=" "/>
    <s v="Full-Time"/>
    <s v="Full-Time"/>
    <m/>
    <n v="2"/>
    <m/>
    <m/>
    <d v="2023-01-15T00:00:00"/>
    <m/>
    <m/>
    <s v=""/>
    <n v="4"/>
    <s v="Yes"/>
  </r>
  <r>
    <s v="EMP-2020-0113"/>
    <s v="Eve"/>
    <s v="Hudson"/>
    <m/>
    <n v="46"/>
    <n v="1978"/>
    <n v="70000"/>
    <n v="70000"/>
    <x v="0"/>
    <s v="HR"/>
    <x v="0"/>
    <s v="Manager"/>
    <d v="2020-02-20T00:00:00"/>
    <d v="2020-02-20T00:00:00"/>
    <s v="B"/>
    <n v="84"/>
    <s v="eve.hudson@saltcorp.com"/>
    <s v=" "/>
    <s v="contract"/>
    <s v="Contract"/>
    <m/>
    <n v="1"/>
    <m/>
    <n v="15"/>
    <m/>
    <m/>
    <s v="no"/>
    <s v="No"/>
    <n v="3"/>
    <s v="No"/>
  </r>
  <r>
    <s v="EMP-2019-0114"/>
    <s v="Charlie"/>
    <s v="Harrison"/>
    <n v="25"/>
    <n v="25"/>
    <n v="1999"/>
    <n v="65000"/>
    <n v="65000"/>
    <x v="1"/>
    <s v="HR"/>
    <x v="0"/>
    <s v="Analyst"/>
    <d v="2019-12-01T00:00:00"/>
    <d v="2019-12-01T00:00:00"/>
    <s v="A"/>
    <n v="90"/>
    <s v="charlie.harrison@saltcorp.com"/>
    <s v="098-765-4321"/>
    <s v="contract"/>
    <s v="Contract"/>
    <m/>
    <n v="1"/>
    <n v="14"/>
    <n v="1"/>
    <d v="2022-06-20T00:00:00"/>
    <m/>
    <s v="no"/>
    <s v="No"/>
    <n v="1"/>
    <s v="No"/>
  </r>
  <r>
    <s v="EMP-2019-0115"/>
    <s v="Alice"/>
    <s v="Martinez"/>
    <n v="40"/>
    <n v="40"/>
    <n v="1984"/>
    <n v="70000"/>
    <n v="70000"/>
    <x v="1"/>
    <s v="it"/>
    <x v="3"/>
    <s v="Director"/>
    <d v="2019-12-01T00:00:00"/>
    <d v="2019-12-01T00:00:00"/>
    <s v="D"/>
    <n v="69"/>
    <s v="alice.martinez@saltcorp.com"/>
    <s v="555-555-5555"/>
    <s v="contract"/>
    <s v="Contract"/>
    <s v="EMP-2018-0022"/>
    <n v="2"/>
    <m/>
    <n v="18"/>
    <m/>
    <m/>
    <m/>
    <s v=""/>
    <n v="4"/>
    <s v="No"/>
  </r>
  <r>
    <s v="EMP-2020-0116"/>
    <s v="Eve"/>
    <s v="Williamson"/>
    <n v="35"/>
    <n v="35"/>
    <n v="1989"/>
    <n v="65000"/>
    <n v="65000"/>
    <x v="1"/>
    <s v="sales"/>
    <x v="2"/>
    <s v="Director"/>
    <d v="2020-01-15T00:00:00"/>
    <d v="2020-01-15T00:00:00"/>
    <s v="F"/>
    <n v="9"/>
    <s v="eve.williamson@saltcorp.com"/>
    <s v="123-456-7890"/>
    <s v="Part-Time"/>
    <s v="Part-Time"/>
    <m/>
    <n v="7"/>
    <m/>
    <m/>
    <s v="N/A"/>
    <n v="17"/>
    <m/>
    <s v=""/>
    <n v="2"/>
    <s v="Yes"/>
  </r>
  <r>
    <s v="EMP-2018-0117"/>
    <s v="Jack"/>
    <s v="Powers"/>
    <s v="thirty"/>
    <n v="30"/>
    <n v="1994"/>
    <n v="60900"/>
    <n v="60900"/>
    <x v="0"/>
    <s v="HR"/>
    <x v="0"/>
    <s v="Director"/>
    <d v="2018-04-05T00:00:00"/>
    <d v="2018-04-05T00:00:00"/>
    <s v="C"/>
    <n v="71"/>
    <s v="jack.powers@saltcorp.com"/>
    <s v="098-765-4321"/>
    <s v="Part-Time"/>
    <s v="Part-Time"/>
    <s v="EMP-2020-0019"/>
    <n v="8"/>
    <s v="N/A"/>
    <m/>
    <d v="2023-03-05T00:00:00"/>
    <m/>
    <m/>
    <s v=""/>
    <n v="4"/>
    <s v="No"/>
  </r>
  <r>
    <s v="EMP-2019-0118"/>
    <s v="Grace"/>
    <s v="Liu"/>
    <s v="thirty"/>
    <n v="30"/>
    <n v="1994"/>
    <s v="SIXTY THOUSAND"/>
    <n v="60000"/>
    <x v="1"/>
    <s v="sales"/>
    <x v="2"/>
    <s v="Analyst"/>
    <d v="2019-12-01T00:00:00"/>
    <d v="2019-12-01T00:00:00"/>
    <s v="C"/>
    <n v="77"/>
    <s v="grace.liu@saltcorp.com"/>
    <s v="098-765-4321"/>
    <s v="contract"/>
    <s v="Contract"/>
    <m/>
    <n v="7"/>
    <m/>
    <m/>
    <m/>
    <m/>
    <s v="no"/>
    <s v="No"/>
    <n v="4"/>
    <s v="Yes"/>
  </r>
  <r>
    <s v="EMP-2019-0119"/>
    <s v="Grace"/>
    <s v="Li"/>
    <n v="35"/>
    <n v="35"/>
    <n v="1989"/>
    <n v="70000"/>
    <n v="70000"/>
    <x v="1"/>
    <s v="Marketing"/>
    <x v="4"/>
    <s v="Director"/>
    <d v="2019-12-01T00:00:00"/>
    <d v="2019-12-01T00:00:00"/>
    <s v="D"/>
    <n v="62"/>
    <s v="grace.li@saltcorp.com"/>
    <m/>
    <s v="contract"/>
    <s v="Contract"/>
    <m/>
    <n v="2"/>
    <m/>
    <n v="14"/>
    <m/>
    <m/>
    <s v="YES"/>
    <s v="Yes"/>
    <n v="1"/>
    <s v="No"/>
  </r>
  <r>
    <s v="EMP-2018-0120"/>
    <s v="Ivy"/>
    <s v="Figueroa"/>
    <n v="50"/>
    <n v="50"/>
    <n v="1974"/>
    <n v="65000"/>
    <n v="65000"/>
    <x v="1"/>
    <s v="sales"/>
    <x v="2"/>
    <s v="Director"/>
    <d v="2018-04-05T00:00:00"/>
    <d v="2018-04-05T00:00:00"/>
    <s v="B"/>
    <n v="88"/>
    <s v="ivy.figueroa@saltcorp.com"/>
    <s v=" "/>
    <s v="Full-Time"/>
    <s v="Full-Time"/>
    <m/>
    <n v="5"/>
    <m/>
    <n v="2"/>
    <m/>
    <m/>
    <s v="YES"/>
    <s v="Yes"/>
    <n v="4"/>
    <s v="Yes"/>
  </r>
  <r>
    <s v="EMP-2020-0121"/>
    <s v="Jack"/>
    <s v="Ryan"/>
    <s v="thirty"/>
    <n v="30"/>
    <n v="1994"/>
    <s v="SIXTY THOUSAND"/>
    <n v="60000"/>
    <x v="1"/>
    <s v="finance"/>
    <x v="1"/>
    <s v="Clerk"/>
    <d v="2020-01-15T00:00:00"/>
    <d v="2020-01-15T00:00:00"/>
    <s v="A"/>
    <n v="97"/>
    <s v="jack.ryan@saltcorp.com"/>
    <s v="123-456-7890"/>
    <s v="Full-Time"/>
    <s v="Full-Time"/>
    <m/>
    <n v="8"/>
    <m/>
    <n v="12"/>
    <d v="2021-10-01T00:00:00"/>
    <m/>
    <s v="no"/>
    <s v="No"/>
    <n v="3"/>
    <s v="No"/>
  </r>
  <r>
    <s v="EMP-2018-0122"/>
    <s v="Jack"/>
    <s v="Murphy"/>
    <m/>
    <n v="47"/>
    <n v="1977"/>
    <n v="55000"/>
    <n v="55000"/>
    <x v="1"/>
    <s v="finance"/>
    <x v="1"/>
    <s v="Manager"/>
    <d v="2018-04-05T00:00:00"/>
    <d v="2018-04-05T00:00:00"/>
    <s v="F"/>
    <n v="28"/>
    <s v="jack.murphy@saltcorp.com"/>
    <s v="123-456-7890"/>
    <s v="Full-Time"/>
    <s v="Full-Time"/>
    <m/>
    <n v="3"/>
    <m/>
    <m/>
    <m/>
    <n v="32"/>
    <s v="YES"/>
    <s v="Yes"/>
    <n v="2"/>
    <s v="Yes"/>
  </r>
  <r>
    <s v="EMP-2020-0123"/>
    <s v="Charlie"/>
    <s v="Harris"/>
    <n v="25"/>
    <n v="25"/>
    <n v="1999"/>
    <n v="65000"/>
    <n v="65000"/>
    <x v="1"/>
    <s v="sales"/>
    <x v="2"/>
    <s v="Manager"/>
    <d v="2020-01-15T00:00:00"/>
    <d v="2020-01-15T00:00:00"/>
    <s v="A"/>
    <n v="94"/>
    <s v="charlie.harris@saltcorp.com"/>
    <s v="123-456-7890"/>
    <s v="Full-Time"/>
    <s v="Full-Time"/>
    <m/>
    <n v="4"/>
    <m/>
    <m/>
    <m/>
    <n v="20"/>
    <s v="YES"/>
    <s v="Yes"/>
    <n v="4"/>
    <s v="No"/>
  </r>
  <r>
    <s v="EMP-2020-0124"/>
    <s v="Grace"/>
    <s v="Zhou"/>
    <m/>
    <n v="33"/>
    <n v="1991"/>
    <n v="61300"/>
    <n v="61300"/>
    <x v="0"/>
    <s v="finance"/>
    <x v="1"/>
    <s v="Clerk"/>
    <d v="2020-02-20T00:00:00"/>
    <d v="2020-02-20T00:00:00"/>
    <s v="F"/>
    <n v="4"/>
    <s v="grace.zhou@saltcorp.com"/>
    <s v="098-765-4321"/>
    <s v="Part-Time"/>
    <s v="Part-Time"/>
    <m/>
    <n v="1"/>
    <m/>
    <m/>
    <m/>
    <n v="31"/>
    <m/>
    <s v=""/>
    <n v="1"/>
    <s v="Yes"/>
  </r>
  <r>
    <s v="EMP-2020-0125"/>
    <s v="Alice"/>
    <s v="Williamson"/>
    <s v="thirty"/>
    <n v="30"/>
    <n v="1994"/>
    <n v="55000"/>
    <n v="55000"/>
    <x v="1"/>
    <s v="Marketing"/>
    <x v="4"/>
    <s v="Clerk"/>
    <d v="2020-01-15T00:00:00"/>
    <d v="2020-01-15T00:00:00"/>
    <s v="C"/>
    <n v="74"/>
    <s v="alice.williamson@saltcorp.com"/>
    <m/>
    <s v="Full-Time"/>
    <s v="Full-Time"/>
    <m/>
    <n v="5"/>
    <m/>
    <m/>
    <d v="2024-08-12T00:00:00"/>
    <m/>
    <s v="no"/>
    <s v="No"/>
    <n v="1"/>
    <s v="Yes"/>
  </r>
  <r>
    <s v="EMP-2020-0126"/>
    <s v="David"/>
    <s v="Kim"/>
    <n v="40"/>
    <n v="40"/>
    <n v="1984"/>
    <n v="55000"/>
    <n v="55000"/>
    <x v="0"/>
    <s v="it"/>
    <x v="3"/>
    <s v="Clerk"/>
    <d v="2020-02-20T00:00:00"/>
    <d v="2020-02-20T00:00:00"/>
    <s v="A"/>
    <n v="98"/>
    <s v="david.kim@saltcorp.com"/>
    <s v="555-555-5555"/>
    <s v="Full-Time"/>
    <s v="Full-Time"/>
    <s v="EMP-2020-0038"/>
    <n v="7"/>
    <m/>
    <n v="3"/>
    <d v="2022-06-20T00:00:00"/>
    <m/>
    <s v="YES"/>
    <s v="Yes"/>
    <n v="3"/>
    <s v="No"/>
  </r>
  <r>
    <s v="EMP-2020-0127"/>
    <s v="David"/>
    <s v="Weber"/>
    <n v="25"/>
    <n v="25"/>
    <n v="1999"/>
    <n v="50000"/>
    <n v="50000"/>
    <x v="0"/>
    <s v="finance"/>
    <x v="1"/>
    <s v="Manager"/>
    <d v="2020-02-20T00:00:00"/>
    <d v="2020-02-20T00:00:00"/>
    <s v="D"/>
    <n v="61"/>
    <s v="david.weber@saltcorp.com"/>
    <s v="098-765-4321"/>
    <s v="Full-Time"/>
    <s v="Full-Time"/>
    <m/>
    <n v="2"/>
    <m/>
    <n v="19"/>
    <m/>
    <m/>
    <s v="YES"/>
    <s v="Yes"/>
    <n v="3"/>
    <s v="No"/>
  </r>
  <r>
    <s v="EMP-2020-0128"/>
    <s v="Eve"/>
    <s v="Bennett"/>
    <n v="25"/>
    <n v="25"/>
    <n v="1999"/>
    <n v="70000"/>
    <n v="70000"/>
    <x v="1"/>
    <s v="finance"/>
    <x v="1"/>
    <s v="Director"/>
    <d v="2020-01-15T00:00:00"/>
    <d v="2020-01-15T00:00:00"/>
    <s v="B"/>
    <n v="85"/>
    <s v="eve.bennett@saltcorp.com"/>
    <s v="555-555-5555"/>
    <s v="contract"/>
    <s v="Contract"/>
    <m/>
    <n v="5"/>
    <m/>
    <m/>
    <m/>
    <n v="79"/>
    <s v="YES"/>
    <s v="Yes"/>
    <n v="4"/>
    <s v="No"/>
  </r>
  <r>
    <s v="EMP-2019-0129"/>
    <s v="Grace"/>
    <s v="Liu"/>
    <n v="35"/>
    <n v="35"/>
    <n v="1989"/>
    <n v="65000"/>
    <n v="65000"/>
    <x v="1"/>
    <s v="sales"/>
    <x v="2"/>
    <s v="Clerk"/>
    <d v="2019-03-25T00:00:00"/>
    <d v="2019-03-25T00:00:00"/>
    <s v="D"/>
    <n v="66"/>
    <s v="grace.liu@saltcorp.com"/>
    <m/>
    <s v="Full-Time"/>
    <s v="Full-Time"/>
    <m/>
    <n v="3"/>
    <m/>
    <n v="15"/>
    <m/>
    <n v="20"/>
    <s v="YES"/>
    <s v="Yes"/>
    <n v="5"/>
    <s v="No"/>
  </r>
  <r>
    <s v="EMP-2020-0130"/>
    <s v="Grace"/>
    <s v="Rogers"/>
    <n v="35"/>
    <n v="35"/>
    <n v="1989"/>
    <n v="55000"/>
    <n v="55000"/>
    <x v="1"/>
    <s v="Marketing"/>
    <x v="4"/>
    <s v="Analyst"/>
    <d v="2020-01-15T00:00:00"/>
    <d v="2020-01-15T00:00:00"/>
    <s v="B"/>
    <n v="80"/>
    <s v="grace.rogers@saltcorp.com"/>
    <s v=" "/>
    <s v="contract"/>
    <s v="Contract"/>
    <m/>
    <n v="7"/>
    <m/>
    <n v="17"/>
    <m/>
    <m/>
    <s v="YES"/>
    <s v="Yes"/>
    <n v="2"/>
    <s v="Yes"/>
  </r>
  <r>
    <s v="EMP-2019-0131"/>
    <s v="David"/>
    <s v="Dominguez"/>
    <n v="40"/>
    <n v="40"/>
    <n v="1984"/>
    <n v="50000"/>
    <n v="50000"/>
    <x v="0"/>
    <s v="it"/>
    <x v="3"/>
    <s v="Clerk"/>
    <d v="2019-12-01T00:00:00"/>
    <d v="2019-12-01T00:00:00"/>
    <s v="A"/>
    <n v="90"/>
    <s v="david.dominguez@saltcorp.com"/>
    <s v="123-456-7890"/>
    <s v="Full-Time"/>
    <s v="Full-Time"/>
    <s v="EMP-2019-0100"/>
    <n v="2"/>
    <m/>
    <n v="7"/>
    <s v="N/A"/>
    <m/>
    <s v="no"/>
    <s v="No"/>
    <n v="3"/>
    <s v="No"/>
  </r>
  <r>
    <s v="EMP-2019-0132"/>
    <s v="Grace"/>
    <s v="Wang"/>
    <n v="50"/>
    <n v="50"/>
    <n v="1974"/>
    <n v="58300"/>
    <n v="58300"/>
    <x v="0"/>
    <s v="sales"/>
    <x v="2"/>
    <s v="Assistant"/>
    <d v="2019-12-01T00:00:00"/>
    <d v="2019-12-01T00:00:00"/>
    <s v="A"/>
    <n v="96"/>
    <s v="grace.wang@saltcorp.com"/>
    <s v="555-555-5555"/>
    <s v="Part-Time"/>
    <s v="Part-Time"/>
    <m/>
    <n v="2"/>
    <m/>
    <m/>
    <d v="2023-03-05T00:00:00"/>
    <m/>
    <s v="YES"/>
    <s v="Yes"/>
    <n v="4"/>
    <s v="Yes"/>
  </r>
  <r>
    <s v="EMP-2019-0133"/>
    <s v="Charlie"/>
    <s v="Mason"/>
    <n v="25"/>
    <n v="25"/>
    <n v="1999"/>
    <s v="SIXTY THOUSAND"/>
    <n v="60000"/>
    <x v="0"/>
    <s v="sales"/>
    <x v="2"/>
    <s v="Clerk"/>
    <d v="2019-03-25T00:00:00"/>
    <d v="2019-03-25T00:00:00"/>
    <s v="B"/>
    <n v="87"/>
    <s v="charlie.mason@saltcorp.com"/>
    <s v="098-765-4321"/>
    <s v="Part-Time"/>
    <s v="Part-Time"/>
    <m/>
    <n v="5"/>
    <n v="12"/>
    <n v="1"/>
    <s v="N/A"/>
    <n v="19"/>
    <s v="YES"/>
    <s v="Yes"/>
    <n v="5"/>
    <s v="No"/>
  </r>
  <r>
    <s v="EMP-2020-0134"/>
    <s v="Frank"/>
    <s v="Wallace"/>
    <n v="40"/>
    <n v="40"/>
    <n v="1984"/>
    <n v="65000"/>
    <n v="65000"/>
    <x v="1"/>
    <s v="Marketing"/>
    <x v="4"/>
    <s v="Manager"/>
    <d v="2020-02-20T00:00:00"/>
    <d v="2020-02-20T00:00:00"/>
    <s v="C"/>
    <n v="76"/>
    <s v="frank.wallace@saltcorp.com"/>
    <s v="555-555-5555"/>
    <s v="contract"/>
    <s v="Contract"/>
    <m/>
    <n v="2"/>
    <m/>
    <n v="5"/>
    <d v="2024-08-12T00:00:00"/>
    <n v="58"/>
    <m/>
    <s v=""/>
    <n v="4"/>
    <s v="Yes"/>
  </r>
  <r>
    <s v="EMP-2019-0135"/>
    <s v="Bob"/>
    <s v="Dixon"/>
    <n v="35"/>
    <n v="35"/>
    <n v="1989"/>
    <n v="55000"/>
    <n v="55000"/>
    <x v="1"/>
    <s v="it"/>
    <x v="3"/>
    <s v="Clerk"/>
    <d v="2019-03-25T00:00:00"/>
    <d v="2019-03-25T00:00:00"/>
    <s v="F"/>
    <n v="58"/>
    <s v="bob.dixon@saltcorp.com"/>
    <s v=" "/>
    <s v="contract"/>
    <s v="Contract"/>
    <s v="EMP-2020-0083"/>
    <n v="2"/>
    <m/>
    <m/>
    <d v="2021-10-01T00:00:00"/>
    <m/>
    <s v="no"/>
    <s v="No"/>
    <n v="2"/>
    <s v="No"/>
  </r>
  <r>
    <s v="EMP-2019-0136"/>
    <s v="Jack"/>
    <s v="Ryan"/>
    <n v="35"/>
    <n v="35"/>
    <n v="1989"/>
    <n v="70000"/>
    <n v="70000"/>
    <x v="1"/>
    <s v="Marketing"/>
    <x v="4"/>
    <s v="Assistant"/>
    <d v="2019-12-01T00:00:00"/>
    <d v="2019-12-01T00:00:00"/>
    <s v="D"/>
    <n v="60"/>
    <s v="jack.ryan@saltcorp.com"/>
    <s v="123-456-7890"/>
    <s v="Part-Time"/>
    <s v="Part-Time"/>
    <m/>
    <n v="8"/>
    <s v="N/A"/>
    <n v="8"/>
    <d v="2023-03-05T00:00:00"/>
    <n v="51"/>
    <s v="YES"/>
    <s v="Yes"/>
    <n v="1"/>
    <s v="No"/>
  </r>
  <r>
    <s v="EMP-2019-0137"/>
    <s v="Ivy"/>
    <s v="Barnett"/>
    <n v="25"/>
    <n v="25"/>
    <n v="1999"/>
    <n v="50000"/>
    <n v="50000"/>
    <x v="1"/>
    <s v="it"/>
    <x v="3"/>
    <s v="Analyst"/>
    <d v="2019-03-25T00:00:00"/>
    <d v="2019-03-25T00:00:00"/>
    <s v="D"/>
    <n v="60"/>
    <s v="ivy.barnett@saltcorp.com"/>
    <s v="555-555-5555"/>
    <s v="contract"/>
    <s v="Contract"/>
    <m/>
    <n v="4"/>
    <m/>
    <m/>
    <d v="2023-01-15T00:00:00"/>
    <n v="43"/>
    <s v="no"/>
    <s v="No"/>
    <n v="2"/>
    <s v="Yes"/>
  </r>
  <r>
    <s v="EMP-2020-0138"/>
    <s v="Eve"/>
    <s v="Bell"/>
    <m/>
    <n v="51"/>
    <n v="1973"/>
    <n v="55000"/>
    <n v="55000"/>
    <x v="1"/>
    <s v="Marketing"/>
    <x v="4"/>
    <s v="Director"/>
    <d v="2020-01-15T00:00:00"/>
    <d v="2020-01-15T00:00:00"/>
    <s v="D"/>
    <n v="67"/>
    <s v="eve.bell@saltcorp.com"/>
    <s v=" "/>
    <s v="Full-Time"/>
    <s v="Full-Time"/>
    <s v="EMP-2019-0023"/>
    <n v="4"/>
    <n v="7"/>
    <m/>
    <m/>
    <m/>
    <m/>
    <s v=""/>
    <n v="5"/>
    <s v="No"/>
  </r>
  <r>
    <s v="EMP-2019-0139"/>
    <s v="Frank"/>
    <s v="Bell"/>
    <s v="thirty"/>
    <n v="30"/>
    <n v="1994"/>
    <n v="70000"/>
    <n v="70000"/>
    <x v="0"/>
    <s v="sales"/>
    <x v="2"/>
    <s v="Clerk"/>
    <d v="2019-03-25T00:00:00"/>
    <d v="2019-03-25T00:00:00"/>
    <s v="A"/>
    <n v="90"/>
    <s v="frank.bell@saltcorp.com"/>
    <s v="098-765-4321"/>
    <s v="Full-Time"/>
    <s v="Full-Time"/>
    <m/>
    <n v="5"/>
    <n v="12"/>
    <m/>
    <m/>
    <m/>
    <m/>
    <s v=""/>
    <n v="2"/>
    <s v="No"/>
  </r>
  <r>
    <s v="EMP-2020-0140"/>
    <s v="David"/>
    <s v="Murphy"/>
    <n v="35"/>
    <n v="35"/>
    <n v="1989"/>
    <n v="55000"/>
    <n v="55000"/>
    <x v="0"/>
    <s v="sales"/>
    <x v="2"/>
    <s v="Assistant"/>
    <d v="2020-02-20T00:00:00"/>
    <d v="2020-02-20T00:00:00"/>
    <s v="D"/>
    <n v="66"/>
    <s v="david.murphy@saltcorp.com"/>
    <m/>
    <s v="contract"/>
    <s v="Contract"/>
    <m/>
    <n v="4"/>
    <m/>
    <m/>
    <d v="2021-10-01T00:00:00"/>
    <m/>
    <s v="no"/>
    <s v="No"/>
    <n v="4"/>
    <s v="No"/>
  </r>
  <r>
    <s v="EMP-2020-0141"/>
    <s v="Jack"/>
    <s v="McCarthy"/>
    <n v="50"/>
    <n v="50"/>
    <n v="1974"/>
    <n v="65000"/>
    <n v="65000"/>
    <x v="1"/>
    <s v="HR"/>
    <x v="0"/>
    <s v="Assistant"/>
    <d v="2020-01-15T00:00:00"/>
    <d v="2020-01-15T00:00:00"/>
    <s v="F"/>
    <n v="1"/>
    <s v="jack.mccarthy@saltcorp.com"/>
    <s v="098-765-4321"/>
    <s v="Full-Time"/>
    <s v="Full-Time"/>
    <m/>
    <n v="6"/>
    <m/>
    <m/>
    <m/>
    <n v="40"/>
    <s v="YES"/>
    <s v="Yes"/>
    <n v="2"/>
    <s v="Yes"/>
  </r>
  <r>
    <s v="EMP-2018-0142"/>
    <s v="Grace"/>
    <s v="Liu"/>
    <n v="50"/>
    <n v="50"/>
    <n v="1974"/>
    <n v="65000"/>
    <n v="65000"/>
    <x v="1"/>
    <s v="finance"/>
    <x v="1"/>
    <s v="Analyst"/>
    <d v="2018-04-05T00:00:00"/>
    <d v="2018-04-05T00:00:00"/>
    <s v="F"/>
    <n v="41"/>
    <s v="grace.liu@saltcorp.com"/>
    <s v="123-456-7890"/>
    <s v="Part-Time"/>
    <s v="Part-Time"/>
    <m/>
    <n v="7"/>
    <m/>
    <n v="9"/>
    <m/>
    <n v="36"/>
    <m/>
    <s v=""/>
    <n v="1"/>
    <s v="No"/>
  </r>
  <r>
    <s v="EMP-2019-0143"/>
    <s v="Ivy"/>
    <s v="Gomez"/>
    <n v="35"/>
    <n v="35"/>
    <n v="1989"/>
    <n v="65000"/>
    <n v="65000"/>
    <x v="1"/>
    <s v="Marketing"/>
    <x v="4"/>
    <s v="Manager"/>
    <d v="2019-12-01T00:00:00"/>
    <d v="2019-12-01T00:00:00"/>
    <s v="B"/>
    <n v="80"/>
    <s v="ivy.gomez@saltcorp.com"/>
    <s v="098-765-4321"/>
    <s v="contract"/>
    <s v="Contract"/>
    <m/>
    <n v="5"/>
    <s v="N/A"/>
    <m/>
    <d v="2022-06-20T00:00:00"/>
    <n v="22"/>
    <m/>
    <s v=""/>
    <n v="4"/>
    <s v="Yes"/>
  </r>
  <r>
    <s v="EMP-2019-0144"/>
    <s v="Grace"/>
    <s v="Ross"/>
    <m/>
    <n v="35"/>
    <n v="1989"/>
    <n v="58800"/>
    <n v="58800"/>
    <x v="1"/>
    <s v="HR"/>
    <x v="0"/>
    <s v="Clerk"/>
    <d v="2019-12-01T00:00:00"/>
    <d v="2019-12-01T00:00:00"/>
    <s v="A"/>
    <n v="90"/>
    <s v="grace.ross@saltcorp.com"/>
    <s v="098-765-4321"/>
    <s v="Part-Time"/>
    <s v="Part-Time"/>
    <m/>
    <n v="3"/>
    <m/>
    <m/>
    <s v="N/A"/>
    <m/>
    <m/>
    <s v=""/>
    <n v="5"/>
    <s v="No"/>
  </r>
  <r>
    <s v="EMP-2019-0145"/>
    <s v="Alice"/>
    <s v="Evans"/>
    <m/>
    <n v="29"/>
    <n v="1995"/>
    <n v="58500"/>
    <n v="58500"/>
    <x v="1"/>
    <s v="finance"/>
    <x v="1"/>
    <s v="Assistant"/>
    <d v="2019-03-25T00:00:00"/>
    <d v="2019-03-25T00:00:00"/>
    <s v="F"/>
    <n v="29"/>
    <s v="alice.evans@saltcorp.com"/>
    <s v="098-765-4321"/>
    <s v="Part-Time"/>
    <s v="Part-Time"/>
    <m/>
    <n v="1"/>
    <m/>
    <m/>
    <d v="2023-03-05T00:00:00"/>
    <m/>
    <m/>
    <s v=""/>
    <n v="1"/>
    <s v="No"/>
  </r>
  <r>
    <s v="EMP-2020-0146"/>
    <s v="Alice"/>
    <s v="Morris"/>
    <n v="40"/>
    <n v="40"/>
    <n v="1984"/>
    <n v="50000"/>
    <n v="50000"/>
    <x v="0"/>
    <s v="Marketing"/>
    <x v="4"/>
    <s v="Analyst"/>
    <d v="2020-01-15T00:00:00"/>
    <d v="2020-01-15T00:00:00"/>
    <s v="C"/>
    <n v="72"/>
    <s v="alice.morris@saltcorp.com"/>
    <s v="098-765-4321"/>
    <s v="contract"/>
    <s v="Contract"/>
    <m/>
    <n v="8"/>
    <m/>
    <n v="16"/>
    <s v="N/A"/>
    <m/>
    <s v="YES"/>
    <s v="Yes"/>
    <n v="2"/>
    <s v="Yes"/>
  </r>
  <r>
    <s v="EMP-2018-0147"/>
    <s v="Ivy"/>
    <s v="Harrison"/>
    <n v="50"/>
    <n v="50"/>
    <n v="1974"/>
    <n v="65000"/>
    <n v="65000"/>
    <x v="0"/>
    <s v="it"/>
    <x v="3"/>
    <s v="Director"/>
    <d v="2018-04-05T00:00:00"/>
    <d v="2018-04-05T00:00:00"/>
    <s v="A"/>
    <n v="91"/>
    <s v="ivy.harrison@saltcorp.com"/>
    <s v="123-456-7890"/>
    <s v="Part-Time"/>
    <s v="Part-Time"/>
    <m/>
    <n v="4"/>
    <s v="N/A"/>
    <n v="14"/>
    <m/>
    <m/>
    <s v="no"/>
    <s v="No"/>
    <n v="5"/>
    <s v="No"/>
  </r>
  <r>
    <s v="EMP-2020-0148"/>
    <s v="Ivy"/>
    <s v="Desai"/>
    <n v="40"/>
    <n v="40"/>
    <n v="1984"/>
    <n v="70000"/>
    <n v="70000"/>
    <x v="1"/>
    <s v="finance"/>
    <x v="1"/>
    <s v="Assistant"/>
    <d v="2020-01-15T00:00:00"/>
    <d v="2020-01-15T00:00:00"/>
    <s v="A"/>
    <n v="90"/>
    <s v="ivy.desai@saltcorp.com"/>
    <s v=" "/>
    <s v="Part-Time"/>
    <s v="Part-Time"/>
    <m/>
    <n v="8"/>
    <s v="N/A"/>
    <m/>
    <m/>
    <n v="19"/>
    <s v="YES"/>
    <s v="Yes"/>
    <n v="5"/>
    <s v="No"/>
  </r>
  <r>
    <s v="EMP-2019-0149"/>
    <s v="David"/>
    <s v="Pearson"/>
    <n v="50"/>
    <n v="50"/>
    <n v="1974"/>
    <n v="55000"/>
    <n v="55000"/>
    <x v="1"/>
    <s v="sales"/>
    <x v="2"/>
    <s v="Analyst"/>
    <d v="2019-12-01T00:00:00"/>
    <d v="2019-12-01T00:00:00"/>
    <s v="F"/>
    <n v="6"/>
    <s v="david.pearson@saltcorp.com"/>
    <s v="555-555-5555"/>
    <s v="contract"/>
    <s v="Contract"/>
    <m/>
    <n v="6"/>
    <s v="N/A"/>
    <m/>
    <d v="2021-10-01T00:00:00"/>
    <m/>
    <s v="YES"/>
    <s v="Yes"/>
    <n v="1"/>
    <s v="Yes"/>
  </r>
  <r>
    <s v="EMP-2020-0150"/>
    <s v="Ivy"/>
    <s v="Weber"/>
    <s v="thirty"/>
    <n v="30"/>
    <n v="1994"/>
    <s v="SIXTY THOUSAND"/>
    <n v="60000"/>
    <x v="1"/>
    <s v="HR"/>
    <x v="0"/>
    <s v="Manager"/>
    <d v="2020-01-15T00:00:00"/>
    <d v="2020-01-15T00:00:00"/>
    <s v="C"/>
    <n v="71"/>
    <s v="ivy.weber@saltcorp.com"/>
    <m/>
    <s v="contract"/>
    <s v="Contract"/>
    <m/>
    <n v="4"/>
    <m/>
    <n v="17"/>
    <m/>
    <m/>
    <s v="no"/>
    <s v="No"/>
    <n v="2"/>
    <s v="No"/>
  </r>
  <r>
    <s v="EMP-2018-0151"/>
    <s v="Charlie"/>
    <s v="Williamson"/>
    <s v="thirty"/>
    <n v="30"/>
    <n v="1994"/>
    <n v="70000"/>
    <n v="70000"/>
    <x v="0"/>
    <s v="finance"/>
    <x v="1"/>
    <s v="Manager"/>
    <d v="2018-04-05T00:00:00"/>
    <d v="2018-04-05T00:00:00"/>
    <s v="B"/>
    <n v="85"/>
    <s v="charlie.williamson@saltcorp.com"/>
    <s v="555-555-5555"/>
    <s v="Part-Time"/>
    <s v="Part-Time"/>
    <m/>
    <n v="1"/>
    <s v="N/A"/>
    <m/>
    <m/>
    <n v="46"/>
    <s v="YES"/>
    <s v="Yes"/>
    <n v="5"/>
    <s v="No"/>
  </r>
  <r>
    <s v="EMP-2019-0152"/>
    <s v="Grace"/>
    <s v="Wang"/>
    <n v="25"/>
    <n v="25"/>
    <n v="1999"/>
    <n v="58500"/>
    <n v="58500"/>
    <x v="1"/>
    <s v="finance"/>
    <x v="1"/>
    <s v="Assistant"/>
    <d v="2019-03-25T00:00:00"/>
    <d v="2019-03-25T00:00:00"/>
    <s v="F"/>
    <n v="0"/>
    <s v="grace.wang@saltcorp.com"/>
    <s v="555-555-5555"/>
    <s v="Full-Time"/>
    <s v="Full-Time"/>
    <m/>
    <n v="1"/>
    <s v="N/A"/>
    <n v="13"/>
    <m/>
    <m/>
    <m/>
    <s v=""/>
    <n v="4"/>
    <s v="No"/>
  </r>
  <r>
    <s v="EMP-2020-0153"/>
    <s v="Frank"/>
    <s v="Ramirez"/>
    <n v="40"/>
    <n v="40"/>
    <n v="1984"/>
    <n v="58300"/>
    <n v="58300"/>
    <x v="0"/>
    <s v="sales"/>
    <x v="2"/>
    <s v="Assistant"/>
    <d v="2020-02-20T00:00:00"/>
    <d v="2020-02-20T00:00:00"/>
    <s v="C"/>
    <n v="71"/>
    <s v="frank.ramirez@saltcorp.com"/>
    <m/>
    <s v="Part-Time"/>
    <s v="Part-Time"/>
    <m/>
    <n v="2"/>
    <m/>
    <m/>
    <d v="2021-10-01T00:00:00"/>
    <m/>
    <s v="no"/>
    <s v="No"/>
    <n v="2"/>
    <s v="No"/>
  </r>
  <r>
    <s v="EMP-2020-0154"/>
    <s v="Hannah"/>
    <s v="Evans"/>
    <n v="35"/>
    <n v="35"/>
    <n v="1989"/>
    <n v="70000"/>
    <n v="70000"/>
    <x v="0"/>
    <s v="Marketing"/>
    <x v="4"/>
    <s v="Clerk"/>
    <d v="2020-01-15T00:00:00"/>
    <d v="2020-01-15T00:00:00"/>
    <s v="A"/>
    <n v="100"/>
    <s v="hannah.evans@saltcorp.com"/>
    <s v="123-456-7890"/>
    <s v="Full-Time"/>
    <s v="Full-Time"/>
    <m/>
    <n v="2"/>
    <s v="N/A"/>
    <m/>
    <m/>
    <m/>
    <s v="YES"/>
    <s v="Yes"/>
    <n v="1"/>
    <s v="No"/>
  </r>
  <r>
    <s v="EMP-2020-0155"/>
    <s v="Ivy"/>
    <s v="Kumar"/>
    <n v="40"/>
    <n v="40"/>
    <n v="1984"/>
    <n v="59300"/>
    <n v="59300"/>
    <x v="1"/>
    <s v="it"/>
    <x v="3"/>
    <s v="Analyst"/>
    <d v="2020-02-20T00:00:00"/>
    <d v="2020-02-20T00:00:00"/>
    <s v="C"/>
    <n v="79"/>
    <s v="ivy.kumar@saltcorp.com"/>
    <m/>
    <s v="contract"/>
    <s v="Contract"/>
    <s v="EMP-2018-0018"/>
    <n v="8"/>
    <n v="2"/>
    <m/>
    <d v="2022-06-20T00:00:00"/>
    <m/>
    <s v="YES"/>
    <s v="Yes"/>
    <n v="3"/>
    <s v="No"/>
  </r>
  <r>
    <s v="EMP-2019-0156"/>
    <s v="Eve"/>
    <s v="Parker"/>
    <n v="35"/>
    <n v="35"/>
    <n v="1989"/>
    <n v="65000"/>
    <n v="65000"/>
    <x v="1"/>
    <s v="sales"/>
    <x v="2"/>
    <s v="Assistant"/>
    <d v="2019-12-01T00:00:00"/>
    <d v="2019-12-01T00:00:00"/>
    <s v="A"/>
    <n v="97"/>
    <s v="eve.parker@saltcorp.com"/>
    <s v="123-456-7890"/>
    <s v="Part-Time"/>
    <s v="Part-Time"/>
    <m/>
    <n v="3"/>
    <m/>
    <n v="17"/>
    <d v="2023-01-15T00:00:00"/>
    <n v="19"/>
    <s v="no"/>
    <s v="No"/>
    <n v="1"/>
    <s v="No"/>
  </r>
  <r>
    <s v="EMP-2019-0157"/>
    <s v="Alice"/>
    <s v="Oliver"/>
    <m/>
    <n v="31"/>
    <n v="1993"/>
    <n v="50000"/>
    <n v="50000"/>
    <x v="1"/>
    <s v="it"/>
    <x v="3"/>
    <s v="Clerk"/>
    <d v="2019-03-25T00:00:00"/>
    <d v="2019-03-25T00:00:00"/>
    <s v="F"/>
    <n v="56"/>
    <s v="alice.oliver@saltcorp.com"/>
    <s v="555-555-5555"/>
    <s v="Part-Time"/>
    <s v="Part-Time"/>
    <s v="EMP-2019-0015"/>
    <n v="2"/>
    <m/>
    <m/>
    <m/>
    <n v="73"/>
    <s v="YES"/>
    <s v="Yes"/>
    <n v="3"/>
    <s v="No"/>
  </r>
  <r>
    <s v="EMP-2019-0158"/>
    <s v="Charlie"/>
    <s v="Dixon"/>
    <n v="40"/>
    <n v="40"/>
    <n v="1984"/>
    <n v="55000"/>
    <n v="55000"/>
    <x v="1"/>
    <s v="Marketing"/>
    <x v="4"/>
    <s v="Clerk"/>
    <d v="2019-03-25T00:00:00"/>
    <d v="2019-03-25T00:00:00"/>
    <s v="F"/>
    <n v="39"/>
    <s v="charlie.dixon@saltcorp.com"/>
    <s v="123-456-7890"/>
    <s v="Part-Time"/>
    <s v="Part-Time"/>
    <m/>
    <n v="2"/>
    <m/>
    <n v="5"/>
    <d v="2023-03-05T00:00:00"/>
    <n v="44"/>
    <s v="YES"/>
    <s v="Yes"/>
    <n v="1"/>
    <s v="No"/>
  </r>
  <r>
    <s v="EMP-2020-0159"/>
    <s v="Jack"/>
    <s v="Lucas"/>
    <m/>
    <n v="33"/>
    <n v="1991"/>
    <n v="50000"/>
    <n v="50000"/>
    <x v="0"/>
    <s v="finance"/>
    <x v="1"/>
    <s v="Assistant"/>
    <d v="2020-01-15T00:00:00"/>
    <d v="2020-01-15T00:00:00"/>
    <s v="D"/>
    <n v="60"/>
    <s v="jack.lucas@saltcorp.com"/>
    <s v=" "/>
    <s v="Full-Time"/>
    <s v="Full-Time"/>
    <m/>
    <n v="2"/>
    <s v="N/A"/>
    <m/>
    <m/>
    <m/>
    <s v="YES"/>
    <s v="Yes"/>
    <n v="2"/>
    <s v="No"/>
  </r>
  <r>
    <s v="EMP-2019-0160"/>
    <s v="Hannah"/>
    <s v="Foster"/>
    <s v="thirty"/>
    <n v="30"/>
    <n v="1994"/>
    <n v="55000"/>
    <n v="55000"/>
    <x v="0"/>
    <s v="it"/>
    <x v="3"/>
    <s v="Manager"/>
    <d v="2019-03-25T00:00:00"/>
    <d v="2019-03-25T00:00:00"/>
    <s v="D"/>
    <n v="63"/>
    <s v="hannah.foster@saltcorp.com"/>
    <m/>
    <s v="Full-Time"/>
    <s v="Full-Time"/>
    <m/>
    <n v="5"/>
    <n v="14"/>
    <n v="8"/>
    <d v="2024-08-12T00:00:00"/>
    <m/>
    <s v="YES"/>
    <s v="Yes"/>
    <n v="5"/>
    <s v="No"/>
  </r>
  <r>
    <s v="EMP-2020-0161"/>
    <s v="Frank"/>
    <s v="Vega"/>
    <s v="thirty"/>
    <n v="30"/>
    <n v="1994"/>
    <n v="55000"/>
    <n v="55000"/>
    <x v="0"/>
    <s v="HR"/>
    <x v="0"/>
    <s v="Analyst"/>
    <d v="2020-01-15T00:00:00"/>
    <d v="2020-01-15T00:00:00"/>
    <s v="D"/>
    <n v="69"/>
    <s v="frank.vega@saltcorp.com"/>
    <s v=" "/>
    <s v="Full-Time"/>
    <s v="Full-Time"/>
    <s v="EMP-2020-0094"/>
    <n v="4"/>
    <m/>
    <m/>
    <m/>
    <n v="66"/>
    <s v="no"/>
    <s v="No"/>
    <n v="1"/>
    <s v="Yes"/>
  </r>
  <r>
    <s v="EMP-2020-0162"/>
    <s v="Hannah"/>
    <s v="Johnston"/>
    <n v="25"/>
    <n v="25"/>
    <n v="1999"/>
    <n v="50000"/>
    <n v="50000"/>
    <x v="1"/>
    <s v="HR"/>
    <x v="0"/>
    <s v="Analyst"/>
    <d v="2020-01-15T00:00:00"/>
    <d v="2020-01-15T00:00:00"/>
    <s v="F"/>
    <n v="12"/>
    <s v="hannah.johnston@saltcorp.com"/>
    <s v="555-555-5555"/>
    <s v="Full-Time"/>
    <s v="Full-Time"/>
    <m/>
    <n v="8"/>
    <m/>
    <m/>
    <d v="2021-10-01T00:00:00"/>
    <m/>
    <s v="YES"/>
    <s v="Yes"/>
    <n v="1"/>
    <s v="Yes"/>
  </r>
  <r>
    <s v="EMP-2020-0163"/>
    <s v="Ivy"/>
    <s v="Armstrong"/>
    <n v="40"/>
    <n v="40"/>
    <n v="1984"/>
    <n v="70000"/>
    <n v="70000"/>
    <x v="0"/>
    <s v="sales"/>
    <x v="2"/>
    <s v="Manager"/>
    <d v="2020-02-20T00:00:00"/>
    <d v="2020-02-20T00:00:00"/>
    <s v="B"/>
    <n v="83"/>
    <s v="ivy.armstrong@saltcorp.com"/>
    <m/>
    <s v="Full-Time"/>
    <s v="Full-Time"/>
    <m/>
    <n v="5"/>
    <m/>
    <n v="16"/>
    <m/>
    <m/>
    <s v="YES"/>
    <s v="Yes"/>
    <n v="5"/>
    <s v="No"/>
  </r>
  <r>
    <s v="EMP-2019-0164"/>
    <s v="David"/>
    <s v="Matthews"/>
    <m/>
    <n v="38"/>
    <n v="1986"/>
    <n v="55000"/>
    <n v="55000"/>
    <x v="0"/>
    <s v="Marketing"/>
    <x v="4"/>
    <s v="Assistant"/>
    <d v="2019-03-25T00:00:00"/>
    <d v="2019-03-25T00:00:00"/>
    <s v="F"/>
    <n v="50"/>
    <s v="david.matthews@saltcorp.com"/>
    <s v="555-555-5555"/>
    <s v="Full-Time"/>
    <s v="Full-Time"/>
    <m/>
    <n v="5"/>
    <m/>
    <n v="17"/>
    <d v="2023-03-05T00:00:00"/>
    <m/>
    <s v="YES"/>
    <s v="Yes"/>
    <n v="1"/>
    <s v="Yes"/>
  </r>
  <r>
    <s v="EMP-2020-0165"/>
    <s v="Alice"/>
    <s v="Williams"/>
    <n v="35"/>
    <n v="35"/>
    <n v="1989"/>
    <n v="50000"/>
    <n v="50000"/>
    <x v="0"/>
    <s v="sales"/>
    <x v="2"/>
    <s v="Analyst"/>
    <d v="2020-01-15T00:00:00"/>
    <d v="2020-01-15T00:00:00"/>
    <s v="C"/>
    <n v="74"/>
    <s v="alice.williams@saltcorp.com"/>
    <s v=" "/>
    <s v="Part-Time"/>
    <s v="Part-Time"/>
    <s v="EMP-2020-0048"/>
    <n v="8"/>
    <m/>
    <m/>
    <m/>
    <m/>
    <s v="no"/>
    <s v="No"/>
    <n v="4"/>
    <s v="Yes"/>
  </r>
  <r>
    <s v="EMP-2020-0166"/>
    <s v="Alice"/>
    <s v="Chen"/>
    <s v="thirty"/>
    <n v="30"/>
    <n v="1994"/>
    <n v="55000"/>
    <n v="55000"/>
    <x v="1"/>
    <s v="sales"/>
    <x v="2"/>
    <s v="Assistant"/>
    <d v="2020-02-20T00:00:00"/>
    <d v="2020-02-20T00:00:00"/>
    <s v="F"/>
    <n v="30"/>
    <s v="alice.chen@saltcorp.com"/>
    <s v="555-555-5555"/>
    <s v="contract"/>
    <s v="Contract"/>
    <s v="EMP-2018-0047"/>
    <n v="1"/>
    <m/>
    <m/>
    <m/>
    <n v="17"/>
    <s v="no"/>
    <s v="No"/>
    <n v="1"/>
    <s v="Yes"/>
  </r>
  <r>
    <s v="EMP-2018-0167"/>
    <s v="Jack"/>
    <s v="O'Neill"/>
    <s v="thirty"/>
    <n v="30"/>
    <n v="1994"/>
    <s v="SIXTY THOUSAND"/>
    <n v="60000"/>
    <x v="0"/>
    <s v="sales"/>
    <x v="2"/>
    <s v="Assistant"/>
    <d v="2018-04-05T00:00:00"/>
    <d v="2018-04-05T00:00:00"/>
    <s v="F"/>
    <n v="47"/>
    <s v="jack.o'neill@saltcorp.com"/>
    <m/>
    <s v="Part-Time"/>
    <s v="Part-Time"/>
    <m/>
    <n v="2"/>
    <m/>
    <m/>
    <m/>
    <m/>
    <m/>
    <s v=""/>
    <n v="5"/>
    <s v="No"/>
  </r>
  <r>
    <s v="EMP-2020-0168"/>
    <s v="David"/>
    <s v="Walsh"/>
    <n v="35"/>
    <n v="35"/>
    <n v="1989"/>
    <n v="70000"/>
    <n v="70000"/>
    <x v="0"/>
    <s v="HR"/>
    <x v="0"/>
    <s v="Clerk"/>
    <d v="2020-02-20T00:00:00"/>
    <d v="2020-02-20T00:00:00"/>
    <s v="A"/>
    <n v="98"/>
    <s v="david.walsh@saltcorp.com"/>
    <m/>
    <s v="Full-Time"/>
    <s v="Full-Time"/>
    <s v="EMP-2020-0046"/>
    <n v="3"/>
    <m/>
    <m/>
    <m/>
    <n v="47"/>
    <s v="Y"/>
    <s v="Yes"/>
    <n v="1"/>
    <s v="Yes"/>
  </r>
  <r>
    <s v="EMP-2020-0169"/>
    <s v="Grace"/>
    <s v="Barnett"/>
    <m/>
    <n v="42"/>
    <n v="1982"/>
    <n v="65000"/>
    <n v="65000"/>
    <x v="1"/>
    <s v="HR"/>
    <x v="0"/>
    <s v="Manager"/>
    <d v="2020-02-20T00:00:00"/>
    <d v="2020-02-20T00:00:00"/>
    <s v="A"/>
    <n v="94"/>
    <s v="grace.barnett@saltcorp.com"/>
    <s v="555-555-5555"/>
    <s v="contract"/>
    <s v="Contract"/>
    <m/>
    <n v="1"/>
    <m/>
    <m/>
    <d v="2022-06-20T00:00:00"/>
    <m/>
    <s v="no"/>
    <s v="No"/>
    <n v="4"/>
    <s v="No"/>
  </r>
  <r>
    <s v="EMP-2020-0170"/>
    <s v="Bob"/>
    <s v="Figueroa"/>
    <m/>
    <n v="30"/>
    <n v="1994"/>
    <n v="55000"/>
    <n v="55000"/>
    <x v="0"/>
    <s v="sales"/>
    <x v="2"/>
    <s v="Assistant"/>
    <d v="2020-01-15T00:00:00"/>
    <d v="2020-01-15T00:00:00"/>
    <s v="A"/>
    <n v="93"/>
    <s v="bob.figueroa@saltcorp.com"/>
    <m/>
    <s v="Full-Time"/>
    <s v="Full-Time"/>
    <m/>
    <n v="5"/>
    <m/>
    <m/>
    <d v="2024-08-12T00:00:00"/>
    <m/>
    <m/>
    <s v=""/>
    <n v="1"/>
    <s v="No"/>
  </r>
  <r>
    <s v="EMP-2019-0171"/>
    <s v="Charlie"/>
    <s v="Martin"/>
    <n v="40"/>
    <n v="40"/>
    <n v="1984"/>
    <s v="SIXTY THOUSAND"/>
    <n v="60000"/>
    <x v="0"/>
    <s v="HR"/>
    <x v="0"/>
    <s v="Director"/>
    <d v="2019-12-01T00:00:00"/>
    <d v="2019-12-01T00:00:00"/>
    <s v="F"/>
    <n v="17"/>
    <s v="charlie.martin@saltcorp.com"/>
    <m/>
    <s v="Part-Time"/>
    <s v="Part-Time"/>
    <m/>
    <n v="6"/>
    <m/>
    <n v="4"/>
    <m/>
    <n v="52"/>
    <s v="YES"/>
    <s v="Yes"/>
    <n v="5"/>
    <s v="No"/>
  </r>
  <r>
    <s v="EMP-2019-0172"/>
    <s v="Alice"/>
    <s v="Hansen"/>
    <n v="40"/>
    <n v="40"/>
    <n v="1984"/>
    <n v="65000"/>
    <n v="65000"/>
    <x v="1"/>
    <s v="Marketing"/>
    <x v="4"/>
    <s v="Manager"/>
    <d v="2019-12-01T00:00:00"/>
    <d v="2019-12-01T00:00:00"/>
    <s v="B"/>
    <n v="88"/>
    <s v="alice.hansen@saltcorp.com"/>
    <s v="555-555-5555"/>
    <s v="Full-Time"/>
    <s v="Full-Time"/>
    <s v="EMP-2018-0073"/>
    <n v="6"/>
    <m/>
    <m/>
    <m/>
    <m/>
    <s v="YES"/>
    <s v="Yes"/>
    <n v="5"/>
    <s v="No"/>
  </r>
  <r>
    <s v="EMP-2019-0173"/>
    <s v="Eve"/>
    <s v="Johnston"/>
    <n v="50"/>
    <n v="50"/>
    <n v="1974"/>
    <n v="65000"/>
    <n v="65000"/>
    <x v="1"/>
    <s v="sales"/>
    <x v="2"/>
    <s v="Analyst"/>
    <d v="2019-12-01T00:00:00"/>
    <d v="2019-12-01T00:00:00"/>
    <s v="C"/>
    <n v="73"/>
    <s v="eve.johnston@saltcorp.com"/>
    <s v=" "/>
    <s v="Full-Time"/>
    <s v="Full-Time"/>
    <m/>
    <n v="7"/>
    <s v="N/A"/>
    <n v="15"/>
    <m/>
    <m/>
    <s v="no"/>
    <s v="No"/>
    <n v="1"/>
    <s v="Yes"/>
  </r>
  <r>
    <s v="EMP-2020-0174"/>
    <s v="Alice"/>
    <s v="Williams"/>
    <n v="50"/>
    <n v="50"/>
    <n v="1974"/>
    <n v="55000"/>
    <n v="55000"/>
    <x v="0"/>
    <s v="HR"/>
    <x v="0"/>
    <s v="Clerk"/>
    <d v="2020-02-20T00:00:00"/>
    <d v="2020-02-20T00:00:00"/>
    <s v="C"/>
    <n v="78"/>
    <s v="alice.williams@saltcorp.com"/>
    <m/>
    <s v="Full-Time"/>
    <s v="Full-Time"/>
    <s v="EMP-2018-0043"/>
    <n v="2"/>
    <n v="4"/>
    <m/>
    <m/>
    <n v="30"/>
    <s v="YES"/>
    <s v="Yes"/>
    <n v="1"/>
    <s v="No"/>
  </r>
  <r>
    <s v="EMP-2020-0175"/>
    <s v="Hannah"/>
    <s v="Ward"/>
    <n v="25"/>
    <n v="25"/>
    <n v="1999"/>
    <n v="50000"/>
    <n v="50000"/>
    <x v="1"/>
    <s v="it"/>
    <x v="3"/>
    <s v="Analyst"/>
    <d v="2020-01-15T00:00:00"/>
    <d v="2020-01-15T00:00:00"/>
    <s v="B"/>
    <n v="80"/>
    <s v="hannah.ward@saltcorp.com"/>
    <m/>
    <s v="Part-Time"/>
    <s v="Part-Time"/>
    <m/>
    <n v="2"/>
    <m/>
    <n v="2"/>
    <d v="2023-03-05T00:00:00"/>
    <m/>
    <s v="YES"/>
    <s v="Yes"/>
    <n v="1"/>
    <s v="Yes"/>
  </r>
  <r>
    <s v="EMP-2019-0176"/>
    <s v="Alice"/>
    <s v="Andrews"/>
    <s v="thirty"/>
    <n v="30"/>
    <n v="1994"/>
    <n v="55000"/>
    <n v="55000"/>
    <x v="1"/>
    <s v="sales"/>
    <x v="2"/>
    <s v="Analyst"/>
    <d v="2019-03-25T00:00:00"/>
    <d v="2019-03-25T00:00:00"/>
    <s v="B"/>
    <n v="87"/>
    <s v="alice.andrews@saltcorp.com"/>
    <m/>
    <s v="Full-Time"/>
    <s v="Full-Time"/>
    <m/>
    <n v="1"/>
    <m/>
    <m/>
    <m/>
    <n v="78"/>
    <s v="YES"/>
    <s v="Yes"/>
    <n v="2"/>
    <s v="Yes"/>
  </r>
  <r>
    <s v="EMP-2020-0177"/>
    <s v="Alice"/>
    <s v="Rivera"/>
    <n v="40"/>
    <n v="40"/>
    <n v="1984"/>
    <s v="SIXTY THOUSAND"/>
    <n v="60000"/>
    <x v="0"/>
    <s v="sales"/>
    <x v="2"/>
    <s v="Manager"/>
    <d v="2020-02-20T00:00:00"/>
    <d v="2020-02-20T00:00:00"/>
    <s v="C"/>
    <n v="77"/>
    <s v="alice.rivera@saltcorp.com"/>
    <m/>
    <s v="Part-Time"/>
    <s v="Part-Time"/>
    <m/>
    <n v="1"/>
    <m/>
    <m/>
    <m/>
    <n v="29"/>
    <s v="Y"/>
    <s v="Yes"/>
    <n v="1"/>
    <s v="No"/>
  </r>
  <r>
    <s v="EMP-2020-0178"/>
    <s v="Bob"/>
    <s v="Wilson"/>
    <m/>
    <n v="39"/>
    <n v="1985"/>
    <n v="65000"/>
    <n v="65000"/>
    <x v="0"/>
    <s v="Marketing"/>
    <x v="4"/>
    <s v="Analyst"/>
    <d v="2020-02-20T00:00:00"/>
    <d v="2020-02-20T00:00:00"/>
    <s v="D"/>
    <n v="67"/>
    <s v="bob.wilson@saltcorp.com"/>
    <s v="555-555-5555"/>
    <s v="contract"/>
    <s v="Contract"/>
    <s v="EMP-2018-0085"/>
    <n v="3"/>
    <s v="N/A"/>
    <n v="11"/>
    <m/>
    <m/>
    <s v="YES"/>
    <s v="Yes"/>
    <n v="4"/>
    <s v="No"/>
  </r>
  <r>
    <s v="EMP-2020-0179"/>
    <s v="Bob"/>
    <s v="Garcia"/>
    <n v="35"/>
    <n v="35"/>
    <n v="1989"/>
    <n v="55000"/>
    <n v="55000"/>
    <x v="1"/>
    <s v="finance"/>
    <x v="1"/>
    <s v="Assistant"/>
    <d v="2020-01-15T00:00:00"/>
    <d v="2020-01-15T00:00:00"/>
    <s v="A"/>
    <n v="91"/>
    <s v="bob.garcia@saltcorp.com"/>
    <s v=" "/>
    <s v="Part-Time"/>
    <s v="Part-Time"/>
    <m/>
    <n v="3"/>
    <n v="0"/>
    <m/>
    <m/>
    <m/>
    <s v="no"/>
    <s v="No"/>
    <n v="5"/>
    <s v="No"/>
  </r>
  <r>
    <s v="EMP-2018-0180"/>
    <s v="Frank"/>
    <s v="West"/>
    <m/>
    <n v="40"/>
    <n v="1984"/>
    <n v="50000"/>
    <n v="50000"/>
    <x v="1"/>
    <s v="finance"/>
    <x v="1"/>
    <s v="Analyst"/>
    <d v="2018-04-05T00:00:00"/>
    <d v="2018-04-05T00:00:00"/>
    <s v="A"/>
    <n v="100"/>
    <s v="frank.west@saltcorp.com"/>
    <s v=" "/>
    <s v="Full-Time"/>
    <s v="Full-Time"/>
    <s v="EMP-2018-0034"/>
    <n v="6"/>
    <m/>
    <n v="5"/>
    <d v="2022-06-20T00:00:00"/>
    <m/>
    <s v="YES"/>
    <s v="Yes"/>
    <n v="3"/>
    <s v="Yes"/>
  </r>
  <r>
    <s v="EMP-2020-0181"/>
    <s v="Grace"/>
    <s v="Zhou"/>
    <s v="thirty"/>
    <n v="30"/>
    <n v="1994"/>
    <n v="55000"/>
    <n v="55000"/>
    <x v="0"/>
    <s v="Marketing"/>
    <x v="4"/>
    <s v="Clerk"/>
    <d v="2020-02-20T00:00:00"/>
    <d v="2020-02-20T00:00:00"/>
    <s v="C"/>
    <n v="71"/>
    <s v="grace.zhou@saltcorp.com"/>
    <s v="123-456-7890"/>
    <s v="Full-Time"/>
    <s v="Full-Time"/>
    <s v="EMP-2019-0068"/>
    <n v="6"/>
    <m/>
    <n v="6"/>
    <m/>
    <m/>
    <m/>
    <s v=""/>
    <n v="4"/>
    <s v="Yes"/>
  </r>
  <r>
    <s v="EMP-2018-0182"/>
    <s v="Eve"/>
    <s v="Stevens"/>
    <n v="50"/>
    <n v="50"/>
    <n v="1974"/>
    <n v="70000"/>
    <n v="70000"/>
    <x v="1"/>
    <s v="Marketing"/>
    <x v="4"/>
    <s v="Clerk"/>
    <d v="2018-04-05T00:00:00"/>
    <d v="2018-04-05T00:00:00"/>
    <s v="B"/>
    <n v="86"/>
    <s v="eve.stevens@saltcorp.com"/>
    <m/>
    <s v="contract"/>
    <s v="Contract"/>
    <m/>
    <n v="8"/>
    <m/>
    <m/>
    <d v="2023-01-15T00:00:00"/>
    <n v="75"/>
    <s v="no"/>
    <s v="No"/>
    <n v="5"/>
    <s v="No"/>
  </r>
  <r>
    <s v="EMP-2018-0183"/>
    <s v="Alice"/>
    <s v="Walker"/>
    <m/>
    <n v="54"/>
    <n v="1970"/>
    <n v="50000"/>
    <n v="50000"/>
    <x v="1"/>
    <s v="Marketing"/>
    <x v="4"/>
    <s v="Director"/>
    <d v="2018-04-05T00:00:00"/>
    <d v="2018-04-05T00:00:00"/>
    <s v="D"/>
    <n v="66"/>
    <s v="alice.walker@saltcorp.com"/>
    <m/>
    <s v="contract"/>
    <s v="Contract"/>
    <m/>
    <n v="5"/>
    <m/>
    <m/>
    <d v="2022-06-20T00:00:00"/>
    <m/>
    <s v="Y"/>
    <s v="Yes"/>
    <n v="1"/>
    <s v="Yes"/>
  </r>
  <r>
    <s v="EMP-2019-0184"/>
    <s v="Alice"/>
    <s v="West"/>
    <n v="25"/>
    <n v="25"/>
    <n v="1999"/>
    <s v="SIXTY THOUSAND"/>
    <n v="60000"/>
    <x v="1"/>
    <s v="finance"/>
    <x v="1"/>
    <s v="Clerk"/>
    <d v="2019-12-01T00:00:00"/>
    <d v="2019-12-01T00:00:00"/>
    <s v="C"/>
    <n v="79"/>
    <s v="alice.west@saltcorp.com"/>
    <s v="123-456-7890"/>
    <s v="Full-Time"/>
    <s v="Full-Time"/>
    <m/>
    <n v="2"/>
    <m/>
    <m/>
    <m/>
    <n v="71"/>
    <s v="no"/>
    <s v="No"/>
    <n v="4"/>
    <s v="No"/>
  </r>
  <r>
    <s v="EMP-2020-0185"/>
    <s v="Charlie"/>
    <s v="Clark"/>
    <s v="thirty"/>
    <n v="30"/>
    <n v="1994"/>
    <n v="65000"/>
    <n v="65000"/>
    <x v="0"/>
    <s v="Marketing"/>
    <x v="4"/>
    <s v="Analyst"/>
    <d v="2020-01-15T00:00:00"/>
    <d v="2020-01-15T00:00:00"/>
    <s v="A"/>
    <n v="99"/>
    <s v="charlie.clark@saltcorp.com"/>
    <s v=" "/>
    <s v="contract"/>
    <s v="Contract"/>
    <m/>
    <n v="6"/>
    <m/>
    <n v="15"/>
    <d v="2022-06-20T00:00:00"/>
    <m/>
    <s v="no"/>
    <s v="No"/>
    <n v="3"/>
    <s v="No"/>
  </r>
  <r>
    <s v="EMP-2018-0186"/>
    <s v="Bob"/>
    <s v="Wilson"/>
    <n v="50"/>
    <n v="50"/>
    <n v="1974"/>
    <n v="55000"/>
    <n v="55000"/>
    <x v="1"/>
    <s v="HR"/>
    <x v="0"/>
    <s v="Clerk"/>
    <d v="2018-04-05T00:00:00"/>
    <d v="2018-04-05T00:00:00"/>
    <s v="F"/>
    <n v="42"/>
    <s v="bob.wilson@saltcorp.com"/>
    <s v="098-765-4321"/>
    <s v="Part-Time"/>
    <s v="Part-Time"/>
    <m/>
    <n v="6"/>
    <n v="14"/>
    <n v="19"/>
    <m/>
    <m/>
    <s v="YES"/>
    <s v="Yes"/>
    <n v="5"/>
    <s v="No"/>
  </r>
  <r>
    <s v="EMP-2020-0187"/>
    <s v="Eve"/>
    <s v="Oliver"/>
    <n v="35"/>
    <n v="35"/>
    <n v="1989"/>
    <n v="50000"/>
    <n v="50000"/>
    <x v="0"/>
    <s v="sales"/>
    <x v="2"/>
    <s v="Manager"/>
    <d v="2020-01-15T00:00:00"/>
    <d v="2020-01-15T00:00:00"/>
    <s v="B"/>
    <n v="82"/>
    <s v="eve.oliver@saltcorp.com"/>
    <s v="098-765-4321"/>
    <s v="Full-Time"/>
    <s v="Full-Time"/>
    <s v="EMP-2019-0088"/>
    <n v="3"/>
    <m/>
    <n v="20"/>
    <d v="2021-10-01T00:00:00"/>
    <n v="63"/>
    <s v="Y"/>
    <s v="Yes"/>
    <n v="5"/>
    <s v="No"/>
  </r>
  <r>
    <s v="EMP-2019-0188"/>
    <s v="Jack"/>
    <s v="Matthews"/>
    <n v="50"/>
    <n v="50"/>
    <n v="1974"/>
    <n v="70000"/>
    <n v="70000"/>
    <x v="1"/>
    <s v="sales"/>
    <x v="2"/>
    <s v="Clerk"/>
    <d v="2019-12-01T00:00:00"/>
    <d v="2019-12-01T00:00:00"/>
    <s v="F"/>
    <n v="28"/>
    <s v="jack.matthews@saltcorp.com"/>
    <s v=" "/>
    <s v="contract"/>
    <s v="Contract"/>
    <s v="EMP-2019-0010"/>
    <n v="2"/>
    <n v="5"/>
    <m/>
    <d v="2023-01-15T00:00:00"/>
    <m/>
    <s v="Y"/>
    <s v="Yes"/>
    <n v="4"/>
    <s v="No"/>
  </r>
  <r>
    <s v="EMP-2020-0189"/>
    <s v="Frank"/>
    <s v="Sims"/>
    <n v="25"/>
    <n v="25"/>
    <n v="1999"/>
    <n v="50000"/>
    <n v="50000"/>
    <x v="0"/>
    <s v="it"/>
    <x v="3"/>
    <s v="Assistant"/>
    <d v="2020-01-15T00:00:00"/>
    <d v="2020-01-15T00:00:00"/>
    <s v="C"/>
    <n v="74"/>
    <s v="frank.sims@saltcorp.com"/>
    <m/>
    <s v="Full-Time"/>
    <s v="Full-Time"/>
    <s v="EMP-2018-0009"/>
    <n v="7"/>
    <m/>
    <m/>
    <s v="N/A"/>
    <n v="60"/>
    <s v="no"/>
    <s v="No"/>
    <n v="2"/>
    <s v="No"/>
  </r>
  <r>
    <s v="EMP-2020-0190"/>
    <s v="Grace"/>
    <s v="Thomas"/>
    <s v="thirty"/>
    <n v="30"/>
    <n v="1994"/>
    <n v="60900"/>
    <n v="60900"/>
    <x v="1"/>
    <s v="it"/>
    <x v="3"/>
    <s v="Manager"/>
    <d v="2020-02-20T00:00:00"/>
    <d v="2020-02-20T00:00:00"/>
    <s v="A"/>
    <n v="94"/>
    <s v="grace.thomas@saltcorp.com"/>
    <s v="098-765-4321"/>
    <s v="contract"/>
    <s v="Contract"/>
    <m/>
    <n v="7"/>
    <m/>
    <m/>
    <m/>
    <m/>
    <s v="YES"/>
    <s v="Yes"/>
    <n v="5"/>
    <s v="No"/>
  </r>
  <r>
    <s v="EMP-2018-0191"/>
    <s v="David"/>
    <s v="Mason"/>
    <n v="35"/>
    <n v="35"/>
    <n v="1989"/>
    <n v="70000"/>
    <n v="70000"/>
    <x v="1"/>
    <s v="sales"/>
    <x v="2"/>
    <s v="Director"/>
    <d v="2018-04-05T00:00:00"/>
    <d v="2018-04-05T00:00:00"/>
    <s v="D"/>
    <n v="63"/>
    <s v="david.mason@saltcorp.com"/>
    <s v="555-555-5555"/>
    <s v="contract"/>
    <s v="Contract"/>
    <m/>
    <n v="8"/>
    <m/>
    <m/>
    <d v="2024-08-12T00:00:00"/>
    <m/>
    <s v="no"/>
    <s v="No"/>
    <n v="2"/>
    <s v="No"/>
  </r>
  <r>
    <s v="EMP-2020-0192"/>
    <s v="Grace"/>
    <s v="Li"/>
    <n v="25"/>
    <n v="25"/>
    <n v="1999"/>
    <s v="SIXTY THOUSAND"/>
    <n v="60000"/>
    <x v="1"/>
    <s v="HR"/>
    <x v="0"/>
    <s v="Assistant"/>
    <d v="2020-01-15T00:00:00"/>
    <d v="2020-01-15T00:00:00"/>
    <s v="F"/>
    <n v="58"/>
    <s v="grace.li@saltcorp.com"/>
    <s v="555-555-5555"/>
    <s v="Full-Time"/>
    <s v="Full-Time"/>
    <m/>
    <n v="5"/>
    <n v="12"/>
    <m/>
    <m/>
    <m/>
    <s v="no"/>
    <s v="No"/>
    <n v="4"/>
    <s v="No"/>
  </r>
  <r>
    <s v="EMP-2019-0193"/>
    <s v="Hannah"/>
    <s v="Perry"/>
    <n v="50"/>
    <n v="50"/>
    <n v="1974"/>
    <n v="65000"/>
    <n v="65000"/>
    <x v="0"/>
    <s v="finance"/>
    <x v="1"/>
    <s v="Analyst"/>
    <d v="2019-03-25T00:00:00"/>
    <d v="2019-03-25T00:00:00"/>
    <s v="D"/>
    <n v="60"/>
    <s v="hannah.perry@saltcorp.com"/>
    <s v="123-456-7890"/>
    <s v="contract"/>
    <s v="Contract"/>
    <m/>
    <n v="7"/>
    <m/>
    <m/>
    <m/>
    <m/>
    <s v="no"/>
    <s v="No"/>
    <n v="1"/>
    <s v="Yes"/>
  </r>
  <r>
    <s v="EMP-2020-0194"/>
    <s v="Alice"/>
    <s v="Martinez"/>
    <n v="25"/>
    <n v="25"/>
    <n v="1999"/>
    <s v="SIXTY THOUSAND"/>
    <n v="60000"/>
    <x v="1"/>
    <s v="finance"/>
    <x v="1"/>
    <s v="Analyst"/>
    <d v="2020-01-15T00:00:00"/>
    <d v="2020-01-15T00:00:00"/>
    <s v="A"/>
    <n v="94"/>
    <s v="alice.martinez@saltcorp.com"/>
    <s v=" "/>
    <s v="Full-Time"/>
    <s v="Full-Time"/>
    <s v="EMP-2020-0093"/>
    <n v="8"/>
    <m/>
    <n v="0"/>
    <d v="2023-01-15T00:00:00"/>
    <m/>
    <s v="YES"/>
    <s v="Yes"/>
    <n v="2"/>
    <s v="Yes"/>
  </r>
  <r>
    <s v="EMP-2018-0195"/>
    <s v="Frank"/>
    <s v="Byrd"/>
    <s v="thirty"/>
    <n v="30"/>
    <n v="1994"/>
    <n v="55000"/>
    <n v="55000"/>
    <x v="0"/>
    <s v="HR"/>
    <x v="0"/>
    <s v="Analyst"/>
    <d v="2018-04-05T00:00:00"/>
    <d v="2018-04-05T00:00:00"/>
    <s v="F"/>
    <n v="17"/>
    <s v="frank.byrd@saltcorp.com"/>
    <s v=" "/>
    <s v="Part-Time"/>
    <s v="Part-Time"/>
    <m/>
    <n v="7"/>
    <s v="N/A"/>
    <m/>
    <d v="2023-03-05T00:00:00"/>
    <n v="24"/>
    <s v="YES"/>
    <s v="Yes"/>
    <n v="5"/>
    <s v="No"/>
  </r>
  <r>
    <s v="EMP-2019-0196"/>
    <s v="Hannah"/>
    <s v="Long"/>
    <n v="40"/>
    <n v="40"/>
    <n v="1984"/>
    <n v="50000"/>
    <n v="50000"/>
    <x v="0"/>
    <s v="finance"/>
    <x v="1"/>
    <s v="Assistant"/>
    <d v="2019-12-01T00:00:00"/>
    <d v="2019-12-01T00:00:00"/>
    <s v="D"/>
    <n v="67"/>
    <s v="hannah.long@saltcorp.com"/>
    <s v="098-765-4321"/>
    <s v="Full-Time"/>
    <s v="Full-Time"/>
    <m/>
    <n v="3"/>
    <s v="N/A"/>
    <n v="13"/>
    <m/>
    <m/>
    <s v="YES"/>
    <s v="Yes"/>
    <n v="1"/>
    <s v="Yes"/>
  </r>
  <r>
    <s v="EMP-2019-0197"/>
    <s v="Eve"/>
    <s v="Le"/>
    <n v="25"/>
    <n v="25"/>
    <n v="1999"/>
    <n v="61600"/>
    <n v="61600"/>
    <x v="0"/>
    <s v="Marketing"/>
    <x v="4"/>
    <s v="Assistant"/>
    <d v="2019-12-01T00:00:00"/>
    <d v="2019-12-01T00:00:00"/>
    <s v="D"/>
    <n v="65"/>
    <s v="eve.le@saltcorp.com"/>
    <m/>
    <s v="Full-Time"/>
    <s v="Full-Time"/>
    <m/>
    <n v="2"/>
    <s v="N/A"/>
    <m/>
    <m/>
    <m/>
    <m/>
    <s v=""/>
    <n v="4"/>
    <s v="No"/>
  </r>
  <r>
    <s v="EMP-2018-0198"/>
    <s v="David"/>
    <s v="Kim"/>
    <n v="25"/>
    <n v="25"/>
    <n v="1999"/>
    <n v="70000"/>
    <n v="70000"/>
    <x v="0"/>
    <s v="sales"/>
    <x v="2"/>
    <s v="Assistant"/>
    <d v="2018-04-05T00:00:00"/>
    <d v="2018-04-05T00:00:00"/>
    <s v="F"/>
    <n v="43"/>
    <s v="david.kim@saltcorp.com"/>
    <s v=" "/>
    <s v="contract"/>
    <s v="Contract"/>
    <m/>
    <n v="3"/>
    <s v="N/A"/>
    <n v="1"/>
    <m/>
    <m/>
    <m/>
    <s v=""/>
    <n v="1"/>
    <s v="Yes"/>
  </r>
  <r>
    <s v="EMP-2020-0199"/>
    <s v="Bob"/>
    <s v="Rodriguez"/>
    <n v="50"/>
    <n v="50"/>
    <n v="1974"/>
    <n v="70000"/>
    <n v="70000"/>
    <x v="0"/>
    <s v="sales"/>
    <x v="2"/>
    <s v="Manager"/>
    <d v="2020-02-20T00:00:00"/>
    <d v="2020-02-20T00:00:00"/>
    <s v="A"/>
    <n v="99"/>
    <s v="bob.rodriguez@saltcorp.com"/>
    <s v="098-765-4321"/>
    <s v="contract"/>
    <s v="Contract"/>
    <m/>
    <n v="1"/>
    <m/>
    <n v="17"/>
    <d v="2023-01-15T00:00:00"/>
    <m/>
    <s v="no"/>
    <s v="No"/>
    <n v="4"/>
    <s v="No"/>
  </r>
  <r>
    <s v="EMP-2020-0200"/>
    <s v="Frank"/>
    <s v="Lopez"/>
    <n v="50"/>
    <n v="50"/>
    <n v="1974"/>
    <n v="50000"/>
    <n v="50000"/>
    <x v="0"/>
    <s v="HR"/>
    <x v="0"/>
    <s v="Manager"/>
    <d v="2020-02-20T00:00:00"/>
    <d v="2020-02-20T00:00:00"/>
    <s v="D"/>
    <n v="68"/>
    <s v="frank.lopez@saltcorp.com"/>
    <s v="098-765-4321"/>
    <s v="contract"/>
    <s v="Contract"/>
    <s v="EMP-2020-0048"/>
    <n v="3"/>
    <m/>
    <m/>
    <m/>
    <m/>
    <m/>
    <s v=""/>
    <n v="5"/>
    <s v="No"/>
  </r>
  <r>
    <s v="EMP-2019-0201"/>
    <s v="Frank"/>
    <s v="Santos"/>
    <n v="35"/>
    <n v="35"/>
    <n v="1989"/>
    <n v="60800"/>
    <n v="60800"/>
    <x v="0"/>
    <s v="finance"/>
    <x v="1"/>
    <s v="Analyst"/>
    <d v="2019-12-01T00:00:00"/>
    <d v="2019-12-01T00:00:00"/>
    <s v="C"/>
    <n v="72"/>
    <s v="frank.santos@saltcorp.com"/>
    <s v=" "/>
    <s v="Part-Time"/>
    <s v="Part-Time"/>
    <m/>
    <n v="2"/>
    <m/>
    <m/>
    <m/>
    <m/>
    <m/>
    <s v=""/>
    <n v="3"/>
    <s v="No"/>
  </r>
  <r>
    <s v="EMP-2019-0202"/>
    <s v="Alice"/>
    <s v="Armstrong"/>
    <n v="50"/>
    <n v="50"/>
    <n v="1974"/>
    <n v="50000"/>
    <n v="50000"/>
    <x v="0"/>
    <s v="it"/>
    <x v="3"/>
    <s v="Clerk"/>
    <d v="2019-12-01T00:00:00"/>
    <d v="2019-12-01T00:00:00"/>
    <s v="F"/>
    <n v="22"/>
    <s v="alice.armstrong@saltcorp.com"/>
    <s v="098-765-4321"/>
    <s v="Full-Time"/>
    <s v="Full-Time"/>
    <m/>
    <n v="7"/>
    <m/>
    <m/>
    <m/>
    <n v="42"/>
    <s v="YES"/>
    <s v="Yes"/>
    <n v="1"/>
    <s v="No"/>
  </r>
  <r>
    <s v="EMP-2018-0203"/>
    <s v="Ivy"/>
    <s v="Walker"/>
    <m/>
    <n v="38"/>
    <n v="1986"/>
    <n v="55000"/>
    <n v="55000"/>
    <x v="0"/>
    <s v="it"/>
    <x v="3"/>
    <s v="Analyst"/>
    <d v="2018-04-05T00:00:00"/>
    <d v="2018-04-05T00:00:00"/>
    <s v="B"/>
    <n v="85"/>
    <s v="ivy.walker@saltcorp.com"/>
    <s v="123-456-7890"/>
    <s v="Part-Time"/>
    <s v="Part-Time"/>
    <m/>
    <n v="8"/>
    <s v="N/A"/>
    <m/>
    <d v="2022-06-20T00:00:00"/>
    <m/>
    <m/>
    <s v=""/>
    <n v="4"/>
    <s v="Yes"/>
  </r>
  <r>
    <s v="EMP-2020-0204"/>
    <s v="Frank"/>
    <s v="Knight"/>
    <s v="thirty"/>
    <n v="30"/>
    <n v="1994"/>
    <s v="SIXTY THOUSAND"/>
    <n v="60000"/>
    <x v="0"/>
    <s v="finance"/>
    <x v="1"/>
    <s v="Director"/>
    <d v="2020-02-20T00:00:00"/>
    <d v="2020-02-20T00:00:00"/>
    <s v="B"/>
    <n v="85"/>
    <s v="frank.knight@saltcorp.com"/>
    <s v="123-456-7890"/>
    <s v="Part-Time"/>
    <s v="Part-Time"/>
    <m/>
    <n v="8"/>
    <m/>
    <n v="9"/>
    <m/>
    <m/>
    <s v="YES"/>
    <s v="Yes"/>
    <n v="1"/>
    <s v="Yes"/>
  </r>
  <r>
    <s v="EMP-2019-0205"/>
    <s v="Charlie"/>
    <s v="Jackson"/>
    <s v="thirty"/>
    <n v="30"/>
    <n v="1994"/>
    <n v="70000"/>
    <n v="70000"/>
    <x v="0"/>
    <s v="it"/>
    <x v="3"/>
    <s v="Manager"/>
    <d v="2019-12-01T00:00:00"/>
    <d v="2019-12-01T00:00:00"/>
    <s v="A"/>
    <n v="100"/>
    <s v="charlie.jackson@saltcorp.com"/>
    <s v=" "/>
    <s v="Full-Time"/>
    <s v="Full-Time"/>
    <m/>
    <n v="3"/>
    <m/>
    <m/>
    <m/>
    <m/>
    <s v="no"/>
    <s v="No"/>
    <n v="2"/>
    <s v="Yes"/>
  </r>
  <r>
    <s v="EMP-2020-0206"/>
    <s v="David"/>
    <s v="O'Brien"/>
    <n v="40"/>
    <n v="40"/>
    <n v="1984"/>
    <n v="55000"/>
    <n v="55000"/>
    <x v="0"/>
    <s v="HR"/>
    <x v="0"/>
    <s v="Assistant"/>
    <d v="2020-02-20T00:00:00"/>
    <d v="2020-02-20T00:00:00"/>
    <s v="C"/>
    <n v="74"/>
    <s v="david.o'brien@saltcorp.com"/>
    <m/>
    <s v="Full-Time"/>
    <s v="Full-Time"/>
    <m/>
    <n v="7"/>
    <m/>
    <m/>
    <d v="2023-01-15T00:00:00"/>
    <n v="22"/>
    <s v="no"/>
    <s v="No"/>
    <n v="4"/>
    <s v="No"/>
  </r>
  <r>
    <s v="EMP-2019-0207"/>
    <s v="David"/>
    <s v="Vega"/>
    <n v="40"/>
    <n v="40"/>
    <n v="1984"/>
    <s v="SIXTY THOUSAND"/>
    <n v="60000"/>
    <x v="1"/>
    <s v="HR"/>
    <x v="0"/>
    <s v="Manager"/>
    <d v="2019-12-01T00:00:00"/>
    <d v="2019-12-01T00:00:00"/>
    <s v="D"/>
    <n v="68"/>
    <s v="david.vega@saltcorp.com"/>
    <s v="123-456-7890"/>
    <s v="contract"/>
    <s v="Contract"/>
    <m/>
    <n v="6"/>
    <m/>
    <m/>
    <d v="2022-06-20T00:00:00"/>
    <m/>
    <s v="YES"/>
    <s v="Yes"/>
    <n v="3"/>
    <s v="No"/>
  </r>
  <r>
    <s v="EMP-2020-0208"/>
    <s v="Charlie"/>
    <s v="Riley"/>
    <s v="thirty"/>
    <n v="30"/>
    <n v="1994"/>
    <n v="55000"/>
    <n v="55000"/>
    <x v="0"/>
    <s v="finance"/>
    <x v="1"/>
    <s v="Assistant"/>
    <d v="2020-01-15T00:00:00"/>
    <d v="2020-01-15T00:00:00"/>
    <s v="B"/>
    <n v="80"/>
    <s v="charlie.riley@saltcorp.com"/>
    <s v="123-456-7890"/>
    <s v="contract"/>
    <s v="Contract"/>
    <m/>
    <n v="1"/>
    <n v="4"/>
    <m/>
    <d v="2023-03-05T00:00:00"/>
    <m/>
    <s v="YES"/>
    <s v="Yes"/>
    <n v="3"/>
    <s v="No"/>
  </r>
  <r>
    <s v="EMP-2019-0209"/>
    <s v="Jack"/>
    <s v="O'Connor"/>
    <n v="40"/>
    <n v="40"/>
    <n v="1984"/>
    <n v="60100"/>
    <n v="60100"/>
    <x v="0"/>
    <s v="it"/>
    <x v="3"/>
    <s v="Director"/>
    <d v="2019-03-25T00:00:00"/>
    <d v="2019-03-25T00:00:00"/>
    <s v="A"/>
    <n v="99"/>
    <s v="jack.o'connor@saltcorp.com"/>
    <s v=" "/>
    <s v="Full-Time"/>
    <s v="Full-Time"/>
    <s v="EMP-2019-0074"/>
    <n v="3"/>
    <m/>
    <m/>
    <d v="2023-01-15T00:00:00"/>
    <n v="12"/>
    <s v="no"/>
    <s v="No"/>
    <n v="1"/>
    <s v="No"/>
  </r>
  <r>
    <s v="EMP-2020-0210"/>
    <s v="Charlie"/>
    <s v="Powers"/>
    <n v="35"/>
    <n v="35"/>
    <n v="1989"/>
    <n v="70000"/>
    <n v="70000"/>
    <x v="0"/>
    <s v="HR"/>
    <x v="0"/>
    <s v="Director"/>
    <d v="2020-01-15T00:00:00"/>
    <d v="2020-01-15T00:00:00"/>
    <s v="C"/>
    <n v="72"/>
    <s v="charlie.powers@saltcorp.com"/>
    <s v="555-555-5555"/>
    <s v="contract"/>
    <s v="Contract"/>
    <m/>
    <n v="8"/>
    <m/>
    <n v="2"/>
    <m/>
    <m/>
    <s v="no"/>
    <s v="No"/>
    <n v="5"/>
    <s v="No"/>
  </r>
  <r>
    <s v="EMP-2019-0211"/>
    <s v="Charlie"/>
    <s v="Johnston"/>
    <n v="50"/>
    <n v="50"/>
    <n v="1974"/>
    <n v="50000"/>
    <n v="50000"/>
    <x v="0"/>
    <s v="HR"/>
    <x v="0"/>
    <s v="Manager"/>
    <d v="2019-12-01T00:00:00"/>
    <d v="2019-12-01T00:00:00"/>
    <s v="C"/>
    <n v="70"/>
    <s v="charlie.johnston@saltcorp.com"/>
    <s v="098-765-4321"/>
    <s v="Part-Time"/>
    <s v="Part-Time"/>
    <s v="EMP-2020-0072"/>
    <n v="8"/>
    <m/>
    <m/>
    <d v="2023-03-05T00:00:00"/>
    <n v="58"/>
    <s v="Y"/>
    <s v="Yes"/>
    <n v="1"/>
    <s v="No"/>
  </r>
  <r>
    <s v="EMP-2019-0212"/>
    <s v="David"/>
    <s v="Patel"/>
    <s v="thirty"/>
    <n v="30"/>
    <n v="1994"/>
    <n v="50000"/>
    <n v="50000"/>
    <x v="1"/>
    <s v="Marketing"/>
    <x v="4"/>
    <s v="Assistant"/>
    <d v="2019-03-25T00:00:00"/>
    <d v="2019-03-25T00:00:00"/>
    <s v="A"/>
    <n v="93"/>
    <s v="david.patel@saltcorp.com"/>
    <s v="123-456-7890"/>
    <s v="Part-Time"/>
    <s v="Part-Time"/>
    <m/>
    <n v="2"/>
    <m/>
    <n v="18"/>
    <m/>
    <n v="36"/>
    <s v="YES"/>
    <s v="Yes"/>
    <n v="4"/>
    <s v="No"/>
  </r>
  <r>
    <s v="EMP-2019-0213"/>
    <s v="Grace"/>
    <s v="Wu"/>
    <n v="40"/>
    <n v="40"/>
    <n v="1984"/>
    <s v="SIXTY THOUSAND"/>
    <n v="60000"/>
    <x v="1"/>
    <s v="Marketing"/>
    <x v="4"/>
    <s v="Director"/>
    <d v="2019-03-25T00:00:00"/>
    <d v="2019-03-25T00:00:00"/>
    <s v="A"/>
    <n v="98"/>
    <s v="grace.wu@saltcorp.com"/>
    <s v="555-555-5555"/>
    <s v="Part-Time"/>
    <s v="Part-Time"/>
    <m/>
    <n v="7"/>
    <m/>
    <m/>
    <d v="2021-10-01T00:00:00"/>
    <n v="22"/>
    <s v="YES"/>
    <s v="Yes"/>
    <n v="1"/>
    <s v="No"/>
  </r>
  <r>
    <s v="EMP-2019-0214"/>
    <s v="David"/>
    <s v="Santos"/>
    <s v="thirty"/>
    <n v="30"/>
    <n v="1994"/>
    <n v="65000"/>
    <n v="65000"/>
    <x v="0"/>
    <s v="HR"/>
    <x v="0"/>
    <s v="Analyst"/>
    <d v="2019-12-01T00:00:00"/>
    <d v="2019-12-01T00:00:00"/>
    <s v="D"/>
    <n v="62"/>
    <s v="david.santos@saltcorp.com"/>
    <m/>
    <s v="Part-Time"/>
    <s v="Part-Time"/>
    <m/>
    <n v="8"/>
    <n v="5"/>
    <m/>
    <d v="2024-08-12T00:00:00"/>
    <m/>
    <s v="YES"/>
    <s v="Yes"/>
    <n v="1"/>
    <s v="No"/>
  </r>
  <r>
    <s v="EMP-2019-0215"/>
    <s v="Ivy"/>
    <s v="Gutierrez"/>
    <m/>
    <n v="30"/>
    <n v="1994"/>
    <n v="60800"/>
    <n v="60800"/>
    <x v="1"/>
    <s v="finance"/>
    <x v="1"/>
    <s v="Analyst"/>
    <d v="2019-12-01T00:00:00"/>
    <d v="2019-12-01T00:00:00"/>
    <s v="A"/>
    <n v="94"/>
    <s v="ivy.gutierrez@saltcorp.com"/>
    <s v="555-555-5555"/>
    <s v="contract"/>
    <s v="Contract"/>
    <m/>
    <n v="1"/>
    <m/>
    <n v="2"/>
    <m/>
    <n v="40"/>
    <s v="no"/>
    <s v="No"/>
    <n v="2"/>
    <s v="No"/>
  </r>
  <r>
    <s v="EMP-2020-0216"/>
    <s v="Alice"/>
    <s v="Jordan"/>
    <n v="25"/>
    <n v="25"/>
    <n v="1999"/>
    <s v="SIXTY THOUSAND"/>
    <n v="60000"/>
    <x v="0"/>
    <s v="sales"/>
    <x v="2"/>
    <s v="Assistant"/>
    <d v="2020-02-20T00:00:00"/>
    <d v="2020-02-20T00:00:00"/>
    <s v="D"/>
    <n v="67"/>
    <s v="alice.jordan@saltcorp.com"/>
    <s v=" "/>
    <s v="Full-Time"/>
    <s v="Full-Time"/>
    <m/>
    <n v="2"/>
    <m/>
    <m/>
    <m/>
    <n v="71"/>
    <s v="no"/>
    <s v="No"/>
    <n v="4"/>
    <s v="No"/>
  </r>
  <r>
    <s v="EMP-2019-0217"/>
    <s v="Hannah"/>
    <s v="Oliver"/>
    <n v="50"/>
    <n v="50"/>
    <n v="1974"/>
    <n v="65000"/>
    <n v="65000"/>
    <x v="1"/>
    <s v="sales"/>
    <x v="2"/>
    <s v="Manager"/>
    <d v="2019-12-01T00:00:00"/>
    <d v="2019-12-01T00:00:00"/>
    <s v="D"/>
    <n v="69"/>
    <s v="hannah.oliver@saltcorp.com"/>
    <m/>
    <s v="Part-Time"/>
    <s v="Part-Time"/>
    <m/>
    <n v="5"/>
    <n v="7"/>
    <n v="19"/>
    <m/>
    <m/>
    <s v="YES"/>
    <s v="Yes"/>
    <n v="4"/>
    <s v="No"/>
  </r>
  <r>
    <s v="EMP-2018-0218"/>
    <s v="Grace"/>
    <s v="Yang"/>
    <s v="thirty"/>
    <n v="30"/>
    <n v="1994"/>
    <n v="55000"/>
    <n v="55000"/>
    <x v="1"/>
    <s v="HR"/>
    <x v="0"/>
    <s v="Director"/>
    <d v="2018-04-05T00:00:00"/>
    <d v="2018-04-05T00:00:00"/>
    <s v="F"/>
    <n v="21"/>
    <s v="grace.yang@saltcorp.com"/>
    <m/>
    <s v="Part-Time"/>
    <s v="Part-Time"/>
    <m/>
    <n v="6"/>
    <m/>
    <n v="1"/>
    <m/>
    <m/>
    <s v="no"/>
    <s v="No"/>
    <n v="4"/>
    <s v="No"/>
  </r>
  <r>
    <s v="EMP-2019-0219"/>
    <s v="Bob"/>
    <s v="Rivera"/>
    <n v="25"/>
    <n v="25"/>
    <n v="1999"/>
    <n v="59000"/>
    <n v="59000"/>
    <x v="0"/>
    <s v="HR"/>
    <x v="0"/>
    <s v="Manager"/>
    <d v="2019-12-01T00:00:00"/>
    <d v="2019-12-01T00:00:00"/>
    <s v="C"/>
    <n v="70"/>
    <s v="bob.rivera@saltcorp.com"/>
    <s v="555-555-5555"/>
    <s v="Full-Time"/>
    <s v="Full-Time"/>
    <m/>
    <n v="1"/>
    <m/>
    <n v="12"/>
    <m/>
    <m/>
    <m/>
    <s v=""/>
    <n v="5"/>
    <s v="Yes"/>
  </r>
  <r>
    <s v="EMP-2018-0220"/>
    <s v="Hannah"/>
    <s v="Long"/>
    <n v="40"/>
    <n v="40"/>
    <n v="1984"/>
    <n v="55000"/>
    <n v="55000"/>
    <x v="1"/>
    <s v="HR"/>
    <x v="0"/>
    <s v="Analyst"/>
    <d v="2018-04-05T00:00:00"/>
    <d v="2018-04-05T00:00:00"/>
    <s v="C"/>
    <n v="79"/>
    <s v="hannah.long@saltcorp.com"/>
    <s v=" "/>
    <s v="Part-Time"/>
    <s v="Part-Time"/>
    <s v="EMP-2020-0077"/>
    <n v="4"/>
    <s v="N/A"/>
    <n v="13"/>
    <d v="2022-06-20T00:00:00"/>
    <n v="63"/>
    <s v="YES"/>
    <s v="Yes"/>
    <n v="1"/>
    <s v="Yes"/>
  </r>
  <r>
    <s v="EMP-2019-0221"/>
    <s v="Alice"/>
    <s v="Vega"/>
    <n v="25"/>
    <n v="25"/>
    <n v="1999"/>
    <n v="70000"/>
    <n v="70000"/>
    <x v="0"/>
    <s v="finance"/>
    <x v="1"/>
    <s v="Director"/>
    <d v="2019-12-01T00:00:00"/>
    <d v="2019-12-01T00:00:00"/>
    <s v="C"/>
    <n v="78"/>
    <s v="alice.vega@saltcorp.com"/>
    <s v="123-456-7890"/>
    <s v="Full-Time"/>
    <s v="Full-Time"/>
    <m/>
    <n v="6"/>
    <m/>
    <n v="14"/>
    <m/>
    <m/>
    <m/>
    <s v=""/>
    <n v="4"/>
    <s v="No"/>
  </r>
  <r>
    <s v="EMP-2020-0222"/>
    <s v="Ivy"/>
    <s v="Rivera"/>
    <n v="50"/>
    <n v="50"/>
    <n v="1974"/>
    <n v="60000"/>
    <n v="60000"/>
    <x v="1"/>
    <s v="Marketing"/>
    <x v="4"/>
    <s v="Manager"/>
    <d v="2020-02-20T00:00:00"/>
    <d v="2020-02-20T00:00:00"/>
    <s v="F"/>
    <n v="29"/>
    <s v="ivy.rivera@saltcorp.com"/>
    <s v="555-555-5555"/>
    <s v="Part-Time"/>
    <s v="Part-Time"/>
    <m/>
    <n v="2"/>
    <n v="13"/>
    <m/>
    <d v="2023-03-05T00:00:00"/>
    <m/>
    <s v="Y"/>
    <s v="Yes"/>
    <n v="5"/>
    <s v="Yes"/>
  </r>
  <r>
    <s v="EMP-2018-0223"/>
    <s v="Ivy"/>
    <s v="Singh"/>
    <s v="thirty"/>
    <n v="30"/>
    <n v="1994"/>
    <n v="65000"/>
    <n v="65000"/>
    <x v="1"/>
    <s v="HR"/>
    <x v="0"/>
    <s v="Clerk"/>
    <d v="2018-04-05T00:00:00"/>
    <d v="2018-04-05T00:00:00"/>
    <s v="D"/>
    <n v="69"/>
    <s v="ivy.singh@saltcorp.com"/>
    <s v="123-456-7890"/>
    <s v="contract"/>
    <s v="Contract"/>
    <m/>
    <n v="7"/>
    <m/>
    <n v="3"/>
    <m/>
    <m/>
    <s v="no"/>
    <s v="No"/>
    <n v="5"/>
    <s v="No"/>
  </r>
  <r>
    <s v="EMP-2020-0224"/>
    <s v="Bob"/>
    <s v="Davis"/>
    <m/>
    <n v="33"/>
    <n v="1991"/>
    <n v="70000"/>
    <n v="70000"/>
    <x v="0"/>
    <s v="HR"/>
    <x v="0"/>
    <s v="Assistant"/>
    <d v="2020-01-15T00:00:00"/>
    <d v="2020-01-15T00:00:00"/>
    <s v="D"/>
    <n v="65"/>
    <s v="bob.davis@saltcorp.com"/>
    <s v="555-555-5555"/>
    <s v="Full-Time"/>
    <s v="Full-Time"/>
    <m/>
    <n v="4"/>
    <m/>
    <m/>
    <m/>
    <m/>
    <m/>
    <s v=""/>
    <n v="2"/>
    <s v="Yes"/>
  </r>
  <r>
    <s v="EMP-2018-0225"/>
    <s v="Grace"/>
    <s v="Zhang"/>
    <n v="40"/>
    <n v="40"/>
    <n v="1984"/>
    <n v="50000"/>
    <n v="50000"/>
    <x v="0"/>
    <s v="it"/>
    <x v="3"/>
    <s v="Assistant"/>
    <d v="2018-04-05T00:00:00"/>
    <d v="2018-04-05T00:00:00"/>
    <s v="A"/>
    <n v="97"/>
    <s v="grace.zhang@saltcorp.com"/>
    <s v="123-456-7890"/>
    <s v="Full-Time"/>
    <s v="Full-Time"/>
    <m/>
    <n v="8"/>
    <m/>
    <m/>
    <m/>
    <m/>
    <s v="no"/>
    <s v="No"/>
    <n v="5"/>
    <s v="No"/>
  </r>
  <r>
    <s v="EMP-2020-0226"/>
    <s v="Jack"/>
    <s v="Murphy"/>
    <s v="thirty"/>
    <n v="30"/>
    <n v="1994"/>
    <n v="65000"/>
    <n v="65000"/>
    <x v="0"/>
    <s v="finance"/>
    <x v="1"/>
    <s v="Clerk"/>
    <d v="2020-02-20T00:00:00"/>
    <d v="2020-02-20T00:00:00"/>
    <s v="F"/>
    <n v="21"/>
    <s v="jack.murphy@saltcorp.com"/>
    <s v="555-555-5555"/>
    <s v="Full-Time"/>
    <s v="Full-Time"/>
    <m/>
    <n v="6"/>
    <s v="N/A"/>
    <m/>
    <d v="2024-08-12T00:00:00"/>
    <n v="19"/>
    <s v="YES"/>
    <s v="Yes"/>
    <n v="1"/>
    <s v="Yes"/>
  </r>
  <r>
    <s v="EMP-2018-0227"/>
    <s v="Charlie"/>
    <s v="Sims"/>
    <n v="50"/>
    <n v="50"/>
    <n v="1974"/>
    <s v="SIXTY THOUSAND"/>
    <n v="60000"/>
    <x v="0"/>
    <s v="HR"/>
    <x v="0"/>
    <s v="Analyst"/>
    <d v="2018-04-05T00:00:00"/>
    <d v="2018-04-05T00:00:00"/>
    <s v="A"/>
    <n v="91"/>
    <s v="charlie.sims@saltcorp.com"/>
    <m/>
    <s v="contract"/>
    <s v="Contract"/>
    <m/>
    <n v="7"/>
    <m/>
    <m/>
    <m/>
    <m/>
    <s v="YES"/>
    <s v="Yes"/>
    <n v="5"/>
    <s v="No"/>
  </r>
  <r>
    <s v="EMP-2019-0228"/>
    <s v="Grace"/>
    <s v="Zhang"/>
    <n v="40"/>
    <n v="40"/>
    <n v="1984"/>
    <n v="50000"/>
    <n v="50000"/>
    <x v="1"/>
    <s v="it"/>
    <x v="3"/>
    <s v="Director"/>
    <d v="2019-12-01T00:00:00"/>
    <d v="2019-12-01T00:00:00"/>
    <s v="F"/>
    <n v="55"/>
    <s v="grace.zhang@saltcorp.com"/>
    <s v="098-765-4321"/>
    <s v="Full-Time"/>
    <s v="Full-Time"/>
    <s v="EMP-2019-0077"/>
    <n v="3"/>
    <s v="N/A"/>
    <m/>
    <m/>
    <m/>
    <m/>
    <s v=""/>
    <n v="2"/>
    <s v="No"/>
  </r>
  <r>
    <s v="EMP-2019-0229"/>
    <s v="Jack"/>
    <s v="Murphy"/>
    <n v="35"/>
    <n v="35"/>
    <n v="1989"/>
    <n v="50000"/>
    <n v="50000"/>
    <x v="1"/>
    <s v="sales"/>
    <x v="2"/>
    <s v="Assistant"/>
    <d v="2019-12-01T00:00:00"/>
    <d v="2019-12-01T00:00:00"/>
    <s v="A"/>
    <n v="100"/>
    <s v="jack.murphy@saltcorp.com"/>
    <m/>
    <s v="Full-Time"/>
    <s v="Full-Time"/>
    <s v="EMP-2019-0028"/>
    <n v="1"/>
    <m/>
    <m/>
    <d v="2023-03-05T00:00:00"/>
    <n v="60"/>
    <s v="no"/>
    <s v="No"/>
    <n v="5"/>
    <s v="No"/>
  </r>
  <r>
    <s v="EMP-2020-0230"/>
    <s v="Ivy"/>
    <s v="Desai"/>
    <n v="25"/>
    <n v="25"/>
    <n v="1999"/>
    <s v="SIXTY THOUSAND"/>
    <n v="60000"/>
    <x v="0"/>
    <s v="HR"/>
    <x v="0"/>
    <s v="Clerk"/>
    <d v="2020-02-20T00:00:00"/>
    <d v="2020-02-20T00:00:00"/>
    <s v="B"/>
    <n v="85"/>
    <s v="ivy.desai@saltcorp.com"/>
    <s v="123-456-7890"/>
    <s v="contract"/>
    <s v="Contract"/>
    <s v="EMP-2019-0042"/>
    <n v="1"/>
    <n v="1"/>
    <m/>
    <d v="2024-08-12T00:00:00"/>
    <m/>
    <s v="no"/>
    <s v="No"/>
    <n v="5"/>
    <s v="No"/>
  </r>
  <r>
    <s v="EMP-2019-0231"/>
    <s v="David"/>
    <s v="Sims"/>
    <n v="50"/>
    <n v="50"/>
    <n v="1974"/>
    <n v="58800"/>
    <n v="58800"/>
    <x v="0"/>
    <s v="HR"/>
    <x v="0"/>
    <s v="Clerk"/>
    <d v="2019-03-25T00:00:00"/>
    <d v="2019-03-25T00:00:00"/>
    <s v="C"/>
    <n v="78"/>
    <s v="david.sims@saltcorp.com"/>
    <s v=" "/>
    <s v="Part-Time"/>
    <s v="Part-Time"/>
    <s v="EMP-2020-0056"/>
    <n v="3"/>
    <m/>
    <m/>
    <d v="2022-06-20T00:00:00"/>
    <m/>
    <s v="Y"/>
    <s v="Yes"/>
    <n v="5"/>
    <s v="No"/>
  </r>
  <r>
    <s v="EMP-2019-0232"/>
    <s v="Alice"/>
    <s v="Figueroa"/>
    <n v="35"/>
    <n v="35"/>
    <n v="1989"/>
    <n v="50000"/>
    <n v="50000"/>
    <x v="1"/>
    <s v="it"/>
    <x v="3"/>
    <s v="Analyst"/>
    <d v="2019-12-01T00:00:00"/>
    <d v="2019-12-01T00:00:00"/>
    <s v="C"/>
    <n v="78"/>
    <s v="alice.figueroa@saltcorp.com"/>
    <m/>
    <s v="Full-Time"/>
    <s v="Full-Time"/>
    <s v="EMP-2020-0091"/>
    <n v="8"/>
    <n v="12"/>
    <m/>
    <m/>
    <m/>
    <s v="YES"/>
    <s v="Yes"/>
    <n v="2"/>
    <s v="Yes"/>
  </r>
  <r>
    <s v="EMP-2020-0233"/>
    <s v="Bob"/>
    <s v="Smith"/>
    <s v="thirty"/>
    <n v="30"/>
    <n v="1994"/>
    <n v="65000"/>
    <n v="65000"/>
    <x v="1"/>
    <s v="finance"/>
    <x v="1"/>
    <s v="Analyst"/>
    <d v="2020-01-15T00:00:00"/>
    <d v="2020-01-15T00:00:00"/>
    <s v="D"/>
    <n v="63"/>
    <s v="bob.smith@saltcorp.com"/>
    <s v="098-765-4321"/>
    <s v="Part-Time"/>
    <s v="Part-Time"/>
    <s v="EMP-2020-0046"/>
    <n v="8"/>
    <m/>
    <n v="16"/>
    <m/>
    <m/>
    <s v="YES"/>
    <s v="Yes"/>
    <n v="1"/>
    <s v="Yes"/>
  </r>
  <r>
    <s v="EMP-2020-0234"/>
    <s v="Alice"/>
    <s v="Martinez"/>
    <m/>
    <n v="46"/>
    <n v="1978"/>
    <n v="70000"/>
    <n v="70000"/>
    <x v="1"/>
    <s v="HR"/>
    <x v="0"/>
    <s v="Manager"/>
    <d v="2020-02-20T00:00:00"/>
    <d v="2020-02-20T00:00:00"/>
    <s v="B"/>
    <n v="86"/>
    <s v="alice.martinez@saltcorp.com"/>
    <s v="123-456-7890"/>
    <s v="Part-Time"/>
    <s v="Part-Time"/>
    <m/>
    <n v="3"/>
    <m/>
    <m/>
    <m/>
    <m/>
    <s v="no"/>
    <s v="No"/>
    <n v="2"/>
    <s v="Yes"/>
  </r>
  <r>
    <s v="EMP-2018-0235"/>
    <s v="Eve"/>
    <s v="Carter"/>
    <n v="40"/>
    <n v="40"/>
    <n v="1984"/>
    <n v="50000"/>
    <n v="50000"/>
    <x v="1"/>
    <s v="sales"/>
    <x v="2"/>
    <s v="Assistant"/>
    <d v="2018-04-05T00:00:00"/>
    <d v="2018-04-05T00:00:00"/>
    <s v="C"/>
    <n v="70"/>
    <s v="eve.carter@saltcorp.com"/>
    <m/>
    <s v="Full-Time"/>
    <s v="Full-Time"/>
    <m/>
    <n v="2"/>
    <m/>
    <m/>
    <d v="2023-03-05T00:00:00"/>
    <n v="80"/>
    <s v="YES"/>
    <s v="Yes"/>
    <n v="3"/>
    <s v="No"/>
  </r>
  <r>
    <s v="EMP-2018-0236"/>
    <s v="Eve"/>
    <s v="Wallace"/>
    <n v="25"/>
    <n v="25"/>
    <n v="1999"/>
    <n v="65000"/>
    <n v="65000"/>
    <x v="1"/>
    <s v="HR"/>
    <x v="0"/>
    <s v="Manager"/>
    <d v="2018-04-05T00:00:00"/>
    <d v="2018-04-05T00:00:00"/>
    <s v="D"/>
    <n v="65"/>
    <s v="eve.wallace@saltcorp.com"/>
    <s v="555-555-5555"/>
    <s v="Full-Time"/>
    <s v="Full-Time"/>
    <m/>
    <n v="8"/>
    <s v="N/A"/>
    <m/>
    <m/>
    <m/>
    <m/>
    <s v=""/>
    <n v="5"/>
    <s v="No"/>
  </r>
  <r>
    <s v="EMP-2020-0237"/>
    <s v="Grace"/>
    <s v="McCoy"/>
    <n v="40"/>
    <n v="40"/>
    <n v="1984"/>
    <n v="55000"/>
    <n v="55000"/>
    <x v="0"/>
    <s v="sales"/>
    <x v="2"/>
    <s v="Clerk"/>
    <d v="2020-01-15T00:00:00"/>
    <d v="2020-01-15T00:00:00"/>
    <s v="B"/>
    <n v="83"/>
    <s v="grace.mccoy@saltcorp.com"/>
    <s v=" "/>
    <s v="contract"/>
    <s v="Contract"/>
    <s v="EMP-2018-0052"/>
    <n v="6"/>
    <m/>
    <m/>
    <m/>
    <n v="76"/>
    <s v="no"/>
    <s v="No"/>
    <n v="1"/>
    <s v="Yes"/>
  </r>
  <r>
    <s v="EMP-2019-0238"/>
    <s v="Ivy"/>
    <s v="Gupta"/>
    <s v="thirty"/>
    <n v="30"/>
    <n v="1994"/>
    <n v="65000"/>
    <n v="65000"/>
    <x v="0"/>
    <s v="Marketing"/>
    <x v="4"/>
    <s v="Director"/>
    <d v="2019-12-01T00:00:00"/>
    <d v="2019-12-01T00:00:00"/>
    <s v="C"/>
    <n v="72"/>
    <s v="ivy.gupta@saltcorp.com"/>
    <s v="123-456-7890"/>
    <s v="Full-Time"/>
    <s v="Full-Time"/>
    <m/>
    <n v="4"/>
    <n v="14"/>
    <m/>
    <d v="2024-08-12T00:00:00"/>
    <n v="53"/>
    <s v="YES"/>
    <s v="Yes"/>
    <n v="5"/>
    <s v="No"/>
  </r>
  <r>
    <s v="EMP-2020-0239"/>
    <s v="Ivy"/>
    <s v="Shah"/>
    <n v="40"/>
    <n v="40"/>
    <n v="1984"/>
    <n v="70000"/>
    <n v="70000"/>
    <x v="1"/>
    <s v="Marketing"/>
    <x v="4"/>
    <s v="Director"/>
    <d v="2020-02-20T00:00:00"/>
    <d v="2020-02-20T00:00:00"/>
    <s v="A"/>
    <n v="99"/>
    <s v="ivy.shah@saltcorp.com"/>
    <m/>
    <s v="Full-Time"/>
    <s v="Full-Time"/>
    <m/>
    <n v="6"/>
    <m/>
    <n v="3"/>
    <m/>
    <n v="17"/>
    <s v="YES"/>
    <s v="Yes"/>
    <n v="4"/>
    <s v="No"/>
  </r>
  <r>
    <s v="EMP-2020-0240"/>
    <s v="Charlie"/>
    <s v="Martin"/>
    <n v="25"/>
    <n v="25"/>
    <n v="1999"/>
    <n v="65000"/>
    <n v="65000"/>
    <x v="1"/>
    <s v="sales"/>
    <x v="2"/>
    <s v="Analyst"/>
    <d v="2020-01-15T00:00:00"/>
    <d v="2020-01-15T00:00:00"/>
    <s v="F"/>
    <n v="40"/>
    <s v="charlie.martin@saltcorp.com"/>
    <s v="123-456-7890"/>
    <s v="Full-Time"/>
    <s v="Full-Time"/>
    <m/>
    <n v="5"/>
    <s v="N/A"/>
    <m/>
    <m/>
    <n v="51"/>
    <m/>
    <s v=""/>
    <n v="4"/>
    <s v="No"/>
  </r>
  <r>
    <s v="EMP-2019-0241"/>
    <s v="Charlie"/>
    <s v="Taylor"/>
    <s v="thirty"/>
    <n v="30"/>
    <n v="1994"/>
    <s v="SIXTY THOUSAND"/>
    <n v="60000"/>
    <x v="1"/>
    <s v="finance"/>
    <x v="1"/>
    <s v="Director"/>
    <d v="2019-12-01T00:00:00"/>
    <d v="2019-12-01T00:00:00"/>
    <s v="B"/>
    <n v="87"/>
    <s v="charlie.taylor@saltcorp.com"/>
    <s v="555-555-5555"/>
    <s v="Full-Time"/>
    <s v="Full-Time"/>
    <m/>
    <n v="1"/>
    <n v="14"/>
    <m/>
    <m/>
    <m/>
    <s v="no"/>
    <s v="No"/>
    <n v="5"/>
    <s v="No"/>
  </r>
  <r>
    <s v="EMP-2020-0242"/>
    <s v="Charlie"/>
    <s v="Olson"/>
    <n v="40"/>
    <n v="40"/>
    <n v="1984"/>
    <n v="70000"/>
    <n v="70000"/>
    <x v="1"/>
    <s v="HR"/>
    <x v="0"/>
    <s v="Director"/>
    <d v="2020-02-20T00:00:00"/>
    <d v="2020-02-20T00:00:00"/>
    <s v="D"/>
    <n v="62"/>
    <s v="charlie.olson@saltcorp.com"/>
    <s v="098-765-4321"/>
    <s v="Part-Time"/>
    <s v="Part-Time"/>
    <m/>
    <n v="4"/>
    <s v="N/A"/>
    <m/>
    <m/>
    <m/>
    <s v="no"/>
    <s v="No"/>
    <n v="3"/>
    <s v="Yes"/>
  </r>
  <r>
    <s v="EMP-2018-0243"/>
    <s v="David"/>
    <s v="O'Brien"/>
    <m/>
    <n v="56"/>
    <n v="1968"/>
    <n v="60900"/>
    <n v="60900"/>
    <x v="0"/>
    <s v="HR"/>
    <x v="0"/>
    <s v="Director"/>
    <d v="2018-04-05T00:00:00"/>
    <d v="2018-04-05T00:00:00"/>
    <s v="B"/>
    <n v="85"/>
    <s v="david.o'brien@saltcorp.com"/>
    <m/>
    <s v="Full-Time"/>
    <s v="Full-Time"/>
    <m/>
    <n v="7"/>
    <m/>
    <m/>
    <d v="2023-03-05T00:00:00"/>
    <n v="61"/>
    <s v="YES"/>
    <s v="Yes"/>
    <n v="4"/>
    <s v="No"/>
  </r>
  <r>
    <s v="EMP-2020-0244"/>
    <s v="Hannah"/>
    <s v="Dominguez"/>
    <n v="50"/>
    <n v="50"/>
    <n v="1974"/>
    <n v="55000"/>
    <n v="55000"/>
    <x v="1"/>
    <s v="Marketing"/>
    <x v="4"/>
    <s v="Clerk"/>
    <d v="2020-02-20T00:00:00"/>
    <d v="2020-02-20T00:00:00"/>
    <s v="D"/>
    <n v="64"/>
    <s v="hannah.dominguez@saltcorp.com"/>
    <s v="123-456-7890"/>
    <s v="Part-Time"/>
    <s v="Part-Time"/>
    <s v="EMP-2018-0043"/>
    <n v="7"/>
    <m/>
    <m/>
    <m/>
    <m/>
    <m/>
    <s v=""/>
    <n v="1"/>
    <s v="Yes"/>
  </r>
  <r>
    <s v="EMP-2019-0245"/>
    <s v="Frank"/>
    <s v="Sanchez"/>
    <s v="thirty"/>
    <n v="30"/>
    <n v="1994"/>
    <s v="SIXTY THOUSAND"/>
    <n v="60000"/>
    <x v="0"/>
    <s v="sales"/>
    <x v="2"/>
    <s v="Director"/>
    <d v="2019-03-25T00:00:00"/>
    <d v="2019-03-25T00:00:00"/>
    <s v="B"/>
    <n v="87"/>
    <s v="frank.sanchez@saltcorp.com"/>
    <s v="123-456-7890"/>
    <s v="Part-Time"/>
    <s v="Part-Time"/>
    <m/>
    <n v="4"/>
    <s v="N/A"/>
    <n v="0"/>
    <m/>
    <m/>
    <s v="YES"/>
    <s v="Yes"/>
    <n v="1"/>
    <s v="No"/>
  </r>
  <r>
    <s v="EMP-2020-0246"/>
    <s v="Hannah"/>
    <s v="Foster"/>
    <n v="50"/>
    <n v="50"/>
    <n v="1974"/>
    <n v="60900"/>
    <n v="60900"/>
    <x v="0"/>
    <s v="HR"/>
    <x v="0"/>
    <s v="Director"/>
    <d v="2020-02-20T00:00:00"/>
    <d v="2020-02-20T00:00:00"/>
    <s v="D"/>
    <n v="64"/>
    <s v="hannah.foster@saltcorp.com"/>
    <s v="123-456-7890"/>
    <s v="contract"/>
    <s v="Contract"/>
    <m/>
    <n v="2"/>
    <s v="N/A"/>
    <n v="0"/>
    <d v="2022-06-20T00:00:00"/>
    <m/>
    <s v="no"/>
    <s v="No"/>
    <n v="1"/>
    <s v="No"/>
  </r>
  <r>
    <s v="EMP-2019-0247"/>
    <s v="Alice"/>
    <s v="Baker"/>
    <s v="thirty"/>
    <n v="30"/>
    <n v="1994"/>
    <n v="65000"/>
    <n v="65000"/>
    <x v="1"/>
    <s v="HR"/>
    <x v="0"/>
    <s v="Director"/>
    <d v="2019-03-25T00:00:00"/>
    <d v="2019-03-25T00:00:00"/>
    <s v="C"/>
    <n v="76"/>
    <s v="alice.baker@saltcorp.com"/>
    <s v="098-765-4321"/>
    <s v="Full-Time"/>
    <s v="Full-Time"/>
    <m/>
    <n v="8"/>
    <m/>
    <m/>
    <d v="2023-01-15T00:00:00"/>
    <n v="8"/>
    <m/>
    <s v=""/>
    <n v="4"/>
    <s v="No"/>
  </r>
  <r>
    <s v="EMP-2020-0248"/>
    <s v="Hannah"/>
    <s v="Foster"/>
    <m/>
    <n v="43"/>
    <n v="1981"/>
    <n v="70000"/>
    <n v="70000"/>
    <x v="1"/>
    <s v="finance"/>
    <x v="1"/>
    <s v="Manager"/>
    <d v="2020-02-20T00:00:00"/>
    <d v="2020-02-20T00:00:00"/>
    <s v="A"/>
    <n v="99"/>
    <s v="hannah.foster@saltcorp.com"/>
    <s v="123-456-7890"/>
    <s v="Part-Time"/>
    <s v="Part-Time"/>
    <s v="EMP-2018-0031"/>
    <n v="8"/>
    <m/>
    <m/>
    <m/>
    <n v="8"/>
    <m/>
    <s v=""/>
    <n v="5"/>
    <s v="Yes"/>
  </r>
  <r>
    <s v="EMP-2019-0249"/>
    <s v="David"/>
    <s v="Murphy"/>
    <n v="50"/>
    <n v="50"/>
    <n v="1974"/>
    <n v="55000"/>
    <n v="55000"/>
    <x v="0"/>
    <s v="it"/>
    <x v="3"/>
    <s v="Clerk"/>
    <d v="2019-03-25T00:00:00"/>
    <d v="2019-03-25T00:00:00"/>
    <s v="C"/>
    <n v="79"/>
    <s v="david.murphy@saltcorp.com"/>
    <s v=" "/>
    <s v="Part-Time"/>
    <s v="Part-Time"/>
    <m/>
    <n v="8"/>
    <s v="N/A"/>
    <m/>
    <d v="2022-06-20T00:00:00"/>
    <m/>
    <s v="no"/>
    <s v="No"/>
    <n v="2"/>
    <s v="Yes"/>
  </r>
  <r>
    <s v="EMP-2018-0250"/>
    <s v="Alice"/>
    <s v="Rivera"/>
    <n v="35"/>
    <n v="35"/>
    <n v="1989"/>
    <s v="SIXTY THOUSAND"/>
    <n v="60000"/>
    <x v="1"/>
    <s v="Marketing"/>
    <x v="4"/>
    <s v="Analyst"/>
    <d v="2018-04-05T00:00:00"/>
    <d v="2018-04-05T00:00:00"/>
    <s v="A"/>
    <n v="100"/>
    <s v="alice.rivera@saltcorp.com"/>
    <s v=" "/>
    <s v="contract"/>
    <s v="Contract"/>
    <s v="EMP-2020-0010"/>
    <n v="2"/>
    <m/>
    <m/>
    <m/>
    <m/>
    <s v="YES"/>
    <s v="Yes"/>
    <n v="2"/>
    <s v="Yes"/>
  </r>
  <r>
    <s v="EMP-2019-0251"/>
    <s v="Hannah"/>
    <s v="Gray"/>
    <n v="25"/>
    <n v="25"/>
    <n v="1999"/>
    <n v="60000"/>
    <n v="60000"/>
    <x v="1"/>
    <s v="Marketing"/>
    <x v="4"/>
    <s v="Manager"/>
    <d v="2019-12-01T00:00:00"/>
    <d v="2019-12-01T00:00:00"/>
    <s v="C"/>
    <n v="71"/>
    <s v="hannah.gray@saltcorp.com"/>
    <s v="123-456-7890"/>
    <s v="Part-Time"/>
    <s v="Part-Time"/>
    <m/>
    <n v="8"/>
    <m/>
    <n v="5"/>
    <m/>
    <n v="46"/>
    <s v="no"/>
    <s v="No"/>
    <n v="3"/>
    <s v="No"/>
  </r>
  <r>
    <s v="EMP-2019-0252"/>
    <s v="David"/>
    <s v="Schmidt"/>
    <n v="35"/>
    <n v="35"/>
    <n v="1989"/>
    <n v="59800"/>
    <n v="59800"/>
    <x v="0"/>
    <s v="it"/>
    <x v="3"/>
    <s v="Assistant"/>
    <d v="2019-03-25T00:00:00"/>
    <d v="2019-03-25T00:00:00"/>
    <s v="C"/>
    <n v="79"/>
    <s v="david.schmidt@saltcorp.com"/>
    <s v=" "/>
    <s v="Full-Time"/>
    <s v="Full-Time"/>
    <m/>
    <n v="8"/>
    <m/>
    <n v="4"/>
    <d v="2023-01-15T00:00:00"/>
    <m/>
    <s v="no"/>
    <s v="No"/>
    <n v="2"/>
    <s v="No"/>
  </r>
  <r>
    <s v="EMP-2019-0253"/>
    <s v="Frank"/>
    <s v="Flores"/>
    <n v="40"/>
    <n v="40"/>
    <n v="1984"/>
    <n v="55000"/>
    <n v="55000"/>
    <x v="0"/>
    <s v="HR"/>
    <x v="0"/>
    <s v="Clerk"/>
    <d v="2019-03-25T00:00:00"/>
    <d v="2019-03-25T00:00:00"/>
    <s v="B"/>
    <n v="81"/>
    <s v="frank.flores@saltcorp.com"/>
    <m/>
    <s v="Part-Time"/>
    <s v="Part-Time"/>
    <m/>
    <n v="6"/>
    <m/>
    <n v="9"/>
    <m/>
    <m/>
    <s v="no"/>
    <s v="No"/>
    <n v="4"/>
    <s v="Yes"/>
  </r>
  <r>
    <s v="EMP-2018-0254"/>
    <s v="Hannah"/>
    <s v="Schmidt"/>
    <m/>
    <n v="26"/>
    <n v="1998"/>
    <n v="65000"/>
    <n v="65000"/>
    <x v="0"/>
    <s v="finance"/>
    <x v="1"/>
    <s v="Clerk"/>
    <d v="2018-04-05T00:00:00"/>
    <d v="2018-04-05T00:00:00"/>
    <s v="F"/>
    <n v="50"/>
    <s v="hannah.schmidt@saltcorp.com"/>
    <s v=" "/>
    <s v="Full-Time"/>
    <s v="Full-Time"/>
    <m/>
    <n v="2"/>
    <s v="N/A"/>
    <n v="5"/>
    <m/>
    <m/>
    <s v="no"/>
    <s v="No"/>
    <n v="3"/>
    <s v="Yes"/>
  </r>
  <r>
    <s v="EMP-2019-0255"/>
    <s v="David"/>
    <s v="Thomas"/>
    <n v="35"/>
    <n v="35"/>
    <n v="1989"/>
    <n v="55000"/>
    <n v="55000"/>
    <x v="0"/>
    <s v="finance"/>
    <x v="1"/>
    <s v="Assistant"/>
    <d v="2019-03-25T00:00:00"/>
    <d v="2019-03-25T00:00:00"/>
    <s v="D"/>
    <n v="68"/>
    <s v="david.thomas@saltcorp.com"/>
    <s v="123-456-7890"/>
    <s v="Part-Time"/>
    <s v="Part-Time"/>
    <m/>
    <n v="8"/>
    <m/>
    <m/>
    <d v="2024-08-12T00:00:00"/>
    <m/>
    <m/>
    <s v=""/>
    <n v="3"/>
    <s v="No"/>
  </r>
  <r>
    <s v="EMP-2020-0256"/>
    <s v="Charlie"/>
    <s v="Taylor"/>
    <s v="thirty"/>
    <n v="30"/>
    <n v="1994"/>
    <n v="61600"/>
    <n v="61600"/>
    <x v="0"/>
    <s v="Marketing"/>
    <x v="4"/>
    <s v="Assistant"/>
    <d v="2020-01-15T00:00:00"/>
    <d v="2020-01-15T00:00:00"/>
    <s v="D"/>
    <n v="67"/>
    <s v="charlie.taylor@saltcorp.com"/>
    <s v="555-555-5555"/>
    <s v="Part-Time"/>
    <s v="Part-Time"/>
    <m/>
    <n v="1"/>
    <m/>
    <m/>
    <m/>
    <m/>
    <s v="YES"/>
    <s v="Yes"/>
    <n v="3"/>
    <s v="Yes"/>
  </r>
  <r>
    <s v="EMP-2018-0257"/>
    <s v="Ivy"/>
    <s v="Pearson"/>
    <n v="40"/>
    <n v="40"/>
    <n v="1984"/>
    <n v="50000"/>
    <n v="50000"/>
    <x v="1"/>
    <s v="finance"/>
    <x v="1"/>
    <s v="Assistant"/>
    <d v="2018-04-05T00:00:00"/>
    <d v="2018-04-05T00:00:00"/>
    <s v="D"/>
    <n v="67"/>
    <s v="ivy.pearson@saltcorp.com"/>
    <m/>
    <s v="Full-Time"/>
    <s v="Full-Time"/>
    <m/>
    <n v="2"/>
    <m/>
    <m/>
    <m/>
    <m/>
    <s v="Y"/>
    <s v="Yes"/>
    <n v="2"/>
    <s v="Yes"/>
  </r>
  <r>
    <s v="EMP-2020-0258"/>
    <s v="Charlie"/>
    <s v="Moore"/>
    <n v="40"/>
    <n v="40"/>
    <n v="1984"/>
    <s v="SIXTY THOUSAND"/>
    <n v="60000"/>
    <x v="1"/>
    <s v="it"/>
    <x v="3"/>
    <s v="Analyst"/>
    <d v="2020-01-15T00:00:00"/>
    <d v="2020-01-15T00:00:00"/>
    <s v="A"/>
    <n v="92"/>
    <s v="charlie.moore@saltcorp.com"/>
    <s v="098-765-4321"/>
    <s v="contract"/>
    <s v="Contract"/>
    <m/>
    <n v="7"/>
    <n v="8"/>
    <n v="20"/>
    <m/>
    <m/>
    <s v="YES"/>
    <s v="Yes"/>
    <n v="1"/>
    <s v="No"/>
  </r>
  <r>
    <s v="EMP-2018-0259"/>
    <s v="Ivy"/>
    <s v="Sims"/>
    <n v="35"/>
    <n v="35"/>
    <n v="1989"/>
    <n v="55000"/>
    <n v="55000"/>
    <x v="1"/>
    <s v="HR"/>
    <x v="0"/>
    <s v="Director"/>
    <d v="2018-04-05T00:00:00"/>
    <d v="2018-04-05T00:00:00"/>
    <s v="D"/>
    <n v="64"/>
    <s v="ivy.sims@saltcorp.com"/>
    <s v="123-456-7890"/>
    <s v="contract"/>
    <s v="Contract"/>
    <s v="EMP-2018-0083"/>
    <n v="7"/>
    <n v="15"/>
    <m/>
    <m/>
    <m/>
    <s v="no"/>
    <s v="No"/>
    <n v="2"/>
    <s v="Yes"/>
  </r>
  <r>
    <s v="EMP-2019-0260"/>
    <s v="Bob"/>
    <s v="Mason"/>
    <n v="35"/>
    <n v="35"/>
    <n v="1989"/>
    <n v="58600"/>
    <n v="58600"/>
    <x v="0"/>
    <s v="it"/>
    <x v="3"/>
    <s v="Clerk"/>
    <d v="2019-03-25T00:00:00"/>
    <d v="2019-03-25T00:00:00"/>
    <s v="D"/>
    <n v="64"/>
    <s v="bob.mason@saltcorp.com"/>
    <s v="098-765-4321"/>
    <s v="Part-Time"/>
    <s v="Part-Time"/>
    <m/>
    <n v="1"/>
    <m/>
    <m/>
    <d v="2024-08-12T00:00:00"/>
    <m/>
    <s v="no"/>
    <s v="No"/>
    <n v="4"/>
    <s v="No"/>
  </r>
  <r>
    <s v="EMP-2020-0261"/>
    <s v="Bob"/>
    <s v="Thomas"/>
    <m/>
    <n v="51"/>
    <n v="1973"/>
    <n v="65000"/>
    <n v="65000"/>
    <x v="0"/>
    <s v="sales"/>
    <x v="2"/>
    <s v="Director"/>
    <d v="2020-01-15T00:00:00"/>
    <d v="2020-01-15T00:00:00"/>
    <s v="B"/>
    <n v="85"/>
    <s v="bob.thomas@saltcorp.com"/>
    <s v="555-555-5555"/>
    <s v="contract"/>
    <s v="Contract"/>
    <m/>
    <n v="1"/>
    <s v="N/A"/>
    <m/>
    <m/>
    <m/>
    <s v="YES"/>
    <s v="Yes"/>
    <n v="3"/>
    <s v="No"/>
  </r>
  <r>
    <s v="EMP-2019-0262"/>
    <s v="Bob"/>
    <s v="Brown"/>
    <n v="25"/>
    <n v="25"/>
    <n v="1999"/>
    <n v="60500"/>
    <n v="60500"/>
    <x v="0"/>
    <s v="Marketing"/>
    <x v="4"/>
    <s v="Director"/>
    <d v="2019-03-25T00:00:00"/>
    <d v="2019-03-25T00:00:00"/>
    <s v="C"/>
    <n v="78"/>
    <s v="bob.brown@saltcorp.com"/>
    <s v="098-765-4321"/>
    <s v="contract"/>
    <s v="Contract"/>
    <m/>
    <n v="2"/>
    <n v="2"/>
    <m/>
    <d v="2023-01-15T00:00:00"/>
    <m/>
    <s v="YES"/>
    <s v="Yes"/>
    <n v="2"/>
    <s v="Yes"/>
  </r>
  <r>
    <s v="EMP-2018-0263"/>
    <s v="Frank"/>
    <s v="Williamson"/>
    <n v="35"/>
    <n v="35"/>
    <n v="1989"/>
    <n v="65000"/>
    <n v="65000"/>
    <x v="0"/>
    <s v="finance"/>
    <x v="1"/>
    <s v="Assistant"/>
    <d v="2018-04-05T00:00:00"/>
    <d v="2018-04-05T00:00:00"/>
    <s v="D"/>
    <n v="67"/>
    <s v="frank.williamson@saltcorp.com"/>
    <s v="123-456-7890"/>
    <s v="Full-Time"/>
    <s v="Full-Time"/>
    <m/>
    <n v="5"/>
    <m/>
    <m/>
    <m/>
    <m/>
    <s v="no"/>
    <s v="No"/>
    <n v="1"/>
    <s v="No"/>
  </r>
  <r>
    <s v="EMP-2019-0264"/>
    <s v="Charlie"/>
    <s v="Moore"/>
    <n v="35"/>
    <n v="35"/>
    <n v="1989"/>
    <n v="55000"/>
    <n v="55000"/>
    <x v="1"/>
    <s v="sales"/>
    <x v="2"/>
    <s v="Analyst"/>
    <d v="2019-03-25T00:00:00"/>
    <d v="2019-03-25T00:00:00"/>
    <s v="F"/>
    <n v="2"/>
    <s v="charlie.moore@saltcorp.com"/>
    <s v="123-456-7890"/>
    <s v="contract"/>
    <s v="Contract"/>
    <m/>
    <n v="4"/>
    <n v="4"/>
    <m/>
    <m/>
    <m/>
    <s v="no"/>
    <s v="No"/>
    <n v="2"/>
    <s v="No"/>
  </r>
  <r>
    <s v="EMP-2020-0265"/>
    <s v="Ivy"/>
    <s v="Kumar"/>
    <n v="50"/>
    <n v="50"/>
    <n v="1974"/>
    <n v="65000"/>
    <n v="65000"/>
    <x v="0"/>
    <s v="finance"/>
    <x v="1"/>
    <s v="Manager"/>
    <d v="2020-01-15T00:00:00"/>
    <d v="2020-01-15T00:00:00"/>
    <s v="D"/>
    <n v="61"/>
    <s v="ivy.kumar@saltcorp.com"/>
    <s v="555-555-5555"/>
    <s v="contract"/>
    <s v="Contract"/>
    <s v="EMP-2019-0092"/>
    <n v="8"/>
    <m/>
    <m/>
    <m/>
    <m/>
    <s v="no"/>
    <s v="No"/>
    <n v="4"/>
    <s v="No"/>
  </r>
  <r>
    <s v="EMP-2020-0266"/>
    <s v="David"/>
    <s v="Sullivan"/>
    <s v="thirty"/>
    <n v="30"/>
    <n v="1994"/>
    <n v="70000"/>
    <n v="70000"/>
    <x v="1"/>
    <s v="HR"/>
    <x v="0"/>
    <s v="Analyst"/>
    <d v="2020-01-15T00:00:00"/>
    <d v="2020-01-15T00:00:00"/>
    <s v="A"/>
    <n v="93"/>
    <s v="david.sullivan@saltcorp.com"/>
    <s v="123-456-7890"/>
    <s v="contract"/>
    <s v="Contract"/>
    <s v="EMP-2018-0006"/>
    <n v="6"/>
    <m/>
    <n v="2"/>
    <m/>
    <m/>
    <s v="YES"/>
    <s v="Yes"/>
    <n v="2"/>
    <s v="Yes"/>
  </r>
  <r>
    <s v="EMP-2019-0267"/>
    <s v="Alice"/>
    <s v="Garrett"/>
    <n v="50"/>
    <n v="50"/>
    <n v="1974"/>
    <n v="70000"/>
    <n v="70000"/>
    <x v="0"/>
    <s v="HR"/>
    <x v="0"/>
    <s v="Director"/>
    <d v="2019-03-25T00:00:00"/>
    <d v="2019-03-25T00:00:00"/>
    <s v="A"/>
    <n v="95"/>
    <s v="alice.garrett@saltcorp.com"/>
    <s v="555-555-5555"/>
    <s v="Full-Time"/>
    <s v="Full-Time"/>
    <m/>
    <n v="6"/>
    <m/>
    <m/>
    <m/>
    <m/>
    <m/>
    <s v=""/>
    <n v="1"/>
    <s v="Yes"/>
  </r>
  <r>
    <s v="EMP-2020-0268"/>
    <s v="David"/>
    <s v="Patel"/>
    <n v="50"/>
    <n v="50"/>
    <n v="1974"/>
    <n v="70000"/>
    <n v="70000"/>
    <x v="1"/>
    <s v="HR"/>
    <x v="0"/>
    <s v="Analyst"/>
    <d v="2020-02-20T00:00:00"/>
    <d v="2020-02-20T00:00:00"/>
    <s v="A"/>
    <n v="92"/>
    <s v="david.patel@saltcorp.com"/>
    <s v="555-555-5555"/>
    <s v="Part-Time"/>
    <s v="Part-Time"/>
    <m/>
    <n v="1"/>
    <m/>
    <m/>
    <m/>
    <m/>
    <s v="YES"/>
    <s v="Yes"/>
    <n v="4"/>
    <s v="No"/>
  </r>
  <r>
    <s v="EMP-2018-0269"/>
    <s v="Alice"/>
    <s v="Lee"/>
    <n v="40"/>
    <n v="40"/>
    <n v="1984"/>
    <n v="50000"/>
    <n v="50000"/>
    <x v="1"/>
    <s v="finance"/>
    <x v="1"/>
    <s v="Assistant"/>
    <d v="2018-04-05T00:00:00"/>
    <d v="2018-04-05T00:00:00"/>
    <s v="D"/>
    <n v="65"/>
    <s v="alice.lee@saltcorp.com"/>
    <s v="123-456-7890"/>
    <s v="Full-Time"/>
    <s v="Full-Time"/>
    <m/>
    <n v="4"/>
    <m/>
    <n v="15"/>
    <d v="2024-08-12T00:00:00"/>
    <m/>
    <s v="no"/>
    <s v="No"/>
    <n v="2"/>
    <s v="Yes"/>
  </r>
  <r>
    <s v="EMP-2018-0270"/>
    <s v="Eve"/>
    <s v="Turner"/>
    <n v="25"/>
    <n v="25"/>
    <n v="1999"/>
    <n v="55000"/>
    <n v="55000"/>
    <x v="0"/>
    <s v="sales"/>
    <x v="2"/>
    <s v="Manager"/>
    <d v="2018-04-05T00:00:00"/>
    <d v="2018-04-05T00:00:00"/>
    <s v="B"/>
    <n v="87"/>
    <s v="eve.turner@saltcorp.com"/>
    <s v=" "/>
    <s v="Full-Time"/>
    <s v="Full-Time"/>
    <m/>
    <n v="8"/>
    <m/>
    <n v="18"/>
    <m/>
    <m/>
    <s v="no"/>
    <s v="No"/>
    <n v="1"/>
    <s v="Yes"/>
  </r>
  <r>
    <s v="EMP-2019-0271"/>
    <s v="David"/>
    <s v="Barnett"/>
    <s v="thirty"/>
    <n v="30"/>
    <n v="1994"/>
    <n v="61500"/>
    <n v="61500"/>
    <x v="1"/>
    <s v="HR"/>
    <x v="0"/>
    <s v="Assistant"/>
    <d v="2019-03-25T00:00:00"/>
    <d v="2019-03-25T00:00:00"/>
    <s v="F"/>
    <n v="3"/>
    <s v="david.barnett@saltcorp.com"/>
    <s v="555-555-5555"/>
    <s v="Part-Time"/>
    <s v="Part-Time"/>
    <m/>
    <n v="6"/>
    <m/>
    <m/>
    <m/>
    <n v="14"/>
    <s v="no"/>
    <s v="No"/>
    <n v="3"/>
    <s v="Yes"/>
  </r>
  <r>
    <s v="EMP-2020-0272"/>
    <s v="Hannah"/>
    <s v="Hughes"/>
    <m/>
    <n v="50"/>
    <n v="1974"/>
    <n v="61500"/>
    <n v="61500"/>
    <x v="1"/>
    <s v="sales"/>
    <x v="2"/>
    <s v="Manager"/>
    <d v="2020-02-20T00:00:00"/>
    <d v="2020-02-20T00:00:00"/>
    <s v="D"/>
    <n v="61"/>
    <s v="hannah.hughes@saltcorp.com"/>
    <s v="123-456-7890"/>
    <s v="Part-Time"/>
    <s v="Part-Time"/>
    <m/>
    <n v="8"/>
    <m/>
    <n v="13"/>
    <d v="2024-08-12T00:00:00"/>
    <m/>
    <s v="YES"/>
    <s v="Yes"/>
    <n v="2"/>
    <s v="No"/>
  </r>
  <r>
    <s v="EMP-2020-0273"/>
    <s v="Hannah"/>
    <s v="Barnett"/>
    <m/>
    <n v="51"/>
    <n v="1973"/>
    <n v="50000"/>
    <n v="50000"/>
    <x v="0"/>
    <s v="finance"/>
    <x v="1"/>
    <s v="Director"/>
    <d v="2020-01-15T00:00:00"/>
    <d v="2020-01-15T00:00:00"/>
    <s v="B"/>
    <n v="81"/>
    <s v="hannah.barnett@saltcorp.com"/>
    <s v=" "/>
    <s v="Full-Time"/>
    <s v="Full-Time"/>
    <m/>
    <n v="6"/>
    <n v="1"/>
    <n v="11"/>
    <m/>
    <m/>
    <s v="YES"/>
    <s v="Yes"/>
    <n v="4"/>
    <s v="No"/>
  </r>
  <r>
    <s v="EMP-2019-0274"/>
    <s v="Grace"/>
    <s v="Li"/>
    <n v="35"/>
    <n v="35"/>
    <n v="1989"/>
    <n v="65000"/>
    <n v="65000"/>
    <x v="0"/>
    <s v="sales"/>
    <x v="2"/>
    <s v="Manager"/>
    <d v="2019-12-01T00:00:00"/>
    <d v="2019-12-01T00:00:00"/>
    <s v="B"/>
    <n v="85"/>
    <s v="grace.li@saltcorp.com"/>
    <s v="555-555-5555"/>
    <s v="contract"/>
    <s v="Contract"/>
    <s v="EMP-2018-0043"/>
    <n v="8"/>
    <m/>
    <n v="9"/>
    <d v="2023-03-05T00:00:00"/>
    <n v="22"/>
    <s v="YES"/>
    <s v="Yes"/>
    <n v="2"/>
    <s v="Yes"/>
  </r>
  <r>
    <s v="EMP-2019-0275"/>
    <s v="Charlie"/>
    <s v="Hoffman"/>
    <n v="35"/>
    <n v="35"/>
    <n v="1989"/>
    <n v="50000"/>
    <n v="50000"/>
    <x v="0"/>
    <s v="finance"/>
    <x v="1"/>
    <s v="Manager"/>
    <d v="2019-12-01T00:00:00"/>
    <d v="2019-12-01T00:00:00"/>
    <s v="D"/>
    <n v="68"/>
    <s v="charlie.hoffman@saltcorp.com"/>
    <s v=" "/>
    <s v="Full-Time"/>
    <s v="Full-Time"/>
    <m/>
    <n v="2"/>
    <n v="12"/>
    <n v="7"/>
    <d v="2023-01-15T00:00:00"/>
    <n v="42"/>
    <s v="no"/>
    <s v="No"/>
    <n v="3"/>
    <s v="No"/>
  </r>
  <r>
    <s v="EMP-2019-0276"/>
    <s v="Alice"/>
    <s v="Welch"/>
    <m/>
    <n v="39"/>
    <n v="1985"/>
    <n v="65000"/>
    <n v="65000"/>
    <x v="1"/>
    <s v="finance"/>
    <x v="1"/>
    <s v="Manager"/>
    <d v="2019-03-25T00:00:00"/>
    <d v="2019-03-25T00:00:00"/>
    <s v="D"/>
    <n v="65"/>
    <s v="alice.welch@saltcorp.com"/>
    <m/>
    <s v="Part-Time"/>
    <s v="Part-Time"/>
    <m/>
    <n v="2"/>
    <m/>
    <n v="10"/>
    <d v="2024-08-12T00:00:00"/>
    <n v="33"/>
    <s v="no"/>
    <s v="No"/>
    <n v="3"/>
    <s v="No"/>
  </r>
  <r>
    <s v="EMP-2020-0277"/>
    <s v="Alice"/>
    <s v="Thompson"/>
    <n v="35"/>
    <n v="35"/>
    <n v="1989"/>
    <n v="65000"/>
    <n v="65000"/>
    <x v="1"/>
    <s v="Marketing"/>
    <x v="4"/>
    <s v="Analyst"/>
    <d v="2020-02-20T00:00:00"/>
    <d v="2020-02-20T00:00:00"/>
    <s v="B"/>
    <n v="89"/>
    <s v="alice.thompson@saltcorp.com"/>
    <m/>
    <s v="Part-Time"/>
    <s v="Part-Time"/>
    <m/>
    <n v="4"/>
    <m/>
    <m/>
    <d v="2023-03-05T00:00:00"/>
    <n v="24"/>
    <s v="YES"/>
    <s v="Yes"/>
    <n v="1"/>
    <s v="Yes"/>
  </r>
  <r>
    <s v="EMP-2020-0278"/>
    <s v="Charlie"/>
    <s v="Jackson"/>
    <n v="25"/>
    <n v="25"/>
    <n v="1999"/>
    <s v="SIXTY THOUSAND"/>
    <n v="60000"/>
    <x v="0"/>
    <s v="finance"/>
    <x v="1"/>
    <s v="Analyst"/>
    <d v="2020-02-20T00:00:00"/>
    <d v="2020-02-20T00:00:00"/>
    <s v="B"/>
    <n v="82"/>
    <s v="charlie.jackson@saltcorp.com"/>
    <s v=" "/>
    <s v="Part-Time"/>
    <s v="Part-Time"/>
    <m/>
    <n v="1"/>
    <m/>
    <m/>
    <m/>
    <m/>
    <s v="YES"/>
    <s v="Yes"/>
    <n v="4"/>
    <s v="No"/>
  </r>
  <r>
    <s v="EMP-2018-0279"/>
    <s v="Frank"/>
    <s v="Sanchez"/>
    <n v="50"/>
    <n v="50"/>
    <n v="1974"/>
    <n v="60300"/>
    <n v="60300"/>
    <x v="1"/>
    <s v="finance"/>
    <x v="1"/>
    <s v="Director"/>
    <d v="2018-04-05T00:00:00"/>
    <d v="2018-04-05T00:00:00"/>
    <s v="B"/>
    <n v="81"/>
    <s v="frank.sanchez@saltcorp.com"/>
    <s v="555-555-5555"/>
    <s v="Part-Time"/>
    <s v="Part-Time"/>
    <m/>
    <n v="6"/>
    <m/>
    <m/>
    <m/>
    <n v="32"/>
    <s v="no"/>
    <s v="No"/>
    <n v="1"/>
    <s v="Yes"/>
  </r>
  <r>
    <s v="EMP-2020-0280"/>
    <s v="Grace"/>
    <s v="Yang"/>
    <n v="35"/>
    <n v="35"/>
    <n v="1989"/>
    <n v="70000"/>
    <n v="70000"/>
    <x v="1"/>
    <s v="it"/>
    <x v="3"/>
    <s v="Manager"/>
    <d v="2020-01-15T00:00:00"/>
    <d v="2020-01-15T00:00:00"/>
    <s v="D"/>
    <n v="65"/>
    <s v="grace.yang@saltcorp.com"/>
    <s v="123-456-7890"/>
    <s v="Part-Time"/>
    <s v="Part-Time"/>
    <m/>
    <n v="6"/>
    <m/>
    <n v="8"/>
    <d v="2024-08-12T00:00:00"/>
    <n v="66"/>
    <s v="no"/>
    <s v="No"/>
    <n v="2"/>
    <s v="Yes"/>
  </r>
  <r>
    <s v="EMP-2020-0281"/>
    <s v="Frank"/>
    <s v="Gomez"/>
    <n v="40"/>
    <n v="40"/>
    <n v="1984"/>
    <n v="65000"/>
    <n v="65000"/>
    <x v="0"/>
    <s v="HR"/>
    <x v="0"/>
    <s v="Clerk"/>
    <d v="2020-02-20T00:00:00"/>
    <d v="2020-02-20T00:00:00"/>
    <s v="B"/>
    <n v="84"/>
    <s v="frank.gomez@saltcorp.com"/>
    <s v="098-765-4321"/>
    <s v="Full-Time"/>
    <s v="Full-Time"/>
    <m/>
    <n v="5"/>
    <n v="3"/>
    <n v="2"/>
    <d v="2024-08-12T00:00:00"/>
    <m/>
    <s v="YES"/>
    <s v="Yes"/>
    <n v="2"/>
    <s v="Yes"/>
  </r>
  <r>
    <s v="EMP-2019-0282"/>
    <s v="Frank"/>
    <s v="Gutierrez"/>
    <n v="35"/>
    <n v="35"/>
    <n v="1989"/>
    <s v="SIXTY THOUSAND"/>
    <n v="60000"/>
    <x v="0"/>
    <s v="Marketing"/>
    <x v="4"/>
    <s v="Director"/>
    <d v="2019-12-01T00:00:00"/>
    <d v="2019-12-01T00:00:00"/>
    <s v="A"/>
    <n v="96"/>
    <s v="frank.gutierrez@saltcorp.com"/>
    <s v="123-456-7890"/>
    <s v="Full-Time"/>
    <s v="Full-Time"/>
    <s v="EMP-2019-0040"/>
    <n v="6"/>
    <s v="N/A"/>
    <m/>
    <m/>
    <n v="79"/>
    <s v="no"/>
    <s v="No"/>
    <n v="3"/>
    <s v="No"/>
  </r>
  <r>
    <s v="EMP-2020-0283"/>
    <s v="Frank"/>
    <s v="Perez"/>
    <s v="thirty"/>
    <n v="30"/>
    <n v="1994"/>
    <n v="60000"/>
    <n v="60000"/>
    <x v="0"/>
    <s v="Marketing"/>
    <x v="4"/>
    <s v="Manager"/>
    <d v="2020-01-15T00:00:00"/>
    <d v="2020-01-15T00:00:00"/>
    <s v="D"/>
    <n v="69"/>
    <s v="frank.perez@saltcorp.com"/>
    <s v="098-765-4321"/>
    <s v="contract"/>
    <s v="Contract"/>
    <m/>
    <n v="2"/>
    <m/>
    <m/>
    <m/>
    <m/>
    <s v="no"/>
    <s v="No"/>
    <n v="5"/>
    <s v="No"/>
  </r>
  <r>
    <s v="EMP-2020-0284"/>
    <s v="Charlie"/>
    <s v="Thomas"/>
    <n v="25"/>
    <n v="25"/>
    <n v="1999"/>
    <n v="70000"/>
    <n v="70000"/>
    <x v="0"/>
    <s v="Marketing"/>
    <x v="4"/>
    <s v="Manager"/>
    <d v="2020-01-15T00:00:00"/>
    <d v="2020-01-15T00:00:00"/>
    <s v="A"/>
    <n v="97"/>
    <s v="charlie.thomas@saltcorp.com"/>
    <s v="098-765-4321"/>
    <s v="contract"/>
    <s v="Contract"/>
    <s v="EMP-2019-0025"/>
    <n v="1"/>
    <m/>
    <n v="2"/>
    <m/>
    <m/>
    <s v="YES"/>
    <s v="Yes"/>
    <n v="5"/>
    <s v="Yes"/>
  </r>
  <r>
    <s v="EMP-2019-0285"/>
    <s v="Frank"/>
    <s v="Rogers"/>
    <s v="thirty"/>
    <n v="30"/>
    <n v="1994"/>
    <n v="65000"/>
    <n v="65000"/>
    <x v="0"/>
    <s v="it"/>
    <x v="3"/>
    <s v="Analyst"/>
    <d v="2019-03-25T00:00:00"/>
    <d v="2019-03-25T00:00:00"/>
    <s v="C"/>
    <n v="74"/>
    <s v="frank.rogers@saltcorp.com"/>
    <s v="555-555-5555"/>
    <s v="Full-Time"/>
    <s v="Full-Time"/>
    <m/>
    <n v="3"/>
    <s v="N/A"/>
    <m/>
    <m/>
    <m/>
    <s v="no"/>
    <s v="No"/>
    <n v="1"/>
    <s v="No"/>
  </r>
  <r>
    <s v="EMP-2020-0286"/>
    <s v="Hannah"/>
    <s v="Hughes"/>
    <s v="thirty"/>
    <n v="30"/>
    <n v="1994"/>
    <n v="65000"/>
    <n v="65000"/>
    <x v="0"/>
    <s v="finance"/>
    <x v="1"/>
    <s v="Director"/>
    <d v="2020-02-20T00:00:00"/>
    <d v="2020-02-20T00:00:00"/>
    <s v="D"/>
    <n v="66"/>
    <s v="hannah.hughes@saltcorp.com"/>
    <s v=" "/>
    <s v="Part-Time"/>
    <s v="Part-Time"/>
    <m/>
    <n v="8"/>
    <m/>
    <m/>
    <m/>
    <m/>
    <s v="YES"/>
    <s v="Yes"/>
    <n v="3"/>
    <s v="No"/>
  </r>
  <r>
    <s v="EMP-2019-0287"/>
    <s v="Bob"/>
    <s v="Johnson"/>
    <n v="40"/>
    <n v="40"/>
    <n v="1984"/>
    <n v="50000"/>
    <n v="50000"/>
    <x v="0"/>
    <s v="HR"/>
    <x v="0"/>
    <s v="Manager"/>
    <d v="2019-03-25T00:00:00"/>
    <d v="2019-03-25T00:00:00"/>
    <s v="C"/>
    <n v="77"/>
    <s v="bob.johnson@saltcorp.com"/>
    <s v="123-456-7890"/>
    <s v="Full-Time"/>
    <s v="Full-Time"/>
    <s v="EMP-2020-0068"/>
    <n v="3"/>
    <m/>
    <m/>
    <m/>
    <m/>
    <s v="no"/>
    <s v="No"/>
    <n v="1"/>
    <s v="Yes"/>
  </r>
  <r>
    <s v="EMP-2020-0288"/>
    <s v="Eve"/>
    <s v="Figueroa"/>
    <n v="25"/>
    <n v="25"/>
    <n v="1999"/>
    <n v="50000"/>
    <n v="50000"/>
    <x v="1"/>
    <s v="sales"/>
    <x v="2"/>
    <s v="Manager"/>
    <d v="2020-02-20T00:00:00"/>
    <d v="2020-02-20T00:00:00"/>
    <s v="B"/>
    <n v="85"/>
    <s v="eve.figueroa@saltcorp.com"/>
    <s v=" "/>
    <s v="Full-Time"/>
    <s v="Full-Time"/>
    <m/>
    <n v="7"/>
    <m/>
    <m/>
    <d v="2023-01-15T00:00:00"/>
    <m/>
    <s v="YES"/>
    <s v="Yes"/>
    <n v="1"/>
    <s v="Yes"/>
  </r>
  <r>
    <s v="EMP-2018-0289"/>
    <s v="Alice"/>
    <s v="Rivera"/>
    <n v="25"/>
    <n v="25"/>
    <n v="1999"/>
    <n v="60300"/>
    <n v="60300"/>
    <x v="1"/>
    <s v="finance"/>
    <x v="1"/>
    <s v="Director"/>
    <d v="2018-04-05T00:00:00"/>
    <d v="2018-04-05T00:00:00"/>
    <s v="B"/>
    <n v="84"/>
    <s v="alice.rivera@saltcorp.com"/>
    <m/>
    <s v="Full-Time"/>
    <s v="Full-Time"/>
    <m/>
    <n v="2"/>
    <s v="N/A"/>
    <m/>
    <s v="N/A"/>
    <m/>
    <s v="no"/>
    <s v="No"/>
    <n v="4"/>
    <s v="No"/>
  </r>
  <r>
    <s v="EMP-2019-0290"/>
    <s v="Alice"/>
    <s v="Chen"/>
    <n v="25"/>
    <n v="25"/>
    <n v="1999"/>
    <n v="70000"/>
    <n v="70000"/>
    <x v="1"/>
    <s v="it"/>
    <x v="3"/>
    <s v="Clerk"/>
    <d v="2019-03-25T00:00:00"/>
    <d v="2019-03-25T00:00:00"/>
    <s v="F"/>
    <n v="18"/>
    <s v="alice.chen@saltcorp.com"/>
    <s v="555-555-5555"/>
    <s v="contract"/>
    <s v="Contract"/>
    <m/>
    <n v="5"/>
    <m/>
    <n v="12"/>
    <m/>
    <n v="11"/>
    <s v="no"/>
    <s v="No"/>
    <n v="5"/>
    <s v="Yes"/>
  </r>
  <r>
    <s v="EMP-2019-0291"/>
    <s v="Eve"/>
    <s v="Powers"/>
    <n v="25"/>
    <n v="25"/>
    <n v="1999"/>
    <n v="65000"/>
    <n v="65000"/>
    <x v="1"/>
    <s v="finance"/>
    <x v="1"/>
    <s v="Director"/>
    <d v="2019-03-25T00:00:00"/>
    <d v="2019-03-25T00:00:00"/>
    <s v="B"/>
    <n v="88"/>
    <s v="eve.powers@saltcorp.com"/>
    <s v="555-555-5555"/>
    <s v="Full-Time"/>
    <s v="Full-Time"/>
    <m/>
    <n v="4"/>
    <m/>
    <m/>
    <d v="2023-03-05T00:00:00"/>
    <n v="80"/>
    <s v="YES"/>
    <s v="Yes"/>
    <n v="3"/>
    <s v="No"/>
  </r>
  <r>
    <s v="EMP-2019-0292"/>
    <s v="Charlie"/>
    <s v="Evans"/>
    <n v="25"/>
    <n v="25"/>
    <n v="1999"/>
    <n v="60300"/>
    <n v="60300"/>
    <x v="0"/>
    <s v="finance"/>
    <x v="1"/>
    <s v="Director"/>
    <d v="2019-12-01T00:00:00"/>
    <d v="2019-12-01T00:00:00"/>
    <s v="C"/>
    <n v="73"/>
    <s v="charlie.evans@saltcorp.com"/>
    <m/>
    <s v="Part-Time"/>
    <s v="Part-Time"/>
    <m/>
    <n v="4"/>
    <m/>
    <m/>
    <d v="2022-06-20T00:00:00"/>
    <n v="7"/>
    <s v="no"/>
    <s v="No"/>
    <n v="3"/>
    <s v="No"/>
  </r>
  <r>
    <s v="EMP-2019-0293"/>
    <s v="David"/>
    <s v="Hansen"/>
    <n v="40"/>
    <n v="40"/>
    <n v="1984"/>
    <n v="58600"/>
    <n v="58600"/>
    <x v="0"/>
    <s v="it"/>
    <x v="3"/>
    <s v="Clerk"/>
    <d v="2019-03-25T00:00:00"/>
    <d v="2019-03-25T00:00:00"/>
    <s v="B"/>
    <n v="86"/>
    <s v="david.hansen@saltcorp.com"/>
    <s v="123-456-7890"/>
    <s v="Part-Time"/>
    <s v="Part-Time"/>
    <m/>
    <n v="2"/>
    <m/>
    <m/>
    <m/>
    <n v="49"/>
    <s v="no"/>
    <s v="No"/>
    <n v="5"/>
    <s v="No"/>
  </r>
  <r>
    <s v="EMP-2020-0294"/>
    <s v="Charlie"/>
    <s v="Jackson"/>
    <n v="35"/>
    <n v="35"/>
    <n v="1989"/>
    <n v="55000"/>
    <n v="55000"/>
    <x v="0"/>
    <s v="Marketing"/>
    <x v="4"/>
    <s v="Director"/>
    <d v="2020-02-20T00:00:00"/>
    <d v="2020-02-20T00:00:00"/>
    <s v="D"/>
    <n v="66"/>
    <s v="charlie.jackson@saltcorp.com"/>
    <m/>
    <s v="contract"/>
    <s v="Contract"/>
    <m/>
    <n v="7"/>
    <n v="6"/>
    <m/>
    <m/>
    <m/>
    <s v="Y"/>
    <s v="Yes"/>
    <n v="5"/>
    <s v="No"/>
  </r>
  <r>
    <s v="EMP-2019-0295"/>
    <s v="Alice"/>
    <s v="Chen"/>
    <s v="thirty"/>
    <n v="30"/>
    <n v="1994"/>
    <n v="50000"/>
    <n v="50000"/>
    <x v="1"/>
    <s v="Marketing"/>
    <x v="4"/>
    <s v="Manager"/>
    <d v="2019-12-01T00:00:00"/>
    <d v="2019-12-01T00:00:00"/>
    <s v="B"/>
    <n v="84"/>
    <s v="alice.chen@saltcorp.com"/>
    <s v="123-456-7890"/>
    <s v="contract"/>
    <s v="Contract"/>
    <m/>
    <n v="4"/>
    <m/>
    <m/>
    <d v="2024-08-12T00:00:00"/>
    <m/>
    <s v="no"/>
    <s v="No"/>
    <n v="5"/>
    <s v="Yes"/>
  </r>
  <r>
    <s v="EMP-2019-0296"/>
    <s v="Alice"/>
    <s v="Martinez"/>
    <n v="25"/>
    <n v="25"/>
    <n v="1999"/>
    <n v="70000"/>
    <n v="70000"/>
    <x v="1"/>
    <s v="HR"/>
    <x v="0"/>
    <s v="Director"/>
    <d v="2019-03-25T00:00:00"/>
    <d v="2019-03-25T00:00:00"/>
    <s v="F"/>
    <n v="5"/>
    <s v="alice.martinez@saltcorp.com"/>
    <s v="098-765-4321"/>
    <s v="Full-Time"/>
    <s v="Full-Time"/>
    <m/>
    <n v="8"/>
    <m/>
    <n v="14"/>
    <m/>
    <n v="67"/>
    <m/>
    <s v=""/>
    <n v="3"/>
    <s v="No"/>
  </r>
  <r>
    <s v="EMP-2019-0297"/>
    <s v="Eve"/>
    <s v="Dixon"/>
    <n v="35"/>
    <n v="35"/>
    <n v="1989"/>
    <n v="65000"/>
    <n v="65000"/>
    <x v="1"/>
    <s v="HR"/>
    <x v="0"/>
    <s v="Clerk"/>
    <d v="2019-03-25T00:00:00"/>
    <d v="2019-03-25T00:00:00"/>
    <s v="B"/>
    <n v="81"/>
    <s v="eve.dixon@saltcorp.com"/>
    <s v="555-555-5555"/>
    <s v="Part-Time"/>
    <s v="Part-Time"/>
    <m/>
    <n v="4"/>
    <n v="10"/>
    <m/>
    <s v="N/A"/>
    <m/>
    <s v="YES"/>
    <s v="Yes"/>
    <n v="5"/>
    <s v="No"/>
  </r>
  <r>
    <s v="EMP-2018-0298"/>
    <s v="Frank"/>
    <s v="Torres"/>
    <n v="35"/>
    <n v="35"/>
    <n v="1989"/>
    <n v="61600"/>
    <n v="61600"/>
    <x v="0"/>
    <s v="Marketing"/>
    <x v="4"/>
    <s v="Assistant"/>
    <d v="2018-04-05T00:00:00"/>
    <d v="2018-04-05T00:00:00"/>
    <s v="C"/>
    <n v="78"/>
    <s v="frank.torres@saltcorp.com"/>
    <s v="123-456-7890"/>
    <s v="Part-Time"/>
    <s v="Part-Time"/>
    <m/>
    <n v="6"/>
    <m/>
    <n v="6"/>
    <d v="2021-10-01T00:00:00"/>
    <m/>
    <s v="YES"/>
    <s v="Yes"/>
    <n v="3"/>
    <s v="No"/>
  </r>
  <r>
    <s v="EMP-2019-0299"/>
    <s v="Charlie"/>
    <s v="Wells"/>
    <s v="thirty"/>
    <n v="30"/>
    <n v="1994"/>
    <n v="65000"/>
    <n v="65000"/>
    <x v="0"/>
    <s v="sales"/>
    <x v="2"/>
    <s v="Director"/>
    <d v="2019-03-25T00:00:00"/>
    <d v="2019-03-25T00:00:00"/>
    <s v="C"/>
    <n v="76"/>
    <s v="charlie.wells@saltcorp.com"/>
    <s v=" "/>
    <s v="Part-Time"/>
    <s v="Part-Time"/>
    <s v="EMP-2019-0071"/>
    <n v="2"/>
    <m/>
    <m/>
    <d v="2023-01-15T00:00:00"/>
    <m/>
    <s v="no"/>
    <s v="No"/>
    <n v="1"/>
    <s v="Yes"/>
  </r>
  <r>
    <s v="EMP-2020-0300"/>
    <s v="Ivy"/>
    <s v="Andrews"/>
    <n v="40"/>
    <n v="40"/>
    <n v="1984"/>
    <n v="55000"/>
    <n v="55000"/>
    <x v="1"/>
    <s v="finance"/>
    <x v="1"/>
    <s v="Analyst"/>
    <d v="2020-01-15T00:00:00"/>
    <d v="2020-01-15T00:00:00"/>
    <s v="B"/>
    <n v="86"/>
    <s v="ivy.andrews@saltcorp.com"/>
    <s v=" "/>
    <s v="contract"/>
    <s v="Contract"/>
    <m/>
    <n v="7"/>
    <s v="N/A"/>
    <n v="4"/>
    <d v="2023-01-15T00:00:00"/>
    <m/>
    <s v="Y"/>
    <s v="Yes"/>
    <n v="4"/>
    <s v="No"/>
  </r>
  <r>
    <s v="EMP-2019-0301"/>
    <s v="Eve"/>
    <s v="Carter"/>
    <m/>
    <n v="36"/>
    <n v="1988"/>
    <n v="70000"/>
    <n v="70000"/>
    <x v="1"/>
    <s v="sales"/>
    <x v="2"/>
    <s v="Manager"/>
    <d v="2019-12-01T00:00:00"/>
    <d v="2019-12-01T00:00:00"/>
    <s v="C"/>
    <n v="71"/>
    <s v="eve.carter@saltcorp.com"/>
    <s v="555-555-5555"/>
    <s v="Part-Time"/>
    <s v="Part-Time"/>
    <m/>
    <n v="1"/>
    <m/>
    <m/>
    <s v="N/A"/>
    <n v="70"/>
    <s v="Y"/>
    <s v="Yes"/>
    <n v="3"/>
    <s v="Yes"/>
  </r>
  <r>
    <s v="EMP-2020-0302"/>
    <s v="Hannah"/>
    <s v="Gray"/>
    <m/>
    <n v="39"/>
    <n v="1985"/>
    <n v="59500"/>
    <n v="59500"/>
    <x v="0"/>
    <s v="finance"/>
    <x v="1"/>
    <s v="Manager"/>
    <d v="2020-01-15T00:00:00"/>
    <d v="2020-01-15T00:00:00"/>
    <s v="C"/>
    <n v="77"/>
    <s v="hannah.gray@saltcorp.com"/>
    <m/>
    <s v="Part-Time"/>
    <s v="Part-Time"/>
    <m/>
    <n v="2"/>
    <m/>
    <m/>
    <d v="2023-01-15T00:00:00"/>
    <m/>
    <s v="no"/>
    <s v="No"/>
    <n v="4"/>
    <s v="No"/>
  </r>
  <r>
    <s v="EMP-2019-0303"/>
    <s v="Alice"/>
    <s v="Anderson"/>
    <n v="35"/>
    <n v="35"/>
    <n v="1989"/>
    <n v="65000"/>
    <n v="65000"/>
    <x v="0"/>
    <s v="Marketing"/>
    <x v="4"/>
    <s v="Analyst"/>
    <d v="2019-12-01T00:00:00"/>
    <d v="2019-12-01T00:00:00"/>
    <s v="F"/>
    <n v="7"/>
    <s v="alice.anderson@saltcorp.com"/>
    <m/>
    <s v="Full-Time"/>
    <s v="Full-Time"/>
    <s v="EMP-2019-0012"/>
    <n v="8"/>
    <m/>
    <n v="0"/>
    <d v="2023-03-05T00:00:00"/>
    <m/>
    <s v="no"/>
    <s v="No"/>
    <n v="1"/>
    <s v="Yes"/>
  </r>
  <r>
    <s v="EMP-2018-0304"/>
    <s v="Eve"/>
    <s v="Santos"/>
    <n v="50"/>
    <n v="50"/>
    <n v="1974"/>
    <n v="50000"/>
    <n v="50000"/>
    <x v="1"/>
    <s v="HR"/>
    <x v="0"/>
    <s v="Analyst"/>
    <d v="2018-04-05T00:00:00"/>
    <d v="2018-04-05T00:00:00"/>
    <s v="D"/>
    <n v="66"/>
    <s v="eve.santos@saltcorp.com"/>
    <s v="123-456-7890"/>
    <s v="Part-Time"/>
    <s v="Part-Time"/>
    <m/>
    <n v="8"/>
    <s v="N/A"/>
    <m/>
    <d v="2024-08-12T00:00:00"/>
    <m/>
    <m/>
    <s v=""/>
    <n v="4"/>
    <s v="No"/>
  </r>
  <r>
    <s v="EMP-2019-0305"/>
    <s v="Charlie"/>
    <s v="Young"/>
    <n v="50"/>
    <n v="50"/>
    <n v="1974"/>
    <n v="55000"/>
    <n v="55000"/>
    <x v="0"/>
    <s v="HR"/>
    <x v="0"/>
    <s v="Director"/>
    <d v="2019-03-25T00:00:00"/>
    <d v="2019-03-25T00:00:00"/>
    <s v="F"/>
    <n v="1"/>
    <s v="charlie.young@saltcorp.com"/>
    <m/>
    <s v="Full-Time"/>
    <s v="Full-Time"/>
    <s v="EMP-2020-0048"/>
    <n v="3"/>
    <n v="5"/>
    <n v="18"/>
    <m/>
    <n v="50"/>
    <s v="YES"/>
    <s v="Yes"/>
    <n v="3"/>
    <s v="No"/>
  </r>
  <r>
    <s v="EMP-2019-0306"/>
    <s v="Alice"/>
    <s v="Graham"/>
    <s v="thirty"/>
    <n v="30"/>
    <n v="1994"/>
    <n v="70000"/>
    <n v="70000"/>
    <x v="0"/>
    <s v="sales"/>
    <x v="2"/>
    <s v="Analyst"/>
    <d v="2019-03-25T00:00:00"/>
    <d v="2019-03-25T00:00:00"/>
    <s v="A"/>
    <n v="99"/>
    <s v="alice.graham@saltcorp.com"/>
    <s v="555-555-5555"/>
    <s v="Full-Time"/>
    <s v="Full-Time"/>
    <s v="EMP-2018-0048"/>
    <n v="8"/>
    <m/>
    <m/>
    <m/>
    <m/>
    <m/>
    <s v=""/>
    <n v="4"/>
    <s v="No"/>
  </r>
  <r>
    <s v="EMP-2019-0307"/>
    <s v="David"/>
    <s v="Patel"/>
    <m/>
    <n v="37"/>
    <n v="1987"/>
    <n v="55000"/>
    <n v="55000"/>
    <x v="0"/>
    <s v="HR"/>
    <x v="0"/>
    <s v="Assistant"/>
    <d v="2019-03-25T00:00:00"/>
    <d v="2019-03-25T00:00:00"/>
    <s v="F"/>
    <n v="11"/>
    <s v="david.patel@saltcorp.com"/>
    <s v="123-456-7890"/>
    <s v="Full-Time"/>
    <s v="Full-Time"/>
    <m/>
    <n v="1"/>
    <n v="10"/>
    <n v="2"/>
    <d v="2023-01-15T00:00:00"/>
    <n v="72"/>
    <s v="no"/>
    <s v="No"/>
    <n v="4"/>
    <s v="No"/>
  </r>
  <r>
    <s v="EMP-2019-0308"/>
    <s v="Eve"/>
    <s v="Rivera"/>
    <n v="35"/>
    <n v="35"/>
    <n v="1989"/>
    <n v="50000"/>
    <n v="50000"/>
    <x v="0"/>
    <s v="Marketing"/>
    <x v="4"/>
    <s v="Clerk"/>
    <d v="2019-12-01T00:00:00"/>
    <d v="2019-12-01T00:00:00"/>
    <s v="B"/>
    <n v="89"/>
    <s v="eve.rivera@saltcorp.com"/>
    <s v="098-765-4321"/>
    <s v="Full-Time"/>
    <s v="Full-Time"/>
    <s v="EMP-2018-0018"/>
    <n v="1"/>
    <n v="3"/>
    <n v="10"/>
    <m/>
    <m/>
    <s v="YES"/>
    <s v="Yes"/>
    <n v="4"/>
    <s v="No"/>
  </r>
  <r>
    <s v="EMP-2019-0309"/>
    <s v="Grace"/>
    <s v="Bennett"/>
    <n v="40"/>
    <n v="40"/>
    <n v="1984"/>
    <n v="70000"/>
    <n v="70000"/>
    <x v="0"/>
    <s v="sales"/>
    <x v="2"/>
    <s v="Analyst"/>
    <d v="2019-03-25T00:00:00"/>
    <d v="2019-03-25T00:00:00"/>
    <s v="D"/>
    <n v="68"/>
    <s v="grace.bennett@saltcorp.com"/>
    <m/>
    <s v="Part-Time"/>
    <s v="Part-Time"/>
    <s v="EMP-2019-0090"/>
    <n v="7"/>
    <m/>
    <m/>
    <d v="2022-06-20T00:00:00"/>
    <m/>
    <s v="no"/>
    <s v="No"/>
    <n v="3"/>
    <s v="No"/>
  </r>
  <r>
    <s v="EMP-2020-0310"/>
    <s v="Alice"/>
    <s v="Garza"/>
    <m/>
    <n v="33"/>
    <n v="1991"/>
    <n v="55000"/>
    <n v="55000"/>
    <x v="0"/>
    <s v="finance"/>
    <x v="1"/>
    <s v="Analyst"/>
    <d v="2020-01-15T00:00:00"/>
    <d v="2020-01-15T00:00:00"/>
    <s v="B"/>
    <n v="86"/>
    <s v="alice.garza@saltcorp.com"/>
    <m/>
    <s v="Full-Time"/>
    <s v="Full-Time"/>
    <m/>
    <n v="8"/>
    <m/>
    <n v="17"/>
    <d v="2022-06-20T00:00:00"/>
    <n v="27"/>
    <s v="no"/>
    <s v="No"/>
    <n v="3"/>
    <s v="Yes"/>
  </r>
  <r>
    <s v="EMP-2019-0311"/>
    <s v="Charlie"/>
    <s v="Taylor"/>
    <n v="35"/>
    <n v="35"/>
    <n v="1989"/>
    <s v="SIXTY THOUSAND"/>
    <n v="60000"/>
    <x v="1"/>
    <s v="HR"/>
    <x v="0"/>
    <s v="Assistant"/>
    <d v="2019-03-25T00:00:00"/>
    <d v="2019-03-25T00:00:00"/>
    <s v="A"/>
    <n v="95"/>
    <s v="charlie.taylor@saltcorp.com"/>
    <s v="123-456-7890"/>
    <s v="Full-Time"/>
    <s v="Full-Time"/>
    <m/>
    <n v="3"/>
    <m/>
    <m/>
    <d v="2023-03-05T00:00:00"/>
    <m/>
    <s v="Y"/>
    <s v="Yes"/>
    <n v="2"/>
    <s v="Yes"/>
  </r>
  <r>
    <s v="EMP-2018-0312"/>
    <s v="Bob"/>
    <s v="Wilson"/>
    <n v="35"/>
    <n v="35"/>
    <n v="1989"/>
    <n v="50000"/>
    <n v="50000"/>
    <x v="0"/>
    <s v="it"/>
    <x v="3"/>
    <s v="Manager"/>
    <d v="2018-04-05T00:00:00"/>
    <d v="2018-04-05T00:00:00"/>
    <s v="D"/>
    <n v="62"/>
    <s v="bob.wilson@saltcorp.com"/>
    <s v=" "/>
    <s v="contract"/>
    <s v="Contract"/>
    <m/>
    <n v="3"/>
    <m/>
    <m/>
    <m/>
    <n v="78"/>
    <s v="no"/>
    <s v="No"/>
    <n v="4"/>
    <s v="Yes"/>
  </r>
  <r>
    <s v="EMP-2020-0313"/>
    <s v="Ivy"/>
    <s v="Kumar"/>
    <n v="25"/>
    <n v="25"/>
    <n v="1999"/>
    <n v="50000"/>
    <n v="50000"/>
    <x v="1"/>
    <s v="HR"/>
    <x v="0"/>
    <s v="Manager"/>
    <d v="2020-01-15T00:00:00"/>
    <d v="2020-01-15T00:00:00"/>
    <s v="C"/>
    <n v="71"/>
    <s v="ivy.kumar@saltcorp.com"/>
    <m/>
    <s v="Full-Time"/>
    <s v="Full-Time"/>
    <m/>
    <n v="3"/>
    <m/>
    <m/>
    <m/>
    <m/>
    <s v="no"/>
    <s v="No"/>
    <n v="3"/>
    <s v="Yes"/>
  </r>
  <r>
    <s v="EMP-2019-0314"/>
    <s v="Jack"/>
    <s v="Thomas"/>
    <n v="40"/>
    <n v="40"/>
    <n v="1984"/>
    <n v="50000"/>
    <n v="50000"/>
    <x v="0"/>
    <s v="finance"/>
    <x v="1"/>
    <s v="Director"/>
    <d v="2019-03-25T00:00:00"/>
    <d v="2019-03-25T00:00:00"/>
    <s v="F"/>
    <n v="28"/>
    <s v="jack.thomas@saltcorp.com"/>
    <s v="555-555-5555"/>
    <s v="contract"/>
    <s v="Contract"/>
    <s v="EMP-2018-0007"/>
    <n v="2"/>
    <m/>
    <n v="2"/>
    <m/>
    <m/>
    <m/>
    <s v=""/>
    <n v="5"/>
    <s v="No"/>
  </r>
  <r>
    <s v="EMP-2019-0315"/>
    <s v="Frank"/>
    <s v="Walker"/>
    <n v="25"/>
    <n v="25"/>
    <n v="1999"/>
    <s v="SIXTY THOUSAND"/>
    <n v="60000"/>
    <x v="0"/>
    <s v="sales"/>
    <x v="2"/>
    <s v="Assistant"/>
    <d v="2019-03-25T00:00:00"/>
    <d v="2019-03-25T00:00:00"/>
    <s v="B"/>
    <n v="84"/>
    <s v="frank.walker@saltcorp.com"/>
    <m/>
    <s v="Full-Time"/>
    <s v="Full-Time"/>
    <s v="EMP-2020-0059"/>
    <n v="7"/>
    <s v="N/A"/>
    <m/>
    <m/>
    <m/>
    <m/>
    <s v=""/>
    <n v="5"/>
    <s v="No"/>
  </r>
  <r>
    <s v="EMP-2020-0316"/>
    <s v="Jack"/>
    <s v="Walsh"/>
    <s v="thirty"/>
    <n v="30"/>
    <n v="1994"/>
    <s v="SIXTY THOUSAND"/>
    <n v="60000"/>
    <x v="0"/>
    <s v="finance"/>
    <x v="1"/>
    <s v="Clerk"/>
    <d v="2020-02-20T00:00:00"/>
    <d v="2020-02-20T00:00:00"/>
    <s v="A"/>
    <n v="95"/>
    <s v="jack.walsh@saltcorp.com"/>
    <s v="098-765-4321"/>
    <s v="Full-Time"/>
    <s v="Full-Time"/>
    <m/>
    <n v="6"/>
    <m/>
    <m/>
    <m/>
    <m/>
    <s v="YES"/>
    <s v="Yes"/>
    <n v="1"/>
    <s v="No"/>
  </r>
  <r>
    <s v="EMP-2019-0317"/>
    <s v="Charlie"/>
    <s v="Clark"/>
    <n v="25"/>
    <n v="25"/>
    <n v="1999"/>
    <n v="65000"/>
    <n v="65000"/>
    <x v="1"/>
    <s v="it"/>
    <x v="3"/>
    <s v="Clerk"/>
    <d v="2019-12-01T00:00:00"/>
    <d v="2019-12-01T00:00:00"/>
    <s v="C"/>
    <n v="77"/>
    <s v="charlie.clark@saltcorp.com"/>
    <m/>
    <s v="Full-Time"/>
    <s v="Full-Time"/>
    <s v="EMP-2020-0074"/>
    <n v="7"/>
    <m/>
    <m/>
    <m/>
    <m/>
    <s v="no"/>
    <s v="No"/>
    <n v="1"/>
    <s v="Yes"/>
  </r>
  <r>
    <s v="EMP-2020-0318"/>
    <s v="Hannah"/>
    <s v="Vega"/>
    <n v="25"/>
    <n v="25"/>
    <n v="1999"/>
    <n v="61600"/>
    <n v="61600"/>
    <x v="1"/>
    <s v="Marketing"/>
    <x v="4"/>
    <s v="Assistant"/>
    <d v="2020-01-15T00:00:00"/>
    <d v="2020-01-15T00:00:00"/>
    <s v="F"/>
    <n v="38"/>
    <s v="hannah.vega@saltcorp.com"/>
    <s v=" "/>
    <s v="Full-Time"/>
    <s v="Full-Time"/>
    <s v="EMP-2019-0055"/>
    <n v="7"/>
    <n v="5"/>
    <n v="13"/>
    <m/>
    <n v="38"/>
    <s v="YES"/>
    <s v="Yes"/>
    <n v="3"/>
    <s v="No"/>
  </r>
  <r>
    <s v="EMP-2020-0319"/>
    <s v="Hannah"/>
    <s v="Foster"/>
    <m/>
    <n v="33"/>
    <n v="1991"/>
    <n v="55000"/>
    <n v="55000"/>
    <x v="1"/>
    <s v="HR"/>
    <x v="0"/>
    <s v="Clerk"/>
    <d v="2020-02-20T00:00:00"/>
    <d v="2020-02-20T00:00:00"/>
    <s v="C"/>
    <n v="73"/>
    <s v="hannah.foster@saltcorp.com"/>
    <m/>
    <s v="contract"/>
    <s v="Contract"/>
    <m/>
    <n v="4"/>
    <m/>
    <m/>
    <m/>
    <m/>
    <s v="YES"/>
    <s v="Yes"/>
    <n v="1"/>
    <s v="Yes"/>
  </r>
  <r>
    <s v="EMP-2018-0320"/>
    <s v="Bob"/>
    <s v="Ross"/>
    <n v="50"/>
    <n v="50"/>
    <n v="1974"/>
    <n v="65000"/>
    <n v="65000"/>
    <x v="0"/>
    <s v="sales"/>
    <x v="2"/>
    <s v="Manager"/>
    <d v="2018-04-05T00:00:00"/>
    <d v="2018-04-05T00:00:00"/>
    <s v="F"/>
    <n v="7"/>
    <s v="bob.ross@saltcorp.com"/>
    <s v="123-456-7890"/>
    <s v="Full-Time"/>
    <s v="Full-Time"/>
    <m/>
    <n v="5"/>
    <m/>
    <m/>
    <m/>
    <m/>
    <s v="YES"/>
    <s v="Yes"/>
    <n v="5"/>
    <s v="No"/>
  </r>
  <r>
    <s v="EMP-2019-0321"/>
    <s v="Frank"/>
    <s v="Gonzalez"/>
    <n v="35"/>
    <n v="35"/>
    <n v="1989"/>
    <n v="55000"/>
    <n v="55000"/>
    <x v="0"/>
    <s v="Marketing"/>
    <x v="4"/>
    <s v="Clerk"/>
    <d v="2019-12-01T00:00:00"/>
    <d v="2019-12-01T00:00:00"/>
    <s v="D"/>
    <n v="62"/>
    <s v="frank.gonzalez@saltcorp.com"/>
    <m/>
    <s v="contract"/>
    <s v="Contract"/>
    <m/>
    <n v="7"/>
    <s v="N/A"/>
    <m/>
    <d v="2024-08-12T00:00:00"/>
    <n v="12"/>
    <s v="no"/>
    <s v="No"/>
    <n v="3"/>
    <s v="Yes"/>
  </r>
  <r>
    <s v="EMP-2020-0322"/>
    <s v="Grace"/>
    <s v="Jordan"/>
    <n v="40"/>
    <n v="40"/>
    <n v="1984"/>
    <n v="61300"/>
    <n v="61300"/>
    <x v="1"/>
    <s v="finance"/>
    <x v="1"/>
    <s v="Clerk"/>
    <d v="2020-01-15T00:00:00"/>
    <d v="2020-01-15T00:00:00"/>
    <s v="C"/>
    <n v="73"/>
    <s v="grace.jordan@saltcorp.com"/>
    <s v=" "/>
    <s v="contract"/>
    <s v="Contract"/>
    <m/>
    <n v="6"/>
    <m/>
    <n v="4"/>
    <m/>
    <m/>
    <m/>
    <s v=""/>
    <n v="1"/>
    <s v="No"/>
  </r>
  <r>
    <s v="EMP-2019-0323"/>
    <s v="Bob"/>
    <s v="Johnson"/>
    <n v="25"/>
    <n v="25"/>
    <n v="1999"/>
    <s v="SIXTY THOUSAND"/>
    <n v="60000"/>
    <x v="0"/>
    <s v="sales"/>
    <x v="2"/>
    <s v="Assistant"/>
    <d v="2019-03-25T00:00:00"/>
    <d v="2019-03-25T00:00:00"/>
    <s v="C"/>
    <n v="71"/>
    <s v="bob.johnson@saltcorp.com"/>
    <s v="123-456-7890"/>
    <s v="contract"/>
    <s v="Contract"/>
    <s v="EMP-2020-0071"/>
    <n v="5"/>
    <s v="N/A"/>
    <m/>
    <d v="2023-01-15T00:00:00"/>
    <n v="5"/>
    <s v="YES"/>
    <s v="Yes"/>
    <n v="1"/>
    <s v="Yes"/>
  </r>
  <r>
    <s v="EMP-2020-0324"/>
    <s v="Jack"/>
    <s v="Castillo"/>
    <n v="40"/>
    <n v="40"/>
    <n v="1984"/>
    <n v="61600"/>
    <n v="61600"/>
    <x v="0"/>
    <s v="Marketing"/>
    <x v="4"/>
    <s v="Assistant"/>
    <d v="2020-01-15T00:00:00"/>
    <d v="2020-01-15T00:00:00"/>
    <s v="C"/>
    <n v="70"/>
    <s v="jack.castillo@saltcorp.com"/>
    <s v="555-555-5555"/>
    <s v="Full-Time"/>
    <s v="Full-Time"/>
    <m/>
    <n v="8"/>
    <m/>
    <m/>
    <d v="2021-10-01T00:00:00"/>
    <n v="54"/>
    <s v="YES"/>
    <s v="Yes"/>
    <n v="2"/>
    <s v="Yes"/>
  </r>
  <r>
    <s v="EMP-2019-0325"/>
    <s v="Bob"/>
    <s v="Schmidt"/>
    <n v="50"/>
    <n v="50"/>
    <n v="1974"/>
    <s v="SIXTY THOUSAND"/>
    <n v="60000"/>
    <x v="1"/>
    <s v="sales"/>
    <x v="2"/>
    <s v="Clerk"/>
    <d v="2019-03-25T00:00:00"/>
    <d v="2019-03-25T00:00:00"/>
    <s v="D"/>
    <n v="66"/>
    <s v="bob.schmidt@saltcorp.com"/>
    <s v="123-456-7890"/>
    <s v="Full-Time"/>
    <s v="Full-Time"/>
    <m/>
    <n v="3"/>
    <m/>
    <m/>
    <m/>
    <m/>
    <s v="YES"/>
    <s v="Yes"/>
    <n v="4"/>
    <s v="No"/>
  </r>
  <r>
    <s v="EMP-2019-0326"/>
    <s v="Jack"/>
    <s v="McCarthy"/>
    <n v="50"/>
    <n v="50"/>
    <n v="1974"/>
    <n v="59300"/>
    <n v="59300"/>
    <x v="1"/>
    <s v="it"/>
    <x v="3"/>
    <s v="Analyst"/>
    <d v="2019-12-01T00:00:00"/>
    <d v="2019-12-01T00:00:00"/>
    <s v="A"/>
    <n v="96"/>
    <s v="jack.mccarthy@saltcorp.com"/>
    <s v="098-765-4321"/>
    <s v="Full-Time"/>
    <s v="Full-Time"/>
    <s v="EMP-2018-0045"/>
    <n v="3"/>
    <m/>
    <m/>
    <d v="2023-03-05T00:00:00"/>
    <m/>
    <m/>
    <s v=""/>
    <n v="4"/>
    <s v="No"/>
  </r>
  <r>
    <s v="EMP-2019-0327"/>
    <s v="Alice"/>
    <s v="Williams"/>
    <n v="25"/>
    <n v="25"/>
    <n v="1999"/>
    <n v="65000"/>
    <n v="65000"/>
    <x v="1"/>
    <s v="it"/>
    <x v="3"/>
    <s v="Assistant"/>
    <d v="2019-03-25T00:00:00"/>
    <d v="2019-03-25T00:00:00"/>
    <s v="F"/>
    <n v="29"/>
    <s v="alice.williams@saltcorp.com"/>
    <s v="123-456-7890"/>
    <s v="contract"/>
    <s v="Contract"/>
    <m/>
    <n v="7"/>
    <n v="3"/>
    <n v="18"/>
    <m/>
    <m/>
    <m/>
    <s v=""/>
    <n v="2"/>
    <s v="Yes"/>
  </r>
  <r>
    <s v="EMP-2018-0328"/>
    <s v="Hannah"/>
    <s v="Hughes"/>
    <s v="thirty"/>
    <n v="30"/>
    <n v="1994"/>
    <n v="70000"/>
    <n v="70000"/>
    <x v="1"/>
    <s v="HR"/>
    <x v="0"/>
    <s v="Director"/>
    <d v="2018-04-05T00:00:00"/>
    <d v="2018-04-05T00:00:00"/>
    <s v="C"/>
    <n v="76"/>
    <s v="hannah.hughes@saltcorp.com"/>
    <s v="555-555-5555"/>
    <s v="contract"/>
    <s v="Contract"/>
    <s v="EMP-2019-0018"/>
    <n v="5"/>
    <m/>
    <m/>
    <m/>
    <m/>
    <s v="YES"/>
    <s v="Yes"/>
    <n v="5"/>
    <s v="No"/>
  </r>
  <r>
    <s v="EMP-2019-0329"/>
    <s v="Alice"/>
    <s v="Martinez"/>
    <n v="25"/>
    <n v="25"/>
    <n v="1999"/>
    <n v="65000"/>
    <n v="65000"/>
    <x v="0"/>
    <s v="HR"/>
    <x v="0"/>
    <s v="Director"/>
    <d v="2019-03-25T00:00:00"/>
    <d v="2019-03-25T00:00:00"/>
    <s v="D"/>
    <n v="68"/>
    <s v="alice.martinez@saltcorp.com"/>
    <m/>
    <s v="Full-Time"/>
    <s v="Full-Time"/>
    <s v="EMP-2019-0083"/>
    <n v="6"/>
    <n v="3"/>
    <m/>
    <m/>
    <m/>
    <s v="no"/>
    <s v="No"/>
    <n v="5"/>
    <s v="Yes"/>
  </r>
  <r>
    <s v="EMP-2018-0330"/>
    <s v="Ivy"/>
    <s v="Shah"/>
    <m/>
    <n v="43"/>
    <n v="1981"/>
    <n v="55000"/>
    <n v="55000"/>
    <x v="1"/>
    <s v="it"/>
    <x v="3"/>
    <s v="Manager"/>
    <d v="2018-04-05T00:00:00"/>
    <d v="2018-04-05T00:00:00"/>
    <s v="A"/>
    <n v="96"/>
    <s v="ivy.shah@saltcorp.com"/>
    <s v="123-456-7890"/>
    <s v="Full-Time"/>
    <s v="Full-Time"/>
    <m/>
    <n v="4"/>
    <n v="1"/>
    <n v="13"/>
    <d v="2023-01-15T00:00:00"/>
    <m/>
    <s v="no"/>
    <s v="No"/>
    <n v="3"/>
    <s v="No"/>
  </r>
  <r>
    <s v="EMP-2019-0331"/>
    <s v="Frank"/>
    <s v="Davidson"/>
    <n v="35"/>
    <n v="35"/>
    <n v="1989"/>
    <n v="65000"/>
    <n v="65000"/>
    <x v="1"/>
    <s v="sales"/>
    <x v="2"/>
    <s v="Clerk"/>
    <d v="2019-12-01T00:00:00"/>
    <d v="2019-12-01T00:00:00"/>
    <s v="F"/>
    <n v="33"/>
    <s v="frank.davidson@saltcorp.com"/>
    <s v="123-456-7890"/>
    <s v="Full-Time"/>
    <s v="Full-Time"/>
    <s v="EMP-2018-0018"/>
    <n v="4"/>
    <n v="1"/>
    <n v="5"/>
    <m/>
    <m/>
    <s v="no"/>
    <s v="No"/>
    <n v="3"/>
    <s v="No"/>
  </r>
  <r>
    <s v="EMP-2019-0332"/>
    <s v="Grace"/>
    <s v="Dixon"/>
    <s v="thirty"/>
    <n v="30"/>
    <n v="1994"/>
    <n v="50000"/>
    <n v="50000"/>
    <x v="0"/>
    <s v="it"/>
    <x v="3"/>
    <s v="Analyst"/>
    <d v="2019-12-01T00:00:00"/>
    <d v="2019-12-01T00:00:00"/>
    <s v="D"/>
    <n v="65"/>
    <s v="grace.dixon@saltcorp.com"/>
    <s v="123-456-7890"/>
    <s v="Part-Time"/>
    <s v="Part-Time"/>
    <m/>
    <n v="4"/>
    <n v="9"/>
    <m/>
    <d v="2022-06-20T00:00:00"/>
    <m/>
    <s v="YES"/>
    <s v="Yes"/>
    <n v="3"/>
    <s v="Yes"/>
  </r>
  <r>
    <s v="EMP-2020-0333"/>
    <s v="Jack"/>
    <s v="Vega"/>
    <n v="25"/>
    <n v="25"/>
    <n v="1999"/>
    <n v="55000"/>
    <n v="55000"/>
    <x v="0"/>
    <s v="HR"/>
    <x v="0"/>
    <s v="Manager"/>
    <d v="2020-01-15T00:00:00"/>
    <d v="2020-01-15T00:00:00"/>
    <s v="F"/>
    <n v="9"/>
    <s v="jack.vega@saltcorp.com"/>
    <s v="123-456-7890"/>
    <s v="Part-Time"/>
    <s v="Part-Time"/>
    <m/>
    <n v="5"/>
    <m/>
    <m/>
    <m/>
    <n v="24"/>
    <s v="YES"/>
    <s v="Yes"/>
    <n v="5"/>
    <s v="Yes"/>
  </r>
  <r>
    <s v="EMP-2018-0334"/>
    <s v="Grace"/>
    <s v="Matthews"/>
    <n v="40"/>
    <n v="40"/>
    <n v="1984"/>
    <n v="58600"/>
    <n v="58600"/>
    <x v="1"/>
    <s v="it"/>
    <x v="3"/>
    <s v="Clerk"/>
    <d v="2018-04-05T00:00:00"/>
    <d v="2018-04-05T00:00:00"/>
    <s v="C"/>
    <n v="72"/>
    <s v="grace.matthews@saltcorp.com"/>
    <s v="555-555-5555"/>
    <s v="Part-Time"/>
    <s v="Part-Time"/>
    <m/>
    <n v="6"/>
    <m/>
    <n v="6"/>
    <m/>
    <m/>
    <s v="YES"/>
    <s v="Yes"/>
    <n v="5"/>
    <s v="No"/>
  </r>
  <r>
    <s v="EMP-2018-0335"/>
    <s v="Jack"/>
    <s v="O'Connor"/>
    <s v="thirty"/>
    <n v="30"/>
    <n v="1994"/>
    <n v="55000"/>
    <n v="55000"/>
    <x v="0"/>
    <s v="it"/>
    <x v="3"/>
    <s v="Assistant"/>
    <d v="2018-04-05T00:00:00"/>
    <d v="2018-04-05T00:00:00"/>
    <s v="A"/>
    <n v="100"/>
    <s v="jack.o'connor@saltcorp.com"/>
    <s v=" "/>
    <s v="Part-Time"/>
    <s v="Part-Time"/>
    <m/>
    <n v="3"/>
    <s v="N/A"/>
    <m/>
    <m/>
    <m/>
    <s v="YES"/>
    <s v="Yes"/>
    <n v="5"/>
    <s v="Yes"/>
  </r>
  <r>
    <s v="EMP-2020-0336"/>
    <s v="Charlie"/>
    <s v="Lewis"/>
    <s v="thirty"/>
    <n v="30"/>
    <n v="1994"/>
    <n v="70000"/>
    <n v="70000"/>
    <x v="0"/>
    <s v="sales"/>
    <x v="2"/>
    <s v="Director"/>
    <d v="2020-02-20T00:00:00"/>
    <d v="2020-02-20T00:00:00"/>
    <s v="D"/>
    <n v="69"/>
    <s v="charlie.lewis@saltcorp.com"/>
    <s v=" "/>
    <s v="Full-Time"/>
    <s v="Full-Time"/>
    <m/>
    <n v="3"/>
    <m/>
    <m/>
    <m/>
    <m/>
    <s v="YES"/>
    <s v="Yes"/>
    <n v="4"/>
    <s v="No"/>
  </r>
  <r>
    <s v="EMP-2020-0337"/>
    <s v="Bob"/>
    <s v="Wilson"/>
    <n v="25"/>
    <n v="25"/>
    <n v="1999"/>
    <s v="SIXTY THOUSAND"/>
    <n v="60000"/>
    <x v="1"/>
    <s v="Marketing"/>
    <x v="4"/>
    <s v="Analyst"/>
    <d v="2020-02-20T00:00:00"/>
    <d v="2020-02-20T00:00:00"/>
    <s v="A"/>
    <n v="100"/>
    <s v="bob.wilson@saltcorp.com"/>
    <s v="123-456-7890"/>
    <s v="Part-Time"/>
    <s v="Part-Time"/>
    <m/>
    <n v="6"/>
    <n v="3"/>
    <m/>
    <d v="2022-06-20T00:00:00"/>
    <m/>
    <s v="no"/>
    <s v="No"/>
    <n v="5"/>
    <s v="No"/>
  </r>
  <r>
    <s v="EMP-2020-0338"/>
    <s v="Ivy"/>
    <s v="Medina"/>
    <s v="thirty"/>
    <n v="30"/>
    <n v="1994"/>
    <n v="60900"/>
    <n v="60900"/>
    <x v="1"/>
    <s v="HR"/>
    <x v="0"/>
    <s v="Director"/>
    <d v="2020-02-20T00:00:00"/>
    <d v="2020-02-20T00:00:00"/>
    <s v="C"/>
    <n v="77"/>
    <s v="ivy.medina@saltcorp.com"/>
    <s v="555-555-5555"/>
    <s v="Full-Time"/>
    <s v="Full-Time"/>
    <m/>
    <n v="2"/>
    <m/>
    <n v="14"/>
    <m/>
    <n v="48"/>
    <s v="YES"/>
    <s v="Yes"/>
    <n v="3"/>
    <s v="Yes"/>
  </r>
  <r>
    <s v="EMP-2019-0339"/>
    <s v="Hannah"/>
    <s v="Foster"/>
    <n v="40"/>
    <n v="40"/>
    <n v="1984"/>
    <n v="55000"/>
    <n v="55000"/>
    <x v="1"/>
    <s v="sales"/>
    <x v="2"/>
    <s v="Assistant"/>
    <d v="2019-03-25T00:00:00"/>
    <d v="2019-03-25T00:00:00"/>
    <s v="A"/>
    <n v="94"/>
    <s v="hannah.foster@saltcorp.com"/>
    <s v="555-555-5555"/>
    <s v="Part-Time"/>
    <s v="Part-Time"/>
    <s v="EMP-2019-0044"/>
    <n v="6"/>
    <m/>
    <m/>
    <d v="2023-01-15T00:00:00"/>
    <m/>
    <m/>
    <s v=""/>
    <n v="2"/>
    <s v="No"/>
  </r>
  <r>
    <s v="EMP-2020-0340"/>
    <s v="Jack"/>
    <s v="O'Connor"/>
    <n v="50"/>
    <n v="50"/>
    <n v="1974"/>
    <n v="58600"/>
    <n v="58600"/>
    <x v="0"/>
    <s v="it"/>
    <x v="3"/>
    <s v="Clerk"/>
    <d v="2020-02-20T00:00:00"/>
    <d v="2020-02-20T00:00:00"/>
    <s v="A"/>
    <n v="98"/>
    <s v="jack.o'connor@saltcorp.com"/>
    <s v="123-456-7890"/>
    <s v="contract"/>
    <s v="Contract"/>
    <m/>
    <n v="8"/>
    <n v="7"/>
    <n v="6"/>
    <m/>
    <n v="54"/>
    <m/>
    <s v=""/>
    <n v="4"/>
    <s v="Yes"/>
  </r>
  <r>
    <s v="EMP-2018-0341"/>
    <s v="Grace"/>
    <s v="Medina"/>
    <s v="thirty"/>
    <n v="30"/>
    <n v="1994"/>
    <n v="59800"/>
    <n v="59800"/>
    <x v="1"/>
    <s v="it"/>
    <x v="3"/>
    <s v="Assistant"/>
    <d v="2018-04-05T00:00:00"/>
    <d v="2018-04-05T00:00:00"/>
    <s v="B"/>
    <n v="80"/>
    <s v="grace.medina@saltcorp.com"/>
    <s v="098-765-4321"/>
    <s v="Full-Time"/>
    <s v="Full-Time"/>
    <m/>
    <n v="7"/>
    <m/>
    <m/>
    <m/>
    <m/>
    <s v="no"/>
    <s v="No"/>
    <n v="3"/>
    <s v="No"/>
  </r>
  <r>
    <s v="EMP-2019-0342"/>
    <s v="Ivy"/>
    <s v="Kumar"/>
    <n v="50"/>
    <n v="50"/>
    <n v="1974"/>
    <n v="61600"/>
    <n v="61600"/>
    <x v="1"/>
    <s v="Marketing"/>
    <x v="4"/>
    <s v="Assistant"/>
    <d v="2019-03-25T00:00:00"/>
    <d v="2019-03-25T00:00:00"/>
    <s v="A"/>
    <n v="100"/>
    <s v="ivy.kumar@saltcorp.com"/>
    <s v="123-456-7890"/>
    <s v="Part-Time"/>
    <s v="Part-Time"/>
    <m/>
    <n v="5"/>
    <m/>
    <n v="15"/>
    <m/>
    <m/>
    <m/>
    <s v=""/>
    <n v="2"/>
    <s v="Yes"/>
  </r>
  <r>
    <s v="EMP-2019-0343"/>
    <s v="David"/>
    <s v="Wallace"/>
    <n v="40"/>
    <n v="40"/>
    <n v="1984"/>
    <s v="SIXTY THOUSAND"/>
    <n v="60000"/>
    <x v="0"/>
    <s v="HR"/>
    <x v="0"/>
    <s v="Director"/>
    <d v="2019-12-01T00:00:00"/>
    <d v="2019-12-01T00:00:00"/>
    <s v="F"/>
    <n v="50"/>
    <s v="david.wallace@saltcorp.com"/>
    <s v="098-765-4321"/>
    <s v="Full-Time"/>
    <s v="Full-Time"/>
    <m/>
    <n v="7"/>
    <m/>
    <n v="7"/>
    <d v="2024-08-12T00:00:00"/>
    <n v="29"/>
    <s v="Y"/>
    <s v="Yes"/>
    <n v="2"/>
    <s v="No"/>
  </r>
  <r>
    <s v="EMP-2020-0344"/>
    <s v="David"/>
    <s v="Sullivan"/>
    <n v="25"/>
    <n v="25"/>
    <n v="1999"/>
    <n v="65000"/>
    <n v="65000"/>
    <x v="0"/>
    <s v="HR"/>
    <x v="0"/>
    <s v="Analyst"/>
    <d v="2020-01-15T00:00:00"/>
    <d v="2020-01-15T00:00:00"/>
    <s v="D"/>
    <n v="63"/>
    <s v="david.sullivan@saltcorp.com"/>
    <s v="123-456-7890"/>
    <s v="Full-Time"/>
    <s v="Full-Time"/>
    <m/>
    <n v="1"/>
    <n v="1"/>
    <m/>
    <m/>
    <n v="12"/>
    <s v="YES"/>
    <s v="Yes"/>
    <n v="3"/>
    <s v="No"/>
  </r>
  <r>
    <s v="EMP-2020-0345"/>
    <s v="Alice"/>
    <s v="Chen"/>
    <n v="35"/>
    <n v="35"/>
    <n v="1989"/>
    <n v="58500"/>
    <n v="58500"/>
    <x v="0"/>
    <s v="finance"/>
    <x v="1"/>
    <s v="Assistant"/>
    <d v="2020-02-20T00:00:00"/>
    <d v="2020-02-20T00:00:00"/>
    <s v="B"/>
    <n v="87"/>
    <s v="alice.chen@saltcorp.com"/>
    <s v="098-765-4321"/>
    <s v="Full-Time"/>
    <s v="Full-Time"/>
    <m/>
    <n v="2"/>
    <s v="N/A"/>
    <m/>
    <m/>
    <m/>
    <s v="no"/>
    <s v="No"/>
    <n v="1"/>
    <s v="No"/>
  </r>
  <r>
    <s v="EMP-2019-0346"/>
    <s v="Hannah"/>
    <s v="Brooks"/>
    <s v="thirty"/>
    <n v="30"/>
    <n v="1994"/>
    <n v="50000"/>
    <n v="50000"/>
    <x v="1"/>
    <s v="HR"/>
    <x v="0"/>
    <s v="Director"/>
    <d v="2019-12-01T00:00:00"/>
    <d v="2019-12-01T00:00:00"/>
    <s v="D"/>
    <n v="61"/>
    <s v="hannah.brooks@saltcorp.com"/>
    <s v="098-765-4321"/>
    <s v="Full-Time"/>
    <s v="Full-Time"/>
    <m/>
    <n v="1"/>
    <m/>
    <n v="5"/>
    <m/>
    <n v="72"/>
    <m/>
    <s v=""/>
    <n v="1"/>
    <s v="Yes"/>
  </r>
  <r>
    <s v="EMP-2018-0347"/>
    <s v="Charlie"/>
    <s v="White"/>
    <n v="35"/>
    <n v="35"/>
    <n v="1989"/>
    <n v="70000"/>
    <n v="70000"/>
    <x v="1"/>
    <s v="Marketing"/>
    <x v="4"/>
    <s v="Analyst"/>
    <d v="2018-04-05T00:00:00"/>
    <d v="2018-04-05T00:00:00"/>
    <s v="D"/>
    <n v="63"/>
    <s v="charlie.white@saltcorp.com"/>
    <s v="123-456-7890"/>
    <s v="Full-Time"/>
    <s v="Full-Time"/>
    <m/>
    <n v="7"/>
    <n v="6"/>
    <n v="12"/>
    <m/>
    <m/>
    <s v="no"/>
    <s v="No"/>
    <n v="1"/>
    <s v="Yes"/>
  </r>
  <r>
    <s v="EMP-2020-0348"/>
    <s v="Grace"/>
    <s v="Santos"/>
    <n v="40"/>
    <n v="40"/>
    <n v="1984"/>
    <s v="SIXTY THOUSAND"/>
    <n v="60000"/>
    <x v="1"/>
    <s v="finance"/>
    <x v="1"/>
    <s v="Clerk"/>
    <d v="2020-01-15T00:00:00"/>
    <d v="2020-01-15T00:00:00"/>
    <s v="C"/>
    <n v="78"/>
    <s v="grace.santos@saltcorp.com"/>
    <s v="098-765-4321"/>
    <s v="Full-Time"/>
    <s v="Full-Time"/>
    <m/>
    <n v="3"/>
    <m/>
    <m/>
    <d v="2023-03-05T00:00:00"/>
    <m/>
    <s v="YES"/>
    <s v="Yes"/>
    <n v="2"/>
    <s v="Yes"/>
  </r>
  <r>
    <s v="EMP-2019-0349"/>
    <s v="Bob"/>
    <s v="Weber"/>
    <s v="thirty"/>
    <n v="30"/>
    <n v="1994"/>
    <n v="55000"/>
    <n v="55000"/>
    <x v="0"/>
    <s v="finance"/>
    <x v="1"/>
    <s v="Clerk"/>
    <d v="2019-12-01T00:00:00"/>
    <d v="2019-12-01T00:00:00"/>
    <s v="C"/>
    <n v="75"/>
    <s v="bob.weber@saltcorp.com"/>
    <m/>
    <s v="Part-Time"/>
    <s v="Part-Time"/>
    <m/>
    <n v="1"/>
    <m/>
    <n v="5"/>
    <m/>
    <n v="42"/>
    <m/>
    <s v=""/>
    <n v="3"/>
    <s v="Yes"/>
  </r>
  <r>
    <s v="EMP-2020-0350"/>
    <s v="Bob"/>
    <s v="Hudson"/>
    <n v="50"/>
    <n v="50"/>
    <n v="1974"/>
    <s v="SIXTY THOUSAND"/>
    <n v="60000"/>
    <x v="0"/>
    <s v="it"/>
    <x v="3"/>
    <s v="Manager"/>
    <d v="2020-01-15T00:00:00"/>
    <d v="2020-01-15T00:00:00"/>
    <s v="B"/>
    <n v="85"/>
    <s v="bob.hudson@saltcorp.com"/>
    <s v=" "/>
    <s v="Full-Time"/>
    <s v="Full-Time"/>
    <m/>
    <n v="1"/>
    <n v="4"/>
    <m/>
    <m/>
    <n v="15"/>
    <s v="no"/>
    <s v="No"/>
    <n v="2"/>
    <s v="Yes"/>
  </r>
  <r>
    <s v="EMP-2020-0351"/>
    <s v="Grace"/>
    <s v="Zhang"/>
    <m/>
    <n v="59"/>
    <n v="1965"/>
    <n v="55000"/>
    <n v="55000"/>
    <x v="1"/>
    <s v="it"/>
    <x v="3"/>
    <s v="Director"/>
    <d v="2020-02-20T00:00:00"/>
    <d v="2020-02-20T00:00:00"/>
    <s v="C"/>
    <n v="71"/>
    <s v="grace.zhang@saltcorp.com"/>
    <s v="555-555-5555"/>
    <s v="Full-Time"/>
    <s v="Full-Time"/>
    <s v="EMP-2020-0087"/>
    <n v="4"/>
    <m/>
    <n v="14"/>
    <d v="2022-06-20T00:00:00"/>
    <n v="46"/>
    <s v="YES"/>
    <s v="Yes"/>
    <n v="4"/>
    <s v="No"/>
  </r>
  <r>
    <s v="EMP-2018-0352"/>
    <s v="Frank"/>
    <s v="Lopez"/>
    <n v="35"/>
    <n v="35"/>
    <n v="1989"/>
    <s v="SIXTY THOUSAND"/>
    <n v="60000"/>
    <x v="1"/>
    <s v="HR"/>
    <x v="0"/>
    <s v="Analyst"/>
    <d v="2018-04-05T00:00:00"/>
    <d v="2018-04-05T00:00:00"/>
    <s v="C"/>
    <n v="74"/>
    <s v="frank.lopez@saltcorp.com"/>
    <s v="098-765-4321"/>
    <s v="contract"/>
    <s v="Contract"/>
    <m/>
    <n v="5"/>
    <m/>
    <n v="9"/>
    <m/>
    <m/>
    <s v="YES"/>
    <s v="Yes"/>
    <n v="3"/>
    <s v="No"/>
  </r>
  <r>
    <s v="EMP-2020-0353"/>
    <s v="Charlie"/>
    <s v="Le"/>
    <s v="thirty"/>
    <n v="30"/>
    <n v="1994"/>
    <n v="55000"/>
    <n v="55000"/>
    <x v="1"/>
    <s v="finance"/>
    <x v="1"/>
    <s v="Assistant"/>
    <d v="2020-01-15T00:00:00"/>
    <d v="2020-01-15T00:00:00"/>
    <s v="C"/>
    <n v="72"/>
    <s v="charlie.le@saltcorp.com"/>
    <s v="098-765-4321"/>
    <s v="Part-Time"/>
    <s v="Part-Time"/>
    <m/>
    <n v="3"/>
    <m/>
    <m/>
    <m/>
    <m/>
    <m/>
    <s v=""/>
    <n v="1"/>
    <s v="No"/>
  </r>
  <r>
    <s v="EMP-2019-0354"/>
    <s v="Ivy"/>
    <s v="West"/>
    <n v="35"/>
    <n v="35"/>
    <n v="1989"/>
    <n v="58600"/>
    <n v="58600"/>
    <x v="1"/>
    <s v="it"/>
    <x v="3"/>
    <s v="Clerk"/>
    <d v="2019-12-01T00:00:00"/>
    <d v="2019-12-01T00:00:00"/>
    <s v="D"/>
    <n v="64"/>
    <s v="ivy.west@saltcorp.com"/>
    <s v="555-555-5555"/>
    <s v="Full-Time"/>
    <s v="Full-Time"/>
    <m/>
    <n v="5"/>
    <s v="N/A"/>
    <m/>
    <m/>
    <m/>
    <s v="no"/>
    <s v="No"/>
    <n v="1"/>
    <s v="No"/>
  </r>
  <r>
    <s v="EMP-2020-0355"/>
    <s v="Jack"/>
    <s v="Gomez"/>
    <s v="thirty"/>
    <n v="30"/>
    <n v="1994"/>
    <n v="65000"/>
    <n v="65000"/>
    <x v="1"/>
    <s v="Marketing"/>
    <x v="4"/>
    <s v="Analyst"/>
    <d v="2020-02-20T00:00:00"/>
    <d v="2020-02-20T00:00:00"/>
    <s v="B"/>
    <n v="86"/>
    <s v="jack.gomez@saltcorp.com"/>
    <s v="098-765-4321"/>
    <s v="Full-Time"/>
    <s v="Full-Time"/>
    <s v="EMP-2019-0073"/>
    <n v="5"/>
    <m/>
    <n v="7"/>
    <m/>
    <n v="10"/>
    <m/>
    <s v=""/>
    <n v="3"/>
    <s v="Yes"/>
  </r>
  <r>
    <s v="EMP-2020-0356"/>
    <s v="Frank"/>
    <s v="Hernandez"/>
    <n v="25"/>
    <n v="25"/>
    <n v="1999"/>
    <n v="55000"/>
    <n v="55000"/>
    <x v="0"/>
    <s v="it"/>
    <x v="3"/>
    <s v="Director"/>
    <d v="2020-02-20T00:00:00"/>
    <d v="2020-02-20T00:00:00"/>
    <s v="D"/>
    <n v="66"/>
    <s v="frank.hernandez@saltcorp.com"/>
    <s v="555-555-5555"/>
    <s v="Full-Time"/>
    <s v="Full-Time"/>
    <m/>
    <n v="3"/>
    <m/>
    <m/>
    <d v="2021-10-01T00:00:00"/>
    <m/>
    <s v="YES"/>
    <s v="Yes"/>
    <n v="4"/>
    <s v="No"/>
  </r>
  <r>
    <s v="EMP-2019-0357"/>
    <s v="Jack"/>
    <s v="Bishop"/>
    <n v="50"/>
    <n v="50"/>
    <n v="1974"/>
    <n v="55000"/>
    <n v="55000"/>
    <x v="0"/>
    <s v="it"/>
    <x v="3"/>
    <s v="Manager"/>
    <d v="2019-12-01T00:00:00"/>
    <d v="2019-12-01T00:00:00"/>
    <s v="F"/>
    <n v="41"/>
    <s v="jack.bishop@saltcorp.com"/>
    <s v="123-456-7890"/>
    <s v="Full-Time"/>
    <s v="Full-Time"/>
    <s v="EMP-2018-0074"/>
    <n v="1"/>
    <s v="N/A"/>
    <m/>
    <m/>
    <n v="11"/>
    <s v="YES"/>
    <s v="Yes"/>
    <n v="4"/>
    <s v="No"/>
  </r>
  <r>
    <s v="EMP-2019-0358"/>
    <s v="Jack"/>
    <s v="Davidson"/>
    <n v="35"/>
    <n v="35"/>
    <n v="1989"/>
    <n v="50000"/>
    <n v="50000"/>
    <x v="0"/>
    <s v="finance"/>
    <x v="1"/>
    <s v="Clerk"/>
    <d v="2019-12-01T00:00:00"/>
    <d v="2019-12-01T00:00:00"/>
    <s v="D"/>
    <n v="65"/>
    <s v="jack.davidson@saltcorp.com"/>
    <m/>
    <s v="Full-Time"/>
    <s v="Full-Time"/>
    <m/>
    <n v="5"/>
    <m/>
    <n v="2"/>
    <m/>
    <m/>
    <s v="no"/>
    <s v="No"/>
    <n v="4"/>
    <s v="No"/>
  </r>
  <r>
    <s v="EMP-2020-0359"/>
    <s v="Frank"/>
    <s v="Ramirez"/>
    <m/>
    <n v="37"/>
    <n v="1987"/>
    <n v="55000"/>
    <n v="55000"/>
    <x v="0"/>
    <s v="finance"/>
    <x v="1"/>
    <s v="Analyst"/>
    <d v="2020-01-15T00:00:00"/>
    <d v="2020-01-15T00:00:00"/>
    <s v="F"/>
    <n v="21"/>
    <s v="frank.ramirez@saltcorp.com"/>
    <m/>
    <s v="Part-Time"/>
    <s v="Part-Time"/>
    <m/>
    <n v="4"/>
    <n v="0"/>
    <m/>
    <m/>
    <n v="11"/>
    <m/>
    <s v=""/>
    <n v="3"/>
    <s v="No"/>
  </r>
  <r>
    <s v="EMP-2019-0360"/>
    <s v="Alice"/>
    <s v="Baker"/>
    <m/>
    <n v="36"/>
    <n v="1988"/>
    <n v="50000"/>
    <n v="50000"/>
    <x v="1"/>
    <s v="sales"/>
    <x v="2"/>
    <s v="Analyst"/>
    <d v="2019-03-25T00:00:00"/>
    <d v="2019-03-25T00:00:00"/>
    <s v="A"/>
    <n v="97"/>
    <s v="alice.baker@saltcorp.com"/>
    <s v=" "/>
    <s v="Part-Time"/>
    <s v="Part-Time"/>
    <m/>
    <n v="1"/>
    <s v="N/A"/>
    <m/>
    <m/>
    <m/>
    <s v="N"/>
    <s v="No"/>
    <n v="1"/>
    <s v="Yes"/>
  </r>
  <r>
    <s v="EMP-2020-0361"/>
    <s v="David"/>
    <s v="O'Brien"/>
    <n v="40"/>
    <n v="40"/>
    <n v="1984"/>
    <n v="70000"/>
    <n v="70000"/>
    <x v="0"/>
    <s v="Marketing"/>
    <x v="4"/>
    <s v="Analyst"/>
    <d v="2020-02-20T00:00:00"/>
    <d v="2020-02-20T00:00:00"/>
    <s v="A"/>
    <n v="91"/>
    <s v="david.o'brien@saltcorp.com"/>
    <s v="098-765-4321"/>
    <s v="Full-Time"/>
    <s v="Full-Time"/>
    <m/>
    <n v="6"/>
    <m/>
    <n v="1"/>
    <m/>
    <m/>
    <s v="no"/>
    <s v="No"/>
    <n v="1"/>
    <s v="No"/>
  </r>
  <r>
    <s v="EMP-2020-0362"/>
    <s v="Jack"/>
    <s v="Kelly"/>
    <s v="thirty"/>
    <n v="30"/>
    <n v="1994"/>
    <n v="60300"/>
    <n v="60300"/>
    <x v="0"/>
    <s v="finance"/>
    <x v="1"/>
    <s v="Director"/>
    <d v="2020-01-15T00:00:00"/>
    <d v="2020-01-15T00:00:00"/>
    <s v="F"/>
    <n v="56"/>
    <s v="jack.kelly@saltcorp.com"/>
    <s v=" "/>
    <s v="Full-Time"/>
    <s v="Full-Time"/>
    <m/>
    <n v="8"/>
    <m/>
    <m/>
    <m/>
    <m/>
    <m/>
    <s v=""/>
    <n v="3"/>
    <s v="Yes"/>
  </r>
  <r>
    <s v="EMP-2019-0363"/>
    <s v="Frank"/>
    <s v="Armstrong"/>
    <n v="35"/>
    <n v="35"/>
    <n v="1989"/>
    <n v="50000"/>
    <n v="50000"/>
    <x v="1"/>
    <s v="HR"/>
    <x v="0"/>
    <s v="Director"/>
    <d v="2019-12-01T00:00:00"/>
    <d v="2019-12-01T00:00:00"/>
    <s v="F"/>
    <n v="9"/>
    <s v="frank.armstrong@saltcorp.com"/>
    <s v="123-456-7890"/>
    <s v="Full-Time"/>
    <s v="Full-Time"/>
    <m/>
    <n v="2"/>
    <n v="4"/>
    <n v="12"/>
    <d v="2022-06-20T00:00:00"/>
    <n v="17"/>
    <m/>
    <s v=""/>
    <n v="1"/>
    <s v="Yes"/>
  </r>
  <r>
    <s v="EMP-2020-0364"/>
    <s v="Frank"/>
    <s v="Perez"/>
    <n v="40"/>
    <n v="40"/>
    <n v="1984"/>
    <n v="65000"/>
    <n v="65000"/>
    <x v="0"/>
    <s v="Marketing"/>
    <x v="4"/>
    <s v="Director"/>
    <d v="2020-01-15T00:00:00"/>
    <d v="2020-01-15T00:00:00"/>
    <s v="D"/>
    <n v="62"/>
    <s v="frank.perez@saltcorp.com"/>
    <m/>
    <s v="Part-Time"/>
    <s v="Part-Time"/>
    <s v="EMP-2018-0018"/>
    <n v="4"/>
    <m/>
    <m/>
    <m/>
    <m/>
    <s v="YES"/>
    <s v="Yes"/>
    <n v="4"/>
    <s v="Yes"/>
  </r>
  <r>
    <s v="EMP-2019-0365"/>
    <s v="Eve"/>
    <s v="Turner"/>
    <n v="35"/>
    <n v="35"/>
    <n v="1989"/>
    <n v="61600"/>
    <n v="61600"/>
    <x v="1"/>
    <s v="Marketing"/>
    <x v="4"/>
    <s v="Assistant"/>
    <d v="2019-12-01T00:00:00"/>
    <d v="2019-12-01T00:00:00"/>
    <s v="F"/>
    <n v="43"/>
    <s v="eve.turner@saltcorp.com"/>
    <s v="123-456-7890"/>
    <s v="Full-Time"/>
    <s v="Full-Time"/>
    <s v="EMP-2020-0057"/>
    <n v="7"/>
    <m/>
    <m/>
    <d v="2021-10-01T00:00:00"/>
    <m/>
    <s v="no"/>
    <s v="No"/>
    <n v="2"/>
    <s v="Yes"/>
  </r>
  <r>
    <s v="EMP-2018-0366"/>
    <s v="Alice"/>
    <s v="Anderson"/>
    <s v="thirty"/>
    <n v="30"/>
    <n v="1994"/>
    <n v="50000"/>
    <n v="50000"/>
    <x v="1"/>
    <s v="finance"/>
    <x v="1"/>
    <s v="Analyst"/>
    <d v="2018-04-05T00:00:00"/>
    <d v="2018-04-05T00:00:00"/>
    <s v="B"/>
    <n v="87"/>
    <s v="alice.anderson@saltcorp.com"/>
    <s v="123-456-7890"/>
    <s v="Full-Time"/>
    <s v="Full-Time"/>
    <m/>
    <n v="4"/>
    <s v="N/A"/>
    <m/>
    <d v="2023-03-05T00:00:00"/>
    <m/>
    <s v="YES"/>
    <s v="Yes"/>
    <n v="2"/>
    <s v="No"/>
  </r>
  <r>
    <s v="EMP-2019-0367"/>
    <s v="Hannah"/>
    <s v="Perry"/>
    <m/>
    <n v="30"/>
    <n v="1994"/>
    <n v="58600"/>
    <n v="58600"/>
    <x v="1"/>
    <s v="Marketing"/>
    <x v="4"/>
    <s v="Clerk"/>
    <d v="2019-12-01T00:00:00"/>
    <d v="2019-12-01T00:00:00"/>
    <s v="A"/>
    <n v="97"/>
    <s v="hannah.perry@saltcorp.com"/>
    <s v="098-765-4321"/>
    <s v="Full-Time"/>
    <s v="Full-Time"/>
    <m/>
    <n v="5"/>
    <m/>
    <m/>
    <m/>
    <m/>
    <s v="Y"/>
    <s v="Yes"/>
    <n v="1"/>
    <s v="Yes"/>
  </r>
  <r>
    <s v="EMP-2019-0368"/>
    <s v="Eve"/>
    <s v="Stevens"/>
    <n v="25"/>
    <n v="25"/>
    <n v="1999"/>
    <n v="60300"/>
    <n v="60300"/>
    <x v="1"/>
    <s v="finance"/>
    <x v="1"/>
    <s v="Director"/>
    <d v="2019-12-01T00:00:00"/>
    <d v="2019-12-01T00:00:00"/>
    <s v="A"/>
    <n v="97"/>
    <s v="eve.stevens@saltcorp.com"/>
    <s v="123-456-7890"/>
    <s v="Part-Time"/>
    <s v="Part-Time"/>
    <m/>
    <n v="1"/>
    <m/>
    <m/>
    <m/>
    <n v="10"/>
    <m/>
    <s v=""/>
    <n v="1"/>
    <s v="Yes"/>
  </r>
  <r>
    <s v="EMP-2019-0369"/>
    <s v="Eve"/>
    <s v="Harrison"/>
    <m/>
    <n v="49"/>
    <n v="1975"/>
    <s v=" NAN "/>
    <n v="60154.285714285717"/>
    <x v="0"/>
    <s v="it"/>
    <x v="3"/>
    <s v="Director"/>
    <d v="2019-12-01T00:00:00"/>
    <d v="2019-12-01T00:00:00"/>
    <s v="F"/>
    <n v="33"/>
    <s v="eve.harrison@saltcorp.com"/>
    <m/>
    <s v="Full-Time"/>
    <s v="Full-Time"/>
    <m/>
    <n v="7"/>
    <m/>
    <m/>
    <d v="2022-06-20T00:00:00"/>
    <n v="19"/>
    <s v="YES"/>
    <s v="Yes"/>
    <n v="5"/>
    <s v="No"/>
  </r>
  <r>
    <s v="EMP-2019-0370"/>
    <s v="Grace"/>
    <s v="Young"/>
    <n v="40"/>
    <n v="40"/>
    <n v="1984"/>
    <n v="70000"/>
    <n v="70000"/>
    <x v="0"/>
    <s v="sales"/>
    <x v="2"/>
    <s v="Analyst"/>
    <d v="2019-03-25T00:00:00"/>
    <d v="2019-03-25T00:00:00"/>
    <s v="C"/>
    <n v="73"/>
    <s v="grace.young@saltcorp.com"/>
    <s v=" "/>
    <s v="Full-Time"/>
    <s v="Full-Time"/>
    <s v="EMP-2020-0082"/>
    <n v="7"/>
    <m/>
    <m/>
    <s v="N/A"/>
    <m/>
    <s v="no"/>
    <s v="No"/>
    <n v="4"/>
    <s v="No"/>
  </r>
  <r>
    <s v="EMP-2019-0371"/>
    <s v="David"/>
    <s v="O'Brien"/>
    <n v="50"/>
    <n v="50"/>
    <n v="1974"/>
    <n v="65000"/>
    <n v="65000"/>
    <x v="1"/>
    <s v="it"/>
    <x v="3"/>
    <s v="Director"/>
    <d v="2019-12-01T00:00:00"/>
    <d v="2019-12-01T00:00:00"/>
    <s v="C"/>
    <n v="77"/>
    <s v="david.o'brien@saltcorp.com"/>
    <m/>
    <s v="Full-Time"/>
    <s v="Full-Time"/>
    <s v="EMP-2020-0029"/>
    <n v="7"/>
    <m/>
    <m/>
    <m/>
    <m/>
    <s v="YES"/>
    <s v="Yes"/>
    <n v="5"/>
    <s v="No"/>
  </r>
  <r>
    <s v="EMP-2020-0372"/>
    <s v="Frank"/>
    <s v="Lopez"/>
    <n v="25"/>
    <n v="25"/>
    <n v="1999"/>
    <s v="SIXTY THOUSAND"/>
    <n v="60000"/>
    <x v="0"/>
    <s v="finance"/>
    <x v="1"/>
    <s v="Assistant"/>
    <d v="2020-02-20T00:00:00"/>
    <d v="2020-02-20T00:00:00"/>
    <s v="F"/>
    <n v="5"/>
    <s v="frank.lopez@saltcorp.com"/>
    <s v="098-765-4321"/>
    <s v="contract"/>
    <s v="Contract"/>
    <m/>
    <n v="6"/>
    <m/>
    <m/>
    <d v="2023-01-15T00:00:00"/>
    <m/>
    <m/>
    <s v=""/>
    <n v="2"/>
    <s v="Yes"/>
  </r>
  <r>
    <s v="EMP-2020-0373"/>
    <s v="David"/>
    <s v="Sullivan"/>
    <n v="40"/>
    <n v="40"/>
    <n v="1984"/>
    <s v="SIXTY THOUSAND"/>
    <n v="60000"/>
    <x v="0"/>
    <s v="finance"/>
    <x v="1"/>
    <s v="Assistant"/>
    <d v="2020-02-20T00:00:00"/>
    <d v="2020-02-20T00:00:00"/>
    <s v="B"/>
    <n v="84"/>
    <s v="david.sullivan@saltcorp.com"/>
    <m/>
    <s v="Full-Time"/>
    <s v="Full-Time"/>
    <s v="EMP-2018-0064"/>
    <n v="1"/>
    <s v="N/A"/>
    <m/>
    <m/>
    <m/>
    <s v="YES"/>
    <s v="Yes"/>
    <n v="1"/>
    <s v="Yes"/>
  </r>
  <r>
    <s v="EMP-2020-0374"/>
    <s v="Charlie"/>
    <s v="Harris"/>
    <s v="thirty"/>
    <n v="30"/>
    <n v="1994"/>
    <n v="50000"/>
    <n v="50000"/>
    <x v="0"/>
    <s v="it"/>
    <x v="3"/>
    <s v="Director"/>
    <d v="2020-01-15T00:00:00"/>
    <d v="2020-01-15T00:00:00"/>
    <s v="C"/>
    <n v="73"/>
    <s v="charlie.harris@saltcorp.com"/>
    <s v="555-555-5555"/>
    <s v="Full-Time"/>
    <s v="Full-Time"/>
    <m/>
    <n v="1"/>
    <n v="2"/>
    <n v="10"/>
    <d v="2021-10-01T00:00:00"/>
    <m/>
    <s v="N"/>
    <s v="No"/>
    <n v="2"/>
    <s v="No"/>
  </r>
  <r>
    <s v="EMP-2019-0375"/>
    <s v="Grace"/>
    <s v="Wang"/>
    <n v="25"/>
    <n v="25"/>
    <n v="1999"/>
    <s v=" NAN "/>
    <n v="60481.25"/>
    <x v="1"/>
    <s v="HR"/>
    <x v="0"/>
    <s v="Analyst"/>
    <d v="2019-03-25T00:00:00"/>
    <d v="2019-03-25T00:00:00"/>
    <s v="F"/>
    <n v="25"/>
    <s v="grace.wang@saltcorp.com"/>
    <s v=" "/>
    <s v="Full-Time"/>
    <s v="Full-Time"/>
    <m/>
    <n v="5"/>
    <m/>
    <n v="18"/>
    <m/>
    <n v="38"/>
    <s v="YES"/>
    <s v="Yes"/>
    <n v="1"/>
    <s v="Yes"/>
  </r>
  <r>
    <s v="EMP-2020-0376"/>
    <s v="Hannah"/>
    <s v="Hughes"/>
    <n v="40"/>
    <n v="40"/>
    <n v="1984"/>
    <n v="50000"/>
    <n v="50000"/>
    <x v="0"/>
    <s v="HR"/>
    <x v="0"/>
    <s v="Analyst"/>
    <d v="2020-01-15T00:00:00"/>
    <d v="2020-01-15T00:00:00"/>
    <s v="B"/>
    <n v="85"/>
    <s v="hannah.hughes@saltcorp.com"/>
    <s v="555-555-5555"/>
    <s v="contract"/>
    <s v="Contract"/>
    <m/>
    <n v="4"/>
    <n v="12"/>
    <n v="20"/>
    <m/>
    <m/>
    <s v="no"/>
    <s v="No"/>
    <n v="5"/>
    <s v="No"/>
  </r>
  <r>
    <s v="EMP-2020-0377"/>
    <s v="David"/>
    <s v="Murphy"/>
    <s v="thirty"/>
    <n v="30"/>
    <n v="1994"/>
    <n v="70000"/>
    <n v="70000"/>
    <x v="0"/>
    <s v="HR"/>
    <x v="0"/>
    <s v="Analyst"/>
    <d v="2020-02-20T00:00:00"/>
    <d v="2020-02-20T00:00:00"/>
    <s v="B"/>
    <n v="83"/>
    <s v="david.murphy@saltcorp.com"/>
    <s v="555-555-5555"/>
    <s v="Full-Time"/>
    <s v="Full-Time"/>
    <m/>
    <n v="8"/>
    <m/>
    <m/>
    <m/>
    <m/>
    <s v="no"/>
    <s v="No"/>
    <n v="4"/>
    <s v="Yes"/>
  </r>
  <r>
    <s v="EMP-2020-0378"/>
    <s v="Bob"/>
    <s v="Gomez"/>
    <m/>
    <n v="43"/>
    <n v="1981"/>
    <n v="70000"/>
    <n v="70000"/>
    <x v="1"/>
    <s v="finance"/>
    <x v="1"/>
    <s v="Manager"/>
    <d v="2020-02-20T00:00:00"/>
    <d v="2020-02-20T00:00:00"/>
    <s v="D"/>
    <n v="62"/>
    <s v="bob.gomez@saltcorp.com"/>
    <s v="098-765-4321"/>
    <s v="contract"/>
    <s v="Contract"/>
    <m/>
    <n v="4"/>
    <n v="1"/>
    <n v="13"/>
    <m/>
    <m/>
    <s v="no"/>
    <s v="No"/>
    <n v="4"/>
    <s v="No"/>
  </r>
  <r>
    <s v="EMP-2018-0379"/>
    <s v="Jack"/>
    <s v="Williamson"/>
    <n v="50"/>
    <n v="50"/>
    <n v="1974"/>
    <n v="55000"/>
    <n v="55000"/>
    <x v="0"/>
    <s v="Marketing"/>
    <x v="4"/>
    <s v="Director"/>
    <d v="2018-04-05T00:00:00"/>
    <d v="2018-04-05T00:00:00"/>
    <s v="B"/>
    <n v="87"/>
    <s v="jack.williamson@saltcorp.com"/>
    <s v="123-456-7890"/>
    <s v="contract"/>
    <s v="Contract"/>
    <m/>
    <n v="6"/>
    <n v="4"/>
    <m/>
    <m/>
    <n v="39"/>
    <s v="YES"/>
    <s v="Yes"/>
    <n v="1"/>
    <s v="Yes"/>
  </r>
  <r>
    <s v="EMP-2019-0380"/>
    <s v="Charlie"/>
    <s v="Weber"/>
    <s v="thirty"/>
    <n v="30"/>
    <n v="1994"/>
    <n v="70000"/>
    <n v="70000"/>
    <x v="0"/>
    <s v="finance"/>
    <x v="1"/>
    <s v="Analyst"/>
    <d v="2019-12-01T00:00:00"/>
    <d v="2019-12-01T00:00:00"/>
    <s v="C"/>
    <n v="71"/>
    <s v="charlie.weber@saltcorp.com"/>
    <s v="555-555-5555"/>
    <s v="Full-Time"/>
    <s v="Full-Time"/>
    <m/>
    <n v="4"/>
    <m/>
    <n v="12"/>
    <d v="2024-08-12T00:00:00"/>
    <m/>
    <s v="YES"/>
    <s v="Yes"/>
    <n v="1"/>
    <s v="No"/>
  </r>
  <r>
    <s v="EMP-2020-0381"/>
    <s v="Alice"/>
    <s v="Chen"/>
    <n v="35"/>
    <n v="35"/>
    <n v="1989"/>
    <n v="55000"/>
    <n v="55000"/>
    <x v="1"/>
    <s v="Marketing"/>
    <x v="4"/>
    <s v="Assistant"/>
    <d v="2020-02-20T00:00:00"/>
    <d v="2020-02-20T00:00:00"/>
    <s v="C"/>
    <n v="78"/>
    <s v="alice.chen@saltcorp.com"/>
    <m/>
    <s v="Part-Time"/>
    <s v="Part-Time"/>
    <m/>
    <n v="4"/>
    <m/>
    <m/>
    <m/>
    <m/>
    <s v="no"/>
    <s v="No"/>
    <n v="5"/>
    <s v="No"/>
  </r>
  <r>
    <s v="EMP-2020-0382"/>
    <s v="Hannah"/>
    <s v="Gray"/>
    <s v="thirty"/>
    <n v="30"/>
    <n v="1994"/>
    <n v="65000"/>
    <n v="65000"/>
    <x v="0"/>
    <s v="it"/>
    <x v="3"/>
    <s v="Clerk"/>
    <d v="2020-01-15T00:00:00"/>
    <d v="2020-01-15T00:00:00"/>
    <s v="F"/>
    <n v="19"/>
    <s v="hannah.gray@saltcorp.com"/>
    <s v="123-456-7890"/>
    <s v="contract"/>
    <s v="Contract"/>
    <s v="EMP-2018-0099"/>
    <n v="5"/>
    <m/>
    <n v="10"/>
    <d v="2022-06-20T00:00:00"/>
    <n v="67"/>
    <m/>
    <s v=""/>
    <n v="3"/>
    <s v="No"/>
  </r>
  <r>
    <s v="EMP-2020-0383"/>
    <s v="Charlie"/>
    <s v="Martin"/>
    <s v="thirty"/>
    <n v="30"/>
    <n v="1994"/>
    <n v="50000"/>
    <n v="50000"/>
    <x v="0"/>
    <s v="sales"/>
    <x v="2"/>
    <s v="Clerk"/>
    <d v="2020-01-15T00:00:00"/>
    <d v="2020-01-15T00:00:00"/>
    <s v="F"/>
    <n v="40"/>
    <s v="charlie.martin@saltcorp.com"/>
    <m/>
    <s v="contract"/>
    <s v="Contract"/>
    <m/>
    <n v="8"/>
    <m/>
    <m/>
    <m/>
    <n v="10"/>
    <m/>
    <s v=""/>
    <n v="3"/>
    <s v="No"/>
  </r>
  <r>
    <s v="EMP-2019-0384"/>
    <s v="Jack"/>
    <s v="Ward"/>
    <n v="50"/>
    <n v="50"/>
    <n v="1974"/>
    <n v="65000"/>
    <n v="65000"/>
    <x v="0"/>
    <s v="Marketing"/>
    <x v="4"/>
    <s v="Analyst"/>
    <d v="2019-12-01T00:00:00"/>
    <d v="2019-12-01T00:00:00"/>
    <s v="B"/>
    <n v="87"/>
    <s v="jack.ward@saltcorp.com"/>
    <m/>
    <s v="Full-Time"/>
    <s v="Full-Time"/>
    <m/>
    <n v="3"/>
    <s v="N/A"/>
    <m/>
    <m/>
    <n v="33"/>
    <s v="YES"/>
    <s v="Yes"/>
    <n v="5"/>
    <s v="Yes"/>
  </r>
  <r>
    <s v="EMP-2019-0385"/>
    <s v="Grace"/>
    <s v="Garrett"/>
    <n v="35"/>
    <n v="35"/>
    <n v="1989"/>
    <n v="70000"/>
    <n v="70000"/>
    <x v="0"/>
    <s v="HR"/>
    <x v="0"/>
    <s v="Clerk"/>
    <d v="2019-12-01T00:00:00"/>
    <d v="2019-12-01T00:00:00"/>
    <s v="A"/>
    <n v="97"/>
    <s v="grace.garrett@saltcorp.com"/>
    <s v="123-456-7890"/>
    <s v="Part-Time"/>
    <s v="Part-Time"/>
    <m/>
    <n v="2"/>
    <m/>
    <m/>
    <m/>
    <m/>
    <m/>
    <s v=""/>
    <n v="2"/>
    <s v="No"/>
  </r>
  <r>
    <s v="EMP-2018-0386"/>
    <s v="Jack"/>
    <s v="Graham"/>
    <n v="40"/>
    <n v="40"/>
    <n v="1984"/>
    <n v="65000"/>
    <n v="65000"/>
    <x v="0"/>
    <s v="finance"/>
    <x v="1"/>
    <s v="Clerk"/>
    <d v="2018-04-05T00:00:00"/>
    <d v="2018-04-05T00:00:00"/>
    <s v="D"/>
    <n v="62"/>
    <s v="jack.graham@saltcorp.com"/>
    <s v="123-456-7890"/>
    <s v="Part-Time"/>
    <s v="Part-Time"/>
    <s v="EMP-2020-0037"/>
    <n v="3"/>
    <m/>
    <m/>
    <m/>
    <n v="37"/>
    <m/>
    <s v=""/>
    <n v="1"/>
    <s v="No"/>
  </r>
  <r>
    <s v="EMP-2019-0387"/>
    <s v="Eve"/>
    <s v="Matthews"/>
    <n v="40"/>
    <n v="40"/>
    <n v="1984"/>
    <n v="65000"/>
    <n v="65000"/>
    <x v="0"/>
    <s v="it"/>
    <x v="3"/>
    <s v="Manager"/>
    <d v="2019-03-25T00:00:00"/>
    <d v="2019-03-25T00:00:00"/>
    <s v="A"/>
    <n v="96"/>
    <s v="eve.matthews@saltcorp.com"/>
    <m/>
    <s v="contract"/>
    <s v="Contract"/>
    <m/>
    <n v="3"/>
    <m/>
    <m/>
    <m/>
    <m/>
    <s v="YES"/>
    <s v="Yes"/>
    <n v="5"/>
    <s v="No"/>
  </r>
  <r>
    <s v="EMP-2020-0388"/>
    <s v="Jack"/>
    <s v="McCarthy"/>
    <s v="thirty"/>
    <n v="30"/>
    <n v="1994"/>
    <n v="65000"/>
    <n v="65000"/>
    <x v="1"/>
    <s v="HR"/>
    <x v="0"/>
    <s v="Assistant"/>
    <d v="2020-01-15T00:00:00"/>
    <d v="2020-01-15T00:00:00"/>
    <s v="B"/>
    <n v="86"/>
    <s v="jack.mccarthy@saltcorp.com"/>
    <s v="098-765-4321"/>
    <s v="Part-Time"/>
    <s v="Part-Time"/>
    <m/>
    <n v="2"/>
    <m/>
    <n v="20"/>
    <m/>
    <m/>
    <s v="YES"/>
    <s v="Yes"/>
    <n v="3"/>
    <s v="No"/>
  </r>
  <r>
    <s v="EMP-2019-0389"/>
    <s v="Eve"/>
    <s v="Byrd"/>
    <n v="35"/>
    <n v="35"/>
    <n v="1989"/>
    <n v="70000"/>
    <n v="70000"/>
    <x v="0"/>
    <s v="it"/>
    <x v="3"/>
    <s v="Assistant"/>
    <d v="2019-12-01T00:00:00"/>
    <d v="2019-12-01T00:00:00"/>
    <s v="B"/>
    <n v="81"/>
    <s v="eve.byrd@saltcorp.com"/>
    <s v=" "/>
    <s v="Full-Time"/>
    <s v="Full-Time"/>
    <m/>
    <n v="7"/>
    <m/>
    <m/>
    <s v="N/A"/>
    <m/>
    <s v="YES"/>
    <s v="Yes"/>
    <n v="2"/>
    <s v="Yes"/>
  </r>
  <r>
    <s v="EMP-2020-0390"/>
    <s v="Grace"/>
    <s v="Yang"/>
    <n v="35"/>
    <n v="35"/>
    <n v="1989"/>
    <s v=" NAN "/>
    <n v="61851.351351351354"/>
    <x v="1"/>
    <s v="sales"/>
    <x v="2"/>
    <s v="Manager"/>
    <d v="2020-01-15T00:00:00"/>
    <d v="2020-01-15T00:00:00"/>
    <s v="A"/>
    <n v="98"/>
    <s v="grace.yang@saltcorp.com"/>
    <s v=" "/>
    <s v="Part-Time"/>
    <s v="Part-Time"/>
    <m/>
    <n v="1"/>
    <n v="1"/>
    <m/>
    <m/>
    <m/>
    <s v="Y"/>
    <s v="Yes"/>
    <n v="4"/>
    <s v="Yes"/>
  </r>
  <r>
    <s v="EMP-2019-0391"/>
    <s v="Ivy"/>
    <s v="Mason"/>
    <n v="50"/>
    <n v="50"/>
    <n v="1974"/>
    <n v="65000"/>
    <n v="65000"/>
    <x v="1"/>
    <s v="finance"/>
    <x v="1"/>
    <s v="Manager"/>
    <d v="2019-12-01T00:00:00"/>
    <d v="2019-12-01T00:00:00"/>
    <s v="D"/>
    <n v="65"/>
    <s v="ivy.mason@saltcorp.com"/>
    <s v="098-765-4321"/>
    <s v="contract"/>
    <s v="Contract"/>
    <m/>
    <n v="7"/>
    <m/>
    <m/>
    <m/>
    <n v="65"/>
    <m/>
    <s v=""/>
    <n v="3"/>
    <s v="No"/>
  </r>
  <r>
    <s v="EMP-2020-0392"/>
    <s v="Eve"/>
    <s v="Jordan"/>
    <m/>
    <n v="26"/>
    <n v="1998"/>
    <n v="55000"/>
    <n v="55000"/>
    <x v="1"/>
    <s v="finance"/>
    <x v="1"/>
    <s v="Clerk"/>
    <d v="2020-02-20T00:00:00"/>
    <d v="2020-02-20T00:00:00"/>
    <s v="A"/>
    <n v="90"/>
    <s v="eve.jordan@saltcorp.com"/>
    <s v="123-456-7890"/>
    <s v="Part-Time"/>
    <s v="Part-Time"/>
    <m/>
    <n v="5"/>
    <m/>
    <m/>
    <m/>
    <n v="9"/>
    <s v="N"/>
    <s v="No"/>
    <n v="3"/>
    <s v="No"/>
  </r>
  <r>
    <s v="EMP-2020-0393"/>
    <s v="Alice"/>
    <s v="Young"/>
    <n v="40"/>
    <n v="40"/>
    <n v="1984"/>
    <n v="70000"/>
    <n v="70000"/>
    <x v="1"/>
    <s v="sales"/>
    <x v="2"/>
    <s v="Director"/>
    <d v="2020-01-15T00:00:00"/>
    <d v="2020-01-15T00:00:00"/>
    <s v="F"/>
    <n v="8"/>
    <s v="alice.young@saltcorp.com"/>
    <m/>
    <s v="Full-Time"/>
    <s v="Full-Time"/>
    <s v="EMP-2020-0006"/>
    <n v="5"/>
    <n v="9"/>
    <n v="13"/>
    <d v="2022-06-20T00:00:00"/>
    <n v="35"/>
    <s v="Y"/>
    <s v="Yes"/>
    <n v="3"/>
    <s v="Yes"/>
  </r>
  <r>
    <s v="EMP-2020-0394"/>
    <s v="Jack"/>
    <s v="Rogers"/>
    <n v="50"/>
    <n v="50"/>
    <n v="1974"/>
    <n v="65000"/>
    <n v="65000"/>
    <x v="0"/>
    <s v="finance"/>
    <x v="1"/>
    <s v="Clerk"/>
    <d v="2020-02-20T00:00:00"/>
    <d v="2020-02-20T00:00:00"/>
    <s v="C"/>
    <n v="78"/>
    <s v="jack.rogers@saltcorp.com"/>
    <s v=" "/>
    <s v="contract"/>
    <s v="Contract"/>
    <m/>
    <n v="3"/>
    <m/>
    <n v="7"/>
    <d v="2023-01-15T00:00:00"/>
    <n v="23"/>
    <s v="YES"/>
    <s v="Yes"/>
    <n v="4"/>
    <s v="Yes"/>
  </r>
  <r>
    <s v="EMP-2020-0395"/>
    <s v="Jack"/>
    <s v="Hoffman"/>
    <n v="25"/>
    <n v="25"/>
    <n v="1999"/>
    <s v=" NAN "/>
    <n v="60000"/>
    <x v="0"/>
    <s v="Marketing"/>
    <x v="4"/>
    <s v="Manager"/>
    <d v="2020-01-15T00:00:00"/>
    <d v="2020-01-15T00:00:00"/>
    <s v="F"/>
    <n v="40"/>
    <s v="jack.hoffman@saltcorp.com"/>
    <m/>
    <s v="contract"/>
    <s v="Contract"/>
    <m/>
    <n v="3"/>
    <m/>
    <m/>
    <m/>
    <m/>
    <m/>
    <s v=""/>
    <n v="1"/>
    <s v="No"/>
  </r>
  <r>
    <s v="EMP-2019-0396"/>
    <s v="Alice"/>
    <s v="Lee"/>
    <n v="40"/>
    <n v="40"/>
    <n v="1984"/>
    <n v="70000"/>
    <n v="70000"/>
    <x v="0"/>
    <s v="it"/>
    <x v="3"/>
    <s v="Assistant"/>
    <d v="2019-03-25T00:00:00"/>
    <d v="2019-03-25T00:00:00"/>
    <s v="C"/>
    <n v="71"/>
    <s v="alice.lee@saltcorp.com"/>
    <s v="098-765-4321"/>
    <s v="Full-Time"/>
    <s v="Full-Time"/>
    <m/>
    <n v="5"/>
    <m/>
    <m/>
    <m/>
    <m/>
    <s v="no"/>
    <s v="No"/>
    <n v="2"/>
    <s v="No"/>
  </r>
  <r>
    <s v="EMP-2018-0397"/>
    <s v="Bob"/>
    <s v="Rodriguez"/>
    <n v="50"/>
    <n v="50"/>
    <n v="1974"/>
    <s v="SIXTY THOUSAND"/>
    <n v="60000"/>
    <x v="0"/>
    <s v="HR"/>
    <x v="0"/>
    <s v="Clerk"/>
    <d v="2018-04-05T00:00:00"/>
    <d v="2018-04-05T00:00:00"/>
    <s v="B"/>
    <n v="83"/>
    <s v="bob.rodriguez@saltcorp.com"/>
    <m/>
    <s v="Full-Time"/>
    <s v="Full-Time"/>
    <m/>
    <n v="1"/>
    <m/>
    <m/>
    <m/>
    <m/>
    <s v="YES"/>
    <s v="Yes"/>
    <n v="2"/>
    <s v="Yes"/>
  </r>
  <r>
    <s v="EMP-2020-0398"/>
    <s v="Frank"/>
    <s v="Aguilar"/>
    <n v="40"/>
    <n v="40"/>
    <n v="1984"/>
    <s v=" NAN "/>
    <n v="63892.857142857145"/>
    <x v="1"/>
    <s v="sales"/>
    <x v="2"/>
    <s v="Director"/>
    <d v="2020-02-20T00:00:00"/>
    <d v="2020-02-20T00:00:00"/>
    <s v="D"/>
    <n v="68"/>
    <s v="frank.aguilar@saltcorp.com"/>
    <s v="098-765-4321"/>
    <s v="Part-Time"/>
    <s v="Part-Time"/>
    <m/>
    <n v="6"/>
    <m/>
    <n v="12"/>
    <d v="2024-08-12T00:00:00"/>
    <m/>
    <s v="no"/>
    <s v="No"/>
    <n v="4"/>
    <s v="No"/>
  </r>
  <r>
    <s v="EMP-2019-0399"/>
    <s v="Ivy"/>
    <s v="Desai"/>
    <m/>
    <n v="28"/>
    <n v="1996"/>
    <n v="55000"/>
    <n v="55000"/>
    <x v="1"/>
    <s v="Marketing"/>
    <x v="4"/>
    <s v="Clerk"/>
    <d v="2019-12-01T00:00:00"/>
    <d v="2019-12-01T00:00:00"/>
    <s v="A"/>
    <n v="98"/>
    <s v="ivy.desai@saltcorp.com"/>
    <s v="123-456-7890"/>
    <s v="Full-Time"/>
    <s v="Full-Time"/>
    <m/>
    <n v="8"/>
    <n v="3"/>
    <n v="13"/>
    <m/>
    <m/>
    <s v="YES"/>
    <s v="Yes"/>
    <n v="4"/>
    <s v="No"/>
  </r>
  <r>
    <s v="EMP-2019-0400"/>
    <s v="Hannah"/>
    <s v="Olson"/>
    <n v="25"/>
    <n v="25"/>
    <n v="1999"/>
    <n v="65000"/>
    <n v="65000"/>
    <x v="1"/>
    <s v="HR"/>
    <x v="0"/>
    <s v="Analyst"/>
    <d v="2019-03-25T00:00:00"/>
    <d v="2019-03-25T00:00:00"/>
    <s v="D"/>
    <n v="65"/>
    <s v="hannah.olson@saltcorp.com"/>
    <s v="098-765-4321"/>
    <s v="Part-Time"/>
    <s v="Part-Time"/>
    <s v="EMP-2020-0008"/>
    <n v="3"/>
    <m/>
    <m/>
    <d v="2024-08-12T00:00:00"/>
    <n v="49"/>
    <s v="N"/>
    <s v="No"/>
    <n v="2"/>
    <s v="Yes"/>
  </r>
  <r>
    <s v="EMP-2020-0401"/>
    <s v="Eve"/>
    <s v="Ward"/>
    <m/>
    <n v="24"/>
    <n v="2000"/>
    <s v="SIXTY THOUSAND"/>
    <n v="60000"/>
    <x v="1"/>
    <s v="HR"/>
    <x v="0"/>
    <s v="Clerk"/>
    <d v="2020-01-15T00:00:00"/>
    <d v="2020-01-15T00:00:00"/>
    <s v="A"/>
    <n v="90"/>
    <s v="eve.ward@saltcorp.com"/>
    <s v="098-765-4321"/>
    <s v="Full-Time"/>
    <s v="Full-Time"/>
    <s v="EMP-2019-0060"/>
    <n v="1"/>
    <m/>
    <m/>
    <d v="2023-01-15T00:00:00"/>
    <n v="55"/>
    <s v="YES"/>
    <s v="Yes"/>
    <n v="5"/>
    <s v="No"/>
  </r>
  <r>
    <s v="EMP-2020-0402"/>
    <s v="Alice"/>
    <s v="Matthews"/>
    <n v="25"/>
    <n v="25"/>
    <n v="1999"/>
    <s v="SIXTY THOUSAND"/>
    <n v="60000"/>
    <x v="1"/>
    <s v="sales"/>
    <x v="2"/>
    <s v="Manager"/>
    <d v="2020-02-20T00:00:00"/>
    <d v="2020-02-20T00:00:00"/>
    <s v="F"/>
    <n v="57"/>
    <s v="alice.matthews@saltcorp.com"/>
    <s v=" "/>
    <s v="Part-Time"/>
    <s v="Part-Time"/>
    <m/>
    <n v="3"/>
    <m/>
    <m/>
    <m/>
    <n v="42"/>
    <s v="YES"/>
    <s v="Yes"/>
    <n v="4"/>
    <s v="No"/>
  </r>
  <r>
    <s v="EMP-2020-0403"/>
    <s v="Grace"/>
    <s v="Huang"/>
    <s v="thirty"/>
    <n v="30"/>
    <n v="1994"/>
    <n v="70000"/>
    <n v="70000"/>
    <x v="1"/>
    <s v="Marketing"/>
    <x v="4"/>
    <s v="Assistant"/>
    <d v="2020-01-15T00:00:00"/>
    <d v="2020-01-15T00:00:00"/>
    <s v="F"/>
    <n v="44"/>
    <s v="grace.huang@saltcorp.com"/>
    <m/>
    <s v="Part-Time"/>
    <s v="Part-Time"/>
    <s v="EMP-2019-0052"/>
    <n v="6"/>
    <m/>
    <n v="12"/>
    <m/>
    <n v="47"/>
    <s v="no"/>
    <s v="No"/>
    <n v="5"/>
    <s v="Yes"/>
  </r>
  <r>
    <s v="EMP-2020-0404"/>
    <s v="Eve"/>
    <s v="Carter"/>
    <n v="50"/>
    <n v="50"/>
    <n v="1974"/>
    <s v="SIXTY THOUSAND"/>
    <n v="60000"/>
    <x v="1"/>
    <s v="HR"/>
    <x v="0"/>
    <s v="Assistant"/>
    <d v="2020-01-15T00:00:00"/>
    <d v="2020-01-15T00:00:00"/>
    <s v="A"/>
    <n v="97"/>
    <s v="eve.carter@saltcorp.com"/>
    <s v=" "/>
    <s v="Full-Time"/>
    <s v="Full-Time"/>
    <s v="EMP-2020-0072"/>
    <n v="1"/>
    <s v="N/A"/>
    <m/>
    <d v="2021-10-01T00:00:00"/>
    <m/>
    <s v="N"/>
    <s v="No"/>
    <n v="4"/>
    <s v="No"/>
  </r>
  <r>
    <s v="EMP-2020-0405"/>
    <s v="Frank"/>
    <s v="Perez"/>
    <n v="25"/>
    <n v="25"/>
    <n v="1999"/>
    <n v="55000"/>
    <n v="55000"/>
    <x v="0"/>
    <s v="HR"/>
    <x v="0"/>
    <s v="Manager"/>
    <d v="2020-01-15T00:00:00"/>
    <d v="2020-01-15T00:00:00"/>
    <s v="D"/>
    <n v="66"/>
    <s v="frank.perez@saltcorp.com"/>
    <s v="555-555-5555"/>
    <s v="Part-Time"/>
    <s v="Part-Time"/>
    <m/>
    <n v="5"/>
    <m/>
    <m/>
    <m/>
    <m/>
    <s v="Y"/>
    <s v="Yes"/>
    <n v="1"/>
    <s v="No"/>
  </r>
  <r>
    <s v="EMP-2018-0406"/>
    <s v="Grace"/>
    <s v="Yang"/>
    <m/>
    <n v="31"/>
    <n v="1993"/>
    <n v="55000"/>
    <n v="55000"/>
    <x v="1"/>
    <s v="Marketing"/>
    <x v="4"/>
    <s v="Analyst"/>
    <d v="2018-04-05T00:00:00"/>
    <d v="2018-04-05T00:00:00"/>
    <s v="A"/>
    <n v="92"/>
    <s v="grace.yang@saltcorp.com"/>
    <s v="098-765-4321"/>
    <s v="Full-Time"/>
    <s v="Full-Time"/>
    <s v="EMP-2018-0013"/>
    <n v="8"/>
    <m/>
    <m/>
    <d v="2023-03-05T00:00:00"/>
    <n v="45"/>
    <s v="no"/>
    <s v="No"/>
    <n v="2"/>
    <s v="Yes"/>
  </r>
  <r>
    <s v="EMP-2018-0407"/>
    <s v="Charlie"/>
    <s v="Oliver"/>
    <n v="40"/>
    <n v="40"/>
    <n v="1984"/>
    <n v="50000"/>
    <n v="50000"/>
    <x v="0"/>
    <s v="finance"/>
    <x v="1"/>
    <s v="Manager"/>
    <d v="2018-04-05T00:00:00"/>
    <d v="2018-04-05T00:00:00"/>
    <s v="B"/>
    <n v="85"/>
    <s v="charlie.oliver@saltcorp.com"/>
    <s v="555-555-5555"/>
    <s v="Full-Time"/>
    <s v="Full-Time"/>
    <m/>
    <n v="6"/>
    <s v="N/A"/>
    <n v="9"/>
    <d v="2024-08-12T00:00:00"/>
    <m/>
    <s v="N"/>
    <s v="No"/>
    <n v="3"/>
    <s v="No"/>
  </r>
  <r>
    <s v="EMP-2019-0408"/>
    <s v="Jack"/>
    <s v="Bell"/>
    <n v="25"/>
    <n v="25"/>
    <n v="1999"/>
    <n v="55000"/>
    <n v="55000"/>
    <x v="0"/>
    <s v="HR"/>
    <x v="0"/>
    <s v="Clerk"/>
    <d v="2019-12-01T00:00:00"/>
    <d v="2019-12-01T00:00:00"/>
    <s v="F"/>
    <n v="22"/>
    <s v="jack.bell@saltcorp.com"/>
    <s v=" "/>
    <s v="Part-Time"/>
    <s v="Part-Time"/>
    <m/>
    <n v="2"/>
    <m/>
    <n v="19"/>
    <m/>
    <m/>
    <m/>
    <s v=""/>
    <n v="4"/>
    <s v="No"/>
  </r>
  <r>
    <s v="EMP-2020-0409"/>
    <s v="Charlie"/>
    <s v="West"/>
    <n v="50"/>
    <n v="50"/>
    <n v="1974"/>
    <n v="60900"/>
    <n v="60900"/>
    <x v="1"/>
    <s v="it"/>
    <x v="3"/>
    <s v="Manager"/>
    <d v="2020-02-20T00:00:00"/>
    <d v="2020-02-20T00:00:00"/>
    <s v="B"/>
    <n v="80"/>
    <s v="charlie.west@saltcorp.com"/>
    <m/>
    <s v="Full-Time"/>
    <s v="Full-Time"/>
    <s v="EMP-2018-0098"/>
    <n v="6"/>
    <s v="N/A"/>
    <m/>
    <d v="2024-08-12T00:00:00"/>
    <m/>
    <s v="no"/>
    <s v="No"/>
    <n v="3"/>
    <s v="No"/>
  </r>
  <r>
    <s v="EMP-2019-0410"/>
    <s v="Eve"/>
    <s v="Stevens"/>
    <n v="25"/>
    <n v="25"/>
    <n v="1999"/>
    <s v="SIXTY THOUSAND"/>
    <n v="60000"/>
    <x v="1"/>
    <s v="Marketing"/>
    <x v="4"/>
    <s v="Manager"/>
    <d v="2019-03-25T00:00:00"/>
    <d v="2019-03-25T00:00:00"/>
    <s v="F"/>
    <n v="23"/>
    <s v="eve.stevens@saltcorp.com"/>
    <s v=" "/>
    <s v="Part-Time"/>
    <s v="Part-Time"/>
    <m/>
    <n v="4"/>
    <n v="1"/>
    <n v="6"/>
    <d v="2024-08-12T00:00:00"/>
    <n v="9"/>
    <s v="no"/>
    <s v="No"/>
    <n v="5"/>
    <s v="No"/>
  </r>
  <r>
    <s v="EMP-2019-0411"/>
    <s v="Frank"/>
    <s v="Hernandez"/>
    <n v="35"/>
    <n v="35"/>
    <n v="1989"/>
    <n v="55000"/>
    <n v="55000"/>
    <x v="0"/>
    <s v="HR"/>
    <x v="0"/>
    <s v="Analyst"/>
    <d v="2019-03-25T00:00:00"/>
    <d v="2019-03-25T00:00:00"/>
    <s v="F"/>
    <n v="54"/>
    <s v="frank.hernandez@saltcorp.com"/>
    <m/>
    <s v="Full-Time"/>
    <s v="Full-Time"/>
    <m/>
    <n v="3"/>
    <s v="N/A"/>
    <m/>
    <s v="N/A"/>
    <m/>
    <s v="YES"/>
    <s v="Yes"/>
    <n v="5"/>
    <s v="No"/>
  </r>
  <r>
    <s v="EMP-2019-0412"/>
    <s v="Ivy"/>
    <s v="Hansen"/>
    <n v="40"/>
    <n v="40"/>
    <n v="1984"/>
    <n v="70000"/>
    <n v="70000"/>
    <x v="1"/>
    <s v="sales"/>
    <x v="2"/>
    <s v="Clerk"/>
    <d v="2019-03-25T00:00:00"/>
    <d v="2019-03-25T00:00:00"/>
    <s v="C"/>
    <n v="70"/>
    <s v="ivy.hansen@saltcorp.com"/>
    <m/>
    <s v="contract"/>
    <s v="Contract"/>
    <m/>
    <n v="2"/>
    <m/>
    <n v="15"/>
    <d v="2021-10-01T00:00:00"/>
    <n v="5"/>
    <s v="YES"/>
    <s v="Yes"/>
    <n v="5"/>
    <s v="Yes"/>
  </r>
  <r>
    <s v="EMP-2020-0413"/>
    <s v="Eve"/>
    <s v="Bell"/>
    <n v="50"/>
    <n v="50"/>
    <n v="1974"/>
    <n v="50000"/>
    <n v="50000"/>
    <x v="0"/>
    <s v="it"/>
    <x v="3"/>
    <s v="Director"/>
    <d v="2020-01-15T00:00:00"/>
    <d v="2020-01-15T00:00:00"/>
    <s v="B"/>
    <n v="85"/>
    <s v="eve.bell@saltcorp.com"/>
    <s v="123-456-7890"/>
    <s v="Full-Time"/>
    <s v="Full-Time"/>
    <m/>
    <n v="3"/>
    <n v="1"/>
    <m/>
    <d v="2024-08-12T00:00:00"/>
    <m/>
    <s v="YES"/>
    <s v="Yes"/>
    <n v="3"/>
    <s v="No"/>
  </r>
  <r>
    <s v="EMP-2018-0414"/>
    <s v="Alice"/>
    <s v="Thompson"/>
    <n v="50"/>
    <n v="50"/>
    <n v="1974"/>
    <s v="SIXTY THOUSAND"/>
    <n v="60000"/>
    <x v="1"/>
    <s v="HR"/>
    <x v="0"/>
    <s v="Director"/>
    <d v="2018-04-05T00:00:00"/>
    <d v="2018-04-05T00:00:00"/>
    <s v="B"/>
    <n v="89"/>
    <s v="alice.thompson@saltcorp.com"/>
    <s v="098-765-4321"/>
    <s v="Part-Time"/>
    <s v="Part-Time"/>
    <m/>
    <n v="7"/>
    <n v="11"/>
    <m/>
    <m/>
    <m/>
    <s v="YES"/>
    <s v="Yes"/>
    <n v="5"/>
    <s v="No"/>
  </r>
  <r>
    <s v="EMP-2020-0415"/>
    <s v="David"/>
    <s v="Rogers"/>
    <s v="thirty"/>
    <n v="30"/>
    <n v="1994"/>
    <n v="50000"/>
    <n v="50000"/>
    <x v="1"/>
    <s v="it"/>
    <x v="3"/>
    <s v="Assistant"/>
    <d v="2020-02-20T00:00:00"/>
    <d v="2020-02-20T00:00:00"/>
    <s v="C"/>
    <n v="71"/>
    <s v="david.rogers@saltcorp.com"/>
    <s v=" "/>
    <s v="Full-Time"/>
    <s v="Full-Time"/>
    <m/>
    <n v="7"/>
    <m/>
    <m/>
    <m/>
    <n v="33"/>
    <m/>
    <s v=""/>
    <n v="3"/>
    <s v="Yes"/>
  </r>
  <r>
    <s v="EMP-2020-0416"/>
    <s v="Eve"/>
    <s v="Evans"/>
    <m/>
    <n v="42"/>
    <n v="1982"/>
    <s v="SIXTY THOUSAND"/>
    <n v="60000"/>
    <x v="0"/>
    <s v="it"/>
    <x v="3"/>
    <s v="Manager"/>
    <d v="2020-01-15T00:00:00"/>
    <d v="2020-01-15T00:00:00"/>
    <s v="D"/>
    <n v="65"/>
    <s v="eve.evans@saltcorp.com"/>
    <m/>
    <s v="Full-Time"/>
    <s v="Full-Time"/>
    <m/>
    <n v="2"/>
    <m/>
    <n v="15"/>
    <m/>
    <n v="78"/>
    <s v="no"/>
    <s v="No"/>
    <n v="2"/>
    <s v="Yes"/>
  </r>
  <r>
    <s v="EMP-2018-0417"/>
    <s v="Jack"/>
    <s v="Hanson"/>
    <s v="thirty"/>
    <n v="30"/>
    <n v="1994"/>
    <n v="70000"/>
    <n v="70000"/>
    <x v="0"/>
    <s v="finance"/>
    <x v="1"/>
    <s v="Assistant"/>
    <d v="2018-04-05T00:00:00"/>
    <d v="2018-04-05T00:00:00"/>
    <s v="B"/>
    <n v="83"/>
    <s v="jack.hanson@saltcorp.com"/>
    <s v=" "/>
    <s v="Part-Time"/>
    <s v="Part-Time"/>
    <m/>
    <n v="6"/>
    <s v="N/A"/>
    <n v="3"/>
    <m/>
    <m/>
    <m/>
    <s v=""/>
    <n v="3"/>
    <s v="No"/>
  </r>
  <r>
    <s v="EMP-2018-0418"/>
    <s v="Jack"/>
    <s v="McCarthy"/>
    <n v="50"/>
    <n v="50"/>
    <n v="1974"/>
    <n v="50000"/>
    <n v="50000"/>
    <x v="0"/>
    <s v="it"/>
    <x v="3"/>
    <s v="Analyst"/>
    <d v="2018-04-05T00:00:00"/>
    <d v="2018-04-05T00:00:00"/>
    <s v="A"/>
    <n v="92"/>
    <s v="jack.mccarthy@saltcorp.com"/>
    <s v=" "/>
    <s v="Part-Time"/>
    <s v="Part-Time"/>
    <m/>
    <n v="4"/>
    <m/>
    <m/>
    <d v="2023-03-05T00:00:00"/>
    <m/>
    <s v="YES"/>
    <s v="Yes"/>
    <n v="4"/>
    <s v="No"/>
  </r>
  <r>
    <s v="EMP-2020-0419"/>
    <s v="Eve"/>
    <s v="Bell"/>
    <n v="40"/>
    <n v="40"/>
    <n v="1984"/>
    <n v="65000"/>
    <n v="65000"/>
    <x v="0"/>
    <s v="finance"/>
    <x v="1"/>
    <s v="Director"/>
    <d v="2020-02-20T00:00:00"/>
    <d v="2020-02-20T00:00:00"/>
    <s v="C"/>
    <n v="74"/>
    <s v="eve.bell@saltcorp.com"/>
    <m/>
    <s v="Part-Time"/>
    <s v="Part-Time"/>
    <m/>
    <n v="4"/>
    <m/>
    <m/>
    <d v="2021-10-01T00:00:00"/>
    <n v="63"/>
    <m/>
    <s v=""/>
    <n v="2"/>
    <s v="Yes"/>
  </r>
  <r>
    <s v="EMP-2020-0420"/>
    <s v="Grace"/>
    <s v="Harrison"/>
    <n v="25"/>
    <n v="25"/>
    <n v="1999"/>
    <n v="60000"/>
    <n v="60000"/>
    <x v="0"/>
    <s v="Marketing"/>
    <x v="4"/>
    <s v="Manager"/>
    <d v="2020-02-20T00:00:00"/>
    <d v="2020-02-20T00:00:00"/>
    <s v="B"/>
    <n v="83"/>
    <s v="grace.harrison@saltcorp.com"/>
    <s v="555-555-5555"/>
    <s v="Part-Time"/>
    <s v="Part-Time"/>
    <m/>
    <n v="6"/>
    <n v="10"/>
    <m/>
    <d v="2023-01-15T00:00:00"/>
    <m/>
    <s v="no"/>
    <s v="No"/>
    <n v="4"/>
    <s v="No"/>
  </r>
  <r>
    <s v="EMP-2020-0421"/>
    <s v="David"/>
    <s v="Walsh"/>
    <n v="25"/>
    <n v="25"/>
    <n v="1999"/>
    <n v="60800"/>
    <n v="60800"/>
    <x v="0"/>
    <s v="finance"/>
    <x v="1"/>
    <s v="Analyst"/>
    <d v="2020-02-20T00:00:00"/>
    <d v="2020-02-20T00:00:00"/>
    <s v="D"/>
    <n v="62"/>
    <s v="david.walsh@saltcorp.com"/>
    <s v="098-765-4321"/>
    <s v="Full-Time"/>
    <s v="Full-Time"/>
    <m/>
    <n v="6"/>
    <m/>
    <n v="12"/>
    <m/>
    <m/>
    <s v="N"/>
    <s v="No"/>
    <n v="2"/>
    <s v="Yes"/>
  </r>
  <r>
    <s v="EMP-2020-0422"/>
    <s v="Alice"/>
    <s v="Mason"/>
    <n v="40"/>
    <n v="40"/>
    <n v="1984"/>
    <s v="SIXTY THOUSAND"/>
    <n v="60000"/>
    <x v="1"/>
    <s v="sales"/>
    <x v="2"/>
    <s v="Analyst"/>
    <d v="2020-01-15T00:00:00"/>
    <d v="2020-01-15T00:00:00"/>
    <s v="B"/>
    <n v="87"/>
    <s v="alice.mason@saltcorp.com"/>
    <s v="098-765-4321"/>
    <s v="Part-Time"/>
    <s v="Part-Time"/>
    <s v="EMP-2018-0017"/>
    <n v="6"/>
    <m/>
    <n v="7"/>
    <d v="2023-03-05T00:00:00"/>
    <m/>
    <m/>
    <s v=""/>
    <n v="3"/>
    <s v="No"/>
  </r>
  <r>
    <s v="EMP-2019-0423"/>
    <s v="Eve"/>
    <s v="Stevens"/>
    <n v="50"/>
    <n v="50"/>
    <n v="1974"/>
    <n v="65000"/>
    <n v="65000"/>
    <x v="0"/>
    <s v="HR"/>
    <x v="0"/>
    <s v="Manager"/>
    <d v="2019-12-01T00:00:00"/>
    <d v="2019-12-01T00:00:00"/>
    <s v="F"/>
    <n v="35"/>
    <s v="eve.stevens@saltcorp.com"/>
    <s v="123-456-7890"/>
    <s v="Full-Time"/>
    <s v="Full-Time"/>
    <m/>
    <n v="5"/>
    <m/>
    <m/>
    <d v="2023-01-15T00:00:00"/>
    <m/>
    <s v="YES"/>
    <s v="Yes"/>
    <n v="2"/>
    <s v="Yes"/>
  </r>
  <r>
    <s v="EMP-2020-0424"/>
    <s v="Grace"/>
    <s v="Wang"/>
    <n v="25"/>
    <n v="25"/>
    <n v="1999"/>
    <n v="50000"/>
    <n v="50000"/>
    <x v="1"/>
    <s v="Marketing"/>
    <x v="4"/>
    <s v="Analyst"/>
    <d v="2020-02-20T00:00:00"/>
    <d v="2020-02-20T00:00:00"/>
    <s v="A"/>
    <n v="98"/>
    <s v="grace.wang@saltcorp.com"/>
    <s v="123-456-7890"/>
    <s v="Full-Time"/>
    <s v="Full-Time"/>
    <m/>
    <n v="4"/>
    <m/>
    <m/>
    <d v="2024-08-12T00:00:00"/>
    <m/>
    <s v="no"/>
    <s v="No"/>
    <n v="4"/>
    <s v="No"/>
  </r>
  <r>
    <s v="EMP-2019-0425"/>
    <s v="Jack"/>
    <s v="McCarthy"/>
    <n v="25"/>
    <n v="25"/>
    <n v="1999"/>
    <n v="65000"/>
    <n v="65000"/>
    <x v="1"/>
    <s v="Marketing"/>
    <x v="4"/>
    <s v="Manager"/>
    <d v="2019-12-01T00:00:00"/>
    <d v="2019-12-01T00:00:00"/>
    <s v="C"/>
    <n v="75"/>
    <s v="jack.mccarthy@saltcorp.com"/>
    <s v="123-456-7890"/>
    <s v="contract"/>
    <s v="Contract"/>
    <s v="EMP-2018-0006"/>
    <n v="8"/>
    <n v="9"/>
    <m/>
    <m/>
    <m/>
    <s v="no"/>
    <s v="No"/>
    <n v="1"/>
    <s v="No"/>
  </r>
  <r>
    <s v="EMP-2020-0426"/>
    <s v="Jack"/>
    <s v="O'Connor"/>
    <n v="25"/>
    <n v="25"/>
    <n v="1999"/>
    <n v="65000"/>
    <n v="65000"/>
    <x v="0"/>
    <s v="sales"/>
    <x v="2"/>
    <s v="Manager"/>
    <d v="2020-01-15T00:00:00"/>
    <d v="2020-01-15T00:00:00"/>
    <s v="F"/>
    <n v="50"/>
    <s v="jack.o'connor@saltcorp.com"/>
    <s v="098-765-4321"/>
    <s v="Part-Time"/>
    <s v="Part-Time"/>
    <m/>
    <n v="1"/>
    <m/>
    <n v="18"/>
    <s v="N/A"/>
    <m/>
    <s v="YES"/>
    <s v="Yes"/>
    <n v="2"/>
    <s v="No"/>
  </r>
  <r>
    <s v="EMP-2019-0427"/>
    <s v="Frank"/>
    <s v="Gonzalez"/>
    <m/>
    <n v="34"/>
    <n v="1990"/>
    <n v="50000"/>
    <n v="50000"/>
    <x v="0"/>
    <s v="finance"/>
    <x v="1"/>
    <s v="Clerk"/>
    <d v="2019-12-01T00:00:00"/>
    <d v="2019-12-01T00:00:00"/>
    <s v="D"/>
    <n v="68"/>
    <s v="frank.gonzalez@saltcorp.com"/>
    <s v="555-555-5555"/>
    <s v="Part-Time"/>
    <s v="Part-Time"/>
    <s v="EMP-2020-0066"/>
    <n v="2"/>
    <m/>
    <n v="20"/>
    <s v="N/A"/>
    <n v="31"/>
    <s v="no"/>
    <s v="No"/>
    <n v="2"/>
    <s v="No"/>
  </r>
  <r>
    <s v="EMP-2019-0428"/>
    <s v="Eve"/>
    <s v="Vega"/>
    <m/>
    <n v="27"/>
    <n v="1997"/>
    <n v="70000"/>
    <n v="70000"/>
    <x v="1"/>
    <s v="HR"/>
    <x v="0"/>
    <s v="Assistant"/>
    <d v="2019-03-25T00:00:00"/>
    <d v="2019-03-25T00:00:00"/>
    <s v="F"/>
    <n v="39"/>
    <s v="eve.vega@saltcorp.com"/>
    <s v="098-765-4321"/>
    <s v="Part-Time"/>
    <s v="Part-Time"/>
    <s v="EMP-2020-0041"/>
    <n v="6"/>
    <m/>
    <m/>
    <d v="2022-06-20T00:00:00"/>
    <n v="63"/>
    <s v="N"/>
    <s v="No"/>
    <n v="1"/>
    <s v="Yes"/>
  </r>
  <r>
    <s v="EMP-2019-0429"/>
    <s v="David"/>
    <s v="Cohen"/>
    <n v="35"/>
    <n v="35"/>
    <n v="1989"/>
    <n v="65000"/>
    <n v="65000"/>
    <x v="0"/>
    <s v="finance"/>
    <x v="1"/>
    <s v="Analyst"/>
    <d v="2019-12-01T00:00:00"/>
    <d v="2019-12-01T00:00:00"/>
    <s v="F"/>
    <n v="45"/>
    <s v="david.cohen@saltcorp.com"/>
    <s v="098-765-4321"/>
    <s v="contract"/>
    <s v="Contract"/>
    <m/>
    <n v="8"/>
    <m/>
    <m/>
    <m/>
    <m/>
    <s v="YES"/>
    <s v="Yes"/>
    <n v="2"/>
    <s v="Yes"/>
  </r>
  <r>
    <s v="EMP-2020-0430"/>
    <s v="Bob"/>
    <s v="Wallace"/>
    <s v="thirty"/>
    <n v="30"/>
    <n v="1994"/>
    <n v="65000"/>
    <n v="65000"/>
    <x v="0"/>
    <s v="it"/>
    <x v="3"/>
    <s v="Analyst"/>
    <d v="2020-02-20T00:00:00"/>
    <d v="2020-02-20T00:00:00"/>
    <s v="D"/>
    <n v="66"/>
    <s v="bob.wallace@saltcorp.com"/>
    <s v="098-765-4321"/>
    <s v="contract"/>
    <s v="Contract"/>
    <m/>
    <n v="4"/>
    <m/>
    <m/>
    <m/>
    <m/>
    <s v="no"/>
    <s v="No"/>
    <n v="2"/>
    <s v="No"/>
  </r>
  <r>
    <s v="EMP-2020-0431"/>
    <s v="David"/>
    <s v="Le"/>
    <n v="40"/>
    <n v="40"/>
    <n v="1984"/>
    <n v="70000"/>
    <n v="70000"/>
    <x v="1"/>
    <s v="finance"/>
    <x v="1"/>
    <s v="Clerk"/>
    <d v="2020-01-15T00:00:00"/>
    <d v="2020-01-15T00:00:00"/>
    <s v="F"/>
    <n v="41"/>
    <s v="david.le@saltcorp.com"/>
    <s v="098-765-4321"/>
    <s v="Part-Time"/>
    <s v="Part-Time"/>
    <m/>
    <n v="4"/>
    <m/>
    <m/>
    <m/>
    <m/>
    <m/>
    <s v=""/>
    <n v="1"/>
    <s v="No"/>
  </r>
  <r>
    <s v="EMP-2020-0432"/>
    <s v="Jack"/>
    <s v="Olson"/>
    <n v="40"/>
    <n v="40"/>
    <n v="1984"/>
    <n v="65000"/>
    <n v="65000"/>
    <x v="0"/>
    <s v="Marketing"/>
    <x v="4"/>
    <s v="Clerk"/>
    <d v="2020-02-20T00:00:00"/>
    <d v="2020-02-20T00:00:00"/>
    <s v="C"/>
    <n v="77"/>
    <s v="jack.olson@saltcorp.com"/>
    <s v="555-555-5555"/>
    <s v="contract"/>
    <s v="Contract"/>
    <m/>
    <n v="1"/>
    <m/>
    <m/>
    <d v="2022-06-20T00:00:00"/>
    <m/>
    <s v="no"/>
    <s v="No"/>
    <n v="2"/>
    <s v="Yes"/>
  </r>
  <r>
    <s v="EMP-2019-0433"/>
    <s v="Jack"/>
    <s v="Johnston"/>
    <n v="40"/>
    <n v="40"/>
    <n v="1984"/>
    <n v="65000"/>
    <n v="65000"/>
    <x v="0"/>
    <s v="HR"/>
    <x v="0"/>
    <s v="Clerk"/>
    <d v="2019-03-25T00:00:00"/>
    <d v="2019-03-25T00:00:00"/>
    <s v="B"/>
    <n v="88"/>
    <s v="jack.johnston@saltcorp.com"/>
    <s v="123-456-7890"/>
    <s v="contract"/>
    <s v="Contract"/>
    <m/>
    <n v="6"/>
    <m/>
    <m/>
    <m/>
    <m/>
    <m/>
    <s v=""/>
    <n v="3"/>
    <s v="No"/>
  </r>
  <r>
    <s v="EMP-2020-0434"/>
    <s v="Charlie"/>
    <s v="Lewis"/>
    <n v="35"/>
    <n v="35"/>
    <n v="1989"/>
    <n v="65000"/>
    <n v="65000"/>
    <x v="0"/>
    <s v="finance"/>
    <x v="1"/>
    <s v="Director"/>
    <d v="2020-02-20T00:00:00"/>
    <d v="2020-02-20T00:00:00"/>
    <s v="F"/>
    <n v="53"/>
    <s v="charlie.lewis@saltcorp.com"/>
    <s v=" "/>
    <s v="contract"/>
    <s v="Contract"/>
    <m/>
    <n v="7"/>
    <s v="N/A"/>
    <m/>
    <m/>
    <m/>
    <s v="no"/>
    <s v="No"/>
    <n v="3"/>
    <s v="Yes"/>
  </r>
  <r>
    <s v="EMP-2020-0435"/>
    <s v="Jack"/>
    <s v="Wallace"/>
    <m/>
    <n v="53"/>
    <n v="1971"/>
    <n v="60900"/>
    <n v="60900"/>
    <x v="1"/>
    <s v="HR"/>
    <x v="0"/>
    <s v="Director"/>
    <d v="2020-02-20T00:00:00"/>
    <d v="2020-02-20T00:00:00"/>
    <s v="C"/>
    <n v="72"/>
    <s v="jack.wallace@saltcorp.com"/>
    <s v="123-456-7890"/>
    <s v="Part-Time"/>
    <s v="Part-Time"/>
    <m/>
    <n v="2"/>
    <m/>
    <n v="5"/>
    <m/>
    <n v="75"/>
    <s v="no"/>
    <s v="No"/>
    <n v="3"/>
    <s v="Yes"/>
  </r>
  <r>
    <s v="EMP-2020-0436"/>
    <s v="Alice"/>
    <s v="Knight"/>
    <n v="50"/>
    <n v="50"/>
    <n v="1974"/>
    <n v="55000"/>
    <n v="55000"/>
    <x v="0"/>
    <s v="HR"/>
    <x v="0"/>
    <s v="Director"/>
    <d v="2020-02-20T00:00:00"/>
    <d v="2020-02-20T00:00:00"/>
    <s v="B"/>
    <n v="85"/>
    <s v="alice.knight@saltcorp.com"/>
    <s v="123-456-7890"/>
    <s v="contract"/>
    <s v="Contract"/>
    <s v="EMP-2020-0074"/>
    <n v="7"/>
    <m/>
    <n v="16"/>
    <m/>
    <n v="32"/>
    <m/>
    <s v=""/>
    <n v="4"/>
    <s v="No"/>
  </r>
  <r>
    <s v="EMP-2018-0437"/>
    <s v="Hannah"/>
    <s v="Sims"/>
    <n v="50"/>
    <n v="50"/>
    <n v="1974"/>
    <n v="70000"/>
    <n v="70000"/>
    <x v="1"/>
    <s v="it"/>
    <x v="3"/>
    <s v="Manager"/>
    <d v="2018-04-05T00:00:00"/>
    <d v="2018-04-05T00:00:00"/>
    <s v="B"/>
    <n v="81"/>
    <s v="hannah.sims@saltcorp.com"/>
    <s v=" "/>
    <s v="Full-Time"/>
    <s v="Full-Time"/>
    <s v="EMP-2020-0062"/>
    <n v="5"/>
    <m/>
    <m/>
    <m/>
    <n v="74"/>
    <m/>
    <s v=""/>
    <n v="4"/>
    <s v="No"/>
  </r>
  <r>
    <s v="EMP-2019-0438"/>
    <s v="Eve"/>
    <s v="Medina"/>
    <n v="35"/>
    <n v="35"/>
    <n v="1989"/>
    <n v="65000"/>
    <n v="65000"/>
    <x v="1"/>
    <s v="it"/>
    <x v="3"/>
    <s v="Analyst"/>
    <d v="2019-03-25T00:00:00"/>
    <d v="2019-03-25T00:00:00"/>
    <s v="F"/>
    <n v="39"/>
    <s v="eve.medina@saltcorp.com"/>
    <s v="098-765-4321"/>
    <s v="Part-Time"/>
    <s v="Part-Time"/>
    <m/>
    <n v="5"/>
    <s v="N/A"/>
    <n v="6"/>
    <m/>
    <m/>
    <s v="YES"/>
    <s v="Yes"/>
    <n v="1"/>
    <s v="Yes"/>
  </r>
  <r>
    <s v="EMP-2020-0439"/>
    <s v="David"/>
    <s v="Andrews"/>
    <n v="50"/>
    <n v="50"/>
    <n v="1974"/>
    <n v="61600"/>
    <n v="61600"/>
    <x v="0"/>
    <s v="Marketing"/>
    <x v="4"/>
    <s v="Assistant"/>
    <d v="2020-02-20T00:00:00"/>
    <d v="2020-02-20T00:00:00"/>
    <s v="C"/>
    <n v="78"/>
    <s v="david.andrews@saltcorp.com"/>
    <s v="555-555-5555"/>
    <s v="contract"/>
    <s v="Contract"/>
    <s v="EMP-2020-0032"/>
    <n v="1"/>
    <m/>
    <m/>
    <d v="2022-06-20T00:00:00"/>
    <n v="25"/>
    <s v="no"/>
    <s v="No"/>
    <n v="1"/>
    <s v="Yes"/>
  </r>
  <r>
    <s v="EMP-2020-0440"/>
    <s v="Hannah"/>
    <s v="Gutierrez"/>
    <n v="40"/>
    <n v="40"/>
    <n v="1984"/>
    <n v="70000"/>
    <n v="70000"/>
    <x v="1"/>
    <s v="sales"/>
    <x v="2"/>
    <s v="Manager"/>
    <d v="2020-02-20T00:00:00"/>
    <d v="2020-02-20T00:00:00"/>
    <s v="F"/>
    <n v="46"/>
    <s v="hannah.gutierrez@saltcorp.com"/>
    <s v="555-555-5555"/>
    <s v="contract"/>
    <s v="Contract"/>
    <s v="EMP-2020-0015"/>
    <n v="6"/>
    <m/>
    <m/>
    <m/>
    <m/>
    <s v="no"/>
    <s v="No"/>
    <n v="3"/>
    <s v="No"/>
  </r>
  <r>
    <s v="EMP-2020-0441"/>
    <s v="Grace"/>
    <s v="Wallace"/>
    <s v="thirty"/>
    <n v="30"/>
    <n v="1994"/>
    <s v="SIXTY THOUSAND"/>
    <n v="60000"/>
    <x v="0"/>
    <s v="HR"/>
    <x v="0"/>
    <s v="Analyst"/>
    <d v="2020-02-20T00:00:00"/>
    <d v="2020-02-20T00:00:00"/>
    <s v="D"/>
    <n v="60"/>
    <s v="grace.wallace@saltcorp.com"/>
    <s v="123-456-7890"/>
    <s v="contract"/>
    <s v="Contract"/>
    <s v="EMP-2019-0054"/>
    <n v="8"/>
    <m/>
    <n v="13"/>
    <d v="2022-06-20T00:00:00"/>
    <m/>
    <s v="no"/>
    <s v="No"/>
    <n v="5"/>
    <s v="No"/>
  </r>
  <r>
    <s v="EMP-2020-0442"/>
    <s v="Bob"/>
    <s v="Jordan"/>
    <n v="25"/>
    <n v="25"/>
    <n v="1999"/>
    <s v="SIXTY THOUSAND"/>
    <n v="60000"/>
    <x v="0"/>
    <s v="sales"/>
    <x v="2"/>
    <s v="Analyst"/>
    <d v="2020-01-15T00:00:00"/>
    <d v="2020-01-15T00:00:00"/>
    <s v="B"/>
    <n v="81"/>
    <s v="bob.jordan@saltcorp.com"/>
    <s v=" "/>
    <s v="Full-Time"/>
    <s v="Full-Time"/>
    <m/>
    <n v="8"/>
    <n v="11"/>
    <m/>
    <m/>
    <m/>
    <s v="YES"/>
    <s v="Yes"/>
    <n v="4"/>
    <s v="No"/>
  </r>
  <r>
    <s v="EMP-2018-0443"/>
    <s v="Alice"/>
    <s v="Burns"/>
    <m/>
    <n v="28"/>
    <n v="1996"/>
    <n v="65000"/>
    <n v="65000"/>
    <x v="1"/>
    <s v="Marketing"/>
    <x v="4"/>
    <s v="Clerk"/>
    <d v="2018-04-05T00:00:00"/>
    <d v="2018-04-05T00:00:00"/>
    <s v="F"/>
    <n v="39"/>
    <s v="alice.burns@saltcorp.com"/>
    <m/>
    <s v="contract"/>
    <s v="Contract"/>
    <m/>
    <n v="1"/>
    <n v="3"/>
    <n v="2"/>
    <d v="2023-01-15T00:00:00"/>
    <m/>
    <s v="no"/>
    <s v="No"/>
    <n v="5"/>
    <s v="No"/>
  </r>
  <r>
    <s v="EMP-2020-0444"/>
    <s v="David"/>
    <s v="Lucas"/>
    <m/>
    <n v="35"/>
    <n v="1989"/>
    <n v="58800"/>
    <n v="58800"/>
    <x v="0"/>
    <s v="HR"/>
    <x v="0"/>
    <s v="Clerk"/>
    <d v="2020-01-15T00:00:00"/>
    <d v="2020-01-15T00:00:00"/>
    <s v="B"/>
    <n v="80"/>
    <s v="david.lucas@saltcorp.com"/>
    <s v="098-765-4321"/>
    <s v="Full-Time"/>
    <s v="Full-Time"/>
    <s v="EMP-2018-0067"/>
    <n v="5"/>
    <s v="N/A"/>
    <n v="2"/>
    <m/>
    <m/>
    <s v="YES"/>
    <s v="Yes"/>
    <n v="5"/>
    <s v="No"/>
  </r>
  <r>
    <s v="EMP-2018-0445"/>
    <s v="Hannah"/>
    <s v="Long"/>
    <n v="35"/>
    <n v="35"/>
    <n v="1989"/>
    <n v="59000"/>
    <n v="59000"/>
    <x v="1"/>
    <s v="HR"/>
    <x v="0"/>
    <s v="Manager"/>
    <d v="2018-04-05T00:00:00"/>
    <d v="2018-04-05T00:00:00"/>
    <s v="C"/>
    <n v="77"/>
    <s v="hannah.long@saltcorp.com"/>
    <s v="123-456-7890"/>
    <s v="Full-Time"/>
    <s v="Full-Time"/>
    <m/>
    <n v="4"/>
    <s v="N/A"/>
    <n v="15"/>
    <d v="2023-01-15T00:00:00"/>
    <m/>
    <s v="YES"/>
    <s v="Yes"/>
    <n v="5"/>
    <s v="Yes"/>
  </r>
  <r>
    <s v="EMP-2020-0446"/>
    <s v="Bob"/>
    <s v="Davis"/>
    <m/>
    <n v="26"/>
    <n v="1998"/>
    <n v="70000"/>
    <n v="70000"/>
    <x v="0"/>
    <s v="sales"/>
    <x v="2"/>
    <s v="Clerk"/>
    <d v="2020-02-20T00:00:00"/>
    <d v="2020-02-20T00:00:00"/>
    <s v="A"/>
    <n v="100"/>
    <s v="bob.davis@saltcorp.com"/>
    <s v="555-555-5555"/>
    <s v="Full-Time"/>
    <s v="Full-Time"/>
    <m/>
    <n v="6"/>
    <s v="N/A"/>
    <n v="8"/>
    <m/>
    <n v="72"/>
    <s v="YES"/>
    <s v="Yes"/>
    <n v="1"/>
    <s v="No"/>
  </r>
  <r>
    <s v="EMP-2019-0447"/>
    <s v="Charlie"/>
    <s v="Garrett"/>
    <n v="40"/>
    <n v="40"/>
    <n v="1984"/>
    <n v="70000"/>
    <n v="70000"/>
    <x v="0"/>
    <s v="finance"/>
    <x v="1"/>
    <s v="Analyst"/>
    <d v="2019-03-25T00:00:00"/>
    <d v="2019-03-25T00:00:00"/>
    <s v="F"/>
    <n v="30"/>
    <s v="charlie.garrett@saltcorp.com"/>
    <s v=" "/>
    <s v="Full-Time"/>
    <s v="Full-Time"/>
    <m/>
    <n v="2"/>
    <n v="13"/>
    <n v="0"/>
    <m/>
    <m/>
    <s v="no"/>
    <s v="No"/>
    <n v="1"/>
    <s v="Yes"/>
  </r>
  <r>
    <s v="EMP-2019-0448"/>
    <s v="Alice"/>
    <s v="Gomez"/>
    <n v="50"/>
    <n v="50"/>
    <n v="1974"/>
    <n v="58600"/>
    <n v="58600"/>
    <x v="1"/>
    <s v="it"/>
    <x v="3"/>
    <s v="Clerk"/>
    <d v="2019-12-01T00:00:00"/>
    <d v="2019-12-01T00:00:00"/>
    <s v="F"/>
    <n v="9"/>
    <s v="alice.gomez@saltcorp.com"/>
    <s v=" "/>
    <s v="Part-Time"/>
    <s v="Part-Time"/>
    <m/>
    <n v="2"/>
    <s v="N/A"/>
    <n v="15"/>
    <m/>
    <m/>
    <s v="no"/>
    <s v="No"/>
    <n v="4"/>
    <s v="No"/>
  </r>
  <r>
    <s v="EMP-2019-0449"/>
    <s v="Alice"/>
    <s v="Thompson"/>
    <n v="40"/>
    <n v="40"/>
    <n v="1984"/>
    <n v="70000"/>
    <n v="70000"/>
    <x v="0"/>
    <s v="finance"/>
    <x v="1"/>
    <s v="Director"/>
    <d v="2019-12-01T00:00:00"/>
    <d v="2019-12-01T00:00:00"/>
    <s v="B"/>
    <n v="85"/>
    <s v="alice.thompson@saltcorp.com"/>
    <s v="123-456-7890"/>
    <s v="Part-Time"/>
    <s v="Part-Time"/>
    <m/>
    <n v="3"/>
    <n v="1"/>
    <m/>
    <m/>
    <m/>
    <s v="YES"/>
    <s v="Yes"/>
    <n v="2"/>
    <s v="Yes"/>
  </r>
  <r>
    <s v="EMP-2020-0450"/>
    <s v="Charlie"/>
    <s v="Dominguez"/>
    <n v="35"/>
    <n v="35"/>
    <n v="1989"/>
    <n v="63000"/>
    <n v="63000"/>
    <x v="1"/>
    <s v="sales"/>
    <x v="2"/>
    <s v="Clerk"/>
    <d v="2020-02-20T00:00:00"/>
    <d v="2020-02-20T00:00:00"/>
    <s v="C"/>
    <n v="78"/>
    <s v="charlie.dominguez@saltcorp.com"/>
    <m/>
    <s v="Full-Time"/>
    <s v="Full-Time"/>
    <m/>
    <n v="1"/>
    <m/>
    <m/>
    <d v="2023-03-05T00:00:00"/>
    <m/>
    <m/>
    <s v=""/>
    <n v="5"/>
    <s v="No"/>
  </r>
  <r>
    <s v="EMP-2020-0451"/>
    <s v="Eve"/>
    <s v="Parker"/>
    <n v="40"/>
    <n v="40"/>
    <n v="1984"/>
    <n v="55000"/>
    <n v="55000"/>
    <x v="1"/>
    <s v="it"/>
    <x v="3"/>
    <s v="Analyst"/>
    <d v="2020-01-15T00:00:00"/>
    <d v="2020-01-15T00:00:00"/>
    <s v="D"/>
    <n v="64"/>
    <s v="eve.parker@saltcorp.com"/>
    <s v="555-555-5555"/>
    <s v="Full-Time"/>
    <s v="Full-Time"/>
    <m/>
    <n v="2"/>
    <m/>
    <m/>
    <d v="2021-10-01T00:00:00"/>
    <m/>
    <s v="no"/>
    <s v="No"/>
    <n v="3"/>
    <s v="Yes"/>
  </r>
  <r>
    <s v="EMP-2019-0452"/>
    <s v="Charlie"/>
    <s v="White"/>
    <n v="50"/>
    <n v="50"/>
    <n v="1974"/>
    <n v="59500"/>
    <n v="59500"/>
    <x v="1"/>
    <s v="finance"/>
    <x v="1"/>
    <s v="Manager"/>
    <d v="2019-03-25T00:00:00"/>
    <d v="2019-03-25T00:00:00"/>
    <s v="C"/>
    <n v="71"/>
    <s v="charlie.white@saltcorp.com"/>
    <s v="123-456-7890"/>
    <s v="Part-Time"/>
    <s v="Part-Time"/>
    <m/>
    <n v="4"/>
    <n v="8"/>
    <m/>
    <d v="2021-10-01T00:00:00"/>
    <m/>
    <s v="no"/>
    <s v="No"/>
    <n v="3"/>
    <s v="No"/>
  </r>
  <r>
    <s v="EMP-2018-0453"/>
    <s v="Alice"/>
    <s v="Baker"/>
    <s v="thirty"/>
    <n v="30"/>
    <n v="1994"/>
    <s v="SIXTY THOUSAND"/>
    <n v="60000"/>
    <x v="1"/>
    <s v="it"/>
    <x v="3"/>
    <s v="Assistant"/>
    <d v="2018-04-05T00:00:00"/>
    <d v="2018-04-05T00:00:00"/>
    <s v="F"/>
    <n v="55"/>
    <s v="alice.baker@saltcorp.com"/>
    <m/>
    <s v="Part-Time"/>
    <s v="Part-Time"/>
    <m/>
    <n v="4"/>
    <s v="N/A"/>
    <m/>
    <m/>
    <m/>
    <s v="YES"/>
    <s v="Yes"/>
    <n v="4"/>
    <s v="No"/>
  </r>
  <r>
    <s v="EMP-2020-0454"/>
    <s v="Alice"/>
    <s v="Fisher"/>
    <n v="35"/>
    <n v="35"/>
    <n v="1989"/>
    <n v="70000"/>
    <n v="70000"/>
    <x v="1"/>
    <s v="HR"/>
    <x v="0"/>
    <s v="Clerk"/>
    <d v="2020-02-20T00:00:00"/>
    <d v="2020-02-20T00:00:00"/>
    <s v="D"/>
    <n v="65"/>
    <s v="alice.fisher@saltcorp.com"/>
    <s v=" "/>
    <s v="Part-Time"/>
    <s v="Part-Time"/>
    <s v="EMP-2019-0045"/>
    <n v="7"/>
    <m/>
    <n v="12"/>
    <d v="2023-03-05T00:00:00"/>
    <m/>
    <s v="no"/>
    <s v="No"/>
    <n v="3"/>
    <s v="Yes"/>
  </r>
  <r>
    <s v="EMP-2019-0455"/>
    <s v="Hannah"/>
    <s v="Brooks"/>
    <s v="thirty"/>
    <n v="30"/>
    <n v="1994"/>
    <n v="60800"/>
    <n v="60800"/>
    <x v="1"/>
    <s v="finance"/>
    <x v="1"/>
    <s v="Analyst"/>
    <d v="2019-03-25T00:00:00"/>
    <d v="2019-03-25T00:00:00"/>
    <s v="C"/>
    <n v="78"/>
    <s v="hannah.brooks@saltcorp.com"/>
    <s v="098-765-4321"/>
    <s v="contract"/>
    <s v="Contract"/>
    <s v="EMP-2019-0092"/>
    <n v="2"/>
    <m/>
    <m/>
    <m/>
    <m/>
    <s v="no"/>
    <s v="No"/>
    <n v="4"/>
    <s v="No"/>
  </r>
  <r>
    <s v="EMP-2019-0456"/>
    <s v="Jack"/>
    <s v="Ryan"/>
    <n v="25"/>
    <n v="25"/>
    <n v="1999"/>
    <n v="59800"/>
    <n v="59800"/>
    <x v="1"/>
    <s v="it"/>
    <x v="3"/>
    <s v="Assistant"/>
    <d v="2019-03-25T00:00:00"/>
    <d v="2019-03-25T00:00:00"/>
    <s v="A"/>
    <n v="94"/>
    <s v="jack.ryan@saltcorp.com"/>
    <s v="555-555-5555"/>
    <s v="Part-Time"/>
    <s v="Part-Time"/>
    <m/>
    <n v="4"/>
    <m/>
    <m/>
    <d v="2023-03-05T00:00:00"/>
    <m/>
    <s v="no"/>
    <s v="No"/>
    <n v="3"/>
    <s v="No"/>
  </r>
  <r>
    <s v="EMP-2018-0457"/>
    <s v="Bob"/>
    <s v="Brown"/>
    <s v="thirty"/>
    <n v="30"/>
    <n v="1994"/>
    <n v="70000"/>
    <n v="70000"/>
    <x v="0"/>
    <s v="it"/>
    <x v="3"/>
    <s v="Assistant"/>
    <d v="2018-04-05T00:00:00"/>
    <d v="2018-04-05T00:00:00"/>
    <s v="B"/>
    <n v="87"/>
    <s v="bob.brown@saltcorp.com"/>
    <s v="555-555-5555"/>
    <s v="contract"/>
    <s v="Contract"/>
    <m/>
    <n v="7"/>
    <m/>
    <m/>
    <d v="2022-06-20T00:00:00"/>
    <n v="20"/>
    <s v="YES"/>
    <s v="Yes"/>
    <n v="1"/>
    <s v="Yes"/>
  </r>
  <r>
    <s v="EMP-2019-0458"/>
    <s v="Charlie"/>
    <s v="Wallace"/>
    <n v="25"/>
    <n v="25"/>
    <n v="1999"/>
    <n v="55000"/>
    <n v="55000"/>
    <x v="1"/>
    <s v="it"/>
    <x v="3"/>
    <s v="Director"/>
    <d v="2019-03-25T00:00:00"/>
    <d v="2019-03-25T00:00:00"/>
    <s v="C"/>
    <n v="70"/>
    <s v="charlie.wallace@saltcorp.com"/>
    <m/>
    <s v="Full-Time"/>
    <s v="Full-Time"/>
    <m/>
    <n v="2"/>
    <m/>
    <n v="12"/>
    <d v="2023-03-05T00:00:00"/>
    <m/>
    <m/>
    <s v=""/>
    <n v="2"/>
    <s v="No"/>
  </r>
  <r>
    <s v="EMP-2020-0459"/>
    <s v="Bob"/>
    <s v="Garcia"/>
    <n v="25"/>
    <n v="25"/>
    <n v="1999"/>
    <n v="55000"/>
    <n v="55000"/>
    <x v="1"/>
    <s v="finance"/>
    <x v="1"/>
    <s v="Assistant"/>
    <d v="2020-01-15T00:00:00"/>
    <d v="2020-01-15T00:00:00"/>
    <s v="C"/>
    <n v="74"/>
    <s v="bob.garcia@saltcorp.com"/>
    <s v="123-456-7890"/>
    <s v="Part-Time"/>
    <s v="Part-Time"/>
    <m/>
    <n v="3"/>
    <n v="0"/>
    <m/>
    <m/>
    <m/>
    <s v="no"/>
    <s v="No"/>
    <n v="4"/>
    <s v="No"/>
  </r>
  <r>
    <s v="EMP-2020-0460"/>
    <s v="Charlie"/>
    <s v="Davidson"/>
    <s v="thirty"/>
    <n v="30"/>
    <n v="1994"/>
    <n v="70000"/>
    <n v="70000"/>
    <x v="0"/>
    <s v="Marketing"/>
    <x v="4"/>
    <s v="Analyst"/>
    <d v="2020-01-15T00:00:00"/>
    <d v="2020-01-15T00:00:00"/>
    <s v="A"/>
    <n v="91"/>
    <s v="charlie.davidson@saltcorp.com"/>
    <s v=" "/>
    <s v="contract"/>
    <s v="Contract"/>
    <m/>
    <n v="1"/>
    <n v="3"/>
    <n v="15"/>
    <d v="2024-08-12T00:00:00"/>
    <m/>
    <s v="YES"/>
    <s v="Yes"/>
    <n v="1"/>
    <s v="Yes"/>
  </r>
  <r>
    <s v="EMP-2020-0461"/>
    <s v="Grace"/>
    <s v="Liu"/>
    <n v="35"/>
    <n v="35"/>
    <n v="1989"/>
    <n v="50000"/>
    <n v="50000"/>
    <x v="0"/>
    <s v="finance"/>
    <x v="1"/>
    <s v="Analyst"/>
    <d v="2020-01-15T00:00:00"/>
    <d v="2020-01-15T00:00:00"/>
    <s v="F"/>
    <n v="25"/>
    <s v="grace.liu@saltcorp.com"/>
    <m/>
    <s v="contract"/>
    <s v="Contract"/>
    <s v="EMP-2018-0007"/>
    <n v="8"/>
    <m/>
    <m/>
    <m/>
    <m/>
    <m/>
    <s v=""/>
    <n v="5"/>
    <s v="No"/>
  </r>
  <r>
    <s v="EMP-2019-0462"/>
    <s v="Alice"/>
    <s v="McCoy"/>
    <n v="50"/>
    <n v="50"/>
    <n v="1974"/>
    <n v="70000"/>
    <n v="70000"/>
    <x v="1"/>
    <s v="sales"/>
    <x v="2"/>
    <s v="Clerk"/>
    <d v="2019-03-25T00:00:00"/>
    <d v="2019-03-25T00:00:00"/>
    <s v="B"/>
    <n v="89"/>
    <s v="alice.mccoy@saltcorp.com"/>
    <s v="098-765-4321"/>
    <s v="Part-Time"/>
    <s v="Part-Time"/>
    <s v="EMP-2020-0061"/>
    <n v="6"/>
    <m/>
    <m/>
    <m/>
    <m/>
    <s v="YES"/>
    <s v="Yes"/>
    <n v="5"/>
    <s v="Yes"/>
  </r>
  <r>
    <s v="EMP-2020-0463"/>
    <s v="Jack"/>
    <s v="Armstrong"/>
    <n v="40"/>
    <n v="40"/>
    <n v="1984"/>
    <n v="70000"/>
    <n v="70000"/>
    <x v="0"/>
    <s v="finance"/>
    <x v="1"/>
    <s v="Clerk"/>
    <d v="2020-01-15T00:00:00"/>
    <d v="2020-01-15T00:00:00"/>
    <s v="C"/>
    <n v="71"/>
    <s v="jack.armstrong@saltcorp.com"/>
    <s v="098-765-4321"/>
    <s v="Full-Time"/>
    <s v="Full-Time"/>
    <m/>
    <n v="1"/>
    <n v="1"/>
    <n v="19"/>
    <m/>
    <n v="61"/>
    <m/>
    <s v=""/>
    <n v="5"/>
    <s v="No"/>
  </r>
  <r>
    <s v="EMP-2018-0464"/>
    <s v="Hannah"/>
    <s v="Perry"/>
    <n v="40"/>
    <n v="40"/>
    <n v="1984"/>
    <n v="55000"/>
    <n v="55000"/>
    <x v="1"/>
    <s v="it"/>
    <x v="3"/>
    <s v="Clerk"/>
    <d v="2018-04-05T00:00:00"/>
    <d v="2018-04-05T00:00:00"/>
    <s v="D"/>
    <n v="69"/>
    <s v="hannah.perry@saltcorp.com"/>
    <s v="098-765-4321"/>
    <s v="Full-Time"/>
    <s v="Full-Time"/>
    <m/>
    <n v="2"/>
    <m/>
    <m/>
    <d v="2021-10-01T00:00:00"/>
    <n v="65"/>
    <s v="YES"/>
    <s v="Yes"/>
    <n v="4"/>
    <s v="Yes"/>
  </r>
  <r>
    <s v="EMP-2019-0465"/>
    <s v="Jack"/>
    <s v="Walsh"/>
    <n v="50"/>
    <n v="50"/>
    <n v="1974"/>
    <n v="55000"/>
    <n v="55000"/>
    <x v="1"/>
    <s v="HR"/>
    <x v="0"/>
    <s v="Assistant"/>
    <d v="2019-03-25T00:00:00"/>
    <d v="2019-03-25T00:00:00"/>
    <s v="C"/>
    <n v="72"/>
    <s v="jack.walsh@saltcorp.com"/>
    <m/>
    <s v="Part-Time"/>
    <s v="Part-Time"/>
    <m/>
    <n v="2"/>
    <n v="8"/>
    <n v="3"/>
    <m/>
    <m/>
    <s v="YES"/>
    <s v="Yes"/>
    <n v="3"/>
    <s v="Yes"/>
  </r>
  <r>
    <s v="EMP-2019-0466"/>
    <s v="Jack"/>
    <s v="O'Neill"/>
    <n v="25"/>
    <n v="25"/>
    <n v="1999"/>
    <n v="70000"/>
    <n v="70000"/>
    <x v="0"/>
    <s v="finance"/>
    <x v="1"/>
    <s v="Assistant"/>
    <d v="2019-12-01T00:00:00"/>
    <d v="2019-12-01T00:00:00"/>
    <s v="B"/>
    <n v="85"/>
    <s v="jack.o'neill@saltcorp.com"/>
    <s v=" "/>
    <s v="contract"/>
    <s v="Contract"/>
    <m/>
    <n v="1"/>
    <n v="3"/>
    <n v="6"/>
    <m/>
    <m/>
    <m/>
    <s v=""/>
    <n v="1"/>
    <s v="Yes"/>
  </r>
  <r>
    <s v="EMP-2019-0467"/>
    <s v="Jack"/>
    <s v="McCarthy"/>
    <n v="25"/>
    <n v="25"/>
    <n v="1999"/>
    <n v="70000"/>
    <n v="70000"/>
    <x v="1"/>
    <s v="finance"/>
    <x v="1"/>
    <s v="Director"/>
    <d v="2019-03-25T00:00:00"/>
    <d v="2019-03-25T00:00:00"/>
    <s v="C"/>
    <n v="79"/>
    <s v="jack.mccarthy@saltcorp.com"/>
    <s v="555-555-5555"/>
    <s v="contract"/>
    <s v="Contract"/>
    <m/>
    <n v="3"/>
    <m/>
    <n v="9"/>
    <m/>
    <n v="28"/>
    <s v="no"/>
    <s v="No"/>
    <n v="3"/>
    <s v="No"/>
  </r>
  <r>
    <s v="EMP-2018-0468"/>
    <s v="Bob"/>
    <s v="Pearson"/>
    <n v="35"/>
    <n v="35"/>
    <n v="1989"/>
    <n v="70000"/>
    <n v="70000"/>
    <x v="0"/>
    <s v="it"/>
    <x v="3"/>
    <s v="Clerk"/>
    <d v="2018-04-05T00:00:00"/>
    <d v="2018-04-05T00:00:00"/>
    <s v="A"/>
    <n v="98"/>
    <s v="bob.pearson@saltcorp.com"/>
    <s v="123-456-7890"/>
    <s v="Part-Time"/>
    <s v="Part-Time"/>
    <s v="EMP-2020-0093"/>
    <n v="5"/>
    <n v="5"/>
    <n v="3"/>
    <m/>
    <m/>
    <s v="no"/>
    <s v="No"/>
    <n v="5"/>
    <s v="Yes"/>
  </r>
  <r>
    <s v="EMP-2019-0469"/>
    <s v="Charlie"/>
    <s v="Gutierrez"/>
    <m/>
    <n v="46"/>
    <n v="1978"/>
    <n v="55000"/>
    <n v="55000"/>
    <x v="0"/>
    <s v="HR"/>
    <x v="0"/>
    <s v="Manager"/>
    <d v="2019-12-01T00:00:00"/>
    <d v="2019-12-01T00:00:00"/>
    <s v="C"/>
    <n v="78"/>
    <s v="charlie.gutierrez@saltcorp.com"/>
    <s v="555-555-5555"/>
    <s v="Full-Time"/>
    <s v="Full-Time"/>
    <m/>
    <n v="2"/>
    <m/>
    <m/>
    <m/>
    <m/>
    <s v="YES"/>
    <s v="Yes"/>
    <n v="2"/>
    <s v="No"/>
  </r>
  <r>
    <s v="EMP-2019-0470"/>
    <s v="Ivy"/>
    <s v="Rogers"/>
    <s v="thirty"/>
    <n v="30"/>
    <n v="1994"/>
    <n v="70000"/>
    <n v="70000"/>
    <x v="1"/>
    <s v="HR"/>
    <x v="0"/>
    <s v="Director"/>
    <d v="2019-03-25T00:00:00"/>
    <d v="2019-03-25T00:00:00"/>
    <s v="C"/>
    <n v="72"/>
    <s v="ivy.rogers@saltcorp.com"/>
    <s v=" "/>
    <s v="contract"/>
    <s v="Contract"/>
    <m/>
    <n v="4"/>
    <s v="N/A"/>
    <n v="3"/>
    <s v="N/A"/>
    <m/>
    <s v="no"/>
    <s v="No"/>
    <n v="1"/>
    <s v="Yes"/>
  </r>
  <r>
    <s v="EMP-2020-0471"/>
    <s v="Grace"/>
    <s v="Dominguez"/>
    <n v="25"/>
    <n v="25"/>
    <n v="1999"/>
    <n v="70000"/>
    <n v="70000"/>
    <x v="0"/>
    <s v="sales"/>
    <x v="2"/>
    <s v="Manager"/>
    <d v="2020-01-15T00:00:00"/>
    <d v="2020-01-15T00:00:00"/>
    <s v="D"/>
    <n v="66"/>
    <s v="grace.dominguez@saltcorp.com"/>
    <s v="555-555-5555"/>
    <s v="Part-Time"/>
    <s v="Part-Time"/>
    <m/>
    <n v="5"/>
    <m/>
    <m/>
    <d v="2023-03-05T00:00:00"/>
    <n v="43"/>
    <s v="no"/>
    <s v="No"/>
    <n v="2"/>
    <s v="Yes"/>
  </r>
  <r>
    <s v="EMP-2020-0472"/>
    <s v="David"/>
    <s v="Cohen"/>
    <n v="40"/>
    <n v="40"/>
    <n v="1984"/>
    <n v="65000"/>
    <n v="65000"/>
    <x v="0"/>
    <s v="finance"/>
    <x v="1"/>
    <s v="Assistant"/>
    <d v="2020-02-20T00:00:00"/>
    <d v="2020-02-20T00:00:00"/>
    <s v="A"/>
    <n v="94"/>
    <s v="david.cohen@saltcorp.com"/>
    <m/>
    <s v="Full-Time"/>
    <s v="Full-Time"/>
    <m/>
    <n v="7"/>
    <m/>
    <m/>
    <d v="2024-08-12T00:00:00"/>
    <m/>
    <m/>
    <s v=""/>
    <n v="5"/>
    <s v="No"/>
  </r>
  <r>
    <s v="EMP-2020-0473"/>
    <s v="Jack"/>
    <s v="Santos"/>
    <n v="35"/>
    <n v="35"/>
    <n v="1989"/>
    <n v="50000"/>
    <n v="50000"/>
    <x v="0"/>
    <s v="HR"/>
    <x v="0"/>
    <s v="Director"/>
    <d v="2020-02-20T00:00:00"/>
    <d v="2020-02-20T00:00:00"/>
    <s v="A"/>
    <n v="98"/>
    <s v="jack.santos@saltcorp.com"/>
    <s v="098-765-4321"/>
    <s v="contract"/>
    <s v="Contract"/>
    <s v="EMP-2020-0078"/>
    <n v="7"/>
    <m/>
    <n v="8"/>
    <s v="N/A"/>
    <m/>
    <s v="no"/>
    <s v="No"/>
    <n v="2"/>
    <s v="No"/>
  </r>
  <r>
    <s v="EMP-2020-0474"/>
    <s v="Eve"/>
    <s v="Bell"/>
    <s v="thirty"/>
    <n v="30"/>
    <n v="1994"/>
    <s v="SIXTY THOUSAND"/>
    <n v="60000"/>
    <x v="1"/>
    <s v="HR"/>
    <x v="0"/>
    <s v="Director"/>
    <d v="2020-01-15T00:00:00"/>
    <d v="2020-01-15T00:00:00"/>
    <s v="C"/>
    <n v="75"/>
    <s v="eve.bell@saltcorp.com"/>
    <s v=" "/>
    <s v="Full-Time"/>
    <s v="Full-Time"/>
    <m/>
    <n v="8"/>
    <m/>
    <n v="20"/>
    <m/>
    <m/>
    <s v="YES"/>
    <s v="Yes"/>
    <n v="2"/>
    <s v="No"/>
  </r>
  <r>
    <s v="EMP-2020-0475"/>
    <s v="Bob"/>
    <s v="Andrews"/>
    <n v="35"/>
    <n v="35"/>
    <n v="1989"/>
    <n v="50000"/>
    <n v="50000"/>
    <x v="1"/>
    <s v="Marketing"/>
    <x v="4"/>
    <s v="Analyst"/>
    <d v="2020-02-20T00:00:00"/>
    <d v="2020-02-20T00:00:00"/>
    <s v="D"/>
    <n v="64"/>
    <s v="bob.andrews@saltcorp.com"/>
    <s v=" "/>
    <s v="Part-Time"/>
    <s v="Part-Time"/>
    <m/>
    <n v="7"/>
    <n v="10"/>
    <n v="10"/>
    <s v="N/A"/>
    <m/>
    <s v="YES"/>
    <s v="Yes"/>
    <n v="5"/>
    <s v="No"/>
  </r>
  <r>
    <s v="EMP-2020-0476"/>
    <s v="Hannah"/>
    <s v="Byrd"/>
    <s v="thirty"/>
    <n v="30"/>
    <n v="1994"/>
    <n v="65000"/>
    <n v="65000"/>
    <x v="0"/>
    <s v="Marketing"/>
    <x v="4"/>
    <s v="Assistant"/>
    <d v="2020-02-20T00:00:00"/>
    <d v="2020-02-20T00:00:00"/>
    <s v="C"/>
    <n v="79"/>
    <s v="hannah.byrd@saltcorp.com"/>
    <s v="555-555-5555"/>
    <s v="contract"/>
    <s v="Contract"/>
    <m/>
    <n v="7"/>
    <m/>
    <n v="12"/>
    <m/>
    <n v="7"/>
    <s v="no"/>
    <s v="No"/>
    <n v="2"/>
    <s v="Yes"/>
  </r>
  <r>
    <s v="EMP-2020-0477"/>
    <s v="David"/>
    <s v="Hudson"/>
    <s v="thirty"/>
    <n v="30"/>
    <n v="1994"/>
    <s v="SIXTY THOUSAND"/>
    <n v="60000"/>
    <x v="0"/>
    <s v="HR"/>
    <x v="0"/>
    <s v="Assistant"/>
    <d v="2020-01-15T00:00:00"/>
    <d v="2020-01-15T00:00:00"/>
    <s v="C"/>
    <n v="79"/>
    <s v="david.hudson@saltcorp.com"/>
    <m/>
    <s v="contract"/>
    <s v="Contract"/>
    <s v="EMP-2018-0043"/>
    <n v="6"/>
    <m/>
    <m/>
    <m/>
    <m/>
    <s v="YES"/>
    <s v="Yes"/>
    <n v="3"/>
    <s v="No"/>
  </r>
  <r>
    <s v="EMP-2020-0478"/>
    <s v="Ivy"/>
    <s v="Wallace"/>
    <n v="50"/>
    <n v="50"/>
    <n v="1974"/>
    <n v="70000"/>
    <n v="70000"/>
    <x v="0"/>
    <s v="sales"/>
    <x v="2"/>
    <s v="Director"/>
    <d v="2020-01-15T00:00:00"/>
    <d v="2020-01-15T00:00:00"/>
    <s v="B"/>
    <n v="89"/>
    <s v="ivy.wallace@saltcorp.com"/>
    <s v="555-555-5555"/>
    <s v="Full-Time"/>
    <s v="Full-Time"/>
    <m/>
    <n v="1"/>
    <s v="N/A"/>
    <n v="3"/>
    <m/>
    <m/>
    <s v="YES"/>
    <s v="Yes"/>
    <n v="4"/>
    <s v="No"/>
  </r>
  <r>
    <s v="EMP-2019-0479"/>
    <s v="Eve"/>
    <s v="Reed"/>
    <n v="25"/>
    <n v="25"/>
    <n v="1999"/>
    <n v="65000"/>
    <n v="65000"/>
    <x v="0"/>
    <s v="HR"/>
    <x v="0"/>
    <s v="Assistant"/>
    <d v="2019-03-25T00:00:00"/>
    <d v="2019-03-25T00:00:00"/>
    <s v="B"/>
    <n v="89"/>
    <s v="eve.reed@saltcorp.com"/>
    <s v="555-555-5555"/>
    <s v="Part-Time"/>
    <s v="Part-Time"/>
    <m/>
    <n v="7"/>
    <m/>
    <m/>
    <m/>
    <m/>
    <m/>
    <s v=""/>
    <n v="5"/>
    <s v="No"/>
  </r>
  <r>
    <s v="EMP-2019-0480"/>
    <s v="Ivy"/>
    <s v="Kumar"/>
    <n v="35"/>
    <n v="35"/>
    <n v="1989"/>
    <n v="70000"/>
    <n v="70000"/>
    <x v="1"/>
    <s v="it"/>
    <x v="3"/>
    <s v="Director"/>
    <d v="2019-03-25T00:00:00"/>
    <d v="2019-03-25T00:00:00"/>
    <s v="D"/>
    <n v="69"/>
    <s v="ivy.kumar@saltcorp.com"/>
    <s v=" "/>
    <s v="contract"/>
    <s v="Contract"/>
    <m/>
    <n v="2"/>
    <s v="N/A"/>
    <m/>
    <m/>
    <m/>
    <m/>
    <s v=""/>
    <n v="4"/>
    <s v="Yes"/>
  </r>
  <r>
    <s v="EMP-2020-0481"/>
    <s v="David"/>
    <s v="Ross"/>
    <n v="35"/>
    <n v="35"/>
    <n v="1989"/>
    <n v="55000"/>
    <n v="55000"/>
    <x v="0"/>
    <s v="finance"/>
    <x v="1"/>
    <s v="Analyst"/>
    <d v="2020-01-15T00:00:00"/>
    <d v="2020-01-15T00:00:00"/>
    <s v="F"/>
    <n v="20"/>
    <s v="david.ross@saltcorp.com"/>
    <s v="555-555-5555"/>
    <s v="Full-Time"/>
    <s v="Full-Time"/>
    <m/>
    <n v="1"/>
    <m/>
    <n v="10"/>
    <s v="N/A"/>
    <n v="45"/>
    <s v="YES"/>
    <s v="Yes"/>
    <n v="4"/>
    <s v="Yes"/>
  </r>
  <r>
    <s v="EMP-2018-0482"/>
    <s v="Jack"/>
    <s v="O'Connor"/>
    <n v="50"/>
    <n v="50"/>
    <n v="1974"/>
    <n v="63000"/>
    <n v="63000"/>
    <x v="1"/>
    <s v="sales"/>
    <x v="2"/>
    <s v="Director"/>
    <d v="2018-04-05T00:00:00"/>
    <d v="2018-04-05T00:00:00"/>
    <s v="B"/>
    <n v="82"/>
    <s v="jack.o'connor@saltcorp.com"/>
    <s v="098-765-4321"/>
    <s v="Full-Time"/>
    <s v="Full-Time"/>
    <m/>
    <n v="2"/>
    <n v="2"/>
    <m/>
    <m/>
    <n v="38"/>
    <s v="YES"/>
    <s v="Yes"/>
    <n v="2"/>
    <s v="No"/>
  </r>
  <r>
    <s v="EMP-2020-0483"/>
    <s v="Eve"/>
    <s v="Turner"/>
    <n v="40"/>
    <n v="40"/>
    <n v="1984"/>
    <n v="65000"/>
    <n v="65000"/>
    <x v="0"/>
    <s v="it"/>
    <x v="3"/>
    <s v="Assistant"/>
    <d v="2020-02-20T00:00:00"/>
    <d v="2020-02-20T00:00:00"/>
    <s v="F"/>
    <n v="45"/>
    <s v="eve.turner@saltcorp.com"/>
    <s v="555-555-5555"/>
    <s v="contract"/>
    <s v="Contract"/>
    <s v="EMP-2020-0042"/>
    <n v="1"/>
    <s v="N/A"/>
    <m/>
    <m/>
    <m/>
    <s v="no"/>
    <s v="No"/>
    <n v="4"/>
    <s v="Yes"/>
  </r>
  <r>
    <s v="EMP-2019-0484"/>
    <s v="Ivy"/>
    <s v="Gupta"/>
    <n v="40"/>
    <n v="40"/>
    <n v="1984"/>
    <n v="55000"/>
    <n v="55000"/>
    <x v="0"/>
    <s v="sales"/>
    <x v="2"/>
    <s v="Assistant"/>
    <d v="2019-03-25T00:00:00"/>
    <d v="2019-03-25T00:00:00"/>
    <s v="A"/>
    <n v="92"/>
    <s v="ivy.gupta@saltcorp.com"/>
    <s v="098-765-4321"/>
    <s v="Part-Time"/>
    <s v="Part-Time"/>
    <s v="EMP-2018-0024"/>
    <n v="2"/>
    <m/>
    <m/>
    <d v="2024-08-12T00:00:00"/>
    <n v="39"/>
    <s v="YES"/>
    <s v="Yes"/>
    <n v="4"/>
    <s v="No"/>
  </r>
  <r>
    <s v="EMP-2020-0485"/>
    <s v="Hannah"/>
    <s v="Wallace"/>
    <n v="25"/>
    <n v="25"/>
    <n v="1999"/>
    <n v="65000"/>
    <n v="65000"/>
    <x v="1"/>
    <s v="it"/>
    <x v="3"/>
    <s v="Director"/>
    <d v="2020-02-20T00:00:00"/>
    <d v="2020-02-20T00:00:00"/>
    <s v="B"/>
    <n v="87"/>
    <s v="hannah.wallace@saltcorp.com"/>
    <s v=" "/>
    <s v="Part-Time"/>
    <s v="Part-Time"/>
    <m/>
    <n v="6"/>
    <n v="0"/>
    <m/>
    <m/>
    <n v="9"/>
    <s v="YES"/>
    <s v="Yes"/>
    <n v="1"/>
    <s v="Yes"/>
  </r>
  <r>
    <s v="EMP-2019-0486"/>
    <s v="Charlie"/>
    <s v="Castillo"/>
    <n v="25"/>
    <n v="25"/>
    <n v="1999"/>
    <n v="65000"/>
    <n v="65000"/>
    <x v="0"/>
    <s v="finance"/>
    <x v="1"/>
    <s v="Director"/>
    <d v="2019-12-01T00:00:00"/>
    <d v="2019-12-01T00:00:00"/>
    <s v="B"/>
    <n v="87"/>
    <s v="charlie.castillo@saltcorp.com"/>
    <m/>
    <s v="contract"/>
    <s v="Contract"/>
    <m/>
    <n v="2"/>
    <m/>
    <n v="17"/>
    <m/>
    <m/>
    <s v="no"/>
    <s v="No"/>
    <n v="3"/>
    <s v="Yes"/>
  </r>
  <r>
    <s v="EMP-2020-0487"/>
    <s v="Alice"/>
    <s v="Barnett"/>
    <m/>
    <n v="46"/>
    <n v="1978"/>
    <n v="55000"/>
    <n v="55000"/>
    <x v="0"/>
    <s v="finance"/>
    <x v="1"/>
    <s v="Director"/>
    <d v="2020-01-15T00:00:00"/>
    <d v="2020-01-15T00:00:00"/>
    <s v="D"/>
    <n v="67"/>
    <s v="alice.barnett@saltcorp.com"/>
    <s v="098-765-4321"/>
    <s v="contract"/>
    <s v="Contract"/>
    <m/>
    <n v="5"/>
    <m/>
    <n v="7"/>
    <m/>
    <n v="30"/>
    <s v="YES"/>
    <s v="Yes"/>
    <n v="1"/>
    <s v="No"/>
  </r>
  <r>
    <s v="EMP-2018-0488"/>
    <s v="Charlie"/>
    <s v="Harris"/>
    <n v="50"/>
    <n v="50"/>
    <n v="1974"/>
    <s v="SIXTY THOUSAND"/>
    <n v="60000"/>
    <x v="0"/>
    <s v="Marketing"/>
    <x v="4"/>
    <s v="Clerk"/>
    <d v="2018-04-05T00:00:00"/>
    <d v="2018-04-05T00:00:00"/>
    <s v="F"/>
    <n v="14"/>
    <s v="charlie.harris@saltcorp.com"/>
    <m/>
    <s v="Part-Time"/>
    <s v="Part-Time"/>
    <s v="EMP-2020-0074"/>
    <n v="5"/>
    <m/>
    <m/>
    <s v="N/A"/>
    <n v="39"/>
    <s v="YES"/>
    <s v="Yes"/>
    <n v="1"/>
    <s v="Yes"/>
  </r>
  <r>
    <s v="EMP-2019-0489"/>
    <s v="David"/>
    <s v="Figueroa"/>
    <n v="40"/>
    <n v="40"/>
    <n v="1984"/>
    <n v="50000"/>
    <n v="50000"/>
    <x v="0"/>
    <s v="it"/>
    <x v="3"/>
    <s v="Assistant"/>
    <d v="2019-12-01T00:00:00"/>
    <d v="2019-12-01T00:00:00"/>
    <s v="B"/>
    <n v="84"/>
    <s v="david.figueroa@saltcorp.com"/>
    <m/>
    <s v="Part-Time"/>
    <s v="Part-Time"/>
    <s v="EMP-2019-0089"/>
    <n v="2"/>
    <s v="N/A"/>
    <m/>
    <d v="2024-08-12T00:00:00"/>
    <n v="59"/>
    <s v="no"/>
    <s v="No"/>
    <n v="2"/>
    <s v="No"/>
  </r>
  <r>
    <s v="EMP-2019-0490"/>
    <s v="Bob"/>
    <s v="Sims"/>
    <s v="thirty"/>
    <n v="30"/>
    <n v="1994"/>
    <n v="70000"/>
    <n v="70000"/>
    <x v="0"/>
    <s v="Marketing"/>
    <x v="4"/>
    <s v="Assistant"/>
    <d v="2019-12-01T00:00:00"/>
    <d v="2019-12-01T00:00:00"/>
    <s v="B"/>
    <n v="85"/>
    <s v="bob.sims@saltcorp.com"/>
    <s v="098-765-4321"/>
    <s v="contract"/>
    <s v="Contract"/>
    <m/>
    <n v="5"/>
    <m/>
    <n v="8"/>
    <m/>
    <m/>
    <s v="YES"/>
    <s v="Yes"/>
    <n v="5"/>
    <s v="Yes"/>
  </r>
  <r>
    <s v="EMP-2019-0491"/>
    <s v="Alice"/>
    <s v="Lee"/>
    <n v="35"/>
    <n v="35"/>
    <n v="1989"/>
    <n v="65000"/>
    <n v="65000"/>
    <x v="1"/>
    <s v="it"/>
    <x v="3"/>
    <s v="Clerk"/>
    <d v="2019-12-01T00:00:00"/>
    <d v="2019-12-01T00:00:00"/>
    <s v="D"/>
    <n v="66"/>
    <s v="alice.lee@saltcorp.com"/>
    <s v=" "/>
    <s v="contract"/>
    <s v="Contract"/>
    <m/>
    <n v="8"/>
    <n v="15"/>
    <m/>
    <d v="2023-03-05T00:00:00"/>
    <m/>
    <s v="YES"/>
    <s v="Yes"/>
    <n v="1"/>
    <s v="No"/>
  </r>
  <r>
    <s v="EMP-2020-0492"/>
    <s v="Grace"/>
    <s v="Li"/>
    <n v="25"/>
    <n v="25"/>
    <n v="1999"/>
    <n v="70000"/>
    <n v="70000"/>
    <x v="0"/>
    <s v="Marketing"/>
    <x v="4"/>
    <s v="Director"/>
    <d v="2020-01-15T00:00:00"/>
    <d v="2020-01-15T00:00:00"/>
    <s v="D"/>
    <n v="64"/>
    <s v="grace.li@saltcorp.com"/>
    <s v="123-456-7890"/>
    <s v="Part-Time"/>
    <s v="Part-Time"/>
    <m/>
    <n v="7"/>
    <m/>
    <m/>
    <d v="2023-01-15T00:00:00"/>
    <n v="15"/>
    <s v="no"/>
    <s v="No"/>
    <n v="2"/>
    <s v="No"/>
  </r>
  <r>
    <s v="EMP-2019-0493"/>
    <s v="Hannah"/>
    <s v="Bennett"/>
    <n v="35"/>
    <n v="35"/>
    <n v="1989"/>
    <n v="60800"/>
    <n v="60800"/>
    <x v="1"/>
    <s v="finance"/>
    <x v="1"/>
    <s v="Analyst"/>
    <d v="2019-03-25T00:00:00"/>
    <d v="2019-03-25T00:00:00"/>
    <s v="F"/>
    <n v="41"/>
    <s v="hannah.bennett@saltcorp.com"/>
    <m/>
    <s v="contract"/>
    <s v="Contract"/>
    <m/>
    <n v="7"/>
    <n v="12"/>
    <n v="6"/>
    <m/>
    <m/>
    <s v="no"/>
    <s v="No"/>
    <n v="1"/>
    <s v="Yes"/>
  </r>
  <r>
    <s v="EMP-2020-0494"/>
    <s v="Grace"/>
    <s v="Lucas"/>
    <n v="35"/>
    <n v="35"/>
    <n v="1989"/>
    <n v="55000"/>
    <n v="55000"/>
    <x v="0"/>
    <s v="sales"/>
    <x v="2"/>
    <s v="Director"/>
    <d v="2020-01-15T00:00:00"/>
    <d v="2020-01-15T00:00:00"/>
    <s v="A"/>
    <n v="94"/>
    <s v="grace.lucas@saltcorp.com"/>
    <m/>
    <s v="contract"/>
    <s v="Contract"/>
    <s v="EMP-2020-0029"/>
    <n v="1"/>
    <m/>
    <m/>
    <d v="2021-10-01T00:00:00"/>
    <n v="45"/>
    <s v="no"/>
    <s v="No"/>
    <n v="5"/>
    <s v="No"/>
  </r>
  <r>
    <s v="EMP-2019-0495"/>
    <s v="Eve"/>
    <s v="Stevens"/>
    <m/>
    <n v="58"/>
    <n v="1966"/>
    <n v="70000"/>
    <n v="70000"/>
    <x v="1"/>
    <s v="Marketing"/>
    <x v="4"/>
    <s v="Director"/>
    <d v="2019-03-25T00:00:00"/>
    <d v="2019-03-25T00:00:00"/>
    <s v="A"/>
    <n v="98"/>
    <s v="eve.stevens@saltcorp.com"/>
    <s v=" "/>
    <s v="Full-Time"/>
    <s v="Full-Time"/>
    <m/>
    <n v="8"/>
    <n v="10"/>
    <m/>
    <d v="2022-06-20T00:00:00"/>
    <m/>
    <s v="YES"/>
    <s v="Yes"/>
    <n v="1"/>
    <s v="No"/>
  </r>
  <r>
    <s v="EMP-2019-0496"/>
    <s v="Alice"/>
    <s v="Thompson"/>
    <n v="40"/>
    <n v="40"/>
    <n v="1984"/>
    <n v="55000"/>
    <n v="55000"/>
    <x v="1"/>
    <s v="it"/>
    <x v="3"/>
    <s v="Clerk"/>
    <d v="2019-12-01T00:00:00"/>
    <d v="2019-12-01T00:00:00"/>
    <s v="C"/>
    <n v="79"/>
    <s v="alice.thompson@saltcorp.com"/>
    <s v=" "/>
    <s v="contract"/>
    <s v="Contract"/>
    <m/>
    <n v="3"/>
    <m/>
    <m/>
    <m/>
    <m/>
    <s v="YES"/>
    <s v="Yes"/>
    <n v="1"/>
    <s v="Yes"/>
  </r>
  <r>
    <s v="EMP-2019-0497"/>
    <s v="Grace"/>
    <s v="Wu"/>
    <n v="25"/>
    <n v="25"/>
    <n v="1999"/>
    <n v="70000"/>
    <n v="70000"/>
    <x v="1"/>
    <s v="it"/>
    <x v="3"/>
    <s v="Assistant"/>
    <d v="2019-12-01T00:00:00"/>
    <d v="2019-12-01T00:00:00"/>
    <s v="B"/>
    <n v="88"/>
    <s v="grace.wu@saltcorp.com"/>
    <s v="555-555-5555"/>
    <s v="Part-Time"/>
    <s v="Part-Time"/>
    <m/>
    <n v="4"/>
    <n v="7"/>
    <n v="9"/>
    <m/>
    <n v="35"/>
    <m/>
    <s v=""/>
    <n v="2"/>
    <s v="No"/>
  </r>
  <r>
    <s v="EMP-2018-0498"/>
    <s v="Grace"/>
    <s v="Li"/>
    <n v="35"/>
    <n v="35"/>
    <n v="1989"/>
    <n v="50000"/>
    <n v="50000"/>
    <x v="1"/>
    <s v="finance"/>
    <x v="1"/>
    <s v="Director"/>
    <d v="2018-04-05T00:00:00"/>
    <d v="2018-04-05T00:00:00"/>
    <s v="F"/>
    <n v="6"/>
    <s v="grace.li@saltcorp.com"/>
    <s v=" "/>
    <s v="Full-Time"/>
    <s v="Full-Time"/>
    <s v="EMP-2020-0028"/>
    <n v="3"/>
    <m/>
    <n v="13"/>
    <d v="2023-01-15T00:00:00"/>
    <n v="6"/>
    <s v="YES"/>
    <s v="Yes"/>
    <n v="1"/>
    <s v="Yes"/>
  </r>
  <r>
    <s v="EMP-2019-0499"/>
    <s v="Ivy"/>
    <s v="Le"/>
    <n v="25"/>
    <n v="25"/>
    <n v="1999"/>
    <n v="50000"/>
    <n v="50000"/>
    <x v="1"/>
    <s v="it"/>
    <x v="3"/>
    <s v="Assistant"/>
    <d v="2019-03-25T00:00:00"/>
    <d v="2019-03-25T00:00:00"/>
    <s v="B"/>
    <n v="82"/>
    <s v="ivy.le@saltcorp.com"/>
    <m/>
    <s v="contract"/>
    <s v="Contract"/>
    <m/>
    <n v="7"/>
    <m/>
    <m/>
    <m/>
    <n v="63"/>
    <m/>
    <s v=""/>
    <n v="1"/>
    <s v="No"/>
  </r>
  <r>
    <s v="EMP-2019-0500"/>
    <s v="Charlie"/>
    <s v="Jackson"/>
    <s v="thirty"/>
    <n v="30"/>
    <n v="1994"/>
    <n v="50000"/>
    <n v="50000"/>
    <x v="1"/>
    <s v="HR"/>
    <x v="0"/>
    <s v="Manager"/>
    <d v="2019-12-01T00:00:00"/>
    <d v="2019-12-01T00:00:00"/>
    <s v="F"/>
    <n v="41"/>
    <s v="charlie.jackson@saltcorp.com"/>
    <s v="098-765-4321"/>
    <s v="Full-Time"/>
    <s v="Full-Time"/>
    <s v="EMP-2020-0047"/>
    <n v="5"/>
    <n v="12"/>
    <m/>
    <m/>
    <m/>
    <s v="no"/>
    <s v="No"/>
    <n v="4"/>
    <s v="No"/>
  </r>
  <r>
    <s v="EMP-2020-0501"/>
    <s v="Ivy"/>
    <s v="Patel"/>
    <m/>
    <n v="32"/>
    <n v="1992"/>
    <n v="50000"/>
    <n v="50000"/>
    <x v="0"/>
    <s v="sales"/>
    <x v="2"/>
    <s v="Assistant"/>
    <d v="2020-02-20T00:00:00"/>
    <d v="2020-02-20T00:00:00"/>
    <s v="F"/>
    <n v="41"/>
    <s v="ivy.patel@saltcorp.com"/>
    <s v="123-456-7890"/>
    <s v="Full-Time"/>
    <s v="Full-Time"/>
    <m/>
    <n v="3"/>
    <s v="N/A"/>
    <m/>
    <m/>
    <m/>
    <s v="YES"/>
    <s v="Yes"/>
    <n v="5"/>
    <s v="Yes"/>
  </r>
  <r>
    <s v="EMP-2018-0502"/>
    <s v="Alice"/>
    <s v="Thomas"/>
    <s v="thirty"/>
    <n v="30"/>
    <n v="1994"/>
    <n v="50000"/>
    <n v="50000"/>
    <x v="1"/>
    <s v="Marketing"/>
    <x v="4"/>
    <s v="Analyst"/>
    <d v="2018-04-05T00:00:00"/>
    <d v="2018-04-05T00:00:00"/>
    <s v="F"/>
    <n v="34"/>
    <s v="alice.thomas@saltcorp.com"/>
    <s v="555-555-5555"/>
    <s v="Full-Time"/>
    <s v="Full-Time"/>
    <s v="EMP-2020-0065"/>
    <n v="5"/>
    <m/>
    <n v="17"/>
    <m/>
    <m/>
    <s v="YES"/>
    <s v="Yes"/>
    <n v="2"/>
    <s v="Yes"/>
  </r>
  <r>
    <s v="EMP-2020-0503"/>
    <s v="Alice"/>
    <s v="Rivera"/>
    <n v="25"/>
    <n v="25"/>
    <n v="1999"/>
    <n v="50000"/>
    <n v="50000"/>
    <x v="1"/>
    <s v="sales"/>
    <x v="2"/>
    <s v="Analyst"/>
    <d v="2020-01-15T00:00:00"/>
    <d v="2020-01-15T00:00:00"/>
    <s v="B"/>
    <n v="82"/>
    <s v="alice.rivera@saltcorp.com"/>
    <s v="098-765-4321"/>
    <s v="contract"/>
    <s v="Contract"/>
    <m/>
    <n v="6"/>
    <n v="6"/>
    <n v="10"/>
    <m/>
    <n v="5"/>
    <s v="no"/>
    <s v="No"/>
    <n v="4"/>
    <s v="No"/>
  </r>
  <r>
    <s v="EMP-2018-0504"/>
    <s v="David"/>
    <s v="Sullivan"/>
    <n v="25"/>
    <n v="25"/>
    <n v="1999"/>
    <n v="55000"/>
    <n v="55000"/>
    <x v="0"/>
    <s v="finance"/>
    <x v="1"/>
    <s v="Director"/>
    <d v="2018-04-05T00:00:00"/>
    <d v="2018-04-05T00:00:00"/>
    <s v="D"/>
    <n v="62"/>
    <s v="david.sullivan@saltcorp.com"/>
    <s v="123-456-7890"/>
    <s v="Full-Time"/>
    <s v="Full-Time"/>
    <m/>
    <n v="1"/>
    <m/>
    <m/>
    <d v="2023-01-15T00:00:00"/>
    <m/>
    <s v="no"/>
    <s v="No"/>
    <n v="1"/>
    <s v="Yes"/>
  </r>
  <r>
    <s v="EMP-2020-0505"/>
    <s v="Ivy"/>
    <s v="Schmidt"/>
    <n v="40"/>
    <n v="40"/>
    <n v="1984"/>
    <n v="65000"/>
    <n v="65000"/>
    <x v="0"/>
    <s v="Marketing"/>
    <x v="4"/>
    <s v="Assistant"/>
    <d v="2020-02-20T00:00:00"/>
    <d v="2020-02-20T00:00:00"/>
    <s v="B"/>
    <n v="80"/>
    <s v="ivy.schmidt@saltcorp.com"/>
    <s v="123-456-7890"/>
    <s v="Full-Time"/>
    <s v="Full-Time"/>
    <m/>
    <n v="3"/>
    <s v="N/A"/>
    <m/>
    <m/>
    <n v="15"/>
    <s v="YES"/>
    <s v="Yes"/>
    <n v="3"/>
    <s v="No"/>
  </r>
  <r>
    <s v="EMP-2019-0506"/>
    <s v="Frank"/>
    <s v="Gibson"/>
    <n v="35"/>
    <n v="35"/>
    <n v="1989"/>
    <n v="70000"/>
    <n v="70000"/>
    <x v="1"/>
    <s v="Marketing"/>
    <x v="4"/>
    <s v="Director"/>
    <d v="2019-03-25T00:00:00"/>
    <d v="2019-03-25T00:00:00"/>
    <s v="F"/>
    <n v="29"/>
    <s v="frank.gibson@saltcorp.com"/>
    <s v="123-456-7890"/>
    <s v="contract"/>
    <s v="Contract"/>
    <m/>
    <n v="2"/>
    <s v="N/A"/>
    <m/>
    <d v="2021-10-01T00:00:00"/>
    <n v="29"/>
    <s v="YES"/>
    <s v="Yes"/>
    <n v="4"/>
    <s v="No"/>
  </r>
  <r>
    <s v="EMP-2020-0507"/>
    <s v="Charlie"/>
    <s v="Harris"/>
    <n v="35"/>
    <n v="35"/>
    <n v="1989"/>
    <n v="50000"/>
    <n v="50000"/>
    <x v="0"/>
    <s v="HR"/>
    <x v="0"/>
    <s v="Clerk"/>
    <d v="2020-01-15T00:00:00"/>
    <d v="2020-01-15T00:00:00"/>
    <s v="C"/>
    <n v="78"/>
    <s v="charlie.harris@saltcorp.com"/>
    <s v="098-765-4321"/>
    <s v="Full-Time"/>
    <s v="Full-Time"/>
    <m/>
    <n v="1"/>
    <n v="14"/>
    <m/>
    <m/>
    <m/>
    <s v="no"/>
    <s v="No"/>
    <n v="1"/>
    <s v="Yes"/>
  </r>
  <r>
    <s v="EMP-2020-0508"/>
    <s v="Alice"/>
    <s v="Campos"/>
    <s v="thirty"/>
    <n v="30"/>
    <n v="1994"/>
    <n v="55000"/>
    <n v="55000"/>
    <x v="0"/>
    <s v="finance"/>
    <x v="1"/>
    <s v="Analyst"/>
    <d v="2020-01-15T00:00:00"/>
    <d v="2020-01-15T00:00:00"/>
    <s v="A"/>
    <n v="92"/>
    <s v="alice.campos@saltcorp.com"/>
    <s v="555-555-5555"/>
    <s v="Full-Time"/>
    <s v="Full-Time"/>
    <m/>
    <n v="1"/>
    <m/>
    <n v="6"/>
    <d v="2023-03-05T00:00:00"/>
    <m/>
    <s v="YES"/>
    <s v="Yes"/>
    <n v="2"/>
    <s v="Yes"/>
  </r>
  <r>
    <s v="EMP-2019-0509"/>
    <s v="David"/>
    <s v="O'Brien"/>
    <m/>
    <n v="54"/>
    <n v="1970"/>
    <n v="55000"/>
    <n v="55000"/>
    <x v="0"/>
    <s v="it"/>
    <x v="3"/>
    <s v="Director"/>
    <d v="2019-03-25T00:00:00"/>
    <d v="2019-03-25T00:00:00"/>
    <s v="F"/>
    <n v="41"/>
    <s v="david.o'brien@saltcorp.com"/>
    <s v="555-555-5555"/>
    <s v="contract"/>
    <s v="Contract"/>
    <s v="EMP-2019-0093"/>
    <n v="7"/>
    <m/>
    <m/>
    <d v="2021-10-01T00:00:00"/>
    <m/>
    <s v="no"/>
    <s v="No"/>
    <n v="3"/>
    <s v="No"/>
  </r>
  <r>
    <s v="EMP-2018-0510"/>
    <s v="Ivy"/>
    <s v="Vega"/>
    <n v="50"/>
    <n v="50"/>
    <n v="1974"/>
    <n v="55000"/>
    <n v="55000"/>
    <x v="1"/>
    <s v="HR"/>
    <x v="0"/>
    <s v="Clerk"/>
    <d v="2018-04-05T00:00:00"/>
    <d v="2018-04-05T00:00:00"/>
    <s v="C"/>
    <n v="70"/>
    <s v="ivy.vega@saltcorp.com"/>
    <s v="123-456-7890"/>
    <s v="Full-Time"/>
    <s v="Full-Time"/>
    <s v="EMP-2018-0096"/>
    <n v="2"/>
    <m/>
    <n v="13"/>
    <m/>
    <m/>
    <s v="YES"/>
    <s v="Yes"/>
    <n v="3"/>
    <s v="No"/>
  </r>
  <r>
    <s v="EMP-2019-0511"/>
    <s v="Charlie"/>
    <s v="Rivera"/>
    <n v="35"/>
    <n v="35"/>
    <n v="1989"/>
    <n v="65000"/>
    <n v="65000"/>
    <x v="0"/>
    <s v="HR"/>
    <x v="0"/>
    <s v="Director"/>
    <d v="2019-12-01T00:00:00"/>
    <d v="2019-12-01T00:00:00"/>
    <s v="D"/>
    <n v="62"/>
    <s v="charlie.rivera@saltcorp.com"/>
    <s v="098-765-4321"/>
    <s v="Part-Time"/>
    <s v="Part-Time"/>
    <m/>
    <n v="5"/>
    <m/>
    <n v="15"/>
    <d v="2023-03-05T00:00:00"/>
    <m/>
    <m/>
    <s v=""/>
    <n v="1"/>
    <s v="Yes"/>
  </r>
  <r>
    <s v="EMP-2018-0512"/>
    <s v="Ivy"/>
    <s v="Singh"/>
    <n v="40"/>
    <n v="40"/>
    <n v="1984"/>
    <n v="70000"/>
    <n v="70000"/>
    <x v="0"/>
    <s v="sales"/>
    <x v="2"/>
    <s v="Assistant"/>
    <d v="2018-04-05T00:00:00"/>
    <d v="2018-04-05T00:00:00"/>
    <s v="F"/>
    <n v="20"/>
    <s v="ivy.singh@saltcorp.com"/>
    <s v="123-456-7890"/>
    <s v="contract"/>
    <s v="Contract"/>
    <s v="EMP-2020-0008"/>
    <n v="4"/>
    <m/>
    <m/>
    <d v="2023-03-05T00:00:00"/>
    <m/>
    <s v="no"/>
    <s v="No"/>
    <n v="5"/>
    <s v="No"/>
  </r>
  <r>
    <s v="EMP-2020-0513"/>
    <s v="Grace"/>
    <s v="Wang"/>
    <s v="thirty"/>
    <n v="30"/>
    <n v="1994"/>
    <n v="65000"/>
    <n v="65000"/>
    <x v="1"/>
    <s v="sales"/>
    <x v="2"/>
    <s v="Assistant"/>
    <d v="2020-02-20T00:00:00"/>
    <d v="2020-02-20T00:00:00"/>
    <s v="C"/>
    <n v="71"/>
    <s v="grace.wang@saltcorp.com"/>
    <s v=" "/>
    <s v="contract"/>
    <s v="Contract"/>
    <m/>
    <n v="6"/>
    <m/>
    <n v="20"/>
    <m/>
    <m/>
    <s v="YES"/>
    <s v="Yes"/>
    <n v="5"/>
    <s v="No"/>
  </r>
  <r>
    <s v="EMP-2019-0514"/>
    <s v="David"/>
    <s v="Hoffman"/>
    <s v="thirty"/>
    <n v="30"/>
    <n v="1994"/>
    <s v="SIXTY THOUSAND"/>
    <n v="60000"/>
    <x v="0"/>
    <s v="sales"/>
    <x v="2"/>
    <s v="Assistant"/>
    <d v="2019-12-01T00:00:00"/>
    <d v="2019-12-01T00:00:00"/>
    <s v="F"/>
    <n v="16"/>
    <s v="david.hoffman@saltcorp.com"/>
    <s v="555-555-5555"/>
    <s v="Part-Time"/>
    <s v="Part-Time"/>
    <s v="EMP-2019-0053"/>
    <n v="4"/>
    <n v="2"/>
    <n v="7"/>
    <d v="2023-01-15T00:00:00"/>
    <m/>
    <s v="YES"/>
    <s v="Yes"/>
    <n v="1"/>
    <s v="No"/>
  </r>
  <r>
    <s v="EMP-2018-0515"/>
    <s v="Charlie"/>
    <s v="Taylor"/>
    <n v="50"/>
    <n v="50"/>
    <n v="1974"/>
    <n v="55000"/>
    <n v="55000"/>
    <x v="0"/>
    <s v="HR"/>
    <x v="0"/>
    <s v="Assistant"/>
    <d v="2018-04-05T00:00:00"/>
    <d v="2018-04-05T00:00:00"/>
    <s v="B"/>
    <n v="83"/>
    <s v="charlie.taylor@saltcorp.com"/>
    <m/>
    <s v="contract"/>
    <s v="Contract"/>
    <m/>
    <n v="7"/>
    <m/>
    <n v="5"/>
    <m/>
    <m/>
    <s v="YES"/>
    <s v="Yes"/>
    <n v="5"/>
    <s v="Yes"/>
  </r>
  <r>
    <s v="EMP-2019-0516"/>
    <s v="Jack"/>
    <s v="Murphy"/>
    <n v="40"/>
    <n v="40"/>
    <n v="1984"/>
    <s v="SIXTY THOUSAND"/>
    <n v="60000"/>
    <x v="0"/>
    <s v="it"/>
    <x v="3"/>
    <s v="Manager"/>
    <d v="2019-03-25T00:00:00"/>
    <d v="2019-03-25T00:00:00"/>
    <s v="C"/>
    <n v="79"/>
    <s v="jack.murphy@saltcorp.com"/>
    <s v="123-456-7890"/>
    <s v="Full-Time"/>
    <s v="Full-Time"/>
    <m/>
    <n v="3"/>
    <s v="N/A"/>
    <m/>
    <m/>
    <m/>
    <s v="YES"/>
    <s v="Yes"/>
    <n v="4"/>
    <s v="Yes"/>
  </r>
  <r>
    <s v="EMP-2020-0517"/>
    <s v="Eve"/>
    <s v="Armstrong"/>
    <m/>
    <n v="25"/>
    <n v="1999"/>
    <n v="58600"/>
    <n v="58600"/>
    <x v="1"/>
    <s v="Marketing"/>
    <x v="4"/>
    <s v="Clerk"/>
    <d v="2020-02-20T00:00:00"/>
    <d v="2020-02-20T00:00:00"/>
    <s v="B"/>
    <n v="85"/>
    <s v="eve.armstrong@saltcorp.com"/>
    <s v=" "/>
    <s v="Part-Time"/>
    <s v="Part-Time"/>
    <m/>
    <n v="3"/>
    <m/>
    <m/>
    <m/>
    <n v="42"/>
    <m/>
    <s v=""/>
    <n v="5"/>
    <s v="No"/>
  </r>
  <r>
    <s v="EMP-2020-0518"/>
    <s v="Eve"/>
    <s v="Garrett"/>
    <n v="40"/>
    <n v="40"/>
    <n v="1984"/>
    <n v="50000"/>
    <n v="50000"/>
    <x v="1"/>
    <s v="sales"/>
    <x v="2"/>
    <s v="Clerk"/>
    <d v="2020-02-20T00:00:00"/>
    <d v="2020-02-20T00:00:00"/>
    <s v="B"/>
    <n v="87"/>
    <s v="eve.garrett@saltcorp.com"/>
    <s v="555-555-5555"/>
    <s v="contract"/>
    <s v="Contract"/>
    <m/>
    <n v="3"/>
    <m/>
    <n v="14"/>
    <d v="2024-08-12T00:00:00"/>
    <n v="32"/>
    <s v="YES"/>
    <s v="Yes"/>
    <n v="4"/>
    <s v="No"/>
  </r>
  <r>
    <s v="EMP-2020-0519"/>
    <s v="Charlie"/>
    <s v="Moore"/>
    <m/>
    <n v="26"/>
    <n v="1998"/>
    <n v="50000"/>
    <n v="50000"/>
    <x v="0"/>
    <s v="it"/>
    <x v="3"/>
    <s v="Assistant"/>
    <d v="2020-02-20T00:00:00"/>
    <d v="2020-02-20T00:00:00"/>
    <s v="C"/>
    <n v="74"/>
    <s v="charlie.moore@saltcorp.com"/>
    <s v="098-765-4321"/>
    <s v="Full-Time"/>
    <s v="Full-Time"/>
    <s v="EMP-2019-0016"/>
    <n v="4"/>
    <m/>
    <m/>
    <d v="2023-03-05T00:00:00"/>
    <n v="49"/>
    <s v="no"/>
    <s v="No"/>
    <n v="2"/>
    <s v="No"/>
  </r>
  <r>
    <s v="EMP-2019-0520"/>
    <s v="Ivy"/>
    <s v="Matthews"/>
    <n v="40"/>
    <n v="40"/>
    <n v="1984"/>
    <n v="65000"/>
    <n v="65000"/>
    <x v="1"/>
    <s v="finance"/>
    <x v="1"/>
    <s v="Manager"/>
    <d v="2019-12-01T00:00:00"/>
    <d v="2019-12-01T00:00:00"/>
    <s v="A"/>
    <n v="94"/>
    <s v="ivy.matthews@saltcorp.com"/>
    <s v="555-555-5555"/>
    <s v="Part-Time"/>
    <s v="Part-Time"/>
    <m/>
    <n v="5"/>
    <n v="7"/>
    <n v="3"/>
    <m/>
    <m/>
    <s v="no"/>
    <s v="No"/>
    <n v="1"/>
    <s v="Yes"/>
  </r>
  <r>
    <s v="EMP-2020-0521"/>
    <s v="David"/>
    <s v="Cohen"/>
    <n v="40"/>
    <n v="40"/>
    <n v="1984"/>
    <n v="70000"/>
    <n v="70000"/>
    <x v="0"/>
    <s v="sales"/>
    <x v="2"/>
    <s v="Assistant"/>
    <d v="2020-01-15T00:00:00"/>
    <d v="2020-01-15T00:00:00"/>
    <s v="C"/>
    <n v="72"/>
    <s v="david.cohen@saltcorp.com"/>
    <s v="098-765-4321"/>
    <s v="Full-Time"/>
    <s v="Full-Time"/>
    <s v="EMP-2018-0094"/>
    <n v="4"/>
    <n v="5"/>
    <n v="16"/>
    <m/>
    <m/>
    <s v="no"/>
    <s v="No"/>
    <n v="3"/>
    <s v="No"/>
  </r>
  <r>
    <s v="EMP-2019-0522"/>
    <s v="Eve"/>
    <s v="Parker"/>
    <n v="25"/>
    <n v="25"/>
    <n v="1999"/>
    <s v="SIXTY THOUSAND"/>
    <n v="60000"/>
    <x v="0"/>
    <s v="Marketing"/>
    <x v="4"/>
    <s v="Manager"/>
    <d v="2019-12-01T00:00:00"/>
    <d v="2019-12-01T00:00:00"/>
    <s v="A"/>
    <n v="99"/>
    <s v="eve.parker@saltcorp.com"/>
    <s v="098-765-4321"/>
    <s v="Full-Time"/>
    <s v="Full-Time"/>
    <m/>
    <n v="2"/>
    <m/>
    <m/>
    <d v="2022-06-20T00:00:00"/>
    <n v="25"/>
    <s v="YES"/>
    <s v="Yes"/>
    <n v="5"/>
    <s v="No"/>
  </r>
  <r>
    <s v="EMP-2018-0523"/>
    <s v="David"/>
    <s v="Walsh"/>
    <s v="thirty"/>
    <n v="30"/>
    <n v="1994"/>
    <n v="70000"/>
    <n v="70000"/>
    <x v="0"/>
    <s v="finance"/>
    <x v="1"/>
    <s v="Assistant"/>
    <d v="2018-04-05T00:00:00"/>
    <d v="2018-04-05T00:00:00"/>
    <s v="F"/>
    <n v="43"/>
    <s v="david.walsh@saltcorp.com"/>
    <s v="123-456-7890"/>
    <s v="Full-Time"/>
    <s v="Full-Time"/>
    <m/>
    <n v="3"/>
    <m/>
    <m/>
    <m/>
    <n v="12"/>
    <s v="no"/>
    <s v="No"/>
    <n v="3"/>
    <s v="Yes"/>
  </r>
  <r>
    <s v="EMP-2020-0524"/>
    <s v="Eve"/>
    <s v="Hansen"/>
    <n v="40"/>
    <n v="40"/>
    <n v="1984"/>
    <n v="65000"/>
    <n v="65000"/>
    <x v="1"/>
    <s v="finance"/>
    <x v="1"/>
    <s v="Analyst"/>
    <d v="2020-01-15T00:00:00"/>
    <d v="2020-01-15T00:00:00"/>
    <s v="F"/>
    <n v="33"/>
    <s v="eve.hansen@saltcorp.com"/>
    <s v="123-456-7890"/>
    <s v="contract"/>
    <s v="Contract"/>
    <m/>
    <n v="1"/>
    <s v="N/A"/>
    <m/>
    <m/>
    <n v="62"/>
    <s v="no"/>
    <s v="No"/>
    <n v="2"/>
    <s v="No"/>
  </r>
  <r>
    <s v="EMP-2018-0525"/>
    <s v="Grace"/>
    <s v="Davidson"/>
    <n v="50"/>
    <n v="50"/>
    <n v="1974"/>
    <n v="50000"/>
    <n v="50000"/>
    <x v="1"/>
    <s v="Marketing"/>
    <x v="4"/>
    <s v="Analyst"/>
    <d v="2018-04-05T00:00:00"/>
    <d v="2018-04-05T00:00:00"/>
    <s v="C"/>
    <n v="79"/>
    <s v="grace.davidson@saltcorp.com"/>
    <s v="555-555-5555"/>
    <s v="Part-Time"/>
    <s v="Part-Time"/>
    <m/>
    <n v="8"/>
    <m/>
    <n v="3"/>
    <d v="2024-08-12T00:00:00"/>
    <m/>
    <s v="YES"/>
    <s v="Yes"/>
    <n v="1"/>
    <s v="Yes"/>
  </r>
  <r>
    <s v="EMP-2020-0526"/>
    <s v="Ivy"/>
    <s v="Hudson"/>
    <n v="40"/>
    <n v="40"/>
    <n v="1984"/>
    <n v="70000"/>
    <n v="70000"/>
    <x v="0"/>
    <s v="sales"/>
    <x v="2"/>
    <s v="Director"/>
    <d v="2020-01-15T00:00:00"/>
    <d v="2020-01-15T00:00:00"/>
    <s v="F"/>
    <n v="34"/>
    <s v="ivy.hudson@saltcorp.com"/>
    <s v=" "/>
    <s v="Part-Time"/>
    <s v="Part-Time"/>
    <m/>
    <n v="2"/>
    <m/>
    <n v="5"/>
    <m/>
    <m/>
    <s v="no"/>
    <s v="No"/>
    <n v="4"/>
    <s v="No"/>
  </r>
  <r>
    <s v="EMP-2019-0527"/>
    <s v="Grace"/>
    <s v="Armstrong"/>
    <n v="35"/>
    <n v="35"/>
    <n v="1989"/>
    <n v="70000"/>
    <n v="70000"/>
    <x v="1"/>
    <s v="HR"/>
    <x v="0"/>
    <s v="Assistant"/>
    <d v="2019-12-01T00:00:00"/>
    <d v="2019-12-01T00:00:00"/>
    <s v="D"/>
    <n v="68"/>
    <s v="grace.armstrong@saltcorp.com"/>
    <s v="555-555-5555"/>
    <s v="Full-Time"/>
    <s v="Full-Time"/>
    <s v="EMP-2018-0031"/>
    <n v="5"/>
    <m/>
    <m/>
    <m/>
    <m/>
    <s v="no"/>
    <s v="No"/>
    <n v="3"/>
    <s v="No"/>
  </r>
  <r>
    <s v="EMP-2020-0528"/>
    <s v="Eve"/>
    <s v="Bell"/>
    <s v="thirty"/>
    <n v="30"/>
    <n v="1994"/>
    <n v="50000"/>
    <n v="50000"/>
    <x v="1"/>
    <s v="Marketing"/>
    <x v="4"/>
    <s v="Clerk"/>
    <d v="2020-02-20T00:00:00"/>
    <d v="2020-02-20T00:00:00"/>
    <s v="B"/>
    <n v="83"/>
    <s v="eve.bell@saltcorp.com"/>
    <m/>
    <s v="Full-Time"/>
    <s v="Full-Time"/>
    <m/>
    <n v="2"/>
    <m/>
    <n v="17"/>
    <d v="2021-10-01T00:00:00"/>
    <m/>
    <s v="no"/>
    <s v="No"/>
    <n v="2"/>
    <s v="Yes"/>
  </r>
  <r>
    <s v="EMP-2019-0529"/>
    <s v="Jack"/>
    <s v="Kelly"/>
    <n v="35"/>
    <n v="35"/>
    <n v="1989"/>
    <s v="SIXTY THOUSAND"/>
    <n v="60000"/>
    <x v="0"/>
    <s v="Marketing"/>
    <x v="4"/>
    <s v="Director"/>
    <d v="2019-03-25T00:00:00"/>
    <d v="2019-03-25T00:00:00"/>
    <s v="B"/>
    <n v="87"/>
    <s v="jack.kelly@saltcorp.com"/>
    <s v="098-765-4321"/>
    <s v="contract"/>
    <s v="Contract"/>
    <s v="EMP-2020-0007"/>
    <n v="5"/>
    <n v="5"/>
    <n v="18"/>
    <m/>
    <m/>
    <s v="no"/>
    <s v="No"/>
    <n v="4"/>
    <s v="No"/>
  </r>
  <r>
    <s v="EMP-2020-0530"/>
    <s v="Jack"/>
    <s v="O'Connor"/>
    <s v="thirty"/>
    <n v="30"/>
    <n v="1994"/>
    <n v="50000"/>
    <n v="50000"/>
    <x v="0"/>
    <s v="Marketing"/>
    <x v="4"/>
    <s v="Analyst"/>
    <d v="2020-02-20T00:00:00"/>
    <d v="2020-02-20T00:00:00"/>
    <s v="A"/>
    <n v="98"/>
    <s v="jack.o'connor@saltcorp.com"/>
    <s v="098-765-4321"/>
    <s v="Part-Time"/>
    <s v="Part-Time"/>
    <s v="EMP-2019-0057"/>
    <n v="2"/>
    <n v="10"/>
    <m/>
    <d v="2024-08-12T00:00:00"/>
    <n v="46"/>
    <s v="YES"/>
    <s v="Yes"/>
    <n v="4"/>
    <s v="No"/>
  </r>
  <r>
    <s v="EMP-2019-0531"/>
    <s v="Grace"/>
    <s v="Oliver"/>
    <n v="35"/>
    <n v="35"/>
    <n v="1989"/>
    <n v="70000"/>
    <n v="70000"/>
    <x v="0"/>
    <s v="finance"/>
    <x v="1"/>
    <s v="Assistant"/>
    <d v="2019-12-01T00:00:00"/>
    <d v="2019-12-01T00:00:00"/>
    <s v="F"/>
    <n v="25"/>
    <s v="grace.oliver@saltcorp.com"/>
    <s v="123-456-7890"/>
    <s v="Part-Time"/>
    <s v="Part-Time"/>
    <m/>
    <n v="4"/>
    <s v="N/A"/>
    <m/>
    <m/>
    <m/>
    <s v="YES"/>
    <s v="Yes"/>
    <n v="5"/>
    <s v="Yes"/>
  </r>
  <r>
    <s v="EMP-2020-0532"/>
    <s v="Jack"/>
    <s v="Weber"/>
    <n v="40"/>
    <n v="40"/>
    <n v="1984"/>
    <s v="SIXTY THOUSAND"/>
    <n v="60000"/>
    <x v="0"/>
    <s v="it"/>
    <x v="3"/>
    <s v="Director"/>
    <d v="2020-01-15T00:00:00"/>
    <d v="2020-01-15T00:00:00"/>
    <s v="A"/>
    <n v="94"/>
    <s v="jack.weber@saltcorp.com"/>
    <s v=" "/>
    <s v="Part-Time"/>
    <s v="Part-Time"/>
    <m/>
    <n v="8"/>
    <m/>
    <n v="14"/>
    <d v="2023-01-15T00:00:00"/>
    <n v="54"/>
    <m/>
    <s v=""/>
    <n v="5"/>
    <s v="No"/>
  </r>
  <r>
    <s v="EMP-2020-0533"/>
    <s v="Eve"/>
    <s v="West"/>
    <n v="40"/>
    <n v="40"/>
    <n v="1984"/>
    <s v="SIXTY THOUSAND"/>
    <n v="60000"/>
    <x v="0"/>
    <s v="HR"/>
    <x v="0"/>
    <s v="Assistant"/>
    <d v="2020-02-20T00:00:00"/>
    <d v="2020-02-20T00:00:00"/>
    <s v="B"/>
    <n v="86"/>
    <s v="eve.west@saltcorp.com"/>
    <s v="123-456-7890"/>
    <s v="Full-Time"/>
    <s v="Full-Time"/>
    <m/>
    <n v="6"/>
    <m/>
    <m/>
    <s v="N/A"/>
    <m/>
    <m/>
    <s v=""/>
    <n v="3"/>
    <s v="No"/>
  </r>
  <r>
    <s v="EMP-2019-0534"/>
    <s v="Charlie"/>
    <s v="Barnett"/>
    <n v="25"/>
    <n v="25"/>
    <n v="1999"/>
    <n v="50000"/>
    <n v="50000"/>
    <x v="0"/>
    <s v="sales"/>
    <x v="2"/>
    <s v="Analyst"/>
    <d v="2019-12-01T00:00:00"/>
    <d v="2019-12-01T00:00:00"/>
    <s v="B"/>
    <n v="81"/>
    <s v="charlie.barnett@saltcorp.com"/>
    <m/>
    <s v="Part-Time"/>
    <s v="Part-Time"/>
    <s v="EMP-2020-0042"/>
    <n v="6"/>
    <m/>
    <n v="8"/>
    <d v="2024-08-12T00:00:00"/>
    <m/>
    <m/>
    <s v=""/>
    <n v="4"/>
    <s v="No"/>
  </r>
  <r>
    <s v="EMP-2018-0535"/>
    <s v="Grace"/>
    <s v="Wang"/>
    <n v="50"/>
    <n v="50"/>
    <n v="1974"/>
    <n v="70000"/>
    <n v="70000"/>
    <x v="1"/>
    <s v="sales"/>
    <x v="2"/>
    <s v="Director"/>
    <d v="2018-04-05T00:00:00"/>
    <d v="2018-04-05T00:00:00"/>
    <s v="F"/>
    <n v="23"/>
    <s v="grace.wang@saltcorp.com"/>
    <s v="555-555-5555"/>
    <s v="Full-Time"/>
    <s v="Full-Time"/>
    <m/>
    <n v="3"/>
    <n v="15"/>
    <m/>
    <m/>
    <m/>
    <s v="YES"/>
    <s v="Yes"/>
    <n v="2"/>
    <s v="Yes"/>
  </r>
  <r>
    <s v="EMP-2019-0536"/>
    <s v="Bob"/>
    <s v="Oliver"/>
    <n v="35"/>
    <n v="35"/>
    <n v="1989"/>
    <n v="65000"/>
    <n v="65000"/>
    <x v="0"/>
    <s v="it"/>
    <x v="3"/>
    <s v="Analyst"/>
    <d v="2019-03-25T00:00:00"/>
    <d v="2019-03-25T00:00:00"/>
    <s v="D"/>
    <n v="66"/>
    <s v="bob.oliver@saltcorp.com"/>
    <s v="555-555-5555"/>
    <s v="contract"/>
    <s v="Contract"/>
    <s v="EMP-2019-0036"/>
    <n v="4"/>
    <n v="5"/>
    <m/>
    <m/>
    <m/>
    <m/>
    <s v=""/>
    <n v="5"/>
    <s v="Yes"/>
  </r>
  <r>
    <s v="EMP-2020-0537"/>
    <s v="Ivy"/>
    <s v="Singh"/>
    <m/>
    <n v="47"/>
    <n v="1977"/>
    <n v="70000"/>
    <n v="70000"/>
    <x v="1"/>
    <s v="Marketing"/>
    <x v="4"/>
    <s v="Manager"/>
    <d v="2020-02-20T00:00:00"/>
    <d v="2020-02-20T00:00:00"/>
    <s v="D"/>
    <n v="65"/>
    <s v="ivy.singh@saltcorp.com"/>
    <s v=" "/>
    <s v="contract"/>
    <s v="Contract"/>
    <s v="EMP-2020-0095"/>
    <n v="2"/>
    <m/>
    <m/>
    <d v="2022-06-20T00:00:00"/>
    <n v="55"/>
    <s v="YES"/>
    <s v="Yes"/>
    <n v="5"/>
    <s v="Yes"/>
  </r>
  <r>
    <s v="EMP-2020-0538"/>
    <s v="Jack"/>
    <s v="Kelly"/>
    <n v="25"/>
    <n v="25"/>
    <n v="1999"/>
    <n v="55000"/>
    <n v="55000"/>
    <x v="0"/>
    <s v="HR"/>
    <x v="0"/>
    <s v="Analyst"/>
    <d v="2020-01-15T00:00:00"/>
    <d v="2020-01-15T00:00:00"/>
    <s v="F"/>
    <n v="8"/>
    <s v="jack.kelly@saltcorp.com"/>
    <s v="123-456-7890"/>
    <s v="Full-Time"/>
    <s v="Full-Time"/>
    <m/>
    <n v="5"/>
    <s v="N/A"/>
    <n v="9"/>
    <m/>
    <n v="48"/>
    <m/>
    <s v=""/>
    <n v="4"/>
    <s v="Yes"/>
  </r>
  <r>
    <s v="EMP-2018-0539"/>
    <s v="Jack"/>
    <s v="Garrett"/>
    <n v="35"/>
    <n v="35"/>
    <n v="1989"/>
    <n v="58300"/>
    <n v="58300"/>
    <x v="0"/>
    <s v="sales"/>
    <x v="2"/>
    <s v="Assistant"/>
    <d v="2018-04-05T00:00:00"/>
    <d v="2018-04-05T00:00:00"/>
    <s v="F"/>
    <n v="29"/>
    <s v="jack.garrett@saltcorp.com"/>
    <s v="123-456-7890"/>
    <s v="Full-Time"/>
    <s v="Full-Time"/>
    <m/>
    <n v="2"/>
    <m/>
    <m/>
    <s v="N/A"/>
    <m/>
    <s v="no"/>
    <s v="No"/>
    <n v="5"/>
    <s v="Yes"/>
  </r>
  <r>
    <s v="EMP-2019-0540"/>
    <s v="Alice"/>
    <s v="Gutierrez"/>
    <n v="35"/>
    <n v="35"/>
    <n v="1989"/>
    <n v="65000"/>
    <n v="65000"/>
    <x v="1"/>
    <s v="sales"/>
    <x v="2"/>
    <s v="Clerk"/>
    <d v="2019-12-01T00:00:00"/>
    <d v="2019-12-01T00:00:00"/>
    <s v="A"/>
    <n v="100"/>
    <s v="alice.gutierrez@saltcorp.com"/>
    <m/>
    <s v="Full-Time"/>
    <s v="Full-Time"/>
    <m/>
    <n v="4"/>
    <s v="N/A"/>
    <n v="16"/>
    <d v="2023-03-05T00:00:00"/>
    <n v="68"/>
    <m/>
    <s v=""/>
    <n v="1"/>
    <s v="No"/>
  </r>
  <r>
    <s v="EMP-2019-0541"/>
    <s v="Frank"/>
    <s v="Torres"/>
    <n v="25"/>
    <n v="25"/>
    <n v="1999"/>
    <s v="SIXTY THOUSAND"/>
    <n v="60000"/>
    <x v="0"/>
    <s v="Marketing"/>
    <x v="4"/>
    <s v="Analyst"/>
    <d v="2019-03-25T00:00:00"/>
    <d v="2019-03-25T00:00:00"/>
    <s v="F"/>
    <n v="9"/>
    <s v="frank.torres@saltcorp.com"/>
    <s v="555-555-5555"/>
    <s v="contract"/>
    <s v="Contract"/>
    <m/>
    <n v="6"/>
    <n v="5"/>
    <n v="1"/>
    <s v="N/A"/>
    <n v="25"/>
    <s v="no"/>
    <s v="No"/>
    <n v="1"/>
    <s v="Yes"/>
  </r>
  <r>
    <s v="EMP-2020-0542"/>
    <s v="Grace"/>
    <s v="Byrd"/>
    <n v="40"/>
    <n v="40"/>
    <n v="1984"/>
    <n v="65000"/>
    <n v="65000"/>
    <x v="1"/>
    <s v="it"/>
    <x v="3"/>
    <s v="Clerk"/>
    <d v="2020-01-15T00:00:00"/>
    <d v="2020-01-15T00:00:00"/>
    <s v="D"/>
    <n v="60"/>
    <s v="grace.byrd@saltcorp.com"/>
    <s v="123-456-7890"/>
    <s v="Part-Time"/>
    <s v="Part-Time"/>
    <s v="EMP-2020-0061"/>
    <n v="8"/>
    <n v="15"/>
    <m/>
    <m/>
    <m/>
    <s v="YES"/>
    <s v="Yes"/>
    <n v="3"/>
    <s v="No"/>
  </r>
  <r>
    <s v="EMP-2019-0543"/>
    <s v="Hannah"/>
    <s v="Powers"/>
    <n v="35"/>
    <n v="35"/>
    <n v="1989"/>
    <s v="SIXTY THOUSAND"/>
    <n v="60000"/>
    <x v="0"/>
    <s v="HR"/>
    <x v="0"/>
    <s v="Manager"/>
    <d v="2019-12-01T00:00:00"/>
    <d v="2019-12-01T00:00:00"/>
    <s v="F"/>
    <n v="15"/>
    <s v="hannah.powers@saltcorp.com"/>
    <s v=" "/>
    <s v="contract"/>
    <s v="Contract"/>
    <s v="EMP-2019-0091"/>
    <n v="8"/>
    <m/>
    <m/>
    <m/>
    <m/>
    <m/>
    <s v=""/>
    <n v="5"/>
    <s v="No"/>
  </r>
  <r>
    <s v="EMP-2019-0544"/>
    <s v="Jack"/>
    <s v="Kelly"/>
    <n v="40"/>
    <n v="40"/>
    <n v="1984"/>
    <s v="SIXTY THOUSAND"/>
    <n v="60000"/>
    <x v="0"/>
    <s v="it"/>
    <x v="3"/>
    <s v="Director"/>
    <d v="2019-12-01T00:00:00"/>
    <d v="2019-12-01T00:00:00"/>
    <s v="A"/>
    <n v="93"/>
    <s v="jack.kelly@saltcorp.com"/>
    <s v="555-555-5555"/>
    <s v="Part-Time"/>
    <s v="Part-Time"/>
    <m/>
    <n v="6"/>
    <m/>
    <n v="19"/>
    <m/>
    <n v="35"/>
    <s v="YES"/>
    <s v="Yes"/>
    <n v="2"/>
    <s v="Yes"/>
  </r>
  <r>
    <s v="EMP-2020-0545"/>
    <s v="Ivy"/>
    <s v="Knight"/>
    <n v="25"/>
    <n v="25"/>
    <n v="1999"/>
    <n v="65000"/>
    <n v="65000"/>
    <x v="1"/>
    <s v="it"/>
    <x v="3"/>
    <s v="Director"/>
    <d v="2020-02-20T00:00:00"/>
    <d v="2020-02-20T00:00:00"/>
    <s v="A"/>
    <n v="97"/>
    <s v="ivy.knight@saltcorp.com"/>
    <m/>
    <s v="contract"/>
    <s v="Contract"/>
    <m/>
    <n v="5"/>
    <m/>
    <m/>
    <m/>
    <m/>
    <s v="YES"/>
    <s v="Yes"/>
    <n v="2"/>
    <s v="Yes"/>
  </r>
  <r>
    <s v="EMP-2020-0546"/>
    <s v="Bob"/>
    <s v="Smith"/>
    <n v="40"/>
    <n v="40"/>
    <n v="1984"/>
    <s v="SIXTY THOUSAND"/>
    <n v="60000"/>
    <x v="0"/>
    <s v="HR"/>
    <x v="0"/>
    <s v="Clerk"/>
    <d v="2020-02-20T00:00:00"/>
    <d v="2020-02-20T00:00:00"/>
    <s v="A"/>
    <n v="90"/>
    <s v="bob.smith@saltcorp.com"/>
    <s v=" "/>
    <s v="Full-Time"/>
    <s v="Full-Time"/>
    <s v="EMP-2018-0050"/>
    <n v="3"/>
    <m/>
    <n v="8"/>
    <d v="2023-01-15T00:00:00"/>
    <m/>
    <s v="YES"/>
    <s v="Yes"/>
    <n v="2"/>
    <s v="Yes"/>
  </r>
  <r>
    <s v="EMP-2020-0547"/>
    <s v="Jack"/>
    <s v="Hudson"/>
    <s v="thirty"/>
    <n v="30"/>
    <n v="1994"/>
    <s v="SIXTY THOUSAND"/>
    <n v="60000"/>
    <x v="1"/>
    <s v="HR"/>
    <x v="0"/>
    <s v="Director"/>
    <d v="2020-01-15T00:00:00"/>
    <d v="2020-01-15T00:00:00"/>
    <s v="A"/>
    <n v="93"/>
    <s v="jack.hudson@saltcorp.com"/>
    <s v="098-765-4321"/>
    <s v="contract"/>
    <s v="Contract"/>
    <s v="EMP-2019-0083"/>
    <n v="6"/>
    <m/>
    <m/>
    <d v="2023-03-05T00:00:00"/>
    <n v="44"/>
    <s v="no"/>
    <s v="No"/>
    <n v="2"/>
    <s v="No"/>
  </r>
  <r>
    <s v="EMP-2019-0548"/>
    <s v="Bob"/>
    <s v="Vega"/>
    <m/>
    <n v="36"/>
    <n v="1988"/>
    <n v="55000"/>
    <n v="55000"/>
    <x v="0"/>
    <s v="sales"/>
    <x v="2"/>
    <s v="Analyst"/>
    <d v="2019-12-01T00:00:00"/>
    <d v="2019-12-01T00:00:00"/>
    <s v="C"/>
    <n v="75"/>
    <s v="bob.vega@saltcorp.com"/>
    <m/>
    <s v="Full-Time"/>
    <s v="Full-Time"/>
    <m/>
    <n v="6"/>
    <m/>
    <m/>
    <s v="N/A"/>
    <m/>
    <s v="YES"/>
    <s v="Yes"/>
    <n v="4"/>
    <s v="No"/>
  </r>
  <r>
    <s v="EMP-2020-0549"/>
    <s v="Eve"/>
    <s v="Stevens"/>
    <n v="35"/>
    <n v="35"/>
    <n v="1989"/>
    <n v="70000"/>
    <n v="70000"/>
    <x v="1"/>
    <s v="sales"/>
    <x v="2"/>
    <s v="Clerk"/>
    <d v="2020-02-20T00:00:00"/>
    <d v="2020-02-20T00:00:00"/>
    <s v="F"/>
    <n v="56"/>
    <s v="eve.stevens@saltcorp.com"/>
    <s v=" "/>
    <s v="Part-Time"/>
    <s v="Part-Time"/>
    <m/>
    <n v="7"/>
    <n v="6"/>
    <m/>
    <d v="2024-08-12T00:00:00"/>
    <m/>
    <s v="no"/>
    <s v="No"/>
    <n v="4"/>
    <s v="No"/>
  </r>
  <r>
    <s v="EMP-2019-0550"/>
    <s v="Eve"/>
    <s v="Cooper"/>
    <n v="50"/>
    <n v="50"/>
    <n v="1974"/>
    <n v="70000"/>
    <n v="70000"/>
    <x v="0"/>
    <s v="HR"/>
    <x v="0"/>
    <s v="Assistant"/>
    <d v="2019-03-25T00:00:00"/>
    <d v="2019-03-25T00:00:00"/>
    <s v="B"/>
    <n v="88"/>
    <s v="eve.cooper@saltcorp.com"/>
    <s v="123-456-7890"/>
    <s v="Full-Time"/>
    <s v="Full-Time"/>
    <m/>
    <n v="3"/>
    <m/>
    <m/>
    <d v="2022-06-20T00:00:00"/>
    <m/>
    <s v="no"/>
    <s v="No"/>
    <n v="5"/>
    <s v="Yes"/>
  </r>
  <r>
    <s v="EMP-2019-0551"/>
    <s v="Frank"/>
    <s v="Torres"/>
    <m/>
    <n v="33"/>
    <n v="1991"/>
    <n v="60800"/>
    <n v="60800"/>
    <x v="0"/>
    <s v="finance"/>
    <x v="1"/>
    <s v="Analyst"/>
    <d v="2019-03-25T00:00:00"/>
    <d v="2019-03-25T00:00:00"/>
    <s v="F"/>
    <n v="56"/>
    <s v="frank.torres@saltcorp.com"/>
    <s v="098-765-4321"/>
    <s v="Full-Time"/>
    <s v="Full-Time"/>
    <s v="EMP-2020-0006"/>
    <n v="1"/>
    <s v="N/A"/>
    <n v="10"/>
    <d v="2021-10-01T00:00:00"/>
    <m/>
    <s v="YES"/>
    <s v="Yes"/>
    <n v="5"/>
    <s v="No"/>
  </r>
  <r>
    <s v="EMP-2019-0552"/>
    <s v="Charlie"/>
    <s v="Harris"/>
    <n v="40"/>
    <n v="40"/>
    <n v="1984"/>
    <n v="60000"/>
    <n v="60000"/>
    <x v="0"/>
    <s v="sales"/>
    <x v="2"/>
    <s v="Analyst"/>
    <d v="2019-12-01T00:00:00"/>
    <d v="2019-12-01T00:00:00"/>
    <s v="C"/>
    <n v="78"/>
    <s v="charlie.harris@saltcorp.com"/>
    <m/>
    <s v="Part-Time"/>
    <s v="Part-Time"/>
    <m/>
    <n v="6"/>
    <n v="1"/>
    <n v="19"/>
    <s v="N/A"/>
    <n v="65"/>
    <s v="no"/>
    <s v="No"/>
    <n v="1"/>
    <s v="Yes"/>
  </r>
  <r>
    <s v="EMP-2020-0553"/>
    <s v="Hannah"/>
    <s v="Brooks"/>
    <n v="35"/>
    <n v="35"/>
    <n v="1989"/>
    <n v="55000"/>
    <n v="55000"/>
    <x v="1"/>
    <s v="finance"/>
    <x v="1"/>
    <s v="Analyst"/>
    <d v="2020-02-20T00:00:00"/>
    <d v="2020-02-20T00:00:00"/>
    <s v="A"/>
    <n v="95"/>
    <s v="hannah.brooks@saltcorp.com"/>
    <s v="123-456-7890"/>
    <s v="contract"/>
    <s v="Contract"/>
    <m/>
    <n v="4"/>
    <m/>
    <n v="3"/>
    <d v="2022-06-20T00:00:00"/>
    <m/>
    <m/>
    <s v=""/>
    <n v="4"/>
    <s v="No"/>
  </r>
  <r>
    <s v="EMP-2020-0554"/>
    <s v="Alice"/>
    <s v="Baker"/>
    <n v="40"/>
    <n v="40"/>
    <n v="1984"/>
    <n v="61500"/>
    <n v="61500"/>
    <x v="1"/>
    <s v="HR"/>
    <x v="0"/>
    <s v="Assistant"/>
    <d v="2020-01-15T00:00:00"/>
    <d v="2020-01-15T00:00:00"/>
    <s v="C"/>
    <n v="72"/>
    <s v="alice.baker@saltcorp.com"/>
    <s v="098-765-4321"/>
    <s v="Part-Time"/>
    <s v="Part-Time"/>
    <s v="EMP-2018-0028"/>
    <n v="4"/>
    <s v="N/A"/>
    <m/>
    <s v="N/A"/>
    <m/>
    <m/>
    <s v=""/>
    <n v="5"/>
    <s v="No"/>
  </r>
  <r>
    <s v="EMP-2020-0555"/>
    <s v="Frank"/>
    <s v="Hernandez"/>
    <s v="thirty"/>
    <n v="30"/>
    <n v="1994"/>
    <n v="65000"/>
    <n v="65000"/>
    <x v="1"/>
    <s v="sales"/>
    <x v="2"/>
    <s v="Manager"/>
    <d v="2020-01-15T00:00:00"/>
    <d v="2020-01-15T00:00:00"/>
    <s v="D"/>
    <n v="63"/>
    <s v="frank.hernandez@saltcorp.com"/>
    <s v="555-555-5555"/>
    <s v="Part-Time"/>
    <s v="Part-Time"/>
    <m/>
    <n v="7"/>
    <m/>
    <m/>
    <d v="2023-03-05T00:00:00"/>
    <m/>
    <s v="no"/>
    <s v="No"/>
    <n v="2"/>
    <s v="No"/>
  </r>
  <r>
    <s v="EMP-2020-0556"/>
    <s v="David"/>
    <s v="Gutierrez"/>
    <n v="25"/>
    <n v="25"/>
    <n v="1999"/>
    <n v="50000"/>
    <n v="50000"/>
    <x v="0"/>
    <s v="it"/>
    <x v="3"/>
    <s v="Director"/>
    <d v="2020-01-15T00:00:00"/>
    <d v="2020-01-15T00:00:00"/>
    <s v="D"/>
    <n v="67"/>
    <s v="david.gutierrez@saltcorp.com"/>
    <s v="123-456-7890"/>
    <s v="Full-Time"/>
    <s v="Full-Time"/>
    <m/>
    <n v="5"/>
    <s v="N/A"/>
    <m/>
    <s v="N/A"/>
    <m/>
    <s v="no"/>
    <s v="No"/>
    <n v="4"/>
    <s v="No"/>
  </r>
  <r>
    <s v="EMP-2019-0557"/>
    <s v="Alice"/>
    <s v="Lee"/>
    <n v="35"/>
    <n v="35"/>
    <n v="1989"/>
    <n v="50000"/>
    <n v="50000"/>
    <x v="1"/>
    <s v="HR"/>
    <x v="0"/>
    <s v="Clerk"/>
    <d v="2019-03-25T00:00:00"/>
    <d v="2019-03-25T00:00:00"/>
    <s v="F"/>
    <n v="35"/>
    <s v="alice.lee@saltcorp.com"/>
    <s v=" "/>
    <s v="Part-Time"/>
    <s v="Part-Time"/>
    <s v="EMP-2018-0051"/>
    <n v="6"/>
    <m/>
    <n v="7"/>
    <d v="2024-08-12T00:00:00"/>
    <m/>
    <s v="YES"/>
    <s v="Yes"/>
    <n v="4"/>
    <s v="Yes"/>
  </r>
  <r>
    <s v="EMP-2020-0558"/>
    <s v="Grace"/>
    <s v="Wang"/>
    <s v="thirty"/>
    <n v="30"/>
    <n v="1994"/>
    <n v="50000"/>
    <n v="50000"/>
    <x v="1"/>
    <s v="Marketing"/>
    <x v="4"/>
    <s v="Manager"/>
    <d v="2020-02-20T00:00:00"/>
    <d v="2020-02-20T00:00:00"/>
    <s v="F"/>
    <n v="16"/>
    <s v="grace.wang@saltcorp.com"/>
    <m/>
    <s v="Full-Time"/>
    <s v="Full-Time"/>
    <m/>
    <n v="3"/>
    <m/>
    <n v="7"/>
    <m/>
    <m/>
    <s v="YES"/>
    <s v="Yes"/>
    <n v="2"/>
    <s v="Yes"/>
  </r>
  <r>
    <s v="EMP-2020-0559"/>
    <s v="Ivy"/>
    <s v="Gupta"/>
    <s v="thirty"/>
    <n v="30"/>
    <n v="1994"/>
    <n v="55000"/>
    <n v="55000"/>
    <x v="1"/>
    <s v="finance"/>
    <x v="1"/>
    <s v="Clerk"/>
    <d v="2020-02-20T00:00:00"/>
    <d v="2020-02-20T00:00:00"/>
    <s v="B"/>
    <n v="85"/>
    <s v="ivy.gupta@saltcorp.com"/>
    <s v="098-765-4321"/>
    <s v="Full-Time"/>
    <s v="Full-Time"/>
    <m/>
    <n v="6"/>
    <s v="N/A"/>
    <m/>
    <m/>
    <m/>
    <s v="no"/>
    <s v="No"/>
    <n v="4"/>
    <s v="No"/>
  </r>
  <r>
    <s v="EMP-2019-0560"/>
    <s v="David"/>
    <s v="Sullivan"/>
    <n v="35"/>
    <n v="35"/>
    <n v="1989"/>
    <n v="55000"/>
    <n v="55000"/>
    <x v="1"/>
    <s v="HR"/>
    <x v="0"/>
    <s v="Director"/>
    <d v="2019-03-25T00:00:00"/>
    <d v="2019-03-25T00:00:00"/>
    <s v="B"/>
    <n v="81"/>
    <s v="david.sullivan@saltcorp.com"/>
    <s v="123-456-7890"/>
    <s v="Part-Time"/>
    <s v="Part-Time"/>
    <s v="EMP-2019-0060"/>
    <n v="8"/>
    <m/>
    <n v="9"/>
    <m/>
    <m/>
    <m/>
    <s v=""/>
    <n v="2"/>
    <s v="No"/>
  </r>
  <r>
    <s v="EMP-2020-0561"/>
    <s v="David"/>
    <s v="Olson"/>
    <n v="40"/>
    <n v="40"/>
    <n v="1984"/>
    <s v="SIXTY THOUSAND"/>
    <n v="60000"/>
    <x v="0"/>
    <s v="HR"/>
    <x v="0"/>
    <s v="Assistant"/>
    <d v="2020-01-15T00:00:00"/>
    <d v="2020-01-15T00:00:00"/>
    <s v="D"/>
    <n v="69"/>
    <s v="david.olson@saltcorp.com"/>
    <s v="555-555-5555"/>
    <s v="Full-Time"/>
    <s v="Full-Time"/>
    <m/>
    <n v="8"/>
    <m/>
    <m/>
    <m/>
    <m/>
    <s v="no"/>
    <s v="No"/>
    <n v="5"/>
    <s v="No"/>
  </r>
  <r>
    <s v="EMP-2020-0562"/>
    <s v="Frank"/>
    <s v="Pearson"/>
    <n v="50"/>
    <n v="50"/>
    <n v="1974"/>
    <n v="50000"/>
    <n v="50000"/>
    <x v="0"/>
    <s v="sales"/>
    <x v="2"/>
    <s v="Analyst"/>
    <d v="2020-01-15T00:00:00"/>
    <d v="2020-01-15T00:00:00"/>
    <s v="A"/>
    <n v="91"/>
    <s v="frank.pearson@saltcorp.com"/>
    <m/>
    <s v="Full-Time"/>
    <s v="Full-Time"/>
    <m/>
    <n v="8"/>
    <m/>
    <n v="19"/>
    <d v="2023-03-05T00:00:00"/>
    <m/>
    <m/>
    <s v=""/>
    <n v="1"/>
    <s v="No"/>
  </r>
  <r>
    <s v="EMP-2019-0563"/>
    <s v="Charlie"/>
    <s v="Clark"/>
    <s v="thirty"/>
    <n v="30"/>
    <n v="1994"/>
    <n v="65000"/>
    <n v="65000"/>
    <x v="1"/>
    <s v="sales"/>
    <x v="2"/>
    <s v="Analyst"/>
    <d v="2019-12-01T00:00:00"/>
    <d v="2019-12-01T00:00:00"/>
    <s v="C"/>
    <n v="75"/>
    <s v="charlie.clark@saltcorp.com"/>
    <m/>
    <s v="Part-Time"/>
    <s v="Part-Time"/>
    <m/>
    <n v="6"/>
    <m/>
    <m/>
    <m/>
    <m/>
    <m/>
    <s v=""/>
    <n v="3"/>
    <s v="Yes"/>
  </r>
  <r>
    <s v="EMP-2018-0564"/>
    <s v="Frank"/>
    <s v="Hanson"/>
    <m/>
    <n v="32"/>
    <n v="1992"/>
    <n v="58300"/>
    <n v="58300"/>
    <x v="1"/>
    <s v="sales"/>
    <x v="2"/>
    <s v="Assistant"/>
    <d v="2018-04-05T00:00:00"/>
    <d v="2018-04-05T00:00:00"/>
    <s v="B"/>
    <n v="83"/>
    <s v="frank.hanson@saltcorp.com"/>
    <s v="123-456-7890"/>
    <s v="contract"/>
    <s v="Contract"/>
    <m/>
    <n v="5"/>
    <m/>
    <m/>
    <m/>
    <n v="77"/>
    <s v="no"/>
    <s v="No"/>
    <n v="1"/>
    <s v="Yes"/>
  </r>
  <r>
    <s v="EMP-2020-0565"/>
    <s v="Grace"/>
    <s v="Sims"/>
    <s v="thirty"/>
    <n v="30"/>
    <n v="1994"/>
    <n v="65000"/>
    <n v="65000"/>
    <x v="1"/>
    <s v="Marketing"/>
    <x v="4"/>
    <s v="Manager"/>
    <d v="2020-02-20T00:00:00"/>
    <d v="2020-02-20T00:00:00"/>
    <s v="B"/>
    <n v="83"/>
    <s v="grace.sims@saltcorp.com"/>
    <s v="555-555-5555"/>
    <s v="contract"/>
    <s v="Contract"/>
    <m/>
    <n v="8"/>
    <n v="7"/>
    <n v="17"/>
    <m/>
    <m/>
    <s v="YES"/>
    <s v="Yes"/>
    <n v="5"/>
    <s v="Yes"/>
  </r>
  <r>
    <s v="EMP-2020-0566"/>
    <s v="Jack"/>
    <s v="O'Neill"/>
    <n v="50"/>
    <n v="50"/>
    <n v="1974"/>
    <n v="61500"/>
    <n v="61500"/>
    <x v="0"/>
    <s v="sales"/>
    <x v="2"/>
    <s v="Manager"/>
    <d v="2020-02-20T00:00:00"/>
    <d v="2020-02-20T00:00:00"/>
    <s v="A"/>
    <n v="93"/>
    <s v="jack.o'neill@saltcorp.com"/>
    <s v="098-765-4321"/>
    <s v="Full-Time"/>
    <s v="Full-Time"/>
    <m/>
    <n v="2"/>
    <n v="15"/>
    <n v="4"/>
    <m/>
    <n v="72"/>
    <s v="YES"/>
    <s v="Yes"/>
    <n v="5"/>
    <s v="No"/>
  </r>
  <r>
    <s v="EMP-2020-0567"/>
    <s v="Jack"/>
    <s v="Walker"/>
    <n v="40"/>
    <n v="40"/>
    <n v="1984"/>
    <n v="50000"/>
    <n v="50000"/>
    <x v="1"/>
    <s v="HR"/>
    <x v="0"/>
    <s v="Clerk"/>
    <d v="2020-02-20T00:00:00"/>
    <d v="2020-02-20T00:00:00"/>
    <s v="A"/>
    <n v="97"/>
    <s v="jack.walker@saltcorp.com"/>
    <s v="123-456-7890"/>
    <s v="Full-Time"/>
    <s v="Full-Time"/>
    <s v="EMP-2019-0038"/>
    <n v="3"/>
    <m/>
    <m/>
    <s v="N/A"/>
    <n v="13"/>
    <m/>
    <s v=""/>
    <n v="5"/>
    <s v="No"/>
  </r>
  <r>
    <s v="EMP-2018-0568"/>
    <s v="Charlie"/>
    <s v="Hansen"/>
    <n v="40"/>
    <n v="40"/>
    <n v="1984"/>
    <n v="50000"/>
    <n v="50000"/>
    <x v="0"/>
    <s v="sales"/>
    <x v="2"/>
    <s v="Assistant"/>
    <d v="2018-04-05T00:00:00"/>
    <d v="2018-04-05T00:00:00"/>
    <s v="F"/>
    <n v="6"/>
    <s v="charlie.hansen@saltcorp.com"/>
    <s v="098-765-4321"/>
    <s v="Full-Time"/>
    <s v="Full-Time"/>
    <m/>
    <n v="2"/>
    <m/>
    <m/>
    <m/>
    <m/>
    <s v="YES"/>
    <s v="Yes"/>
    <n v="1"/>
    <s v="Yes"/>
  </r>
  <r>
    <s v="EMP-2019-0569"/>
    <s v="Grace"/>
    <s v="Hoffman"/>
    <m/>
    <n v="40"/>
    <n v="1984"/>
    <n v="50000"/>
    <n v="50000"/>
    <x v="1"/>
    <s v="it"/>
    <x v="3"/>
    <s v="Manager"/>
    <d v="2019-12-01T00:00:00"/>
    <d v="2019-12-01T00:00:00"/>
    <s v="C"/>
    <n v="73"/>
    <s v="grace.hoffman@saltcorp.com"/>
    <m/>
    <s v="contract"/>
    <s v="Contract"/>
    <m/>
    <n v="5"/>
    <s v="N/A"/>
    <n v="19"/>
    <d v="2022-06-20T00:00:00"/>
    <m/>
    <m/>
    <s v=""/>
    <n v="5"/>
    <s v="Yes"/>
  </r>
  <r>
    <s v="EMP-2018-0570"/>
    <s v="Charlie"/>
    <s v="McCoy"/>
    <s v="thirty"/>
    <n v="30"/>
    <n v="1994"/>
    <n v="55000"/>
    <n v="55000"/>
    <x v="0"/>
    <s v="sales"/>
    <x v="2"/>
    <s v="Assistant"/>
    <d v="2018-04-05T00:00:00"/>
    <d v="2018-04-05T00:00:00"/>
    <s v="A"/>
    <n v="96"/>
    <s v="charlie.mccoy@saltcorp.com"/>
    <s v="098-765-4321"/>
    <s v="Full-Time"/>
    <s v="Full-Time"/>
    <m/>
    <n v="3"/>
    <m/>
    <m/>
    <m/>
    <m/>
    <s v="no"/>
    <s v="No"/>
    <n v="5"/>
    <s v="Yes"/>
  </r>
  <r>
    <s v="EMP-2020-0571"/>
    <s v="Bob"/>
    <s v="Davis"/>
    <n v="40"/>
    <n v="40"/>
    <n v="1984"/>
    <n v="60500"/>
    <n v="60500"/>
    <x v="0"/>
    <s v="Marketing"/>
    <x v="4"/>
    <s v="Director"/>
    <d v="2020-01-15T00:00:00"/>
    <d v="2020-01-15T00:00:00"/>
    <s v="B"/>
    <n v="80"/>
    <s v="bob.davis@saltcorp.com"/>
    <s v="555-555-5555"/>
    <s v="contract"/>
    <s v="Contract"/>
    <m/>
    <n v="4"/>
    <m/>
    <m/>
    <d v="2022-06-20T00:00:00"/>
    <m/>
    <s v="YES"/>
    <s v="Yes"/>
    <n v="1"/>
    <s v="No"/>
  </r>
  <r>
    <s v="EMP-2020-0572"/>
    <s v="Jack"/>
    <s v="Kelly"/>
    <n v="50"/>
    <n v="50"/>
    <n v="1974"/>
    <n v="55000"/>
    <n v="55000"/>
    <x v="0"/>
    <s v="it"/>
    <x v="3"/>
    <s v="Analyst"/>
    <d v="2020-01-15T00:00:00"/>
    <d v="2020-01-15T00:00:00"/>
    <s v="B"/>
    <n v="89"/>
    <s v="jack.kelly@saltcorp.com"/>
    <s v=" "/>
    <s v="Full-Time"/>
    <s v="Full-Time"/>
    <m/>
    <n v="5"/>
    <n v="1"/>
    <m/>
    <d v="2023-01-15T00:00:00"/>
    <m/>
    <s v="no"/>
    <s v="No"/>
    <n v="5"/>
    <s v="No"/>
  </r>
  <r>
    <s v="EMP-2020-0573"/>
    <s v="David"/>
    <s v="Byrd"/>
    <n v="35"/>
    <n v="35"/>
    <n v="1989"/>
    <n v="55000"/>
    <n v="55000"/>
    <x v="0"/>
    <s v="HR"/>
    <x v="0"/>
    <s v="Analyst"/>
    <d v="2020-02-20T00:00:00"/>
    <d v="2020-02-20T00:00:00"/>
    <s v="D"/>
    <n v="66"/>
    <s v="david.byrd@saltcorp.com"/>
    <s v="555-555-5555"/>
    <s v="Part-Time"/>
    <s v="Part-Time"/>
    <m/>
    <n v="2"/>
    <s v="N/A"/>
    <n v="9"/>
    <d v="2022-06-20T00:00:00"/>
    <m/>
    <s v="YES"/>
    <s v="Yes"/>
    <n v="3"/>
    <s v="No"/>
  </r>
  <r>
    <s v="EMP-2019-0574"/>
    <s v="Hannah"/>
    <s v="Long"/>
    <n v="25"/>
    <n v="25"/>
    <n v="1999"/>
    <n v="70000"/>
    <n v="70000"/>
    <x v="1"/>
    <s v="HR"/>
    <x v="0"/>
    <s v="Analyst"/>
    <d v="2019-03-25T00:00:00"/>
    <d v="2019-03-25T00:00:00"/>
    <s v="A"/>
    <n v="93"/>
    <s v="hannah.long@saltcorp.com"/>
    <s v="098-765-4321"/>
    <s v="contract"/>
    <s v="Contract"/>
    <m/>
    <n v="2"/>
    <m/>
    <m/>
    <s v="N/A"/>
    <m/>
    <m/>
    <s v=""/>
    <n v="3"/>
    <s v="No"/>
  </r>
  <r>
    <s v="EMP-2020-0575"/>
    <s v="Ivy"/>
    <s v="Powers"/>
    <n v="25"/>
    <n v="25"/>
    <n v="1999"/>
    <n v="65000"/>
    <n v="65000"/>
    <x v="0"/>
    <s v="finance"/>
    <x v="1"/>
    <s v="Assistant"/>
    <d v="2020-02-20T00:00:00"/>
    <d v="2020-02-20T00:00:00"/>
    <s v="F"/>
    <n v="46"/>
    <s v="ivy.powers@saltcorp.com"/>
    <s v="123-456-7890"/>
    <s v="Part-Time"/>
    <s v="Part-Time"/>
    <m/>
    <n v="1"/>
    <m/>
    <m/>
    <m/>
    <n v="20"/>
    <m/>
    <s v=""/>
    <n v="3"/>
    <s v="No"/>
  </r>
  <r>
    <s v="EMP-2019-0576"/>
    <s v="Grace"/>
    <s v="Gutierrez"/>
    <n v="25"/>
    <n v="25"/>
    <n v="1999"/>
    <n v="65000"/>
    <n v="65000"/>
    <x v="1"/>
    <s v="it"/>
    <x v="3"/>
    <s v="Assistant"/>
    <d v="2019-03-25T00:00:00"/>
    <d v="2019-03-25T00:00:00"/>
    <s v="C"/>
    <n v="72"/>
    <s v="grace.gutierrez@saltcorp.com"/>
    <m/>
    <s v="Full-Time"/>
    <s v="Full-Time"/>
    <s v="EMP-2018-0086"/>
    <n v="1"/>
    <m/>
    <n v="2"/>
    <m/>
    <m/>
    <s v="no"/>
    <s v="No"/>
    <n v="2"/>
    <s v="Yes"/>
  </r>
  <r>
    <s v="EMP-2018-0577"/>
    <s v="Alice"/>
    <s v="Rivera"/>
    <s v="thirty"/>
    <n v="30"/>
    <n v="1994"/>
    <s v="SIXTY THOUSAND"/>
    <n v="60000"/>
    <x v="0"/>
    <s v="finance"/>
    <x v="1"/>
    <s v="Clerk"/>
    <d v="2018-04-05T00:00:00"/>
    <d v="2018-04-05T00:00:00"/>
    <s v="F"/>
    <n v="2"/>
    <s v="alice.rivera@saltcorp.com"/>
    <s v=" "/>
    <s v="contract"/>
    <s v="Contract"/>
    <m/>
    <n v="7"/>
    <m/>
    <m/>
    <s v="N/A"/>
    <m/>
    <s v="no"/>
    <s v="No"/>
    <n v="1"/>
    <s v="No"/>
  </r>
  <r>
    <s v="EMP-2020-0578"/>
    <s v="Charlie"/>
    <s v="Andrews"/>
    <m/>
    <n v="27"/>
    <n v="1997"/>
    <n v="55000"/>
    <n v="55000"/>
    <x v="1"/>
    <s v="it"/>
    <x v="3"/>
    <s v="Analyst"/>
    <d v="2020-01-15T00:00:00"/>
    <d v="2020-01-15T00:00:00"/>
    <s v="B"/>
    <n v="80"/>
    <s v="charlie.andrews@saltcorp.com"/>
    <s v="123-456-7890"/>
    <s v="Full-Time"/>
    <s v="Full-Time"/>
    <s v="EMP-2020-0020"/>
    <n v="4"/>
    <m/>
    <n v="0"/>
    <m/>
    <m/>
    <m/>
    <s v=""/>
    <n v="1"/>
    <s v="No"/>
  </r>
  <r>
    <s v="EMP-2019-0579"/>
    <s v="Ivy"/>
    <s v="Hanson"/>
    <n v="40"/>
    <n v="40"/>
    <n v="1984"/>
    <n v="58600"/>
    <n v="58600"/>
    <x v="1"/>
    <s v="it"/>
    <x v="3"/>
    <s v="Clerk"/>
    <d v="2019-03-25T00:00:00"/>
    <d v="2019-03-25T00:00:00"/>
    <s v="F"/>
    <n v="0"/>
    <s v="ivy.hanson@saltcorp.com"/>
    <s v="123-456-7890"/>
    <s v="Full-Time"/>
    <s v="Full-Time"/>
    <s v="EMP-2019-0048"/>
    <n v="1"/>
    <m/>
    <n v="15"/>
    <d v="2024-08-12T00:00:00"/>
    <m/>
    <m/>
    <s v=""/>
    <n v="2"/>
    <s v="No"/>
  </r>
  <r>
    <s v="EMP-2018-0580"/>
    <s v="Alice"/>
    <s v="Lee"/>
    <n v="35"/>
    <n v="35"/>
    <n v="1989"/>
    <n v="70000"/>
    <n v="70000"/>
    <x v="1"/>
    <s v="Marketing"/>
    <x v="4"/>
    <s v="Analyst"/>
    <d v="2018-04-05T00:00:00"/>
    <d v="2018-04-05T00:00:00"/>
    <s v="B"/>
    <n v="88"/>
    <s v="alice.lee@saltcorp.com"/>
    <s v="555-555-5555"/>
    <s v="Full-Time"/>
    <s v="Full-Time"/>
    <m/>
    <n v="5"/>
    <n v="6"/>
    <n v="3"/>
    <d v="2024-08-12T00:00:00"/>
    <n v="42"/>
    <s v="no"/>
    <s v="No"/>
    <n v="3"/>
    <s v="No"/>
  </r>
  <r>
    <s v="EMP-2020-0581"/>
    <s v="Ivy"/>
    <s v="Sharma"/>
    <n v="50"/>
    <n v="50"/>
    <n v="1974"/>
    <n v="70000"/>
    <n v="70000"/>
    <x v="1"/>
    <s v="finance"/>
    <x v="1"/>
    <s v="Clerk"/>
    <d v="2020-01-15T00:00:00"/>
    <d v="2020-01-15T00:00:00"/>
    <s v="B"/>
    <n v="89"/>
    <s v="ivy.sharma@saltcorp.com"/>
    <s v="098-765-4321"/>
    <s v="Full-Time"/>
    <s v="Full-Time"/>
    <m/>
    <n v="8"/>
    <m/>
    <n v="0"/>
    <m/>
    <m/>
    <s v="YES"/>
    <s v="Yes"/>
    <n v="5"/>
    <s v="Yes"/>
  </r>
  <r>
    <s v="EMP-2019-0582"/>
    <s v="Hannah"/>
    <s v="Gray"/>
    <n v="35"/>
    <n v="35"/>
    <n v="1989"/>
    <n v="65000"/>
    <n v="65000"/>
    <x v="1"/>
    <s v="Marketing"/>
    <x v="4"/>
    <s v="Clerk"/>
    <d v="2019-03-25T00:00:00"/>
    <d v="2019-03-25T00:00:00"/>
    <s v="B"/>
    <n v="88"/>
    <s v="hannah.gray@saltcorp.com"/>
    <s v="555-555-5555"/>
    <s v="Full-Time"/>
    <s v="Full-Time"/>
    <m/>
    <n v="3"/>
    <m/>
    <n v="11"/>
    <m/>
    <m/>
    <m/>
    <s v=""/>
    <n v="1"/>
    <s v="No"/>
  </r>
  <r>
    <s v="EMP-2020-0583"/>
    <s v="Alice"/>
    <s v="Hudson"/>
    <n v="50"/>
    <n v="50"/>
    <n v="1974"/>
    <n v="55000"/>
    <n v="55000"/>
    <x v="1"/>
    <s v="it"/>
    <x v="3"/>
    <s v="Director"/>
    <d v="2020-02-20T00:00:00"/>
    <d v="2020-02-20T00:00:00"/>
    <s v="B"/>
    <n v="88"/>
    <s v="alice.hudson@saltcorp.com"/>
    <s v="098-765-4321"/>
    <s v="Full-Time"/>
    <s v="Full-Time"/>
    <s v="EMP-2020-0037"/>
    <n v="6"/>
    <n v="4"/>
    <m/>
    <m/>
    <n v="23"/>
    <m/>
    <s v=""/>
    <n v="1"/>
    <s v="No"/>
  </r>
  <r>
    <s v="EMP-2020-0584"/>
    <s v="Frank"/>
    <s v="Perez"/>
    <s v="thirty"/>
    <n v="30"/>
    <n v="1994"/>
    <s v="SIXTY THOUSAND"/>
    <n v="60000"/>
    <x v="0"/>
    <s v="HR"/>
    <x v="0"/>
    <s v="Clerk"/>
    <d v="2020-02-20T00:00:00"/>
    <d v="2020-02-20T00:00:00"/>
    <s v="B"/>
    <n v="88"/>
    <s v="frank.perez@saltcorp.com"/>
    <s v="555-555-5555"/>
    <s v="Part-Time"/>
    <s v="Part-Time"/>
    <m/>
    <n v="7"/>
    <n v="1"/>
    <m/>
    <m/>
    <n v="25"/>
    <s v="no"/>
    <s v="No"/>
    <n v="3"/>
    <s v="Yes"/>
  </r>
  <r>
    <s v="EMP-2020-0585"/>
    <s v="Eve"/>
    <s v="Barnett"/>
    <n v="25"/>
    <n v="25"/>
    <n v="1999"/>
    <n v="55000"/>
    <n v="55000"/>
    <x v="1"/>
    <s v="it"/>
    <x v="3"/>
    <s v="Assistant"/>
    <d v="2020-02-20T00:00:00"/>
    <d v="2020-02-20T00:00:00"/>
    <s v="D"/>
    <n v="63"/>
    <s v="eve.barnett@saltcorp.com"/>
    <s v="123-456-7890"/>
    <s v="Part-Time"/>
    <s v="Part-Time"/>
    <s v="EMP-2018-0014"/>
    <n v="4"/>
    <m/>
    <m/>
    <d v="2021-10-01T00:00:00"/>
    <m/>
    <s v="YES"/>
    <s v="Yes"/>
    <n v="3"/>
    <s v="No"/>
  </r>
  <r>
    <s v="EMP-2018-0586"/>
    <s v="Frank"/>
    <s v="Sanchez"/>
    <s v="thirty"/>
    <n v="30"/>
    <n v="1994"/>
    <n v="50000"/>
    <n v="50000"/>
    <x v="0"/>
    <s v="Marketing"/>
    <x v="4"/>
    <s v="Clerk"/>
    <d v="2018-04-05T00:00:00"/>
    <d v="2018-04-05T00:00:00"/>
    <s v="F"/>
    <n v="17"/>
    <s v="frank.sanchez@saltcorp.com"/>
    <m/>
    <s v="Full-Time"/>
    <s v="Full-Time"/>
    <m/>
    <n v="5"/>
    <m/>
    <m/>
    <d v="2023-03-05T00:00:00"/>
    <m/>
    <s v="YES"/>
    <s v="Yes"/>
    <n v="3"/>
    <s v="No"/>
  </r>
  <r>
    <s v="EMP-2020-0587"/>
    <s v="Jack"/>
    <s v="Walsh"/>
    <m/>
    <n v="34"/>
    <n v="1990"/>
    <n v="55000"/>
    <n v="55000"/>
    <x v="0"/>
    <s v="finance"/>
    <x v="1"/>
    <s v="Analyst"/>
    <d v="2020-02-20T00:00:00"/>
    <d v="2020-02-20T00:00:00"/>
    <s v="D"/>
    <n v="66"/>
    <s v="jack.walsh@saltcorp.com"/>
    <s v="098-765-4321"/>
    <s v="Full-Time"/>
    <s v="Full-Time"/>
    <m/>
    <n v="3"/>
    <s v="N/A"/>
    <m/>
    <m/>
    <m/>
    <s v="YES"/>
    <s v="Yes"/>
    <n v="1"/>
    <s v="Yes"/>
  </r>
  <r>
    <s v="EMP-2019-0588"/>
    <s v="Eve"/>
    <s v="Hoffman"/>
    <m/>
    <n v="35"/>
    <n v="1989"/>
    <n v="50000"/>
    <n v="50000"/>
    <x v="1"/>
    <s v="finance"/>
    <x v="1"/>
    <s v="Clerk"/>
    <d v="2019-12-01T00:00:00"/>
    <d v="2019-12-01T00:00:00"/>
    <s v="D"/>
    <n v="64"/>
    <s v="eve.hoffman@saltcorp.com"/>
    <s v=" "/>
    <s v="contract"/>
    <s v="Contract"/>
    <m/>
    <n v="8"/>
    <s v="N/A"/>
    <n v="7"/>
    <m/>
    <n v="46"/>
    <m/>
    <s v=""/>
    <n v="2"/>
    <s v="Yes"/>
  </r>
  <r>
    <s v="EMP-2020-0589"/>
    <s v="Frank"/>
    <s v="Lucas"/>
    <n v="50"/>
    <n v="50"/>
    <n v="1974"/>
    <n v="50000"/>
    <n v="50000"/>
    <x v="0"/>
    <s v="Marketing"/>
    <x v="4"/>
    <s v="Manager"/>
    <d v="2020-01-15T00:00:00"/>
    <d v="2020-01-15T00:00:00"/>
    <s v="A"/>
    <n v="91"/>
    <s v="frank.lucas@saltcorp.com"/>
    <s v=" "/>
    <s v="contract"/>
    <s v="Contract"/>
    <m/>
    <n v="2"/>
    <n v="2"/>
    <m/>
    <d v="2024-08-12T00:00:00"/>
    <n v="75"/>
    <s v="YES"/>
    <s v="Yes"/>
    <n v="5"/>
    <s v="No"/>
  </r>
  <r>
    <s v="EMP-2018-0590"/>
    <s v="Eve"/>
    <s v="Stevens"/>
    <n v="40"/>
    <n v="40"/>
    <n v="1984"/>
    <s v="SIXTY THOUSAND"/>
    <n v="60000"/>
    <x v="0"/>
    <s v="finance"/>
    <x v="1"/>
    <s v="Analyst"/>
    <d v="2018-04-05T00:00:00"/>
    <d v="2018-04-05T00:00:00"/>
    <s v="A"/>
    <n v="96"/>
    <s v="eve.stevens@saltcorp.com"/>
    <s v="123-456-7890"/>
    <s v="Full-Time"/>
    <s v="Full-Time"/>
    <m/>
    <n v="7"/>
    <m/>
    <n v="18"/>
    <d v="2023-03-05T00:00:00"/>
    <n v="45"/>
    <s v="YES"/>
    <s v="Yes"/>
    <n v="1"/>
    <s v="No"/>
  </r>
  <r>
    <s v="EMP-2020-0591"/>
    <s v="Eve"/>
    <s v="Lucas"/>
    <n v="40"/>
    <n v="40"/>
    <n v="1984"/>
    <n v="61500"/>
    <n v="61500"/>
    <x v="0"/>
    <s v="sales"/>
    <x v="2"/>
    <s v="Manager"/>
    <d v="2020-02-20T00:00:00"/>
    <d v="2020-02-20T00:00:00"/>
    <s v="A"/>
    <n v="90"/>
    <s v="eve.lucas@saltcorp.com"/>
    <s v="555-555-5555"/>
    <s v="Full-Time"/>
    <s v="Full-Time"/>
    <m/>
    <n v="6"/>
    <m/>
    <n v="9"/>
    <m/>
    <m/>
    <s v="YES"/>
    <s v="Yes"/>
    <n v="2"/>
    <s v="No"/>
  </r>
  <r>
    <s v="EMP-2020-0592"/>
    <s v="David"/>
    <s v="Hanson"/>
    <n v="50"/>
    <n v="50"/>
    <n v="1974"/>
    <n v="65000"/>
    <n v="65000"/>
    <x v="0"/>
    <s v="HR"/>
    <x v="0"/>
    <s v="Analyst"/>
    <d v="2020-01-15T00:00:00"/>
    <d v="2020-01-15T00:00:00"/>
    <s v="C"/>
    <n v="79"/>
    <s v="david.hanson@saltcorp.com"/>
    <s v="555-555-5555"/>
    <s v="Full-Time"/>
    <s v="Full-Time"/>
    <m/>
    <n v="1"/>
    <n v="2"/>
    <m/>
    <m/>
    <m/>
    <s v="no"/>
    <s v="No"/>
    <n v="1"/>
    <s v="Yes"/>
  </r>
  <r>
    <s v="EMP-2019-0593"/>
    <s v="Charlie"/>
    <s v="Martin"/>
    <m/>
    <n v="31"/>
    <n v="1993"/>
    <n v="55000"/>
    <n v="55000"/>
    <x v="0"/>
    <s v="HR"/>
    <x v="0"/>
    <s v="Assistant"/>
    <d v="2019-03-25T00:00:00"/>
    <d v="2019-03-25T00:00:00"/>
    <s v="A"/>
    <n v="98"/>
    <s v="charlie.martin@saltcorp.com"/>
    <s v="123-456-7890"/>
    <s v="Part-Time"/>
    <s v="Part-Time"/>
    <m/>
    <n v="4"/>
    <m/>
    <m/>
    <m/>
    <n v="77"/>
    <m/>
    <s v=""/>
    <n v="4"/>
    <s v="Yes"/>
  </r>
  <r>
    <s v="EMP-2020-0594"/>
    <s v="Charlie"/>
    <s v="Aguilar"/>
    <m/>
    <n v="41"/>
    <n v="1983"/>
    <n v="50000"/>
    <n v="50000"/>
    <x v="0"/>
    <s v="HR"/>
    <x v="0"/>
    <s v="Assistant"/>
    <d v="2020-02-20T00:00:00"/>
    <d v="2020-02-20T00:00:00"/>
    <s v="F"/>
    <n v="59"/>
    <s v="charlie.aguilar@saltcorp.com"/>
    <s v=" "/>
    <s v="Part-Time"/>
    <s v="Part-Time"/>
    <m/>
    <n v="3"/>
    <m/>
    <m/>
    <m/>
    <m/>
    <s v="no"/>
    <s v="No"/>
    <n v="4"/>
    <s v="No"/>
  </r>
  <r>
    <s v="EMP-2020-0595"/>
    <s v="David"/>
    <s v="Medina"/>
    <m/>
    <n v="34"/>
    <n v="1990"/>
    <n v="55000"/>
    <n v="55000"/>
    <x v="0"/>
    <s v="finance"/>
    <x v="1"/>
    <s v="Assistant"/>
    <d v="2020-01-15T00:00:00"/>
    <d v="2020-01-15T00:00:00"/>
    <s v="D"/>
    <n v="69"/>
    <s v="david.medina@saltcorp.com"/>
    <s v=" "/>
    <s v="Full-Time"/>
    <s v="Full-Time"/>
    <m/>
    <n v="3"/>
    <m/>
    <n v="19"/>
    <s v="N/A"/>
    <m/>
    <s v="YES"/>
    <s v="Yes"/>
    <n v="3"/>
    <s v="No"/>
  </r>
  <r>
    <s v="EMP-2019-0596"/>
    <s v="Ivy"/>
    <s v="Kumar"/>
    <s v="thirty"/>
    <n v="30"/>
    <n v="1994"/>
    <n v="59500"/>
    <n v="59500"/>
    <x v="1"/>
    <s v="finance"/>
    <x v="1"/>
    <s v="Manager"/>
    <d v="2019-12-01T00:00:00"/>
    <d v="2019-12-01T00:00:00"/>
    <s v="F"/>
    <n v="13"/>
    <s v="ivy.kumar@saltcorp.com"/>
    <s v="555-555-5555"/>
    <s v="contract"/>
    <s v="Contract"/>
    <m/>
    <n v="8"/>
    <m/>
    <n v="11"/>
    <m/>
    <m/>
    <s v="no"/>
    <s v="No"/>
    <n v="2"/>
    <s v="Yes"/>
  </r>
  <r>
    <s v="EMP-2019-0597"/>
    <s v="Bob"/>
    <s v="Gutierrez"/>
    <m/>
    <n v="61"/>
    <n v="1963"/>
    <n v="65000"/>
    <n v="65000"/>
    <x v="1"/>
    <s v="it"/>
    <x v="3"/>
    <s v="Director"/>
    <d v="2019-03-25T00:00:00"/>
    <d v="2019-03-25T00:00:00"/>
    <s v="A"/>
    <n v="99"/>
    <s v="bob.gutierrez@saltcorp.com"/>
    <s v="098-765-4321"/>
    <s v="Part-Time"/>
    <s v="Part-Time"/>
    <m/>
    <n v="3"/>
    <s v="N/A"/>
    <m/>
    <s v="N/A"/>
    <n v="25"/>
    <s v="no"/>
    <s v="No"/>
    <n v="4"/>
    <s v="No"/>
  </r>
  <r>
    <s v="EMP-2019-0598"/>
    <s v="Ivy"/>
    <s v="Desai"/>
    <n v="35"/>
    <n v="35"/>
    <n v="1989"/>
    <n v="59300"/>
    <n v="59300"/>
    <x v="1"/>
    <s v="it"/>
    <x v="3"/>
    <s v="Analyst"/>
    <d v="2019-12-01T00:00:00"/>
    <d v="2019-12-01T00:00:00"/>
    <s v="C"/>
    <n v="73"/>
    <s v="ivy.desai@saltcorp.com"/>
    <m/>
    <s v="Full-Time"/>
    <s v="Full-Time"/>
    <m/>
    <n v="3"/>
    <m/>
    <m/>
    <d v="2023-01-15T00:00:00"/>
    <m/>
    <m/>
    <s v=""/>
    <n v="1"/>
    <s v="Yes"/>
  </r>
  <r>
    <s v="EMP-2020-0599"/>
    <s v="Alice"/>
    <s v="Powers"/>
    <n v="25"/>
    <n v="25"/>
    <n v="1999"/>
    <n v="65000"/>
    <n v="65000"/>
    <x v="1"/>
    <s v="HR"/>
    <x v="0"/>
    <s v="Assistant"/>
    <d v="2020-01-15T00:00:00"/>
    <d v="2020-01-15T00:00:00"/>
    <s v="C"/>
    <n v="75"/>
    <s v="alice.powers@saltcorp.com"/>
    <s v="098-765-4321"/>
    <s v="contract"/>
    <s v="Contract"/>
    <m/>
    <n v="3"/>
    <n v="3"/>
    <n v="4"/>
    <d v="2023-03-05T00:00:00"/>
    <m/>
    <s v="YES"/>
    <s v="Yes"/>
    <n v="2"/>
    <s v="Yes"/>
  </r>
  <r>
    <s v="EMP-2019-0600"/>
    <s v="Alice"/>
    <s v="Anderson"/>
    <m/>
    <n v="39"/>
    <n v="1985"/>
    <n v="70000"/>
    <n v="70000"/>
    <x v="0"/>
    <s v="sales"/>
    <x v="2"/>
    <s v="Analyst"/>
    <d v="2019-12-01T00:00:00"/>
    <d v="2019-12-01T00:00:00"/>
    <s v="D"/>
    <n v="65"/>
    <s v="alice.anderson@saltcorp.com"/>
    <s v=" "/>
    <s v="contract"/>
    <s v="Contract"/>
    <m/>
    <n v="8"/>
    <s v="N/A"/>
    <m/>
    <d v="2022-06-20T00:00:00"/>
    <n v="57"/>
    <m/>
    <s v=""/>
    <n v="2"/>
    <s v="No"/>
  </r>
  <r>
    <s v="EMP-2020-0601"/>
    <s v="Eve"/>
    <s v="Carter"/>
    <n v="50"/>
    <n v="50"/>
    <n v="1974"/>
    <n v="65000"/>
    <n v="65000"/>
    <x v="0"/>
    <s v="it"/>
    <x v="3"/>
    <s v="Manager"/>
    <d v="2020-01-15T00:00:00"/>
    <d v="2020-01-15T00:00:00"/>
    <s v="F"/>
    <n v="21"/>
    <s v="eve.carter@saltcorp.com"/>
    <s v="098-765-4321"/>
    <s v="Full-Time"/>
    <s v="Full-Time"/>
    <m/>
    <n v="6"/>
    <m/>
    <m/>
    <m/>
    <n v="12"/>
    <s v="no"/>
    <s v="No"/>
    <n v="5"/>
    <s v="No"/>
  </r>
  <r>
    <s v="EMP-2020-0602"/>
    <s v="Frank"/>
    <s v="Sanchez"/>
    <n v="25"/>
    <n v="25"/>
    <n v="1999"/>
    <s v="SIXTY THOUSAND"/>
    <n v="60000"/>
    <x v="0"/>
    <s v="it"/>
    <x v="3"/>
    <s v="Director"/>
    <d v="2020-01-15T00:00:00"/>
    <d v="2020-01-15T00:00:00"/>
    <s v="B"/>
    <n v="89"/>
    <s v="frank.sanchez@saltcorp.com"/>
    <m/>
    <s v="Full-Time"/>
    <s v="Full-Time"/>
    <m/>
    <n v="1"/>
    <s v="N/A"/>
    <m/>
    <s v="N/A"/>
    <n v="55"/>
    <s v="no"/>
    <s v="No"/>
    <n v="3"/>
    <s v="No"/>
  </r>
  <r>
    <s v="EMP-2019-0603"/>
    <s v="Frank"/>
    <s v="Powers"/>
    <s v="thirty"/>
    <n v="30"/>
    <n v="1994"/>
    <n v="59500"/>
    <n v="59500"/>
    <x v="1"/>
    <s v="finance"/>
    <x v="1"/>
    <s v="Manager"/>
    <d v="2019-12-01T00:00:00"/>
    <d v="2019-12-01T00:00:00"/>
    <s v="F"/>
    <n v="31"/>
    <s v="frank.powers@saltcorp.com"/>
    <s v="098-765-4321"/>
    <s v="Full-Time"/>
    <s v="Full-Time"/>
    <s v="EMP-2018-0076"/>
    <n v="4"/>
    <m/>
    <m/>
    <d v="2022-06-20T00:00:00"/>
    <m/>
    <m/>
    <s v=""/>
    <n v="4"/>
    <s v="No"/>
  </r>
  <r>
    <s v="EMP-2020-0604"/>
    <s v="Charlie"/>
    <s v="Clark"/>
    <n v="50"/>
    <n v="50"/>
    <n v="1974"/>
    <n v="50000"/>
    <n v="50000"/>
    <x v="0"/>
    <s v="sales"/>
    <x v="2"/>
    <s v="Analyst"/>
    <d v="2020-01-15T00:00:00"/>
    <d v="2020-01-15T00:00:00"/>
    <s v="A"/>
    <n v="93"/>
    <s v="charlie.clark@saltcorp.com"/>
    <s v="098-765-4321"/>
    <s v="contract"/>
    <s v="Contract"/>
    <s v="EMP-2020-0051"/>
    <n v="8"/>
    <m/>
    <m/>
    <d v="2023-03-05T00:00:00"/>
    <m/>
    <s v="no"/>
    <s v="No"/>
    <n v="2"/>
    <s v="No"/>
  </r>
  <r>
    <s v="EMP-2020-0605"/>
    <s v="Grace"/>
    <s v="Hanson"/>
    <n v="25"/>
    <n v="25"/>
    <n v="1999"/>
    <n v="70000"/>
    <n v="70000"/>
    <x v="1"/>
    <s v="HR"/>
    <x v="0"/>
    <s v="Director"/>
    <d v="2020-02-20T00:00:00"/>
    <d v="2020-02-20T00:00:00"/>
    <s v="B"/>
    <n v="89"/>
    <s v="grace.hanson@saltcorp.com"/>
    <s v="098-765-4321"/>
    <s v="contract"/>
    <s v="Contract"/>
    <m/>
    <n v="4"/>
    <m/>
    <m/>
    <d v="2023-01-15T00:00:00"/>
    <n v="76"/>
    <s v="YES"/>
    <s v="Yes"/>
    <n v="1"/>
    <s v="Yes"/>
  </r>
  <r>
    <s v="EMP-2020-0606"/>
    <s v="Ivy"/>
    <s v="Singh"/>
    <n v="50"/>
    <n v="50"/>
    <n v="1974"/>
    <s v="SIXTY THOUSAND"/>
    <n v="60000"/>
    <x v="1"/>
    <s v="it"/>
    <x v="3"/>
    <s v="Director"/>
    <d v="2020-01-15T00:00:00"/>
    <d v="2020-01-15T00:00:00"/>
    <s v="C"/>
    <n v="73"/>
    <s v="ivy.singh@saltcorp.com"/>
    <s v="098-765-4321"/>
    <s v="contract"/>
    <s v="Contract"/>
    <m/>
    <n v="2"/>
    <m/>
    <m/>
    <m/>
    <n v="33"/>
    <m/>
    <s v=""/>
    <n v="5"/>
    <s v="No"/>
  </r>
  <r>
    <s v="EMP-2018-0607"/>
    <s v="Jack"/>
    <s v="Walsh"/>
    <s v="thirty"/>
    <n v="30"/>
    <n v="1994"/>
    <n v="55000"/>
    <n v="55000"/>
    <x v="1"/>
    <s v="sales"/>
    <x v="2"/>
    <s v="Manager"/>
    <d v="2018-04-05T00:00:00"/>
    <d v="2018-04-05T00:00:00"/>
    <s v="D"/>
    <n v="62"/>
    <s v="jack.walsh@saltcorp.com"/>
    <s v="123-456-7890"/>
    <s v="Part-Time"/>
    <s v="Part-Time"/>
    <m/>
    <n v="5"/>
    <n v="10"/>
    <m/>
    <m/>
    <m/>
    <s v="YES"/>
    <s v="Yes"/>
    <n v="2"/>
    <s v="Yes"/>
  </r>
  <r>
    <s v="EMP-2020-0608"/>
    <s v="Hannah"/>
    <s v="Long"/>
    <n v="35"/>
    <n v="35"/>
    <n v="1989"/>
    <n v="58300"/>
    <n v="58300"/>
    <x v="1"/>
    <s v="sales"/>
    <x v="2"/>
    <s v="Assistant"/>
    <d v="2020-01-15T00:00:00"/>
    <d v="2020-01-15T00:00:00"/>
    <s v="D"/>
    <n v="61"/>
    <s v="hannah.long@saltcorp.com"/>
    <s v=" "/>
    <s v="Full-Time"/>
    <s v="Full-Time"/>
    <m/>
    <n v="6"/>
    <n v="11"/>
    <m/>
    <d v="2024-08-12T00:00:00"/>
    <n v="54"/>
    <s v="YES"/>
    <s v="Yes"/>
    <n v="2"/>
    <s v="Yes"/>
  </r>
  <r>
    <s v="EMP-2018-0609"/>
    <s v="Frank"/>
    <s v="Ramirez"/>
    <s v="thirty"/>
    <n v="30"/>
    <n v="1994"/>
    <n v="50000"/>
    <n v="50000"/>
    <x v="0"/>
    <s v="HR"/>
    <x v="0"/>
    <s v="Analyst"/>
    <d v="2018-04-05T00:00:00"/>
    <d v="2018-04-05T00:00:00"/>
    <s v="C"/>
    <n v="77"/>
    <s v="frank.ramirez@saltcorp.com"/>
    <m/>
    <s v="contract"/>
    <s v="Contract"/>
    <s v="EMP-2019-0030"/>
    <n v="4"/>
    <s v="N/A"/>
    <m/>
    <m/>
    <n v="42"/>
    <s v="YES"/>
    <s v="Yes"/>
    <n v="1"/>
    <s v="Yes"/>
  </r>
  <r>
    <s v="EMP-2020-0610"/>
    <s v="Hannah"/>
    <s v="Ross"/>
    <s v="thirty"/>
    <n v="30"/>
    <n v="1994"/>
    <n v="65000"/>
    <n v="65000"/>
    <x v="1"/>
    <s v="sales"/>
    <x v="2"/>
    <s v="Clerk"/>
    <d v="2020-01-15T00:00:00"/>
    <d v="2020-01-15T00:00:00"/>
    <s v="A"/>
    <n v="94"/>
    <s v="hannah.ross@saltcorp.com"/>
    <s v=" "/>
    <s v="Full-Time"/>
    <s v="Full-Time"/>
    <m/>
    <n v="1"/>
    <m/>
    <m/>
    <m/>
    <m/>
    <s v="YES"/>
    <s v="Yes"/>
    <n v="2"/>
    <s v="No"/>
  </r>
  <r>
    <s v="EMP-2020-0611"/>
    <s v="Eve"/>
    <s v="Cooper"/>
    <n v="50"/>
    <n v="50"/>
    <n v="1974"/>
    <n v="50000"/>
    <n v="50000"/>
    <x v="1"/>
    <s v="sales"/>
    <x v="2"/>
    <s v="Clerk"/>
    <d v="2020-01-15T00:00:00"/>
    <d v="2020-01-15T00:00:00"/>
    <s v="C"/>
    <n v="78"/>
    <s v="eve.cooper@saltcorp.com"/>
    <s v="123-456-7890"/>
    <s v="Part-Time"/>
    <s v="Part-Time"/>
    <m/>
    <n v="4"/>
    <m/>
    <n v="17"/>
    <d v="2023-03-05T00:00:00"/>
    <m/>
    <s v="YES"/>
    <s v="Yes"/>
    <n v="5"/>
    <s v="No"/>
  </r>
  <r>
    <s v="EMP-2019-0612"/>
    <s v="Hannah"/>
    <s v="Powell"/>
    <n v="40"/>
    <n v="40"/>
    <n v="1984"/>
    <n v="55000"/>
    <n v="55000"/>
    <x v="1"/>
    <s v="sales"/>
    <x v="2"/>
    <s v="Manager"/>
    <d v="2019-12-01T00:00:00"/>
    <d v="2019-12-01T00:00:00"/>
    <s v="A"/>
    <n v="96"/>
    <s v="hannah.powell@saltcorp.com"/>
    <s v="123-456-7890"/>
    <s v="contract"/>
    <s v="Contract"/>
    <m/>
    <n v="6"/>
    <m/>
    <m/>
    <d v="2021-10-01T00:00:00"/>
    <n v="10"/>
    <s v="YES"/>
    <s v="Yes"/>
    <n v="4"/>
    <s v="No"/>
  </r>
  <r>
    <s v="EMP-2020-0613"/>
    <s v="Jack"/>
    <s v="Dixon"/>
    <m/>
    <n v="31"/>
    <n v="1993"/>
    <n v="70000"/>
    <n v="70000"/>
    <x v="1"/>
    <s v="it"/>
    <x v="3"/>
    <s v="Analyst"/>
    <d v="2020-02-20T00:00:00"/>
    <d v="2020-02-20T00:00:00"/>
    <s v="B"/>
    <n v="81"/>
    <s v="jack.dixon@saltcorp.com"/>
    <s v="123-456-7890"/>
    <s v="Full-Time"/>
    <s v="Full-Time"/>
    <m/>
    <n v="7"/>
    <m/>
    <n v="12"/>
    <d v="2023-03-05T00:00:00"/>
    <n v="79"/>
    <s v="YES"/>
    <s v="Yes"/>
    <n v="1"/>
    <s v="Yes"/>
  </r>
  <r>
    <s v="EMP-2020-0614"/>
    <s v="David"/>
    <s v="Murphy"/>
    <m/>
    <n v="39"/>
    <n v="1985"/>
    <n v="70000"/>
    <n v="70000"/>
    <x v="1"/>
    <s v="HR"/>
    <x v="0"/>
    <s v="Analyst"/>
    <d v="2020-02-20T00:00:00"/>
    <d v="2020-02-20T00:00:00"/>
    <s v="C"/>
    <n v="70"/>
    <s v="david.murphy@saltcorp.com"/>
    <s v="123-456-7890"/>
    <s v="Full-Time"/>
    <s v="Full-Time"/>
    <m/>
    <n v="8"/>
    <m/>
    <m/>
    <d v="2024-08-12T00:00:00"/>
    <m/>
    <s v="YES"/>
    <s v="Yes"/>
    <n v="4"/>
    <s v="Yes"/>
  </r>
  <r>
    <s v="EMP-2019-0615"/>
    <s v="Jack"/>
    <s v="Sullivan"/>
    <n v="35"/>
    <n v="35"/>
    <n v="1989"/>
    <n v="61500"/>
    <n v="61500"/>
    <x v="1"/>
    <s v="sales"/>
    <x v="2"/>
    <s v="Manager"/>
    <d v="2019-03-25T00:00:00"/>
    <d v="2019-03-25T00:00:00"/>
    <s v="A"/>
    <n v="96"/>
    <s v="jack.sullivan@saltcorp.com"/>
    <s v="098-765-4321"/>
    <s v="contract"/>
    <s v="Contract"/>
    <s v="EMP-2020-0038"/>
    <n v="8"/>
    <m/>
    <m/>
    <d v="2021-10-01T00:00:00"/>
    <m/>
    <s v="YES"/>
    <s v="Yes"/>
    <n v="4"/>
    <s v="No"/>
  </r>
  <r>
    <s v="EMP-2019-0616"/>
    <s v="Hannah"/>
    <s v="Hughes"/>
    <n v="35"/>
    <n v="35"/>
    <n v="1989"/>
    <n v="70000"/>
    <n v="70000"/>
    <x v="1"/>
    <s v="sales"/>
    <x v="2"/>
    <s v="Analyst"/>
    <d v="2019-12-01T00:00:00"/>
    <d v="2019-12-01T00:00:00"/>
    <s v="B"/>
    <n v="82"/>
    <s v="hannah.hughes@saltcorp.com"/>
    <s v=" "/>
    <s v="Part-Time"/>
    <s v="Part-Time"/>
    <s v="EMP-2018-0035"/>
    <n v="1"/>
    <s v="N/A"/>
    <n v="10"/>
    <m/>
    <m/>
    <s v="no"/>
    <s v="No"/>
    <n v="5"/>
    <s v="No"/>
  </r>
  <r>
    <s v="EMP-2019-0617"/>
    <s v="Jack"/>
    <s v="O'Connor"/>
    <m/>
    <n v="34"/>
    <n v="1990"/>
    <n v="59800"/>
    <n v="59800"/>
    <x v="0"/>
    <s v="it"/>
    <x v="3"/>
    <s v="Assistant"/>
    <d v="2019-12-01T00:00:00"/>
    <d v="2019-12-01T00:00:00"/>
    <s v="C"/>
    <n v="74"/>
    <s v="jack.o'connor@saltcorp.com"/>
    <s v="555-555-5555"/>
    <s v="Part-Time"/>
    <s v="Part-Time"/>
    <m/>
    <n v="1"/>
    <m/>
    <n v="9"/>
    <m/>
    <m/>
    <s v="YES"/>
    <s v="Yes"/>
    <n v="3"/>
    <s v="No"/>
  </r>
  <r>
    <s v="EMP-2020-0618"/>
    <s v="Bob"/>
    <s v="Olson"/>
    <n v="40"/>
    <n v="40"/>
    <n v="1984"/>
    <n v="59000"/>
    <n v="59000"/>
    <x v="1"/>
    <s v="HR"/>
    <x v="0"/>
    <s v="Manager"/>
    <d v="2020-02-20T00:00:00"/>
    <d v="2020-02-20T00:00:00"/>
    <s v="D"/>
    <n v="64"/>
    <s v="bob.olson@saltcorp.com"/>
    <m/>
    <s v="contract"/>
    <s v="Contract"/>
    <s v="EMP-2019-0014"/>
    <n v="6"/>
    <n v="15"/>
    <m/>
    <d v="2024-08-12T00:00:00"/>
    <m/>
    <s v="YES"/>
    <s v="Yes"/>
    <n v="2"/>
    <s v="No"/>
  </r>
  <r>
    <s v="EMP-2019-0619"/>
    <s v="Eve"/>
    <s v="Parker"/>
    <m/>
    <n v="33"/>
    <n v="1991"/>
    <n v="58500"/>
    <n v="58500"/>
    <x v="0"/>
    <s v="finance"/>
    <x v="1"/>
    <s v="Assistant"/>
    <d v="2019-12-01T00:00:00"/>
    <d v="2019-12-01T00:00:00"/>
    <s v="C"/>
    <n v="71"/>
    <s v="eve.parker@saltcorp.com"/>
    <s v="123-456-7890"/>
    <s v="Full-Time"/>
    <s v="Full-Time"/>
    <m/>
    <n v="2"/>
    <s v="N/A"/>
    <m/>
    <m/>
    <m/>
    <s v="no"/>
    <s v="No"/>
    <n v="2"/>
    <s v="No"/>
  </r>
  <r>
    <s v="EMP-2020-0620"/>
    <s v="Ivy"/>
    <s v="Sharma"/>
    <n v="40"/>
    <n v="40"/>
    <n v="1984"/>
    <n v="65000"/>
    <n v="65000"/>
    <x v="1"/>
    <s v="it"/>
    <x v="3"/>
    <s v="Analyst"/>
    <d v="2020-02-20T00:00:00"/>
    <d v="2020-02-20T00:00:00"/>
    <s v="F"/>
    <n v="12"/>
    <s v="ivy.sharma@saltcorp.com"/>
    <s v=" "/>
    <s v="Full-Time"/>
    <s v="Full-Time"/>
    <s v="EMP-2018-0017"/>
    <n v="5"/>
    <m/>
    <m/>
    <m/>
    <m/>
    <s v="no"/>
    <s v="No"/>
    <n v="3"/>
    <s v="No"/>
  </r>
  <r>
    <s v="EMP-2019-0621"/>
    <s v="David"/>
    <s v="Kim"/>
    <n v="35"/>
    <n v="35"/>
    <n v="1989"/>
    <s v="SIXTY THOUSAND"/>
    <n v="60000"/>
    <x v="1"/>
    <s v="HR"/>
    <x v="0"/>
    <s v="Manager"/>
    <d v="2019-12-01T00:00:00"/>
    <d v="2019-12-01T00:00:00"/>
    <s v="C"/>
    <n v="72"/>
    <s v="david.kim@saltcorp.com"/>
    <s v="123-456-7890"/>
    <s v="Part-Time"/>
    <s v="Part-Time"/>
    <m/>
    <n v="5"/>
    <m/>
    <m/>
    <m/>
    <n v="41"/>
    <s v="no"/>
    <s v="No"/>
    <n v="2"/>
    <s v="No"/>
  </r>
  <r>
    <s v="EMP-2020-0622"/>
    <s v="Frank"/>
    <s v="Gonzalez"/>
    <n v="25"/>
    <n v="25"/>
    <n v="1999"/>
    <n v="60000"/>
    <n v="60000"/>
    <x v="0"/>
    <s v="sales"/>
    <x v="2"/>
    <s v="Analyst"/>
    <d v="2020-01-15T00:00:00"/>
    <d v="2020-01-15T00:00:00"/>
    <s v="F"/>
    <n v="51"/>
    <s v="frank.gonzalez@saltcorp.com"/>
    <s v="123-456-7890"/>
    <s v="Full-Time"/>
    <s v="Full-Time"/>
    <s v="EMP-2018-0004"/>
    <n v="3"/>
    <s v="N/A"/>
    <m/>
    <m/>
    <m/>
    <m/>
    <s v=""/>
    <n v="1"/>
    <s v="Yes"/>
  </r>
  <r>
    <s v="EMP-2020-0623"/>
    <s v="Alice"/>
    <s v="Navarro"/>
    <n v="50"/>
    <n v="50"/>
    <n v="1974"/>
    <n v="59000"/>
    <n v="59000"/>
    <x v="1"/>
    <s v="HR"/>
    <x v="0"/>
    <s v="Manager"/>
    <d v="2020-02-20T00:00:00"/>
    <d v="2020-02-20T00:00:00"/>
    <s v="B"/>
    <n v="87"/>
    <s v="alice.navarro@saltcorp.com"/>
    <s v="123-456-7890"/>
    <s v="contract"/>
    <s v="Contract"/>
    <m/>
    <n v="7"/>
    <m/>
    <n v="6"/>
    <d v="2023-01-15T00:00:00"/>
    <n v="10"/>
    <s v="no"/>
    <s v="No"/>
    <n v="3"/>
    <s v="Yes"/>
  </r>
  <r>
    <s v="EMP-2020-0624"/>
    <s v="Ivy"/>
    <s v="Byrd"/>
    <n v="35"/>
    <n v="35"/>
    <n v="1989"/>
    <s v="SIXTY THOUSAND"/>
    <n v="60000"/>
    <x v="1"/>
    <s v="HR"/>
    <x v="0"/>
    <s v="Analyst"/>
    <d v="2020-02-20T00:00:00"/>
    <d v="2020-02-20T00:00:00"/>
    <s v="C"/>
    <n v="72"/>
    <s v="ivy.byrd@saltcorp.com"/>
    <s v="123-456-7890"/>
    <s v="contract"/>
    <s v="Contract"/>
    <m/>
    <n v="7"/>
    <n v="2"/>
    <m/>
    <m/>
    <m/>
    <m/>
    <s v=""/>
    <n v="1"/>
    <s v="No"/>
  </r>
  <r>
    <s v="EMP-2018-0625"/>
    <s v="Alice"/>
    <s v="Lee"/>
    <n v="35"/>
    <n v="35"/>
    <n v="1989"/>
    <n v="50000"/>
    <n v="50000"/>
    <x v="1"/>
    <s v="HR"/>
    <x v="0"/>
    <s v="Assistant"/>
    <d v="2018-04-05T00:00:00"/>
    <d v="2018-04-05T00:00:00"/>
    <s v="B"/>
    <n v="83"/>
    <s v="alice.lee@saltcorp.com"/>
    <s v="123-456-7890"/>
    <s v="Full-Time"/>
    <s v="Full-Time"/>
    <m/>
    <n v="6"/>
    <m/>
    <m/>
    <m/>
    <m/>
    <m/>
    <s v=""/>
    <n v="3"/>
    <s v="No"/>
  </r>
  <r>
    <s v="EMP-2019-0626"/>
    <s v="Eve"/>
    <s v="Turner"/>
    <s v="thirty"/>
    <n v="30"/>
    <n v="1994"/>
    <n v="58500"/>
    <n v="58500"/>
    <x v="1"/>
    <s v="finance"/>
    <x v="1"/>
    <s v="Assistant"/>
    <d v="2019-12-01T00:00:00"/>
    <d v="2019-12-01T00:00:00"/>
    <s v="B"/>
    <n v="85"/>
    <s v="eve.turner@saltcorp.com"/>
    <m/>
    <s v="contract"/>
    <s v="Contract"/>
    <m/>
    <n v="2"/>
    <n v="6"/>
    <n v="4"/>
    <d v="2021-10-01T00:00:00"/>
    <m/>
    <s v="YES"/>
    <s v="Yes"/>
    <n v="5"/>
    <s v="Yes"/>
  </r>
  <r>
    <s v="EMP-2019-0627"/>
    <s v="David"/>
    <s v="Gomez"/>
    <s v="thirty"/>
    <n v="30"/>
    <n v="1994"/>
    <n v="65000"/>
    <n v="65000"/>
    <x v="1"/>
    <s v="HR"/>
    <x v="0"/>
    <s v="Analyst"/>
    <d v="2019-12-01T00:00:00"/>
    <d v="2019-12-01T00:00:00"/>
    <s v="A"/>
    <n v="93"/>
    <s v="david.gomez@saltcorp.com"/>
    <s v=" "/>
    <s v="Full-Time"/>
    <s v="Full-Time"/>
    <m/>
    <n v="5"/>
    <s v="N/A"/>
    <n v="4"/>
    <s v="N/A"/>
    <m/>
    <s v="YES"/>
    <s v="Yes"/>
    <n v="1"/>
    <s v="No"/>
  </r>
  <r>
    <s v="EMP-2020-0628"/>
    <s v="Charlie"/>
    <s v="Vega"/>
    <s v="thirty"/>
    <n v="30"/>
    <n v="1994"/>
    <n v="70000"/>
    <n v="70000"/>
    <x v="1"/>
    <s v="finance"/>
    <x v="1"/>
    <s v="Manager"/>
    <d v="2020-02-20T00:00:00"/>
    <d v="2020-02-20T00:00:00"/>
    <s v="B"/>
    <n v="85"/>
    <s v="charlie.vega@saltcorp.com"/>
    <s v="123-456-7890"/>
    <s v="Part-Time"/>
    <s v="Part-Time"/>
    <m/>
    <n v="7"/>
    <n v="14"/>
    <n v="6"/>
    <m/>
    <m/>
    <s v="YES"/>
    <s v="Yes"/>
    <n v="3"/>
    <s v="No"/>
  </r>
  <r>
    <s v="EMP-2020-0629"/>
    <s v="Frank"/>
    <s v="Perez"/>
    <n v="50"/>
    <n v="50"/>
    <n v="1974"/>
    <n v="70000"/>
    <n v="70000"/>
    <x v="0"/>
    <s v="sales"/>
    <x v="2"/>
    <s v="Clerk"/>
    <d v="2020-01-15T00:00:00"/>
    <d v="2020-01-15T00:00:00"/>
    <s v="B"/>
    <n v="88"/>
    <s v="frank.perez@saltcorp.com"/>
    <s v="123-456-7890"/>
    <s v="Part-Time"/>
    <s v="Part-Time"/>
    <m/>
    <n v="4"/>
    <n v="2"/>
    <m/>
    <d v="2023-01-15T00:00:00"/>
    <m/>
    <s v="YES"/>
    <s v="Yes"/>
    <n v="2"/>
    <s v="Yes"/>
  </r>
  <r>
    <s v="EMP-2020-0630"/>
    <s v="Bob"/>
    <s v="Miller"/>
    <s v="thirty"/>
    <n v="30"/>
    <n v="1994"/>
    <n v="55000"/>
    <n v="55000"/>
    <x v="0"/>
    <s v="finance"/>
    <x v="1"/>
    <s v="Assistant"/>
    <d v="2020-01-15T00:00:00"/>
    <d v="2020-01-15T00:00:00"/>
    <s v="C"/>
    <n v="77"/>
    <s v="bob.miller@saltcorp.com"/>
    <s v="123-456-7890"/>
    <s v="Full-Time"/>
    <s v="Full-Time"/>
    <m/>
    <n v="7"/>
    <m/>
    <n v="13"/>
    <s v="N/A"/>
    <n v="8"/>
    <s v="YES"/>
    <s v="Yes"/>
    <n v="3"/>
    <s v="No"/>
  </r>
  <r>
    <s v="EMP-2020-0631"/>
    <s v="Charlie"/>
    <s v="Ward"/>
    <n v="40"/>
    <n v="40"/>
    <n v="1984"/>
    <n v="55000"/>
    <n v="55000"/>
    <x v="1"/>
    <s v="sales"/>
    <x v="2"/>
    <s v="Assistant"/>
    <d v="2020-01-15T00:00:00"/>
    <d v="2020-01-15T00:00:00"/>
    <s v="C"/>
    <n v="77"/>
    <s v="charlie.ward@saltcorp.com"/>
    <s v="123-456-7890"/>
    <s v="Full-Time"/>
    <s v="Full-Time"/>
    <s v="EMP-2019-0062"/>
    <n v="6"/>
    <s v="N/A"/>
    <m/>
    <s v="N/A"/>
    <m/>
    <s v="YES"/>
    <s v="Yes"/>
    <n v="1"/>
    <s v="Yes"/>
  </r>
  <r>
    <s v="EMP-2019-0632"/>
    <s v="Eve"/>
    <s v="Cooper"/>
    <m/>
    <n v="33"/>
    <n v="1991"/>
    <n v="70000"/>
    <n v="70000"/>
    <x v="1"/>
    <s v="sales"/>
    <x v="2"/>
    <s v="Clerk"/>
    <d v="2019-12-01T00:00:00"/>
    <d v="2019-12-01T00:00:00"/>
    <s v="D"/>
    <n v="62"/>
    <s v="eve.cooper@saltcorp.com"/>
    <s v="098-765-4321"/>
    <s v="Part-Time"/>
    <s v="Part-Time"/>
    <m/>
    <n v="6"/>
    <s v="N/A"/>
    <m/>
    <d v="2022-06-20T00:00:00"/>
    <n v="46"/>
    <s v="no"/>
    <s v="No"/>
    <n v="5"/>
    <s v="No"/>
  </r>
  <r>
    <s v="EMP-2018-0633"/>
    <s v="Ivy"/>
    <s v="Reddy"/>
    <n v="25"/>
    <n v="25"/>
    <n v="1999"/>
    <n v="70000"/>
    <n v="70000"/>
    <x v="1"/>
    <s v="finance"/>
    <x v="1"/>
    <s v="Analyst"/>
    <d v="2018-04-05T00:00:00"/>
    <d v="2018-04-05T00:00:00"/>
    <s v="A"/>
    <n v="96"/>
    <s v="ivy.reddy@saltcorp.com"/>
    <s v="098-765-4321"/>
    <s v="Part-Time"/>
    <s v="Part-Time"/>
    <m/>
    <n v="8"/>
    <s v="N/A"/>
    <n v="7"/>
    <m/>
    <m/>
    <s v="no"/>
    <s v="No"/>
    <n v="1"/>
    <s v="Yes"/>
  </r>
  <r>
    <s v="EMP-2020-0634"/>
    <s v="Bob"/>
    <s v="Miller"/>
    <n v="35"/>
    <n v="35"/>
    <n v="1989"/>
    <n v="65000"/>
    <n v="65000"/>
    <x v="0"/>
    <s v="it"/>
    <x v="3"/>
    <s v="Manager"/>
    <d v="2020-02-20T00:00:00"/>
    <d v="2020-02-20T00:00:00"/>
    <s v="B"/>
    <n v="89"/>
    <s v="bob.miller@saltcorp.com"/>
    <s v="555-555-5555"/>
    <s v="contract"/>
    <s v="Contract"/>
    <m/>
    <n v="8"/>
    <m/>
    <m/>
    <m/>
    <n v="67"/>
    <m/>
    <s v=""/>
    <n v="4"/>
    <s v="No"/>
  </r>
  <r>
    <s v="EMP-2019-0635"/>
    <s v="Jack"/>
    <s v="Harrison"/>
    <n v="40"/>
    <n v="40"/>
    <n v="1984"/>
    <s v="SIXTY THOUSAND"/>
    <n v="60000"/>
    <x v="0"/>
    <s v="Marketing"/>
    <x v="4"/>
    <s v="Analyst"/>
    <d v="2019-03-25T00:00:00"/>
    <d v="2019-03-25T00:00:00"/>
    <s v="A"/>
    <n v="96"/>
    <s v="jack.harrison@saltcorp.com"/>
    <s v="123-456-7890"/>
    <s v="Full-Time"/>
    <s v="Full-Time"/>
    <m/>
    <n v="1"/>
    <m/>
    <n v="15"/>
    <m/>
    <n v="41"/>
    <s v="YES"/>
    <s v="Yes"/>
    <n v="2"/>
    <s v="Yes"/>
  </r>
  <r>
    <s v="EMP-2018-0636"/>
    <s v="Hannah"/>
    <s v="Gray"/>
    <n v="25"/>
    <n v="25"/>
    <n v="1999"/>
    <n v="55000"/>
    <n v="55000"/>
    <x v="0"/>
    <s v="HR"/>
    <x v="0"/>
    <s v="Director"/>
    <d v="2018-04-05T00:00:00"/>
    <d v="2018-04-05T00:00:00"/>
    <s v="F"/>
    <n v="49"/>
    <s v="hannah.gray@saltcorp.com"/>
    <s v="555-555-5555"/>
    <s v="contract"/>
    <s v="Contract"/>
    <m/>
    <n v="3"/>
    <n v="9"/>
    <m/>
    <m/>
    <n v="5"/>
    <s v="YES"/>
    <s v="Yes"/>
    <n v="5"/>
    <s v="Yes"/>
  </r>
  <r>
    <s v="EMP-2019-0637"/>
    <s v="Bob"/>
    <s v="Miller"/>
    <n v="40"/>
    <n v="40"/>
    <n v="1984"/>
    <s v="SIXTY THOUSAND"/>
    <n v="60000"/>
    <x v="0"/>
    <s v="Marketing"/>
    <x v="4"/>
    <s v="Assistant"/>
    <d v="2019-03-25T00:00:00"/>
    <d v="2019-03-25T00:00:00"/>
    <s v="B"/>
    <n v="85"/>
    <s v="bob.miller@saltcorp.com"/>
    <m/>
    <s v="Full-Time"/>
    <s v="Full-Time"/>
    <m/>
    <n v="8"/>
    <s v="N/A"/>
    <n v="3"/>
    <d v="2023-03-05T00:00:00"/>
    <m/>
    <s v="YES"/>
    <s v="Yes"/>
    <n v="5"/>
    <s v="Yes"/>
  </r>
  <r>
    <s v="EMP-2018-0638"/>
    <s v="Eve"/>
    <s v="Aguilar"/>
    <n v="40"/>
    <n v="40"/>
    <n v="1984"/>
    <n v="65000"/>
    <n v="65000"/>
    <x v="1"/>
    <s v="HR"/>
    <x v="0"/>
    <s v="Director"/>
    <d v="2018-04-05T00:00:00"/>
    <d v="2018-04-05T00:00:00"/>
    <s v="A"/>
    <n v="99"/>
    <s v="eve.aguilar@saltcorp.com"/>
    <s v="555-555-5555"/>
    <s v="Full-Time"/>
    <s v="Full-Time"/>
    <m/>
    <n v="3"/>
    <m/>
    <m/>
    <m/>
    <m/>
    <s v="YES"/>
    <s v="Yes"/>
    <n v="3"/>
    <s v="No"/>
  </r>
  <r>
    <s v="EMP-2020-0639"/>
    <s v="Grace"/>
    <s v="Mason"/>
    <n v="35"/>
    <n v="35"/>
    <n v="1989"/>
    <n v="70000"/>
    <n v="70000"/>
    <x v="0"/>
    <s v="HR"/>
    <x v="0"/>
    <s v="Assistant"/>
    <d v="2020-01-15T00:00:00"/>
    <d v="2020-01-15T00:00:00"/>
    <s v="D"/>
    <n v="63"/>
    <s v="grace.mason@saltcorp.com"/>
    <s v=" "/>
    <s v="Part-Time"/>
    <s v="Part-Time"/>
    <m/>
    <n v="4"/>
    <m/>
    <m/>
    <m/>
    <m/>
    <s v="no"/>
    <s v="No"/>
    <n v="3"/>
    <s v="No"/>
  </r>
  <r>
    <s v="EMP-2019-0640"/>
    <s v="Hannah"/>
    <s v="Bell"/>
    <m/>
    <n v="26"/>
    <n v="1998"/>
    <n v="58300"/>
    <n v="58300"/>
    <x v="0"/>
    <s v="sales"/>
    <x v="2"/>
    <s v="Assistant"/>
    <d v="2019-12-01T00:00:00"/>
    <d v="2019-12-01T00:00:00"/>
    <s v="D"/>
    <n v="69"/>
    <s v="hannah.bell@saltcorp.com"/>
    <s v="098-765-4321"/>
    <s v="Full-Time"/>
    <s v="Full-Time"/>
    <m/>
    <n v="2"/>
    <m/>
    <n v="6"/>
    <m/>
    <m/>
    <m/>
    <s v=""/>
    <n v="1"/>
    <s v="Yes"/>
  </r>
  <r>
    <s v="EMP-2019-0641"/>
    <s v="Alice"/>
    <s v="Olson"/>
    <s v="thirty"/>
    <n v="30"/>
    <n v="1994"/>
    <s v="SIXTY THOUSAND"/>
    <n v="60000"/>
    <x v="0"/>
    <s v="HR"/>
    <x v="0"/>
    <s v="Director"/>
    <d v="2019-03-25T00:00:00"/>
    <d v="2019-03-25T00:00:00"/>
    <s v="B"/>
    <n v="85"/>
    <s v="alice.olson@saltcorp.com"/>
    <s v="098-765-4321"/>
    <s v="Part-Time"/>
    <s v="Part-Time"/>
    <m/>
    <n v="5"/>
    <n v="3"/>
    <n v="3"/>
    <m/>
    <m/>
    <s v="YES"/>
    <s v="Yes"/>
    <n v="2"/>
    <s v="Yes"/>
  </r>
  <r>
    <s v="EMP-2018-0642"/>
    <s v="Frank"/>
    <s v="Medina"/>
    <n v="50"/>
    <n v="50"/>
    <n v="1974"/>
    <n v="70000"/>
    <n v="70000"/>
    <x v="0"/>
    <s v="HR"/>
    <x v="0"/>
    <s v="Director"/>
    <d v="2018-04-05T00:00:00"/>
    <d v="2018-04-05T00:00:00"/>
    <s v="F"/>
    <n v="22"/>
    <s v="frank.medina@saltcorp.com"/>
    <s v="123-456-7890"/>
    <s v="contract"/>
    <s v="Contract"/>
    <m/>
    <n v="4"/>
    <m/>
    <m/>
    <m/>
    <m/>
    <m/>
    <s v=""/>
    <n v="3"/>
    <s v="No"/>
  </r>
  <r>
    <s v="EMP-2019-0643"/>
    <s v="Alice"/>
    <s v="Thompson"/>
    <m/>
    <n v="35"/>
    <n v="1989"/>
    <n v="70000"/>
    <n v="70000"/>
    <x v="1"/>
    <s v="finance"/>
    <x v="1"/>
    <s v="Analyst"/>
    <d v="2019-12-01T00:00:00"/>
    <d v="2019-12-01T00:00:00"/>
    <s v="D"/>
    <n v="64"/>
    <s v="alice.thompson@saltcorp.com"/>
    <s v="123-456-7890"/>
    <s v="contract"/>
    <s v="Contract"/>
    <s v="EMP-2019-0047"/>
    <n v="3"/>
    <m/>
    <m/>
    <s v="N/A"/>
    <m/>
    <m/>
    <s v=""/>
    <n v="1"/>
    <s v="Yes"/>
  </r>
  <r>
    <s v="EMP-2019-0644"/>
    <s v="Bob"/>
    <s v="Matthews"/>
    <n v="50"/>
    <n v="50"/>
    <n v="1974"/>
    <n v="50000"/>
    <n v="50000"/>
    <x v="0"/>
    <s v="Marketing"/>
    <x v="4"/>
    <s v="Director"/>
    <d v="2019-03-25T00:00:00"/>
    <d v="2019-03-25T00:00:00"/>
    <s v="D"/>
    <n v="65"/>
    <s v="bob.matthews@saltcorp.com"/>
    <m/>
    <s v="contract"/>
    <s v="Contract"/>
    <m/>
    <n v="3"/>
    <n v="6"/>
    <m/>
    <m/>
    <n v="40"/>
    <s v="YES"/>
    <s v="Yes"/>
    <n v="3"/>
    <s v="No"/>
  </r>
  <r>
    <s v="EMP-2020-0645"/>
    <s v="Alice"/>
    <s v="Dominguez"/>
    <n v="35"/>
    <n v="35"/>
    <n v="1989"/>
    <s v="SIXTY THOUSAND"/>
    <n v="60000"/>
    <x v="1"/>
    <s v="finance"/>
    <x v="1"/>
    <s v="Analyst"/>
    <d v="2020-02-20T00:00:00"/>
    <d v="2020-02-20T00:00:00"/>
    <s v="F"/>
    <n v="30"/>
    <s v="alice.dominguez@saltcorp.com"/>
    <m/>
    <s v="contract"/>
    <s v="Contract"/>
    <m/>
    <n v="3"/>
    <m/>
    <m/>
    <d v="2022-06-20T00:00:00"/>
    <m/>
    <m/>
    <s v=""/>
    <n v="3"/>
    <s v="No"/>
  </r>
  <r>
    <s v="EMP-2018-0646"/>
    <s v="Eve"/>
    <s v="Bell"/>
    <n v="35"/>
    <n v="35"/>
    <n v="1989"/>
    <n v="60400"/>
    <n v="60400"/>
    <x v="1"/>
    <s v="HR"/>
    <x v="0"/>
    <s v="Analyst"/>
    <d v="2018-04-05T00:00:00"/>
    <d v="2018-04-05T00:00:00"/>
    <s v="A"/>
    <n v="95"/>
    <s v="eve.bell@saltcorp.com"/>
    <s v=" "/>
    <s v="contract"/>
    <s v="Contract"/>
    <m/>
    <n v="6"/>
    <m/>
    <m/>
    <m/>
    <n v="63"/>
    <m/>
    <s v=""/>
    <n v="3"/>
    <s v="No"/>
  </r>
  <r>
    <s v="EMP-2020-0647"/>
    <s v="Jack"/>
    <s v="O'Neill"/>
    <n v="35"/>
    <n v="35"/>
    <n v="1989"/>
    <s v="SIXTY THOUSAND"/>
    <n v="60000"/>
    <x v="0"/>
    <s v="sales"/>
    <x v="2"/>
    <s v="Analyst"/>
    <d v="2020-02-20T00:00:00"/>
    <d v="2020-02-20T00:00:00"/>
    <s v="D"/>
    <n v="64"/>
    <s v="jack.o'neill@saltcorp.com"/>
    <s v="123-456-7890"/>
    <s v="Part-Time"/>
    <s v="Part-Time"/>
    <m/>
    <n v="2"/>
    <s v="N/A"/>
    <m/>
    <m/>
    <m/>
    <s v="no"/>
    <s v="No"/>
    <n v="3"/>
    <s v="No"/>
  </r>
  <r>
    <s v="EMP-2020-0648"/>
    <s v="Ivy"/>
    <s v="Desai"/>
    <n v="25"/>
    <n v="25"/>
    <n v="1999"/>
    <n v="70000"/>
    <n v="70000"/>
    <x v="1"/>
    <s v="finance"/>
    <x v="1"/>
    <s v="Assistant"/>
    <d v="2020-01-15T00:00:00"/>
    <d v="2020-01-15T00:00:00"/>
    <s v="C"/>
    <n v="75"/>
    <s v="ivy.desai@saltcorp.com"/>
    <s v="123-456-7890"/>
    <s v="contract"/>
    <s v="Contract"/>
    <s v="EMP-2019-0089"/>
    <n v="4"/>
    <m/>
    <m/>
    <m/>
    <m/>
    <s v="YES"/>
    <s v="Yes"/>
    <n v="5"/>
    <s v="No"/>
  </r>
  <r>
    <s v="EMP-2020-0649"/>
    <s v="Frank"/>
    <s v="Figueroa"/>
    <n v="50"/>
    <n v="50"/>
    <n v="1974"/>
    <n v="58500"/>
    <n v="58500"/>
    <x v="0"/>
    <s v="finance"/>
    <x v="1"/>
    <s v="Assistant"/>
    <d v="2020-02-20T00:00:00"/>
    <d v="2020-02-20T00:00:00"/>
    <s v="D"/>
    <n v="62"/>
    <s v="frank.figueroa@saltcorp.com"/>
    <m/>
    <s v="Full-Time"/>
    <s v="Full-Time"/>
    <m/>
    <n v="7"/>
    <m/>
    <n v="11"/>
    <m/>
    <m/>
    <s v="YES"/>
    <s v="Yes"/>
    <n v="3"/>
    <s v="No"/>
  </r>
  <r>
    <s v="EMP-2020-0650"/>
    <s v="Alice"/>
    <s v="Rogers"/>
    <m/>
    <n v="58"/>
    <n v="1966"/>
    <n v="65000"/>
    <n v="65000"/>
    <x v="1"/>
    <s v="it"/>
    <x v="3"/>
    <s v="Director"/>
    <d v="2020-02-20T00:00:00"/>
    <d v="2020-02-20T00:00:00"/>
    <s v="A"/>
    <n v="92"/>
    <s v="alice.rogers@saltcorp.com"/>
    <m/>
    <s v="Full-Time"/>
    <s v="Full-Time"/>
    <m/>
    <n v="6"/>
    <m/>
    <n v="3"/>
    <m/>
    <n v="65"/>
    <s v="YES"/>
    <s v="Yes"/>
    <n v="4"/>
    <s v="Yes"/>
  </r>
  <r>
    <s v="EMP-2018-0651"/>
    <s v="Alice"/>
    <s v="Anderson"/>
    <m/>
    <n v="38"/>
    <n v="1986"/>
    <n v="50000"/>
    <n v="50000"/>
    <x v="1"/>
    <s v="HR"/>
    <x v="0"/>
    <s v="Assistant"/>
    <d v="2018-04-05T00:00:00"/>
    <d v="2018-04-05T00:00:00"/>
    <s v="A"/>
    <n v="93"/>
    <s v="alice.anderson@saltcorp.com"/>
    <m/>
    <s v="contract"/>
    <s v="Contract"/>
    <m/>
    <n v="2"/>
    <m/>
    <n v="16"/>
    <m/>
    <m/>
    <m/>
    <s v=""/>
    <n v="2"/>
    <s v="No"/>
  </r>
  <r>
    <s v="EMP-2020-0652"/>
    <s v="Bob"/>
    <s v="Bell"/>
    <n v="40"/>
    <n v="40"/>
    <n v="1984"/>
    <n v="70000"/>
    <n v="70000"/>
    <x v="1"/>
    <s v="sales"/>
    <x v="2"/>
    <s v="Director"/>
    <d v="2020-01-15T00:00:00"/>
    <d v="2020-01-15T00:00:00"/>
    <s v="B"/>
    <n v="86"/>
    <s v="bob.bell@saltcorp.com"/>
    <s v="098-765-4321"/>
    <s v="contract"/>
    <s v="Contract"/>
    <m/>
    <n v="8"/>
    <m/>
    <m/>
    <d v="2023-03-05T00:00:00"/>
    <n v="77"/>
    <s v="YES"/>
    <s v="Yes"/>
    <n v="5"/>
    <s v="No"/>
  </r>
  <r>
    <s v="EMP-2020-0653"/>
    <s v="Ivy"/>
    <s v="Jordan"/>
    <n v="40"/>
    <n v="40"/>
    <n v="1984"/>
    <n v="55000"/>
    <n v="55000"/>
    <x v="1"/>
    <s v="finance"/>
    <x v="1"/>
    <s v="Assistant"/>
    <d v="2020-02-20T00:00:00"/>
    <d v="2020-02-20T00:00:00"/>
    <s v="C"/>
    <n v="77"/>
    <s v="ivy.jordan@saltcorp.com"/>
    <s v="555-555-5555"/>
    <s v="Part-Time"/>
    <s v="Part-Time"/>
    <m/>
    <n v="8"/>
    <m/>
    <m/>
    <d v="2021-10-01T00:00:00"/>
    <m/>
    <s v="YES"/>
    <s v="Yes"/>
    <n v="2"/>
    <s v="No"/>
  </r>
  <r>
    <s v="EMP-2019-0654"/>
    <s v="Charlie"/>
    <s v="Moore"/>
    <n v="40"/>
    <n v="40"/>
    <n v="1984"/>
    <n v="55000"/>
    <n v="55000"/>
    <x v="0"/>
    <s v="finance"/>
    <x v="1"/>
    <s v="Manager"/>
    <d v="2019-12-01T00:00:00"/>
    <d v="2019-12-01T00:00:00"/>
    <s v="A"/>
    <n v="96"/>
    <s v="charlie.moore@saltcorp.com"/>
    <s v="555-555-5555"/>
    <s v="contract"/>
    <s v="Contract"/>
    <m/>
    <n v="8"/>
    <m/>
    <n v="12"/>
    <m/>
    <n v="55"/>
    <s v="no"/>
    <s v="No"/>
    <n v="5"/>
    <s v="Yes"/>
  </r>
  <r>
    <s v="EMP-2019-0655"/>
    <s v="Alice"/>
    <s v="Hanson"/>
    <n v="35"/>
    <n v="35"/>
    <n v="1989"/>
    <n v="50000"/>
    <n v="50000"/>
    <x v="1"/>
    <s v="sales"/>
    <x v="2"/>
    <s v="Manager"/>
    <d v="2019-03-25T00:00:00"/>
    <d v="2019-03-25T00:00:00"/>
    <s v="F"/>
    <n v="11"/>
    <s v="alice.hanson@saltcorp.com"/>
    <s v="123-456-7890"/>
    <s v="contract"/>
    <s v="Contract"/>
    <s v="EMP-2018-0014"/>
    <n v="4"/>
    <m/>
    <n v="12"/>
    <m/>
    <n v="60"/>
    <m/>
    <s v=""/>
    <n v="3"/>
    <s v="Yes"/>
  </r>
  <r>
    <s v="EMP-2020-0656"/>
    <s v="Eve"/>
    <s v="Reed"/>
    <m/>
    <n v="48"/>
    <n v="1976"/>
    <n v="65000"/>
    <n v="65000"/>
    <x v="1"/>
    <s v="HR"/>
    <x v="0"/>
    <s v="Director"/>
    <d v="2020-02-20T00:00:00"/>
    <d v="2020-02-20T00:00:00"/>
    <s v="C"/>
    <n v="73"/>
    <s v="eve.reed@saltcorp.com"/>
    <s v="098-765-4321"/>
    <s v="Full-Time"/>
    <s v="Full-Time"/>
    <m/>
    <n v="3"/>
    <m/>
    <m/>
    <m/>
    <n v="6"/>
    <s v="YES"/>
    <s v="Yes"/>
    <n v="4"/>
    <s v="No"/>
  </r>
  <r>
    <s v="EMP-2020-0657"/>
    <s v="Grace"/>
    <s v="Zhou"/>
    <n v="50"/>
    <n v="50"/>
    <n v="1974"/>
    <n v="70000"/>
    <n v="70000"/>
    <x v="1"/>
    <s v="it"/>
    <x v="3"/>
    <s v="Assistant"/>
    <d v="2020-01-15T00:00:00"/>
    <d v="2020-01-15T00:00:00"/>
    <s v="C"/>
    <n v="78"/>
    <s v="grace.zhou@saltcorp.com"/>
    <m/>
    <s v="Full-Time"/>
    <s v="Full-Time"/>
    <m/>
    <n v="7"/>
    <s v="N/A"/>
    <n v="18"/>
    <d v="2023-01-15T00:00:00"/>
    <m/>
    <m/>
    <s v=""/>
    <n v="3"/>
    <s v="Yes"/>
  </r>
  <r>
    <s v="EMP-2020-0658"/>
    <s v="Frank"/>
    <s v="Lopez"/>
    <n v="35"/>
    <n v="35"/>
    <n v="1989"/>
    <s v="SIXTY THOUSAND"/>
    <n v="60000"/>
    <x v="0"/>
    <s v="finance"/>
    <x v="1"/>
    <s v="Assistant"/>
    <d v="2020-02-20T00:00:00"/>
    <d v="2020-02-20T00:00:00"/>
    <s v="F"/>
    <n v="7"/>
    <s v="frank.lopez@saltcorp.com"/>
    <s v="123-456-7890"/>
    <s v="contract"/>
    <s v="Contract"/>
    <s v="EMP-2019-0056"/>
    <n v="1"/>
    <m/>
    <m/>
    <m/>
    <m/>
    <s v="no"/>
    <s v="No"/>
    <n v="5"/>
    <s v="No"/>
  </r>
  <r>
    <s v="EMP-2019-0659"/>
    <s v="Alice"/>
    <s v="Ward"/>
    <n v="25"/>
    <n v="25"/>
    <n v="1999"/>
    <n v="50000"/>
    <n v="50000"/>
    <x v="1"/>
    <s v="it"/>
    <x v="3"/>
    <s v="Analyst"/>
    <d v="2019-03-25T00:00:00"/>
    <d v="2019-03-25T00:00:00"/>
    <s v="D"/>
    <n v="69"/>
    <s v="alice.ward@saltcorp.com"/>
    <s v="098-765-4321"/>
    <s v="contract"/>
    <s v="Contract"/>
    <m/>
    <n v="4"/>
    <m/>
    <m/>
    <m/>
    <m/>
    <m/>
    <s v=""/>
    <n v="5"/>
    <s v="No"/>
  </r>
  <r>
    <s v="EMP-2020-0660"/>
    <s v="Eve"/>
    <s v="Mitchell"/>
    <n v="40"/>
    <n v="40"/>
    <n v="1984"/>
    <n v="65000"/>
    <n v="65000"/>
    <x v="0"/>
    <s v="Marketing"/>
    <x v="4"/>
    <s v="Clerk"/>
    <d v="2020-01-15T00:00:00"/>
    <d v="2020-01-15T00:00:00"/>
    <s v="F"/>
    <n v="5"/>
    <s v="eve.mitchell@saltcorp.com"/>
    <s v=" "/>
    <s v="Part-Time"/>
    <s v="Part-Time"/>
    <m/>
    <n v="1"/>
    <s v="N/A"/>
    <m/>
    <m/>
    <m/>
    <s v="YES"/>
    <s v="Yes"/>
    <n v="2"/>
    <s v="No"/>
  </r>
  <r>
    <s v="EMP-2018-0661"/>
    <s v="Eve"/>
    <s v="Wells"/>
    <n v="35"/>
    <n v="35"/>
    <n v="1989"/>
    <s v="SIXTY THOUSAND"/>
    <n v="60000"/>
    <x v="0"/>
    <s v="HR"/>
    <x v="0"/>
    <s v="Director"/>
    <d v="2018-04-05T00:00:00"/>
    <d v="2018-04-05T00:00:00"/>
    <s v="F"/>
    <n v="15"/>
    <s v="eve.wells@saltcorp.com"/>
    <s v="098-765-4321"/>
    <s v="contract"/>
    <s v="Contract"/>
    <m/>
    <n v="3"/>
    <n v="10"/>
    <m/>
    <d v="2023-01-15T00:00:00"/>
    <m/>
    <s v="YES"/>
    <s v="Yes"/>
    <n v="1"/>
    <s v="Yes"/>
  </r>
  <r>
    <s v="EMP-2020-0662"/>
    <s v="Frank"/>
    <s v="Le"/>
    <n v="35"/>
    <n v="35"/>
    <n v="1989"/>
    <n v="55000"/>
    <n v="55000"/>
    <x v="1"/>
    <s v="Marketing"/>
    <x v="4"/>
    <s v="Clerk"/>
    <d v="2020-01-15T00:00:00"/>
    <d v="2020-01-15T00:00:00"/>
    <s v="D"/>
    <n v="65"/>
    <s v="frank.le@saltcorp.com"/>
    <s v="123-456-7890"/>
    <s v="contract"/>
    <s v="Contract"/>
    <m/>
    <n v="3"/>
    <m/>
    <n v="8"/>
    <m/>
    <m/>
    <s v="YES"/>
    <s v="Yes"/>
    <n v="4"/>
    <s v="Yes"/>
  </r>
  <r>
    <s v="EMP-2018-0663"/>
    <s v="Charlie"/>
    <s v="Moore"/>
    <n v="25"/>
    <n v="25"/>
    <n v="1999"/>
    <n v="55000"/>
    <n v="55000"/>
    <x v="0"/>
    <s v="Marketing"/>
    <x v="4"/>
    <s v="Clerk"/>
    <d v="2018-04-05T00:00:00"/>
    <d v="2018-04-05T00:00:00"/>
    <s v="D"/>
    <n v="66"/>
    <s v="charlie.moore@saltcorp.com"/>
    <s v="555-555-5555"/>
    <s v="Full-Time"/>
    <s v="Full-Time"/>
    <m/>
    <n v="3"/>
    <m/>
    <m/>
    <d v="2024-08-12T00:00:00"/>
    <m/>
    <s v="YES"/>
    <s v="Yes"/>
    <n v="3"/>
    <s v="No"/>
  </r>
  <r>
    <s v="EMP-2020-0664"/>
    <s v="Eve"/>
    <s v="Parker"/>
    <s v="thirty"/>
    <n v="30"/>
    <n v="1994"/>
    <s v="SIXTY THOUSAND"/>
    <n v="60000"/>
    <x v="0"/>
    <s v="Marketing"/>
    <x v="4"/>
    <s v="Director"/>
    <d v="2020-01-15T00:00:00"/>
    <d v="2020-01-15T00:00:00"/>
    <s v="D"/>
    <n v="66"/>
    <s v="eve.parker@saltcorp.com"/>
    <m/>
    <s v="contract"/>
    <s v="Contract"/>
    <s v="EMP-2019-0011"/>
    <n v="1"/>
    <m/>
    <m/>
    <m/>
    <n v="62"/>
    <s v="YES"/>
    <s v="Yes"/>
    <n v="4"/>
    <s v="Yes"/>
  </r>
  <r>
    <s v="EMP-2019-0665"/>
    <s v="Grace"/>
    <s v="Aguilar"/>
    <m/>
    <n v="28"/>
    <n v="1996"/>
    <n v="50000"/>
    <n v="50000"/>
    <x v="1"/>
    <s v="HR"/>
    <x v="0"/>
    <s v="Assistant"/>
    <d v="2019-03-25T00:00:00"/>
    <d v="2019-03-25T00:00:00"/>
    <s v="D"/>
    <n v="68"/>
    <s v="grace.aguilar@saltcorp.com"/>
    <s v=" "/>
    <s v="Full-Time"/>
    <s v="Full-Time"/>
    <m/>
    <n v="3"/>
    <s v="N/A"/>
    <m/>
    <d v="2024-08-12T00:00:00"/>
    <m/>
    <s v="no"/>
    <s v="No"/>
    <n v="1"/>
    <s v="No"/>
  </r>
  <r>
    <s v="EMP-2019-0666"/>
    <s v="Eve"/>
    <s v="Young"/>
    <n v="50"/>
    <n v="50"/>
    <n v="1974"/>
    <n v="55000"/>
    <n v="55000"/>
    <x v="1"/>
    <s v="HR"/>
    <x v="0"/>
    <s v="Director"/>
    <d v="2019-03-25T00:00:00"/>
    <d v="2019-03-25T00:00:00"/>
    <s v="D"/>
    <n v="62"/>
    <s v="eve.young@saltcorp.com"/>
    <s v="098-765-4321"/>
    <s v="contract"/>
    <s v="Contract"/>
    <m/>
    <n v="1"/>
    <s v="N/A"/>
    <m/>
    <d v="2023-01-15T00:00:00"/>
    <m/>
    <s v="no"/>
    <s v="No"/>
    <n v="4"/>
    <s v="No"/>
  </r>
  <r>
    <s v="EMP-2020-0667"/>
    <s v="Eve"/>
    <s v="Parker"/>
    <s v="thirty"/>
    <n v="30"/>
    <n v="1994"/>
    <n v="70000"/>
    <n v="70000"/>
    <x v="1"/>
    <s v="sales"/>
    <x v="2"/>
    <s v="Clerk"/>
    <d v="2020-01-15T00:00:00"/>
    <d v="2020-01-15T00:00:00"/>
    <s v="F"/>
    <n v="0"/>
    <s v="eve.parker@saltcorp.com"/>
    <s v="123-456-7890"/>
    <s v="contract"/>
    <s v="Contract"/>
    <m/>
    <n v="3"/>
    <n v="10"/>
    <m/>
    <m/>
    <n v="67"/>
    <s v="YES"/>
    <s v="Yes"/>
    <n v="5"/>
    <s v="No"/>
  </r>
  <r>
    <s v="EMP-2020-0668"/>
    <s v="Eve"/>
    <s v="Reed"/>
    <n v="40"/>
    <n v="40"/>
    <n v="1984"/>
    <n v="59800"/>
    <n v="59800"/>
    <x v="1"/>
    <s v="it"/>
    <x v="3"/>
    <s v="Assistant"/>
    <d v="2020-02-20T00:00:00"/>
    <d v="2020-02-20T00:00:00"/>
    <s v="B"/>
    <n v="82"/>
    <s v="eve.reed@saltcorp.com"/>
    <s v="123-456-7890"/>
    <s v="Part-Time"/>
    <s v="Part-Time"/>
    <s v="EMP-2019-0041"/>
    <n v="5"/>
    <m/>
    <m/>
    <m/>
    <n v="52"/>
    <s v="YES"/>
    <s v="Yes"/>
    <n v="2"/>
    <s v="Yes"/>
  </r>
  <r>
    <s v="EMP-2019-0669"/>
    <s v="Jack"/>
    <s v="O'Neill"/>
    <n v="35"/>
    <n v="35"/>
    <n v="1989"/>
    <s v="SIXTY THOUSAND"/>
    <n v="60000"/>
    <x v="0"/>
    <s v="it"/>
    <x v="3"/>
    <s v="Manager"/>
    <d v="2019-03-25T00:00:00"/>
    <d v="2019-03-25T00:00:00"/>
    <s v="B"/>
    <n v="87"/>
    <s v="jack.o'neill@saltcorp.com"/>
    <m/>
    <s v="Part-Time"/>
    <s v="Part-Time"/>
    <s v="EMP-2020-0015"/>
    <n v="3"/>
    <s v="N/A"/>
    <n v="11"/>
    <m/>
    <m/>
    <s v="no"/>
    <s v="No"/>
    <n v="4"/>
    <s v="No"/>
  </r>
  <r>
    <s v="EMP-2018-0670"/>
    <s v="Jack"/>
    <s v="Mason"/>
    <n v="25"/>
    <n v="25"/>
    <n v="1999"/>
    <s v="SIXTY THOUSAND"/>
    <n v="60000"/>
    <x v="0"/>
    <s v="sales"/>
    <x v="2"/>
    <s v="Director"/>
    <d v="2018-04-05T00:00:00"/>
    <d v="2018-04-05T00:00:00"/>
    <s v="A"/>
    <n v="97"/>
    <s v="jack.mason@saltcorp.com"/>
    <s v="123-456-7890"/>
    <s v="Part-Time"/>
    <s v="Part-Time"/>
    <m/>
    <n v="7"/>
    <n v="11"/>
    <m/>
    <m/>
    <m/>
    <s v="YES"/>
    <s v="Yes"/>
    <n v="1"/>
    <s v="No"/>
  </r>
  <r>
    <s v="EMP-2018-0671"/>
    <s v="Charlie"/>
    <s v="White"/>
    <n v="25"/>
    <n v="25"/>
    <n v="1999"/>
    <n v="55000"/>
    <n v="55000"/>
    <x v="1"/>
    <s v="sales"/>
    <x v="2"/>
    <s v="Director"/>
    <d v="2018-04-05T00:00:00"/>
    <d v="2018-04-05T00:00:00"/>
    <s v="B"/>
    <n v="83"/>
    <s v="charlie.white@saltcorp.com"/>
    <s v="123-456-7890"/>
    <s v="Full-Time"/>
    <s v="Full-Time"/>
    <m/>
    <n v="1"/>
    <m/>
    <m/>
    <m/>
    <m/>
    <m/>
    <s v=""/>
    <n v="2"/>
    <s v="Yes"/>
  </r>
  <r>
    <s v="EMP-2019-0672"/>
    <s v="Alice"/>
    <s v="Santos"/>
    <m/>
    <n v="27"/>
    <n v="1997"/>
    <n v="50000"/>
    <n v="50000"/>
    <x v="1"/>
    <s v="Marketing"/>
    <x v="4"/>
    <s v="Assistant"/>
    <d v="2019-12-01T00:00:00"/>
    <d v="2019-12-01T00:00:00"/>
    <s v="B"/>
    <n v="88"/>
    <s v="alice.santos@saltcorp.com"/>
    <m/>
    <s v="contract"/>
    <s v="Contract"/>
    <m/>
    <n v="5"/>
    <m/>
    <m/>
    <m/>
    <m/>
    <s v="YES"/>
    <s v="Yes"/>
    <n v="5"/>
    <s v="No"/>
  </r>
  <r>
    <s v="EMP-2018-0673"/>
    <s v="Eve"/>
    <s v="Sims"/>
    <s v="thirty"/>
    <n v="30"/>
    <n v="1994"/>
    <n v="70000"/>
    <n v="70000"/>
    <x v="1"/>
    <s v="sales"/>
    <x v="2"/>
    <s v="Manager"/>
    <d v="2018-04-05T00:00:00"/>
    <d v="2018-04-05T00:00:00"/>
    <s v="F"/>
    <n v="32"/>
    <s v="eve.sims@saltcorp.com"/>
    <s v=" "/>
    <s v="Full-Time"/>
    <s v="Full-Time"/>
    <m/>
    <n v="2"/>
    <m/>
    <n v="1"/>
    <s v="N/A"/>
    <m/>
    <m/>
    <s v=""/>
    <n v="4"/>
    <s v="Yes"/>
  </r>
  <r>
    <s v="EMP-2019-0674"/>
    <s v="Ivy"/>
    <s v="Patel"/>
    <m/>
    <n v="48"/>
    <n v="1976"/>
    <n v="50000"/>
    <n v="50000"/>
    <x v="1"/>
    <s v="finance"/>
    <x v="1"/>
    <s v="Manager"/>
    <d v="2019-12-01T00:00:00"/>
    <d v="2019-12-01T00:00:00"/>
    <s v="D"/>
    <n v="64"/>
    <s v="ivy.patel@saltcorp.com"/>
    <s v="555-555-5555"/>
    <s v="contract"/>
    <s v="Contract"/>
    <m/>
    <n v="4"/>
    <s v="N/A"/>
    <m/>
    <m/>
    <n v="74"/>
    <s v="YES"/>
    <s v="Yes"/>
    <n v="2"/>
    <s v="No"/>
  </r>
  <r>
    <s v="EMP-2020-0675"/>
    <s v="Alice"/>
    <s v="Thompson"/>
    <n v="35"/>
    <n v="35"/>
    <n v="1989"/>
    <n v="65000"/>
    <n v="65000"/>
    <x v="1"/>
    <s v="it"/>
    <x v="3"/>
    <s v="Assistant"/>
    <d v="2020-01-15T00:00:00"/>
    <d v="2020-01-15T00:00:00"/>
    <s v="D"/>
    <n v="60"/>
    <s v="alice.thompson@saltcorp.com"/>
    <s v="555-555-5555"/>
    <s v="contract"/>
    <s v="Contract"/>
    <m/>
    <n v="8"/>
    <m/>
    <m/>
    <m/>
    <m/>
    <s v="no"/>
    <s v="No"/>
    <n v="4"/>
    <s v="No"/>
  </r>
  <r>
    <s v="EMP-2020-0676"/>
    <s v="Charlie"/>
    <s v="Figueroa"/>
    <m/>
    <n v="40"/>
    <n v="1984"/>
    <n v="65000"/>
    <n v="65000"/>
    <x v="1"/>
    <s v="sales"/>
    <x v="2"/>
    <s v="Analyst"/>
    <d v="2020-01-15T00:00:00"/>
    <d v="2020-01-15T00:00:00"/>
    <s v="F"/>
    <n v="6"/>
    <s v="charlie.figueroa@saltcorp.com"/>
    <s v="098-765-4321"/>
    <s v="Part-Time"/>
    <s v="Part-Time"/>
    <m/>
    <n v="8"/>
    <s v="N/A"/>
    <m/>
    <d v="2022-06-20T00:00:00"/>
    <m/>
    <s v="no"/>
    <s v="No"/>
    <n v="4"/>
    <s v="No"/>
  </r>
  <r>
    <s v="EMP-2020-0677"/>
    <s v="David"/>
    <s v="Walsh"/>
    <n v="50"/>
    <n v="50"/>
    <n v="1974"/>
    <n v="60300"/>
    <n v="60300"/>
    <x v="0"/>
    <s v="finance"/>
    <x v="1"/>
    <s v="Director"/>
    <d v="2020-01-15T00:00:00"/>
    <d v="2020-01-15T00:00:00"/>
    <s v="B"/>
    <n v="83"/>
    <s v="david.walsh@saltcorp.com"/>
    <s v=" "/>
    <s v="Part-Time"/>
    <s v="Part-Time"/>
    <s v="EMP-2019-0050"/>
    <n v="8"/>
    <m/>
    <n v="3"/>
    <d v="2023-01-15T00:00:00"/>
    <n v="64"/>
    <s v="no"/>
    <s v="No"/>
    <n v="4"/>
    <s v="Yes"/>
  </r>
  <r>
    <s v="EMP-2020-0678"/>
    <s v="Alice"/>
    <s v="Chen"/>
    <n v="25"/>
    <n v="25"/>
    <n v="1999"/>
    <n v="55000"/>
    <n v="55000"/>
    <x v="1"/>
    <s v="finance"/>
    <x v="1"/>
    <s v="Director"/>
    <d v="2020-02-20T00:00:00"/>
    <d v="2020-02-20T00:00:00"/>
    <s v="F"/>
    <n v="55"/>
    <s v="alice.chen@saltcorp.com"/>
    <s v="098-765-4321"/>
    <s v="Part-Time"/>
    <s v="Part-Time"/>
    <m/>
    <n v="3"/>
    <m/>
    <m/>
    <m/>
    <m/>
    <s v="no"/>
    <s v="No"/>
    <n v="2"/>
    <s v="No"/>
  </r>
  <r>
    <s v="EMP-2020-0679"/>
    <s v="Alice"/>
    <s v="Sims"/>
    <n v="25"/>
    <n v="25"/>
    <n v="1999"/>
    <n v="55000"/>
    <n v="55000"/>
    <x v="1"/>
    <s v="finance"/>
    <x v="1"/>
    <s v="Clerk"/>
    <d v="2020-02-20T00:00:00"/>
    <d v="2020-02-20T00:00:00"/>
    <s v="A"/>
    <n v="91"/>
    <s v="alice.sims@saltcorp.com"/>
    <s v="555-555-5555"/>
    <s v="contract"/>
    <s v="Contract"/>
    <s v="EMP-2018-0074"/>
    <n v="4"/>
    <n v="12"/>
    <m/>
    <m/>
    <m/>
    <s v="no"/>
    <s v="No"/>
    <n v="2"/>
    <s v="Yes"/>
  </r>
  <r>
    <s v="EMP-2019-0680"/>
    <s v="Hannah"/>
    <s v="Gray"/>
    <n v="40"/>
    <n v="40"/>
    <n v="1984"/>
    <n v="55000"/>
    <n v="55000"/>
    <x v="1"/>
    <s v="finance"/>
    <x v="1"/>
    <s v="Assistant"/>
    <d v="2019-12-01T00:00:00"/>
    <d v="2019-12-01T00:00:00"/>
    <s v="D"/>
    <n v="62"/>
    <s v="hannah.gray@saltcorp.com"/>
    <m/>
    <s v="Full-Time"/>
    <s v="Full-Time"/>
    <m/>
    <n v="7"/>
    <s v="N/A"/>
    <m/>
    <m/>
    <m/>
    <s v="YES"/>
    <s v="Yes"/>
    <n v="2"/>
    <s v="No"/>
  </r>
  <r>
    <s v="EMP-2018-0681"/>
    <s v="Bob"/>
    <s v="Gibson"/>
    <n v="40"/>
    <n v="40"/>
    <n v="1984"/>
    <n v="58600"/>
    <n v="58600"/>
    <x v="0"/>
    <s v="Marketing"/>
    <x v="4"/>
    <s v="Clerk"/>
    <d v="2018-04-05T00:00:00"/>
    <d v="2018-04-05T00:00:00"/>
    <s v="C"/>
    <n v="73"/>
    <s v="bob.gibson@saltcorp.com"/>
    <s v="123-456-7890"/>
    <s v="Part-Time"/>
    <s v="Part-Time"/>
    <m/>
    <n v="3"/>
    <m/>
    <n v="6"/>
    <d v="2021-10-01T00:00:00"/>
    <m/>
    <s v="YES"/>
    <s v="Yes"/>
    <n v="2"/>
    <s v="Yes"/>
  </r>
  <r>
    <s v="EMP-2018-0682"/>
    <s v="Hannah"/>
    <s v="Medina"/>
    <n v="35"/>
    <n v="35"/>
    <n v="1989"/>
    <n v="65000"/>
    <n v="65000"/>
    <x v="1"/>
    <s v="finance"/>
    <x v="1"/>
    <s v="Clerk"/>
    <d v="2018-04-05T00:00:00"/>
    <d v="2018-04-05T00:00:00"/>
    <s v="A"/>
    <n v="95"/>
    <s v="hannah.medina@saltcorp.com"/>
    <s v="555-555-5555"/>
    <s v="Full-Time"/>
    <s v="Full-Time"/>
    <m/>
    <n v="3"/>
    <m/>
    <m/>
    <d v="2022-06-20T00:00:00"/>
    <m/>
    <m/>
    <s v=""/>
    <n v="4"/>
    <s v="No"/>
  </r>
  <r>
    <s v="EMP-2020-0683"/>
    <s v="Grace"/>
    <s v="Gomez"/>
    <n v="50"/>
    <n v="50"/>
    <n v="1974"/>
    <n v="50000"/>
    <n v="50000"/>
    <x v="1"/>
    <s v="Marketing"/>
    <x v="4"/>
    <s v="Manager"/>
    <d v="2020-01-15T00:00:00"/>
    <d v="2020-01-15T00:00:00"/>
    <s v="A"/>
    <n v="92"/>
    <s v="grace.gomez@saltcorp.com"/>
    <s v=" "/>
    <s v="Full-Time"/>
    <s v="Full-Time"/>
    <m/>
    <n v="5"/>
    <m/>
    <n v="2"/>
    <d v="2023-01-15T00:00:00"/>
    <m/>
    <s v="no"/>
    <s v="No"/>
    <n v="4"/>
    <s v="No"/>
  </r>
  <r>
    <s v="EMP-2019-0684"/>
    <s v="Jack"/>
    <s v="Young"/>
    <s v="thirty"/>
    <n v="30"/>
    <n v="1994"/>
    <n v="60500"/>
    <n v="60500"/>
    <x v="1"/>
    <s v="Marketing"/>
    <x v="4"/>
    <s v="Director"/>
    <d v="2019-03-25T00:00:00"/>
    <d v="2019-03-25T00:00:00"/>
    <s v="F"/>
    <n v="48"/>
    <s v="jack.young@saltcorp.com"/>
    <s v="555-555-5555"/>
    <s v="contract"/>
    <s v="Contract"/>
    <m/>
    <n v="3"/>
    <m/>
    <m/>
    <d v="2024-08-12T00:00:00"/>
    <m/>
    <s v="YES"/>
    <s v="Yes"/>
    <n v="5"/>
    <s v="No"/>
  </r>
  <r>
    <s v="EMP-2020-0685"/>
    <s v="Jack"/>
    <s v="Dominguez"/>
    <m/>
    <n v="25"/>
    <n v="1999"/>
    <n v="61300"/>
    <n v="61300"/>
    <x v="1"/>
    <s v="finance"/>
    <x v="1"/>
    <s v="Clerk"/>
    <d v="2020-02-20T00:00:00"/>
    <d v="2020-02-20T00:00:00"/>
    <s v="B"/>
    <n v="80"/>
    <s v="jack.dominguez@saltcorp.com"/>
    <s v=" "/>
    <s v="contract"/>
    <s v="Contract"/>
    <m/>
    <n v="6"/>
    <m/>
    <m/>
    <m/>
    <n v="58"/>
    <s v="YES"/>
    <s v="Yes"/>
    <n v="1"/>
    <s v="No"/>
  </r>
  <r>
    <s v="EMP-2020-0686"/>
    <s v="Bob"/>
    <s v="Garcia"/>
    <n v="35"/>
    <n v="35"/>
    <n v="1989"/>
    <n v="50000"/>
    <n v="50000"/>
    <x v="0"/>
    <s v="it"/>
    <x v="3"/>
    <s v="Manager"/>
    <d v="2020-02-20T00:00:00"/>
    <d v="2020-02-20T00:00:00"/>
    <s v="D"/>
    <n v="65"/>
    <s v="bob.garcia@saltcorp.com"/>
    <s v=" "/>
    <s v="Part-Time"/>
    <s v="Part-Time"/>
    <m/>
    <n v="8"/>
    <m/>
    <n v="5"/>
    <d v="2023-01-15T00:00:00"/>
    <m/>
    <s v="YES"/>
    <s v="Yes"/>
    <n v="5"/>
    <s v="No"/>
  </r>
  <r>
    <s v="EMP-2020-0687"/>
    <s v="Frank"/>
    <s v="Mason"/>
    <n v="40"/>
    <n v="40"/>
    <n v="1984"/>
    <n v="55000"/>
    <n v="55000"/>
    <x v="0"/>
    <s v="finance"/>
    <x v="1"/>
    <s v="Assistant"/>
    <d v="2020-01-15T00:00:00"/>
    <d v="2020-01-15T00:00:00"/>
    <s v="C"/>
    <n v="77"/>
    <s v="frank.mason@saltcorp.com"/>
    <s v=" "/>
    <s v="Full-Time"/>
    <s v="Full-Time"/>
    <m/>
    <n v="2"/>
    <n v="15"/>
    <m/>
    <m/>
    <m/>
    <s v="YES"/>
    <s v="Yes"/>
    <n v="1"/>
    <s v="Yes"/>
  </r>
  <r>
    <s v="EMP-2020-0688"/>
    <s v="Frank"/>
    <s v="Flores"/>
    <m/>
    <n v="31"/>
    <n v="1993"/>
    <n v="70000"/>
    <n v="70000"/>
    <x v="1"/>
    <s v="finance"/>
    <x v="1"/>
    <s v="Clerk"/>
    <d v="2020-02-20T00:00:00"/>
    <d v="2020-02-20T00:00:00"/>
    <s v="A"/>
    <n v="100"/>
    <s v="frank.flores@saltcorp.com"/>
    <s v="098-765-4321"/>
    <s v="Full-Time"/>
    <s v="Full-Time"/>
    <s v="EMP-2019-0015"/>
    <n v="4"/>
    <s v="N/A"/>
    <n v="14"/>
    <m/>
    <m/>
    <s v="YES"/>
    <s v="Yes"/>
    <n v="3"/>
    <s v="Yes"/>
  </r>
  <r>
    <s v="EMP-2020-0689"/>
    <s v="Charlie"/>
    <s v="Byrd"/>
    <n v="40"/>
    <n v="40"/>
    <n v="1984"/>
    <n v="50000"/>
    <n v="50000"/>
    <x v="0"/>
    <s v="finance"/>
    <x v="1"/>
    <s v="Director"/>
    <d v="2020-01-15T00:00:00"/>
    <d v="2020-01-15T00:00:00"/>
    <s v="C"/>
    <n v="76"/>
    <s v="charlie.byrd@saltcorp.com"/>
    <m/>
    <s v="Part-Time"/>
    <s v="Part-Time"/>
    <m/>
    <n v="7"/>
    <n v="7"/>
    <n v="16"/>
    <m/>
    <n v="47"/>
    <s v="YES"/>
    <s v="Yes"/>
    <n v="3"/>
    <s v="No"/>
  </r>
  <r>
    <s v="EMP-2019-0690"/>
    <s v="Bob"/>
    <s v="Johnson"/>
    <m/>
    <n v="24"/>
    <n v="2000"/>
    <n v="65000"/>
    <n v="65000"/>
    <x v="0"/>
    <s v="it"/>
    <x v="3"/>
    <s v="Clerk"/>
    <d v="2019-12-01T00:00:00"/>
    <d v="2019-12-01T00:00:00"/>
    <s v="B"/>
    <n v="85"/>
    <s v="bob.johnson@saltcorp.com"/>
    <s v="555-555-5555"/>
    <s v="Part-Time"/>
    <s v="Part-Time"/>
    <m/>
    <n v="7"/>
    <s v="N/A"/>
    <n v="12"/>
    <m/>
    <n v="75"/>
    <s v="no"/>
    <s v="No"/>
    <n v="4"/>
    <s v="Yes"/>
  </r>
  <r>
    <s v="EMP-2018-0691"/>
    <s v="Alice"/>
    <s v="Bishop"/>
    <s v="thirty"/>
    <n v="30"/>
    <n v="1994"/>
    <s v="SIXTY THOUSAND"/>
    <n v="60000"/>
    <x v="0"/>
    <s v="HR"/>
    <x v="0"/>
    <s v="Assistant"/>
    <d v="2018-04-05T00:00:00"/>
    <d v="2018-04-05T00:00:00"/>
    <s v="B"/>
    <n v="80"/>
    <s v="alice.bishop@saltcorp.com"/>
    <m/>
    <s v="contract"/>
    <s v="Contract"/>
    <m/>
    <n v="3"/>
    <m/>
    <n v="0"/>
    <d v="2023-01-15T00:00:00"/>
    <m/>
    <s v="YES"/>
    <s v="Yes"/>
    <n v="2"/>
    <s v="No"/>
  </r>
  <r>
    <s v="EMP-2019-0692"/>
    <s v="Frank"/>
    <s v="Sanchez"/>
    <n v="35"/>
    <n v="35"/>
    <n v="1989"/>
    <s v="SIXTY THOUSAND"/>
    <n v="60000"/>
    <x v="0"/>
    <s v="HR"/>
    <x v="0"/>
    <s v="Clerk"/>
    <d v="2019-03-25T00:00:00"/>
    <d v="2019-03-25T00:00:00"/>
    <s v="C"/>
    <n v="71"/>
    <s v="frank.sanchez@saltcorp.com"/>
    <s v="123-456-7890"/>
    <s v="contract"/>
    <s v="Contract"/>
    <m/>
    <n v="2"/>
    <s v="N/A"/>
    <m/>
    <d v="2021-10-01T00:00:00"/>
    <m/>
    <m/>
    <s v=""/>
    <n v="2"/>
    <s v="Yes"/>
  </r>
  <r>
    <s v="EMP-2018-0693"/>
    <s v="Eve"/>
    <s v="Turner"/>
    <m/>
    <n v="54"/>
    <n v="1970"/>
    <n v="60500"/>
    <n v="60500"/>
    <x v="0"/>
    <s v="Marketing"/>
    <x v="4"/>
    <s v="Director"/>
    <d v="2018-04-05T00:00:00"/>
    <d v="2018-04-05T00:00:00"/>
    <s v="D"/>
    <n v="67"/>
    <s v="eve.turner@saltcorp.com"/>
    <s v="555-555-5555"/>
    <s v="Full-Time"/>
    <s v="Full-Time"/>
    <s v="EMP-2019-0018"/>
    <n v="1"/>
    <s v="N/A"/>
    <m/>
    <m/>
    <m/>
    <s v="YES"/>
    <s v="Yes"/>
    <n v="5"/>
    <s v="No"/>
  </r>
  <r>
    <s v="EMP-2018-0694"/>
    <s v="Ivy"/>
    <s v="Desai"/>
    <n v="50"/>
    <n v="50"/>
    <n v="1974"/>
    <s v="SIXTY THOUSAND"/>
    <n v="60000"/>
    <x v="0"/>
    <s v="Marketing"/>
    <x v="4"/>
    <s v="Manager"/>
    <d v="2018-04-05T00:00:00"/>
    <d v="2018-04-05T00:00:00"/>
    <s v="B"/>
    <n v="84"/>
    <s v="ivy.desai@saltcorp.com"/>
    <m/>
    <s v="Full-Time"/>
    <s v="Full-Time"/>
    <s v="EMP-2019-0080"/>
    <n v="4"/>
    <m/>
    <m/>
    <s v="N/A"/>
    <m/>
    <m/>
    <s v=""/>
    <n v="4"/>
    <s v="Yes"/>
  </r>
  <r>
    <s v="EMP-2019-0695"/>
    <s v="Alice"/>
    <s v="Thompson"/>
    <n v="25"/>
    <n v="25"/>
    <n v="1999"/>
    <n v="70000"/>
    <n v="70000"/>
    <x v="0"/>
    <s v="it"/>
    <x v="3"/>
    <s v="Director"/>
    <d v="2019-12-01T00:00:00"/>
    <d v="2019-12-01T00:00:00"/>
    <s v="C"/>
    <n v="77"/>
    <s v="alice.thompson@saltcorp.com"/>
    <m/>
    <s v="Full-Time"/>
    <s v="Full-Time"/>
    <m/>
    <n v="7"/>
    <m/>
    <m/>
    <d v="2023-03-05T00:00:00"/>
    <m/>
    <s v="YES"/>
    <s v="Yes"/>
    <n v="1"/>
    <s v="Yes"/>
  </r>
  <r>
    <s v="EMP-2020-0696"/>
    <s v="Grace"/>
    <s v="Andrews"/>
    <n v="50"/>
    <n v="50"/>
    <n v="1974"/>
    <n v="55000"/>
    <n v="55000"/>
    <x v="1"/>
    <s v="sales"/>
    <x v="2"/>
    <s v="Manager"/>
    <d v="2020-02-20T00:00:00"/>
    <d v="2020-02-20T00:00:00"/>
    <s v="A"/>
    <n v="100"/>
    <s v="grace.andrews@saltcorp.com"/>
    <s v="123-456-7890"/>
    <s v="contract"/>
    <s v="Contract"/>
    <m/>
    <n v="3"/>
    <m/>
    <n v="15"/>
    <m/>
    <m/>
    <s v="no"/>
    <s v="No"/>
    <n v="2"/>
    <s v="Yes"/>
  </r>
  <r>
    <s v="EMP-2019-0697"/>
    <s v="Eve"/>
    <s v="Turner"/>
    <n v="50"/>
    <n v="50"/>
    <n v="1974"/>
    <n v="65000"/>
    <n v="65000"/>
    <x v="0"/>
    <s v="HR"/>
    <x v="0"/>
    <s v="Analyst"/>
    <d v="2019-03-25T00:00:00"/>
    <d v="2019-03-25T00:00:00"/>
    <s v="C"/>
    <n v="71"/>
    <s v="eve.turner@saltcorp.com"/>
    <s v=" "/>
    <s v="Part-Time"/>
    <s v="Part-Time"/>
    <m/>
    <n v="2"/>
    <m/>
    <m/>
    <d v="2023-01-15T00:00:00"/>
    <m/>
    <s v="no"/>
    <s v="No"/>
    <n v="4"/>
    <s v="No"/>
  </r>
  <r>
    <s v="EMP-2020-0698"/>
    <s v="Eve"/>
    <s v="Dominguez"/>
    <n v="25"/>
    <n v="25"/>
    <n v="1999"/>
    <n v="70000"/>
    <n v="70000"/>
    <x v="0"/>
    <s v="Marketing"/>
    <x v="4"/>
    <s v="Director"/>
    <d v="2020-02-20T00:00:00"/>
    <d v="2020-02-20T00:00:00"/>
    <s v="C"/>
    <n v="76"/>
    <s v="eve.dominguez@saltcorp.com"/>
    <s v="555-555-5555"/>
    <s v="Part-Time"/>
    <s v="Part-Time"/>
    <m/>
    <n v="3"/>
    <m/>
    <m/>
    <m/>
    <m/>
    <s v="no"/>
    <s v="No"/>
    <n v="2"/>
    <s v="Yes"/>
  </r>
  <r>
    <s v="EMP-2018-0699"/>
    <s v="Bob"/>
    <s v="Knight"/>
    <n v="50"/>
    <n v="50"/>
    <n v="1974"/>
    <n v="65000"/>
    <n v="65000"/>
    <x v="0"/>
    <s v="HR"/>
    <x v="0"/>
    <s v="Director"/>
    <d v="2018-04-05T00:00:00"/>
    <d v="2018-04-05T00:00:00"/>
    <s v="F"/>
    <n v="5"/>
    <s v="bob.knight@saltcorp.com"/>
    <s v="555-555-5555"/>
    <s v="Full-Time"/>
    <s v="Full-Time"/>
    <m/>
    <n v="8"/>
    <m/>
    <n v="8"/>
    <s v="N/A"/>
    <m/>
    <s v="no"/>
    <s v="No"/>
    <n v="5"/>
    <s v="No"/>
  </r>
  <r>
    <s v="EMP-2020-0700"/>
    <s v="Charlie"/>
    <s v="Rogers"/>
    <m/>
    <n v="35"/>
    <n v="1989"/>
    <n v="65000"/>
    <n v="65000"/>
    <x v="0"/>
    <s v="it"/>
    <x v="3"/>
    <s v="Assistant"/>
    <d v="2020-01-15T00:00:00"/>
    <d v="2020-01-15T00:00:00"/>
    <s v="B"/>
    <n v="85"/>
    <s v="charlie.rogers@saltcorp.com"/>
    <s v="123-456-7890"/>
    <s v="Full-Time"/>
    <s v="Full-Time"/>
    <s v="EMP-2020-0004"/>
    <n v="1"/>
    <n v="11"/>
    <m/>
    <d v="2022-06-20T00:00:00"/>
    <m/>
    <m/>
    <s v=""/>
    <n v="1"/>
    <s v="Yes"/>
  </r>
  <r>
    <s v="EMP-2018-0701"/>
    <s v="Grace"/>
    <s v="Pearson"/>
    <m/>
    <n v="33"/>
    <n v="1991"/>
    <n v="55000"/>
    <n v="55000"/>
    <x v="0"/>
    <s v="it"/>
    <x v="3"/>
    <s v="Clerk"/>
    <d v="2018-04-05T00:00:00"/>
    <d v="2018-04-05T00:00:00"/>
    <s v="D"/>
    <n v="66"/>
    <s v="grace.pearson@saltcorp.com"/>
    <s v=" "/>
    <s v="Full-Time"/>
    <s v="Full-Time"/>
    <m/>
    <n v="2"/>
    <m/>
    <n v="13"/>
    <s v="N/A"/>
    <m/>
    <m/>
    <s v=""/>
    <n v="5"/>
    <s v="Yes"/>
  </r>
  <r>
    <s v="EMP-2020-0702"/>
    <s v="Frank"/>
    <s v="Gonzalez"/>
    <m/>
    <n v="37"/>
    <n v="1987"/>
    <n v="61500"/>
    <n v="61500"/>
    <x v="0"/>
    <s v="sales"/>
    <x v="2"/>
    <s v="Manager"/>
    <d v="2020-02-20T00:00:00"/>
    <d v="2020-02-20T00:00:00"/>
    <s v="D"/>
    <n v="61"/>
    <s v="frank.gonzalez@saltcorp.com"/>
    <s v="555-555-5555"/>
    <s v="contract"/>
    <s v="Contract"/>
    <m/>
    <n v="2"/>
    <m/>
    <m/>
    <d v="2022-06-20T00:00:00"/>
    <n v="31"/>
    <s v="YES"/>
    <s v="Yes"/>
    <n v="1"/>
    <s v="No"/>
  </r>
  <r>
    <s v="EMP-2018-0703"/>
    <s v="Bob"/>
    <s v="Miller"/>
    <n v="25"/>
    <n v="25"/>
    <n v="1999"/>
    <s v="SIXTY THOUSAND"/>
    <n v="60000"/>
    <x v="0"/>
    <s v="sales"/>
    <x v="2"/>
    <s v="Manager"/>
    <d v="2018-04-05T00:00:00"/>
    <d v="2018-04-05T00:00:00"/>
    <s v="F"/>
    <n v="4"/>
    <s v="bob.miller@saltcorp.com"/>
    <s v="555-555-5555"/>
    <s v="Part-Time"/>
    <s v="Part-Time"/>
    <m/>
    <n v="8"/>
    <m/>
    <m/>
    <d v="2022-06-20T00:00:00"/>
    <m/>
    <s v="YES"/>
    <s v="Yes"/>
    <n v="4"/>
    <s v="No"/>
  </r>
  <r>
    <s v="EMP-2020-0704"/>
    <s v="Frank"/>
    <s v="Gonzalez"/>
    <n v="50"/>
    <n v="50"/>
    <n v="1974"/>
    <n v="55000"/>
    <n v="55000"/>
    <x v="0"/>
    <s v="it"/>
    <x v="3"/>
    <s v="Assistant"/>
    <d v="2020-01-15T00:00:00"/>
    <d v="2020-01-15T00:00:00"/>
    <s v="D"/>
    <n v="68"/>
    <s v="frank.gonzalez@saltcorp.com"/>
    <s v="555-555-5555"/>
    <s v="contract"/>
    <s v="Contract"/>
    <m/>
    <n v="3"/>
    <m/>
    <n v="7"/>
    <d v="2023-01-15T00:00:00"/>
    <m/>
    <m/>
    <s v=""/>
    <n v="2"/>
    <s v="No"/>
  </r>
  <r>
    <s v="EMP-2019-0705"/>
    <s v="Bob"/>
    <s v="Medina"/>
    <n v="25"/>
    <n v="25"/>
    <n v="1999"/>
    <n v="70000"/>
    <n v="70000"/>
    <x v="1"/>
    <s v="Marketing"/>
    <x v="4"/>
    <s v="Assistant"/>
    <d v="2019-12-01T00:00:00"/>
    <d v="2019-12-01T00:00:00"/>
    <s v="C"/>
    <n v="70"/>
    <s v="bob.medina@saltcorp.com"/>
    <s v=" "/>
    <s v="Full-Time"/>
    <s v="Full-Time"/>
    <s v="EMP-2019-0070"/>
    <n v="1"/>
    <n v="11"/>
    <m/>
    <m/>
    <n v="28"/>
    <s v="YES"/>
    <s v="Yes"/>
    <n v="5"/>
    <s v="Yes"/>
  </r>
  <r>
    <s v="EMP-2020-0706"/>
    <s v="Bob"/>
    <s v="McCoy"/>
    <m/>
    <n v="34"/>
    <n v="1990"/>
    <n v="58800"/>
    <n v="58800"/>
    <x v="0"/>
    <s v="HR"/>
    <x v="0"/>
    <s v="Clerk"/>
    <d v="2020-02-20T00:00:00"/>
    <d v="2020-02-20T00:00:00"/>
    <s v="F"/>
    <n v="4"/>
    <s v="bob.mccoy@saltcorp.com"/>
    <s v="123-456-7890"/>
    <s v="contract"/>
    <s v="Contract"/>
    <s v="EMP-2019-0070"/>
    <n v="7"/>
    <m/>
    <m/>
    <m/>
    <m/>
    <s v="YES"/>
    <s v="Yes"/>
    <n v="4"/>
    <s v="No"/>
  </r>
  <r>
    <s v="EMP-2018-0707"/>
    <s v="Bob"/>
    <s v="Brown"/>
    <n v="50"/>
    <n v="50"/>
    <n v="1974"/>
    <n v="70000"/>
    <n v="70000"/>
    <x v="0"/>
    <s v="finance"/>
    <x v="1"/>
    <s v="Clerk"/>
    <d v="2018-04-05T00:00:00"/>
    <d v="2018-04-05T00:00:00"/>
    <s v="A"/>
    <n v="93"/>
    <s v="bob.brown@saltcorp.com"/>
    <s v="555-555-5555"/>
    <s v="Part-Time"/>
    <s v="Part-Time"/>
    <m/>
    <n v="7"/>
    <m/>
    <n v="9"/>
    <m/>
    <m/>
    <s v="no"/>
    <s v="No"/>
    <n v="3"/>
    <s v="No"/>
  </r>
  <r>
    <s v="EMP-2020-0708"/>
    <s v="Charlie"/>
    <s v="White"/>
    <n v="50"/>
    <n v="50"/>
    <n v="1974"/>
    <n v="63000"/>
    <n v="63000"/>
    <x v="0"/>
    <s v="sales"/>
    <x v="2"/>
    <s v="Director"/>
    <d v="2020-02-20T00:00:00"/>
    <d v="2020-02-20T00:00:00"/>
    <s v="B"/>
    <n v="85"/>
    <s v="charlie.white@saltcorp.com"/>
    <m/>
    <s v="contract"/>
    <s v="Contract"/>
    <s v="EMP-2020-0097"/>
    <n v="6"/>
    <m/>
    <n v="3"/>
    <d v="2023-03-05T00:00:00"/>
    <n v="48"/>
    <s v="YES"/>
    <s v="Yes"/>
    <n v="3"/>
    <s v="No"/>
  </r>
  <r>
    <s v="EMP-2019-0709"/>
    <s v="Bob"/>
    <s v="Garrett"/>
    <n v="40"/>
    <n v="40"/>
    <n v="1984"/>
    <n v="70000"/>
    <n v="70000"/>
    <x v="0"/>
    <s v="finance"/>
    <x v="1"/>
    <s v="Analyst"/>
    <d v="2019-12-01T00:00:00"/>
    <d v="2019-12-01T00:00:00"/>
    <s v="B"/>
    <n v="82"/>
    <s v="bob.garrett@saltcorp.com"/>
    <s v=" "/>
    <s v="contract"/>
    <s v="Contract"/>
    <m/>
    <n v="1"/>
    <n v="5"/>
    <m/>
    <d v="2023-03-05T00:00:00"/>
    <n v="59"/>
    <s v="YES"/>
    <s v="Yes"/>
    <n v="3"/>
    <s v="Yes"/>
  </r>
  <r>
    <s v="EMP-2018-0710"/>
    <s v="David"/>
    <s v="Ross"/>
    <n v="40"/>
    <n v="40"/>
    <n v="1984"/>
    <n v="55000"/>
    <n v="55000"/>
    <x v="1"/>
    <s v="Marketing"/>
    <x v="4"/>
    <s v="Clerk"/>
    <d v="2018-04-05T00:00:00"/>
    <d v="2018-04-05T00:00:00"/>
    <s v="B"/>
    <n v="89"/>
    <s v="david.ross@saltcorp.com"/>
    <s v="098-765-4321"/>
    <s v="Part-Time"/>
    <s v="Part-Time"/>
    <s v="EMP-2018-0057"/>
    <n v="7"/>
    <m/>
    <m/>
    <m/>
    <n v="10"/>
    <s v="YES"/>
    <s v="Yes"/>
    <n v="3"/>
    <s v="No"/>
  </r>
  <r>
    <s v="EMP-2018-0711"/>
    <s v="Ivy"/>
    <s v="Shah"/>
    <s v="thirty"/>
    <n v="30"/>
    <n v="1994"/>
    <n v="58300"/>
    <n v="58300"/>
    <x v="1"/>
    <s v="sales"/>
    <x v="2"/>
    <s v="Assistant"/>
    <d v="2018-04-05T00:00:00"/>
    <d v="2018-04-05T00:00:00"/>
    <s v="C"/>
    <n v="76"/>
    <s v="ivy.shah@saltcorp.com"/>
    <s v="123-456-7890"/>
    <s v="contract"/>
    <s v="Contract"/>
    <m/>
    <n v="4"/>
    <m/>
    <m/>
    <m/>
    <m/>
    <s v="no"/>
    <s v="No"/>
    <n v="3"/>
    <s v="No"/>
  </r>
  <r>
    <s v="EMP-2020-0712"/>
    <s v="Frank"/>
    <s v="Flores"/>
    <n v="35"/>
    <n v="35"/>
    <n v="1989"/>
    <n v="61300"/>
    <n v="61300"/>
    <x v="1"/>
    <s v="finance"/>
    <x v="1"/>
    <s v="Clerk"/>
    <d v="2020-02-20T00:00:00"/>
    <d v="2020-02-20T00:00:00"/>
    <s v="A"/>
    <n v="97"/>
    <s v="frank.flores@saltcorp.com"/>
    <m/>
    <s v="Full-Time"/>
    <s v="Full-Time"/>
    <m/>
    <n v="8"/>
    <s v="N/A"/>
    <n v="9"/>
    <m/>
    <m/>
    <s v="no"/>
    <s v="No"/>
    <n v="5"/>
    <s v="No"/>
  </r>
  <r>
    <s v="EMP-2020-0713"/>
    <s v="Alice"/>
    <s v="Chen"/>
    <n v="40"/>
    <n v="40"/>
    <n v="1984"/>
    <n v="65000"/>
    <n v="65000"/>
    <x v="1"/>
    <s v="Marketing"/>
    <x v="4"/>
    <s v="Manager"/>
    <d v="2020-02-20T00:00:00"/>
    <d v="2020-02-20T00:00:00"/>
    <s v="F"/>
    <n v="27"/>
    <s v="alice.chen@saltcorp.com"/>
    <s v="555-555-5555"/>
    <s v="Full-Time"/>
    <s v="Full-Time"/>
    <s v="EMP-2018-0079"/>
    <n v="7"/>
    <n v="2"/>
    <m/>
    <m/>
    <m/>
    <s v="YES"/>
    <s v="Yes"/>
    <n v="5"/>
    <s v="Yes"/>
  </r>
  <r>
    <s v="EMP-2020-0714"/>
    <s v="Hannah"/>
    <s v="Walker"/>
    <n v="25"/>
    <n v="25"/>
    <n v="1999"/>
    <n v="65000"/>
    <n v="65000"/>
    <x v="1"/>
    <s v="HR"/>
    <x v="0"/>
    <s v="Analyst"/>
    <d v="2020-01-15T00:00:00"/>
    <d v="2020-01-15T00:00:00"/>
    <s v="F"/>
    <n v="41"/>
    <s v="hannah.walker@saltcorp.com"/>
    <s v="098-765-4321"/>
    <s v="Full-Time"/>
    <s v="Full-Time"/>
    <m/>
    <n v="6"/>
    <m/>
    <m/>
    <d v="2021-10-01T00:00:00"/>
    <m/>
    <m/>
    <s v=""/>
    <n v="5"/>
    <s v="No"/>
  </r>
  <r>
    <s v="EMP-2019-0715"/>
    <s v="Grace"/>
    <s v="Olson"/>
    <n v="40"/>
    <n v="40"/>
    <n v="1984"/>
    <n v="50000"/>
    <n v="50000"/>
    <x v="1"/>
    <s v="Marketing"/>
    <x v="4"/>
    <s v="Director"/>
    <d v="2019-12-01T00:00:00"/>
    <d v="2019-12-01T00:00:00"/>
    <s v="B"/>
    <n v="83"/>
    <s v="grace.olson@saltcorp.com"/>
    <s v="123-456-7890"/>
    <s v="Part-Time"/>
    <s v="Part-Time"/>
    <m/>
    <n v="2"/>
    <m/>
    <m/>
    <m/>
    <n v="17"/>
    <s v="no"/>
    <s v="No"/>
    <n v="1"/>
    <s v="Yes"/>
  </r>
  <r>
    <s v="EMP-2020-0716"/>
    <s v="Jack"/>
    <s v="Medina"/>
    <s v="thirty"/>
    <n v="30"/>
    <n v="1994"/>
    <n v="70000"/>
    <n v="70000"/>
    <x v="1"/>
    <s v="sales"/>
    <x v="2"/>
    <s v="Manager"/>
    <d v="2020-01-15T00:00:00"/>
    <d v="2020-01-15T00:00:00"/>
    <s v="A"/>
    <n v="99"/>
    <s v="jack.medina@saltcorp.com"/>
    <s v=" "/>
    <s v="contract"/>
    <s v="Contract"/>
    <m/>
    <n v="7"/>
    <m/>
    <m/>
    <d v="2023-03-05T00:00:00"/>
    <m/>
    <m/>
    <s v=""/>
    <n v="2"/>
    <s v="Yes"/>
  </r>
  <r>
    <s v="EMP-2018-0717"/>
    <s v="Charlie"/>
    <s v="Burns"/>
    <n v="50"/>
    <n v="50"/>
    <n v="1974"/>
    <n v="65000"/>
    <n v="65000"/>
    <x v="1"/>
    <s v="it"/>
    <x v="3"/>
    <s v="Manager"/>
    <d v="2018-04-05T00:00:00"/>
    <d v="2018-04-05T00:00:00"/>
    <s v="A"/>
    <n v="98"/>
    <s v="charlie.burns@saltcorp.com"/>
    <s v="098-765-4321"/>
    <s v="contract"/>
    <s v="Contract"/>
    <s v="EMP-2020-0087"/>
    <n v="3"/>
    <m/>
    <n v="12"/>
    <d v="2023-03-05T00:00:00"/>
    <n v="49"/>
    <m/>
    <s v=""/>
    <n v="4"/>
    <s v="Yes"/>
  </r>
  <r>
    <s v="EMP-2020-0718"/>
    <s v="Alice"/>
    <s v="Thompson"/>
    <s v="thirty"/>
    <n v="30"/>
    <n v="1994"/>
    <n v="50000"/>
    <n v="50000"/>
    <x v="0"/>
    <s v="HR"/>
    <x v="0"/>
    <s v="Analyst"/>
    <d v="2020-02-20T00:00:00"/>
    <d v="2020-02-20T00:00:00"/>
    <s v="A"/>
    <n v="96"/>
    <s v="alice.thompson@saltcorp.com"/>
    <s v="098-765-4321"/>
    <s v="Part-Time"/>
    <s v="Part-Time"/>
    <m/>
    <n v="5"/>
    <n v="9"/>
    <n v="15"/>
    <d v="2024-08-12T00:00:00"/>
    <n v="16"/>
    <s v="YES"/>
    <s v="Yes"/>
    <n v="4"/>
    <s v="No"/>
  </r>
  <r>
    <s v="EMP-2018-0719"/>
    <s v="Eve"/>
    <s v="Gomez"/>
    <n v="50"/>
    <n v="50"/>
    <n v="1974"/>
    <n v="65000"/>
    <n v="65000"/>
    <x v="1"/>
    <s v="finance"/>
    <x v="1"/>
    <s v="Director"/>
    <d v="2018-04-05T00:00:00"/>
    <d v="2018-04-05T00:00:00"/>
    <s v="D"/>
    <n v="67"/>
    <s v="eve.gomez@saltcorp.com"/>
    <m/>
    <s v="Full-Time"/>
    <s v="Full-Time"/>
    <m/>
    <n v="8"/>
    <m/>
    <n v="8"/>
    <s v="N/A"/>
    <m/>
    <s v="YES"/>
    <s v="Yes"/>
    <n v="5"/>
    <s v="No"/>
  </r>
  <r>
    <s v="EMP-2018-0720"/>
    <s v="David"/>
    <s v="Williamson"/>
    <n v="50"/>
    <n v="50"/>
    <n v="1974"/>
    <n v="70000"/>
    <n v="70000"/>
    <x v="1"/>
    <s v="sales"/>
    <x v="2"/>
    <s v="Assistant"/>
    <d v="2018-04-05T00:00:00"/>
    <d v="2018-04-05T00:00:00"/>
    <s v="D"/>
    <n v="60"/>
    <s v="david.williamson@saltcorp.com"/>
    <s v="123-456-7890"/>
    <s v="Part-Time"/>
    <s v="Part-Time"/>
    <s v="EMP-2018-0032"/>
    <n v="4"/>
    <n v="4"/>
    <n v="5"/>
    <s v="N/A"/>
    <m/>
    <s v="YES"/>
    <s v="Yes"/>
    <n v="4"/>
    <s v="Yes"/>
  </r>
  <r>
    <s v="EMP-2019-0721"/>
    <s v="Jack"/>
    <s v="Figueroa"/>
    <n v="35"/>
    <n v="35"/>
    <n v="1989"/>
    <n v="60100"/>
    <n v="60100"/>
    <x v="1"/>
    <s v="it"/>
    <x v="3"/>
    <s v="Director"/>
    <d v="2019-03-25T00:00:00"/>
    <d v="2019-03-25T00:00:00"/>
    <s v="B"/>
    <n v="82"/>
    <s v="jack.figueroa@saltcorp.com"/>
    <m/>
    <s v="Part-Time"/>
    <s v="Part-Time"/>
    <m/>
    <n v="2"/>
    <m/>
    <n v="13"/>
    <m/>
    <m/>
    <s v="YES"/>
    <s v="Yes"/>
    <n v="2"/>
    <s v="Yes"/>
  </r>
  <r>
    <s v="EMP-2019-0722"/>
    <s v="Hannah"/>
    <s v="Hughes"/>
    <n v="40"/>
    <n v="40"/>
    <n v="1984"/>
    <s v="SIXTY THOUSAND"/>
    <n v="60000"/>
    <x v="1"/>
    <s v="Marketing"/>
    <x v="4"/>
    <s v="Clerk"/>
    <d v="2019-03-25T00:00:00"/>
    <d v="2019-03-25T00:00:00"/>
    <s v="A"/>
    <n v="95"/>
    <s v="hannah.hughes@saltcorp.com"/>
    <m/>
    <s v="Full-Time"/>
    <s v="Full-Time"/>
    <m/>
    <n v="5"/>
    <s v="N/A"/>
    <m/>
    <s v="N/A"/>
    <m/>
    <m/>
    <s v=""/>
    <n v="5"/>
    <s v="Yes"/>
  </r>
  <r>
    <s v="EMP-2018-0723"/>
    <s v="Alice"/>
    <s v="Anderson"/>
    <n v="25"/>
    <n v="25"/>
    <n v="1999"/>
    <n v="70000"/>
    <n v="70000"/>
    <x v="0"/>
    <s v="it"/>
    <x v="3"/>
    <s v="Manager"/>
    <d v="2018-04-05T00:00:00"/>
    <d v="2018-04-05T00:00:00"/>
    <s v="A"/>
    <n v="91"/>
    <s v="alice.anderson@saltcorp.com"/>
    <s v="555-555-5555"/>
    <s v="Full-Time"/>
    <s v="Full-Time"/>
    <m/>
    <n v="7"/>
    <n v="3"/>
    <n v="7"/>
    <m/>
    <n v="35"/>
    <m/>
    <s v=""/>
    <n v="3"/>
    <s v="No"/>
  </r>
  <r>
    <s v="EMP-2020-0724"/>
    <s v="Jack"/>
    <s v="Burns"/>
    <n v="25"/>
    <n v="25"/>
    <n v="1999"/>
    <n v="55000"/>
    <n v="55000"/>
    <x v="0"/>
    <s v="sales"/>
    <x v="2"/>
    <s v="Clerk"/>
    <d v="2020-02-20T00:00:00"/>
    <d v="2020-02-20T00:00:00"/>
    <s v="F"/>
    <n v="50"/>
    <s v="jack.burns@saltcorp.com"/>
    <s v=" "/>
    <s v="Part-Time"/>
    <s v="Part-Time"/>
    <m/>
    <n v="5"/>
    <s v="N/A"/>
    <n v="17"/>
    <m/>
    <n v="75"/>
    <m/>
    <s v=""/>
    <n v="4"/>
    <s v="No"/>
  </r>
  <r>
    <s v="EMP-2018-0725"/>
    <s v="Alice"/>
    <s v="Wells"/>
    <m/>
    <n v="27"/>
    <n v="1997"/>
    <n v="65000"/>
    <n v="65000"/>
    <x v="1"/>
    <s v="sales"/>
    <x v="2"/>
    <s v="Assistant"/>
    <d v="2018-04-05T00:00:00"/>
    <d v="2018-04-05T00:00:00"/>
    <s v="F"/>
    <n v="49"/>
    <s v="alice.wells@saltcorp.com"/>
    <s v="098-765-4321"/>
    <s v="Full-Time"/>
    <s v="Full-Time"/>
    <m/>
    <n v="4"/>
    <n v="3"/>
    <n v="7"/>
    <m/>
    <n v="57"/>
    <s v="no"/>
    <s v="No"/>
    <n v="5"/>
    <s v="Yes"/>
  </r>
  <r>
    <s v="EMP-2019-0726"/>
    <s v="David"/>
    <s v="Armstrong"/>
    <n v="50"/>
    <n v="50"/>
    <n v="1974"/>
    <n v="65000"/>
    <n v="65000"/>
    <x v="1"/>
    <s v="it"/>
    <x v="3"/>
    <s v="Clerk"/>
    <d v="2019-03-25T00:00:00"/>
    <d v="2019-03-25T00:00:00"/>
    <s v="B"/>
    <n v="86"/>
    <s v="david.armstrong@saltcorp.com"/>
    <s v="123-456-7890"/>
    <s v="Part-Time"/>
    <s v="Part-Time"/>
    <m/>
    <n v="1"/>
    <m/>
    <m/>
    <d v="2023-03-05T00:00:00"/>
    <m/>
    <m/>
    <s v=""/>
    <n v="2"/>
    <s v="No"/>
  </r>
  <r>
    <s v="EMP-2020-0727"/>
    <s v="Hannah"/>
    <s v="Le"/>
    <n v="25"/>
    <n v="25"/>
    <n v="1999"/>
    <n v="60500"/>
    <n v="60500"/>
    <x v="1"/>
    <s v="Marketing"/>
    <x v="4"/>
    <s v="Director"/>
    <d v="2020-02-20T00:00:00"/>
    <d v="2020-02-20T00:00:00"/>
    <s v="A"/>
    <n v="98"/>
    <s v="hannah.le@saltcorp.com"/>
    <s v=" "/>
    <s v="Full-Time"/>
    <s v="Full-Time"/>
    <m/>
    <n v="1"/>
    <s v="N/A"/>
    <n v="7"/>
    <m/>
    <n v="69"/>
    <s v="no"/>
    <s v="No"/>
    <n v="3"/>
    <s v="No"/>
  </r>
  <r>
    <s v="EMP-2018-0728"/>
    <s v="Eve"/>
    <s v="Knight"/>
    <n v="35"/>
    <n v="35"/>
    <n v="1989"/>
    <n v="55000"/>
    <n v="55000"/>
    <x v="1"/>
    <s v="it"/>
    <x v="3"/>
    <s v="Clerk"/>
    <d v="2018-04-05T00:00:00"/>
    <d v="2018-04-05T00:00:00"/>
    <s v="B"/>
    <n v="84"/>
    <s v="eve.knight@saltcorp.com"/>
    <s v=" "/>
    <s v="Full-Time"/>
    <s v="Full-Time"/>
    <m/>
    <n v="2"/>
    <n v="8"/>
    <n v="11"/>
    <d v="2024-08-12T00:00:00"/>
    <m/>
    <s v="no"/>
    <s v="No"/>
    <n v="4"/>
    <s v="Yes"/>
  </r>
  <r>
    <s v="EMP-2019-0729"/>
    <s v="Bob"/>
    <s v="Brown"/>
    <n v="50"/>
    <n v="50"/>
    <n v="1974"/>
    <n v="58300"/>
    <n v="58300"/>
    <x v="1"/>
    <s v="sales"/>
    <x v="2"/>
    <s v="Assistant"/>
    <d v="2019-12-01T00:00:00"/>
    <d v="2019-12-01T00:00:00"/>
    <s v="F"/>
    <n v="25"/>
    <s v="bob.brown@saltcorp.com"/>
    <s v="123-456-7890"/>
    <s v="Full-Time"/>
    <s v="Full-Time"/>
    <m/>
    <n v="1"/>
    <n v="0"/>
    <m/>
    <d v="2024-08-12T00:00:00"/>
    <m/>
    <s v="no"/>
    <s v="No"/>
    <n v="3"/>
    <s v="No"/>
  </r>
  <r>
    <s v="EMP-2019-0730"/>
    <s v="Frank"/>
    <s v="Flores"/>
    <n v="35"/>
    <n v="35"/>
    <n v="1989"/>
    <n v="55000"/>
    <n v="55000"/>
    <x v="1"/>
    <s v="sales"/>
    <x v="2"/>
    <s v="Assistant"/>
    <d v="2019-12-01T00:00:00"/>
    <d v="2019-12-01T00:00:00"/>
    <s v="F"/>
    <n v="46"/>
    <s v="frank.flores@saltcorp.com"/>
    <s v=" "/>
    <s v="Full-Time"/>
    <s v="Full-Time"/>
    <m/>
    <n v="7"/>
    <m/>
    <m/>
    <d v="2023-03-05T00:00:00"/>
    <m/>
    <m/>
    <s v=""/>
    <n v="1"/>
    <s v="Yes"/>
  </r>
  <r>
    <s v="EMP-2018-0731"/>
    <s v="Eve"/>
    <s v="Mason"/>
    <n v="25"/>
    <n v="25"/>
    <n v="1999"/>
    <s v="SIXTY THOUSAND"/>
    <n v="60000"/>
    <x v="1"/>
    <s v="finance"/>
    <x v="1"/>
    <s v="Assistant"/>
    <d v="2018-04-05T00:00:00"/>
    <d v="2018-04-05T00:00:00"/>
    <s v="D"/>
    <n v="61"/>
    <s v="eve.mason@saltcorp.com"/>
    <s v="555-555-5555"/>
    <s v="Full-Time"/>
    <s v="Full-Time"/>
    <m/>
    <n v="4"/>
    <m/>
    <m/>
    <s v="N/A"/>
    <m/>
    <s v="no"/>
    <s v="No"/>
    <n v="1"/>
    <s v="Yes"/>
  </r>
  <r>
    <s v="EMP-2020-0732"/>
    <s v="Bob"/>
    <s v="Miller"/>
    <n v="25"/>
    <n v="25"/>
    <n v="1999"/>
    <n v="65000"/>
    <n v="65000"/>
    <x v="1"/>
    <s v="finance"/>
    <x v="1"/>
    <s v="Director"/>
    <d v="2020-02-20T00:00:00"/>
    <d v="2020-02-20T00:00:00"/>
    <s v="B"/>
    <n v="81"/>
    <s v="bob.miller@saltcorp.com"/>
    <s v=" "/>
    <s v="contract"/>
    <s v="Contract"/>
    <m/>
    <n v="6"/>
    <m/>
    <n v="17"/>
    <d v="2022-06-20T00:00:00"/>
    <m/>
    <s v="no"/>
    <s v="No"/>
    <n v="4"/>
    <s v="No"/>
  </r>
  <r>
    <s v="EMP-2018-0733"/>
    <s v="Charlie"/>
    <s v="Jackson"/>
    <m/>
    <n v="34"/>
    <n v="1990"/>
    <n v="65000"/>
    <n v="65000"/>
    <x v="0"/>
    <s v="HR"/>
    <x v="0"/>
    <s v="Assistant"/>
    <d v="2018-04-05T00:00:00"/>
    <d v="2018-04-05T00:00:00"/>
    <s v="B"/>
    <n v="84"/>
    <s v="charlie.jackson@saltcorp.com"/>
    <s v="555-555-5555"/>
    <s v="Part-Time"/>
    <s v="Part-Time"/>
    <m/>
    <n v="7"/>
    <n v="0"/>
    <m/>
    <d v="2021-10-01T00:00:00"/>
    <m/>
    <s v="YES"/>
    <s v="Yes"/>
    <n v="4"/>
    <s v="Yes"/>
  </r>
  <r>
    <s v="EMP-2018-0734"/>
    <s v="Ivy"/>
    <s v="Gupta"/>
    <n v="25"/>
    <n v="25"/>
    <n v="1999"/>
    <s v="SIXTY THOUSAND"/>
    <n v="60000"/>
    <x v="1"/>
    <s v="sales"/>
    <x v="2"/>
    <s v="Manager"/>
    <d v="2018-04-05T00:00:00"/>
    <d v="2018-04-05T00:00:00"/>
    <s v="A"/>
    <n v="92"/>
    <s v="ivy.gupta@saltcorp.com"/>
    <s v="098-765-4321"/>
    <s v="Part-Time"/>
    <s v="Part-Time"/>
    <m/>
    <n v="6"/>
    <m/>
    <n v="4"/>
    <s v="N/A"/>
    <m/>
    <s v="no"/>
    <s v="No"/>
    <n v="5"/>
    <s v="No"/>
  </r>
  <r>
    <s v="EMP-2019-0735"/>
    <s v="Grace"/>
    <s v="Zhou"/>
    <n v="50"/>
    <n v="50"/>
    <n v="1974"/>
    <n v="50000"/>
    <n v="50000"/>
    <x v="0"/>
    <s v="finance"/>
    <x v="1"/>
    <s v="Assistant"/>
    <d v="2019-03-25T00:00:00"/>
    <d v="2019-03-25T00:00:00"/>
    <s v="A"/>
    <n v="98"/>
    <s v="grace.zhou@saltcorp.com"/>
    <s v="098-765-4321"/>
    <s v="contract"/>
    <s v="Contract"/>
    <s v="EMP-2019-0003"/>
    <n v="2"/>
    <n v="7"/>
    <n v="13"/>
    <m/>
    <m/>
    <s v="YES"/>
    <s v="Yes"/>
    <n v="5"/>
    <s v="No"/>
  </r>
  <r>
    <s v="EMP-2019-0736"/>
    <s v="Grace"/>
    <s v="Knight"/>
    <n v="50"/>
    <n v="50"/>
    <n v="1974"/>
    <n v="58600"/>
    <n v="58600"/>
    <x v="0"/>
    <s v="it"/>
    <x v="3"/>
    <s v="Clerk"/>
    <d v="2019-12-01T00:00:00"/>
    <d v="2019-12-01T00:00:00"/>
    <s v="D"/>
    <n v="60"/>
    <s v="grace.knight@saltcorp.com"/>
    <m/>
    <s v="contract"/>
    <s v="Contract"/>
    <m/>
    <n v="3"/>
    <m/>
    <n v="2"/>
    <d v="2023-01-15T00:00:00"/>
    <m/>
    <s v="no"/>
    <s v="No"/>
    <n v="1"/>
    <s v="Yes"/>
  </r>
  <r>
    <s v="EMP-2019-0737"/>
    <s v="Frank"/>
    <s v="Dixon"/>
    <n v="50"/>
    <n v="50"/>
    <n v="1974"/>
    <s v="SIXTY THOUSAND"/>
    <n v="60000"/>
    <x v="0"/>
    <s v="Marketing"/>
    <x v="4"/>
    <s v="Clerk"/>
    <d v="2019-03-25T00:00:00"/>
    <d v="2019-03-25T00:00:00"/>
    <s v="C"/>
    <n v="78"/>
    <s v="frank.dixon@saltcorp.com"/>
    <s v="555-555-5555"/>
    <s v="Full-Time"/>
    <s v="Full-Time"/>
    <m/>
    <n v="7"/>
    <m/>
    <m/>
    <d v="2022-06-20T00:00:00"/>
    <n v="27"/>
    <s v="YES"/>
    <s v="Yes"/>
    <n v="4"/>
    <s v="No"/>
  </r>
  <r>
    <s v="EMP-2019-0738"/>
    <s v="Hannah"/>
    <s v="Powell"/>
    <m/>
    <n v="35"/>
    <n v="1989"/>
    <n v="58600"/>
    <n v="58600"/>
    <x v="0"/>
    <s v="it"/>
    <x v="3"/>
    <s v="Clerk"/>
    <d v="2019-03-25T00:00:00"/>
    <d v="2019-03-25T00:00:00"/>
    <s v="C"/>
    <n v="77"/>
    <s v="hannah.powell@saltcorp.com"/>
    <s v="098-765-4321"/>
    <s v="Full-Time"/>
    <s v="Full-Time"/>
    <m/>
    <n v="5"/>
    <m/>
    <m/>
    <m/>
    <n v="48"/>
    <s v="no"/>
    <s v="No"/>
    <n v="4"/>
    <s v="No"/>
  </r>
  <r>
    <s v="EMP-2018-0739"/>
    <s v="David"/>
    <s v="Ward"/>
    <m/>
    <n v="47"/>
    <n v="1977"/>
    <n v="70000"/>
    <n v="70000"/>
    <x v="0"/>
    <s v="Marketing"/>
    <x v="4"/>
    <s v="Director"/>
    <d v="2018-04-05T00:00:00"/>
    <d v="2018-04-05T00:00:00"/>
    <s v="C"/>
    <n v="77"/>
    <s v="david.ward@saltcorp.com"/>
    <s v=" "/>
    <s v="Full-Time"/>
    <s v="Full-Time"/>
    <m/>
    <n v="5"/>
    <n v="0"/>
    <n v="11"/>
    <m/>
    <n v="61"/>
    <s v="YES"/>
    <s v="Yes"/>
    <n v="3"/>
    <s v="Yes"/>
  </r>
  <r>
    <s v="EMP-2019-0740"/>
    <s v="Hannah"/>
    <s v="Lucas"/>
    <n v="25"/>
    <n v="25"/>
    <n v="1999"/>
    <n v="65000"/>
    <n v="65000"/>
    <x v="0"/>
    <s v="finance"/>
    <x v="1"/>
    <s v="Clerk"/>
    <d v="2019-03-25T00:00:00"/>
    <d v="2019-03-25T00:00:00"/>
    <s v="B"/>
    <n v="82"/>
    <s v="hannah.lucas@saltcorp.com"/>
    <s v="123-456-7890"/>
    <s v="Part-Time"/>
    <s v="Part-Time"/>
    <m/>
    <n v="7"/>
    <m/>
    <n v="18"/>
    <m/>
    <n v="21"/>
    <s v="YES"/>
    <s v="Yes"/>
    <n v="1"/>
    <s v="No"/>
  </r>
  <r>
    <s v="EMP-2019-0741"/>
    <s v="David"/>
    <s v="Sullivan"/>
    <s v="thirty"/>
    <n v="30"/>
    <n v="1994"/>
    <n v="60900"/>
    <n v="60900"/>
    <x v="1"/>
    <s v="HR"/>
    <x v="0"/>
    <s v="Director"/>
    <d v="2019-12-01T00:00:00"/>
    <d v="2019-12-01T00:00:00"/>
    <s v="B"/>
    <n v="81"/>
    <s v="david.sullivan@saltcorp.com"/>
    <s v="123-456-7890"/>
    <s v="Part-Time"/>
    <s v="Part-Time"/>
    <m/>
    <n v="6"/>
    <m/>
    <m/>
    <m/>
    <n v="51"/>
    <m/>
    <s v=""/>
    <n v="3"/>
    <s v="No"/>
  </r>
  <r>
    <s v="EMP-2019-0742"/>
    <s v="Hannah"/>
    <s v="Brooks"/>
    <s v="thirty"/>
    <n v="30"/>
    <n v="1994"/>
    <n v="55000"/>
    <n v="55000"/>
    <x v="0"/>
    <s v="it"/>
    <x v="3"/>
    <s v="Director"/>
    <d v="2019-03-25T00:00:00"/>
    <d v="2019-03-25T00:00:00"/>
    <s v="F"/>
    <n v="30"/>
    <s v="hannah.brooks@saltcorp.com"/>
    <s v="555-555-5555"/>
    <s v="contract"/>
    <s v="Contract"/>
    <m/>
    <n v="5"/>
    <m/>
    <n v="15"/>
    <m/>
    <m/>
    <s v="YES"/>
    <s v="Yes"/>
    <n v="4"/>
    <s v="No"/>
  </r>
  <r>
    <s v="EMP-2019-0743"/>
    <s v="Ivy"/>
    <s v="Davidson"/>
    <m/>
    <n v="40"/>
    <n v="1984"/>
    <n v="59800"/>
    <n v="59800"/>
    <x v="1"/>
    <s v="it"/>
    <x v="3"/>
    <s v="Assistant"/>
    <d v="2019-12-01T00:00:00"/>
    <d v="2019-12-01T00:00:00"/>
    <s v="B"/>
    <n v="86"/>
    <s v="ivy.davidson@saltcorp.com"/>
    <m/>
    <s v="contract"/>
    <s v="Contract"/>
    <m/>
    <n v="7"/>
    <s v="N/A"/>
    <n v="14"/>
    <m/>
    <m/>
    <s v="no"/>
    <s v="No"/>
    <n v="1"/>
    <s v="Yes"/>
  </r>
  <r>
    <s v="EMP-2019-0744"/>
    <s v="Charlie"/>
    <s v="Harris"/>
    <n v="25"/>
    <n v="25"/>
    <n v="1999"/>
    <n v="70000"/>
    <n v="70000"/>
    <x v="1"/>
    <s v="it"/>
    <x v="3"/>
    <s v="Manager"/>
    <d v="2019-03-25T00:00:00"/>
    <d v="2019-03-25T00:00:00"/>
    <s v="B"/>
    <n v="88"/>
    <s v="charlie.harris@saltcorp.com"/>
    <s v=" "/>
    <s v="Full-Time"/>
    <s v="Full-Time"/>
    <s v="EMP-2018-0001"/>
    <n v="4"/>
    <m/>
    <n v="4"/>
    <s v="N/A"/>
    <n v="18"/>
    <s v="YES"/>
    <s v="Yes"/>
    <n v="2"/>
    <s v="Yes"/>
  </r>
  <r>
    <s v="EMP-2019-0745"/>
    <s v="Charlie"/>
    <s v="Schmidt"/>
    <s v="thirty"/>
    <n v="30"/>
    <n v="1994"/>
    <n v="65000"/>
    <n v="65000"/>
    <x v="1"/>
    <s v="Marketing"/>
    <x v="4"/>
    <s v="Assistant"/>
    <d v="2019-12-01T00:00:00"/>
    <d v="2019-12-01T00:00:00"/>
    <s v="B"/>
    <n v="86"/>
    <s v="charlie.schmidt@saltcorp.com"/>
    <s v="555-555-5555"/>
    <s v="Full-Time"/>
    <s v="Full-Time"/>
    <s v="EMP-2018-0076"/>
    <n v="7"/>
    <m/>
    <m/>
    <d v="2023-01-15T00:00:00"/>
    <n v="60"/>
    <s v="YES"/>
    <s v="Yes"/>
    <n v="4"/>
    <s v="Yes"/>
  </r>
  <r>
    <s v="EMP-2019-0746"/>
    <s v="Bob"/>
    <s v="Rodriguez"/>
    <n v="25"/>
    <n v="25"/>
    <n v="1999"/>
    <s v="SIXTY THOUSAND"/>
    <n v="60000"/>
    <x v="1"/>
    <s v="finance"/>
    <x v="1"/>
    <s v="Assistant"/>
    <d v="2019-03-25T00:00:00"/>
    <d v="2019-03-25T00:00:00"/>
    <s v="D"/>
    <n v="61"/>
    <s v="bob.rodriguez@saltcorp.com"/>
    <s v="123-456-7890"/>
    <s v="Full-Time"/>
    <s v="Full-Time"/>
    <s v="EMP-2019-0002"/>
    <n v="8"/>
    <m/>
    <m/>
    <s v="N/A"/>
    <m/>
    <s v="YES"/>
    <s v="Yes"/>
    <n v="2"/>
    <s v="Yes"/>
  </r>
  <r>
    <s v="EMP-2019-0747"/>
    <s v="Jack"/>
    <s v="Sullivan"/>
    <n v="25"/>
    <n v="25"/>
    <n v="1999"/>
    <n v="70000"/>
    <n v="70000"/>
    <x v="0"/>
    <s v="it"/>
    <x v="3"/>
    <s v="Director"/>
    <d v="2019-03-25T00:00:00"/>
    <d v="2019-03-25T00:00:00"/>
    <s v="B"/>
    <n v="80"/>
    <s v="jack.sullivan@saltcorp.com"/>
    <s v="555-555-5555"/>
    <s v="Full-Time"/>
    <s v="Full-Time"/>
    <m/>
    <n v="3"/>
    <s v="N/A"/>
    <m/>
    <m/>
    <m/>
    <s v="no"/>
    <s v="No"/>
    <n v="1"/>
    <s v="Yes"/>
  </r>
  <r>
    <s v="EMP-2020-0748"/>
    <s v="Charlie"/>
    <s v="Clark"/>
    <n v="25"/>
    <n v="25"/>
    <n v="1999"/>
    <n v="65000"/>
    <n v="65000"/>
    <x v="0"/>
    <s v="it"/>
    <x v="3"/>
    <s v="Director"/>
    <d v="2020-02-20T00:00:00"/>
    <d v="2020-02-20T00:00:00"/>
    <s v="A"/>
    <n v="98"/>
    <s v="charlie.clark@saltcorp.com"/>
    <s v=" "/>
    <s v="Full-Time"/>
    <s v="Full-Time"/>
    <m/>
    <n v="6"/>
    <n v="10"/>
    <m/>
    <m/>
    <m/>
    <s v="no"/>
    <s v="No"/>
    <n v="5"/>
    <s v="No"/>
  </r>
  <r>
    <s v="EMP-2019-0749"/>
    <s v="Charlie"/>
    <s v="Bishop"/>
    <n v="40"/>
    <n v="40"/>
    <n v="1984"/>
    <n v="58800"/>
    <n v="58800"/>
    <x v="1"/>
    <s v="HR"/>
    <x v="0"/>
    <s v="Clerk"/>
    <d v="2019-12-01T00:00:00"/>
    <d v="2019-12-01T00:00:00"/>
    <s v="A"/>
    <n v="97"/>
    <s v="charlie.bishop@saltcorp.com"/>
    <s v="098-765-4321"/>
    <s v="Full-Time"/>
    <s v="Full-Time"/>
    <m/>
    <n v="8"/>
    <s v="N/A"/>
    <n v="16"/>
    <d v="2023-03-05T00:00:00"/>
    <m/>
    <s v="YES"/>
    <s v="Yes"/>
    <n v="3"/>
    <s v="Yes"/>
  </r>
  <r>
    <s v="EMP-2019-0750"/>
    <s v="Eve"/>
    <s v="Bell"/>
    <n v="50"/>
    <n v="50"/>
    <n v="1974"/>
    <n v="50000"/>
    <n v="50000"/>
    <x v="0"/>
    <s v="HR"/>
    <x v="0"/>
    <s v="Clerk"/>
    <d v="2019-12-01T00:00:00"/>
    <d v="2019-12-01T00:00:00"/>
    <s v="F"/>
    <n v="12"/>
    <s v="eve.bell@saltcorp.com"/>
    <s v=" "/>
    <s v="Full-Time"/>
    <s v="Full-Time"/>
    <m/>
    <n v="5"/>
    <m/>
    <m/>
    <m/>
    <m/>
    <s v="YES"/>
    <s v="Yes"/>
    <n v="2"/>
    <s v="No"/>
  </r>
  <r>
    <s v="EMP-2019-0751"/>
    <s v="Eve"/>
    <s v="Carter"/>
    <n v="25"/>
    <n v="25"/>
    <n v="1999"/>
    <n v="50000"/>
    <n v="50000"/>
    <x v="1"/>
    <s v="finance"/>
    <x v="1"/>
    <s v="Assistant"/>
    <d v="2019-12-01T00:00:00"/>
    <d v="2019-12-01T00:00:00"/>
    <s v="D"/>
    <n v="69"/>
    <s v="eve.carter@saltcorp.com"/>
    <s v="098-765-4321"/>
    <s v="Part-Time"/>
    <s v="Part-Time"/>
    <m/>
    <n v="5"/>
    <m/>
    <n v="6"/>
    <m/>
    <n v="79"/>
    <m/>
    <s v=""/>
    <n v="3"/>
    <s v="Yes"/>
  </r>
  <r>
    <s v="EMP-2020-0752"/>
    <s v="Bob"/>
    <s v="Byrd"/>
    <n v="40"/>
    <n v="40"/>
    <n v="1984"/>
    <n v="55000"/>
    <n v="55000"/>
    <x v="0"/>
    <s v="finance"/>
    <x v="1"/>
    <s v="Analyst"/>
    <d v="2020-01-15T00:00:00"/>
    <d v="2020-01-15T00:00:00"/>
    <s v="A"/>
    <n v="97"/>
    <s v="bob.byrd@saltcorp.com"/>
    <s v="098-765-4321"/>
    <s v="Part-Time"/>
    <s v="Part-Time"/>
    <s v="EMP-2020-0073"/>
    <n v="6"/>
    <n v="1"/>
    <n v="5"/>
    <m/>
    <m/>
    <s v="no"/>
    <s v="No"/>
    <n v="3"/>
    <s v="Yes"/>
  </r>
  <r>
    <s v="EMP-2019-0753"/>
    <s v="Jack"/>
    <s v="Aguilar"/>
    <m/>
    <n v="39"/>
    <n v="1985"/>
    <n v="65000"/>
    <n v="65000"/>
    <x v="0"/>
    <s v="sales"/>
    <x v="2"/>
    <s v="Analyst"/>
    <d v="2019-03-25T00:00:00"/>
    <d v="2019-03-25T00:00:00"/>
    <s v="D"/>
    <n v="62"/>
    <s v="jack.aguilar@saltcorp.com"/>
    <s v="098-765-4321"/>
    <s v="Full-Time"/>
    <s v="Full-Time"/>
    <m/>
    <n v="7"/>
    <s v="N/A"/>
    <m/>
    <d v="2023-03-05T00:00:00"/>
    <n v="22"/>
    <s v="no"/>
    <s v="No"/>
    <n v="4"/>
    <s v="No"/>
  </r>
  <r>
    <s v="EMP-2019-0754"/>
    <s v="Frank"/>
    <s v="Ramirez"/>
    <s v="thirty"/>
    <n v="30"/>
    <n v="1994"/>
    <n v="50000"/>
    <n v="50000"/>
    <x v="0"/>
    <s v="HR"/>
    <x v="0"/>
    <s v="Clerk"/>
    <d v="2019-12-01T00:00:00"/>
    <d v="2019-12-01T00:00:00"/>
    <s v="D"/>
    <n v="68"/>
    <s v="frank.ramirez@saltcorp.com"/>
    <s v="555-555-5555"/>
    <s v="contract"/>
    <s v="Contract"/>
    <s v="EMP-2020-0096"/>
    <n v="3"/>
    <s v="N/A"/>
    <n v="20"/>
    <m/>
    <n v="70"/>
    <s v="no"/>
    <s v="No"/>
    <n v="4"/>
    <s v="Yes"/>
  </r>
  <r>
    <s v="EMP-2020-0755"/>
    <s v="Eve"/>
    <s v="Carter"/>
    <n v="50"/>
    <n v="50"/>
    <n v="1974"/>
    <s v="SIXTY THOUSAND"/>
    <n v="60000"/>
    <x v="1"/>
    <s v="sales"/>
    <x v="2"/>
    <s v="Analyst"/>
    <d v="2020-01-15T00:00:00"/>
    <d v="2020-01-15T00:00:00"/>
    <s v="F"/>
    <n v="48"/>
    <s v="eve.carter@saltcorp.com"/>
    <s v="123-456-7890"/>
    <s v="Part-Time"/>
    <s v="Part-Time"/>
    <m/>
    <n v="2"/>
    <m/>
    <m/>
    <m/>
    <n v="39"/>
    <s v="YES"/>
    <s v="Yes"/>
    <n v="5"/>
    <s v="No"/>
  </r>
  <r>
    <s v="EMP-2020-0756"/>
    <s v="Frank"/>
    <s v="Torres"/>
    <s v="thirty"/>
    <n v="30"/>
    <n v="1994"/>
    <n v="65000"/>
    <n v="65000"/>
    <x v="0"/>
    <s v="Marketing"/>
    <x v="4"/>
    <s v="Clerk"/>
    <d v="2020-02-20T00:00:00"/>
    <d v="2020-02-20T00:00:00"/>
    <s v="D"/>
    <n v="61"/>
    <s v="frank.torres@saltcorp.com"/>
    <s v="555-555-5555"/>
    <s v="Full-Time"/>
    <s v="Full-Time"/>
    <s v="EMP-2019-0028"/>
    <n v="4"/>
    <m/>
    <n v="20"/>
    <m/>
    <m/>
    <s v="YES"/>
    <s v="Yes"/>
    <n v="2"/>
    <s v="Yes"/>
  </r>
  <r>
    <s v="EMP-2019-0757"/>
    <s v="Alice"/>
    <s v="Anderson"/>
    <n v="50"/>
    <n v="50"/>
    <n v="1974"/>
    <s v="SIXTY THOUSAND"/>
    <n v="60000"/>
    <x v="0"/>
    <s v="sales"/>
    <x v="2"/>
    <s v="Director"/>
    <d v="2019-12-01T00:00:00"/>
    <d v="2019-12-01T00:00:00"/>
    <s v="B"/>
    <n v="83"/>
    <s v="alice.anderson@saltcorp.com"/>
    <s v="123-456-7890"/>
    <s v="Full-Time"/>
    <s v="Full-Time"/>
    <m/>
    <n v="8"/>
    <s v="N/A"/>
    <n v="3"/>
    <d v="2024-08-12T00:00:00"/>
    <m/>
    <s v="no"/>
    <s v="No"/>
    <n v="5"/>
    <s v="No"/>
  </r>
  <r>
    <s v="EMP-2019-0758"/>
    <s v="Eve"/>
    <s v="Rogers"/>
    <s v="thirty"/>
    <n v="30"/>
    <n v="1994"/>
    <s v="SIXTY THOUSAND"/>
    <n v="60000"/>
    <x v="1"/>
    <s v="it"/>
    <x v="3"/>
    <s v="Assistant"/>
    <d v="2019-12-01T00:00:00"/>
    <d v="2019-12-01T00:00:00"/>
    <s v="D"/>
    <n v="60"/>
    <s v="eve.rogers@saltcorp.com"/>
    <s v=" "/>
    <s v="Part-Time"/>
    <s v="Part-Time"/>
    <m/>
    <n v="3"/>
    <m/>
    <m/>
    <m/>
    <m/>
    <m/>
    <s v=""/>
    <n v="3"/>
    <s v="Yes"/>
  </r>
  <r>
    <s v="EMP-2020-0759"/>
    <s v="Ivy"/>
    <s v="Gupta"/>
    <n v="50"/>
    <n v="50"/>
    <n v="1974"/>
    <n v="50000"/>
    <n v="50000"/>
    <x v="1"/>
    <s v="sales"/>
    <x v="2"/>
    <s v="Manager"/>
    <d v="2020-01-15T00:00:00"/>
    <d v="2020-01-15T00:00:00"/>
    <s v="F"/>
    <n v="29"/>
    <s v="ivy.gupta@saltcorp.com"/>
    <m/>
    <s v="Part-Time"/>
    <s v="Part-Time"/>
    <s v="EMP-2019-0041"/>
    <n v="2"/>
    <s v="N/A"/>
    <n v="17"/>
    <d v="2023-01-15T00:00:00"/>
    <n v="66"/>
    <s v="YES"/>
    <s v="Yes"/>
    <n v="2"/>
    <s v="No"/>
  </r>
  <r>
    <s v="EMP-2019-0760"/>
    <s v="Jack"/>
    <s v="Murphy"/>
    <s v="thirty"/>
    <n v="30"/>
    <n v="1994"/>
    <n v="65000"/>
    <n v="65000"/>
    <x v="0"/>
    <s v="finance"/>
    <x v="1"/>
    <s v="Assistant"/>
    <d v="2019-03-25T00:00:00"/>
    <d v="2019-03-25T00:00:00"/>
    <s v="F"/>
    <n v="8"/>
    <s v="jack.murphy@saltcorp.com"/>
    <s v=" "/>
    <s v="Full-Time"/>
    <s v="Full-Time"/>
    <s v="EMP-2020-0011"/>
    <n v="4"/>
    <s v="N/A"/>
    <m/>
    <d v="2021-10-01T00:00:00"/>
    <n v="27"/>
    <s v="no"/>
    <s v="No"/>
    <n v="1"/>
    <s v="No"/>
  </r>
  <r>
    <s v="EMP-2020-0761"/>
    <s v="Bob"/>
    <s v="Davis"/>
    <s v="thirty"/>
    <n v="30"/>
    <n v="1994"/>
    <n v="58600"/>
    <n v="58600"/>
    <x v="0"/>
    <s v="Marketing"/>
    <x v="4"/>
    <s v="Clerk"/>
    <d v="2020-02-20T00:00:00"/>
    <d v="2020-02-20T00:00:00"/>
    <s v="F"/>
    <n v="36"/>
    <s v="bob.davis@saltcorp.com"/>
    <s v="555-555-5555"/>
    <s v="Full-Time"/>
    <s v="Full-Time"/>
    <m/>
    <n v="7"/>
    <n v="2"/>
    <m/>
    <m/>
    <m/>
    <s v="YES"/>
    <s v="Yes"/>
    <n v="4"/>
    <s v="No"/>
  </r>
  <r>
    <s v="EMP-2019-0762"/>
    <s v="Alice"/>
    <s v="Baker"/>
    <s v="thirty"/>
    <n v="30"/>
    <n v="1994"/>
    <n v="70000"/>
    <n v="70000"/>
    <x v="1"/>
    <s v="it"/>
    <x v="3"/>
    <s v="Clerk"/>
    <d v="2019-12-01T00:00:00"/>
    <d v="2019-12-01T00:00:00"/>
    <s v="A"/>
    <n v="90"/>
    <s v="alice.baker@saltcorp.com"/>
    <s v="555-555-5555"/>
    <s v="Full-Time"/>
    <s v="Full-Time"/>
    <m/>
    <n v="6"/>
    <n v="12"/>
    <n v="18"/>
    <m/>
    <m/>
    <s v="no"/>
    <s v="No"/>
    <n v="3"/>
    <s v="No"/>
  </r>
  <r>
    <s v="EMP-2019-0763"/>
    <s v="Jack"/>
    <s v="Ross"/>
    <s v="thirty"/>
    <n v="30"/>
    <n v="1994"/>
    <n v="50000"/>
    <n v="50000"/>
    <x v="1"/>
    <s v="sales"/>
    <x v="2"/>
    <s v="Assistant"/>
    <d v="2019-03-25T00:00:00"/>
    <d v="2019-03-25T00:00:00"/>
    <s v="B"/>
    <n v="85"/>
    <s v="jack.ross@saltcorp.com"/>
    <s v="123-456-7890"/>
    <s v="Part-Time"/>
    <s v="Part-Time"/>
    <m/>
    <n v="1"/>
    <m/>
    <n v="15"/>
    <m/>
    <m/>
    <s v="YES"/>
    <s v="Yes"/>
    <n v="4"/>
    <s v="Yes"/>
  </r>
  <r>
    <s v="EMP-2020-0764"/>
    <s v="Ivy"/>
    <s v="Desai"/>
    <m/>
    <n v="30"/>
    <n v="1994"/>
    <n v="50000"/>
    <n v="50000"/>
    <x v="1"/>
    <s v="Marketing"/>
    <x v="4"/>
    <s v="Clerk"/>
    <d v="2020-02-20T00:00:00"/>
    <d v="2020-02-20T00:00:00"/>
    <s v="A"/>
    <n v="97"/>
    <s v="ivy.desai@saltcorp.com"/>
    <s v="555-555-5555"/>
    <s v="Full-Time"/>
    <s v="Full-Time"/>
    <s v="EMP-2020-0066"/>
    <n v="3"/>
    <m/>
    <m/>
    <m/>
    <m/>
    <s v="YES"/>
    <s v="Yes"/>
    <n v="3"/>
    <s v="No"/>
  </r>
  <r>
    <s v="EMP-2018-0765"/>
    <s v="Jack"/>
    <s v="Le"/>
    <n v="25"/>
    <n v="25"/>
    <n v="1999"/>
    <n v="60300"/>
    <n v="60300"/>
    <x v="0"/>
    <s v="Marketing"/>
    <x v="4"/>
    <s v="Analyst"/>
    <d v="2018-04-05T00:00:00"/>
    <d v="2018-04-05T00:00:00"/>
    <s v="C"/>
    <n v="71"/>
    <s v="jack.le@saltcorp.com"/>
    <s v="098-765-4321"/>
    <s v="Full-Time"/>
    <s v="Full-Time"/>
    <s v="EMP-2019-0083"/>
    <n v="7"/>
    <m/>
    <m/>
    <d v="2021-10-01T00:00:00"/>
    <m/>
    <s v="YES"/>
    <s v="Yes"/>
    <n v="3"/>
    <s v="No"/>
  </r>
  <r>
    <s v="EMP-2018-0766"/>
    <s v="Ivy"/>
    <s v="Aguilar"/>
    <n v="35"/>
    <n v="35"/>
    <n v="1989"/>
    <n v="65000"/>
    <n v="65000"/>
    <x v="0"/>
    <s v="it"/>
    <x v="3"/>
    <s v="Analyst"/>
    <d v="2018-04-05T00:00:00"/>
    <d v="2018-04-05T00:00:00"/>
    <s v="B"/>
    <n v="87"/>
    <s v="ivy.aguilar@saltcorp.com"/>
    <s v="555-555-5555"/>
    <s v="contract"/>
    <s v="Contract"/>
    <m/>
    <n v="1"/>
    <n v="12"/>
    <m/>
    <m/>
    <m/>
    <s v="YES"/>
    <s v="Yes"/>
    <n v="3"/>
    <s v="No"/>
  </r>
  <r>
    <s v="EMP-2020-0767"/>
    <s v="Ivy"/>
    <s v="Singh"/>
    <n v="40"/>
    <n v="40"/>
    <n v="1984"/>
    <n v="65000"/>
    <n v="65000"/>
    <x v="1"/>
    <s v="sales"/>
    <x v="2"/>
    <s v="Clerk"/>
    <d v="2020-02-20T00:00:00"/>
    <d v="2020-02-20T00:00:00"/>
    <s v="D"/>
    <n v="63"/>
    <s v="ivy.singh@saltcorp.com"/>
    <s v="123-456-7890"/>
    <s v="Part-Time"/>
    <s v="Part-Time"/>
    <m/>
    <n v="2"/>
    <s v="N/A"/>
    <m/>
    <m/>
    <m/>
    <s v="YES"/>
    <s v="Yes"/>
    <n v="1"/>
    <s v="No"/>
  </r>
  <r>
    <s v="EMP-2020-0768"/>
    <s v="Frank"/>
    <s v="Matthews"/>
    <n v="35"/>
    <n v="35"/>
    <n v="1989"/>
    <s v="SIXTY THOUSAND"/>
    <n v="60000"/>
    <x v="0"/>
    <s v="Marketing"/>
    <x v="4"/>
    <s v="Clerk"/>
    <d v="2020-01-15T00:00:00"/>
    <d v="2020-01-15T00:00:00"/>
    <s v="F"/>
    <n v="5"/>
    <s v="frank.matthews@saltcorp.com"/>
    <s v="123-456-7890"/>
    <s v="Part-Time"/>
    <s v="Part-Time"/>
    <m/>
    <n v="3"/>
    <s v="N/A"/>
    <m/>
    <d v="2022-06-20T00:00:00"/>
    <n v="55"/>
    <s v="YES"/>
    <s v="Yes"/>
    <n v="4"/>
    <s v="Yes"/>
  </r>
  <r>
    <s v="EMP-2020-0769"/>
    <s v="Hannah"/>
    <s v="Hughes"/>
    <n v="35"/>
    <n v="35"/>
    <n v="1989"/>
    <n v="60300"/>
    <n v="60300"/>
    <x v="1"/>
    <s v="Marketing"/>
    <x v="4"/>
    <s v="Analyst"/>
    <d v="2020-02-20T00:00:00"/>
    <d v="2020-02-20T00:00:00"/>
    <s v="C"/>
    <n v="79"/>
    <s v="hannah.hughes@saltcorp.com"/>
    <s v="098-765-4321"/>
    <s v="Part-Time"/>
    <s v="Part-Time"/>
    <m/>
    <n v="8"/>
    <s v="N/A"/>
    <n v="10"/>
    <d v="2021-10-01T00:00:00"/>
    <n v="21"/>
    <s v="no"/>
    <s v="No"/>
    <n v="4"/>
    <s v="No"/>
  </r>
  <r>
    <s v="EMP-2020-0770"/>
    <s v="Alice"/>
    <s v="Lee"/>
    <n v="50"/>
    <n v="50"/>
    <n v="1974"/>
    <n v="58800"/>
    <n v="58800"/>
    <x v="1"/>
    <s v="HR"/>
    <x v="0"/>
    <s v="Clerk"/>
    <d v="2020-02-20T00:00:00"/>
    <d v="2020-02-20T00:00:00"/>
    <s v="B"/>
    <n v="82"/>
    <s v="alice.lee@saltcorp.com"/>
    <s v="123-456-7890"/>
    <s v="contract"/>
    <s v="Contract"/>
    <m/>
    <n v="7"/>
    <s v="N/A"/>
    <m/>
    <m/>
    <m/>
    <s v="no"/>
    <s v="No"/>
    <n v="3"/>
    <s v="No"/>
  </r>
  <r>
    <s v="EMP-2020-0771"/>
    <s v="Jack"/>
    <s v="O'Neill"/>
    <n v="25"/>
    <n v="25"/>
    <n v="1999"/>
    <n v="65000"/>
    <n v="65000"/>
    <x v="0"/>
    <s v="Marketing"/>
    <x v="4"/>
    <s v="Clerk"/>
    <d v="2020-01-15T00:00:00"/>
    <d v="2020-01-15T00:00:00"/>
    <s v="A"/>
    <n v="96"/>
    <s v="jack.o'neill@saltcorp.com"/>
    <m/>
    <s v="Full-Time"/>
    <s v="Full-Time"/>
    <m/>
    <n v="2"/>
    <s v="N/A"/>
    <n v="16"/>
    <d v="2021-10-01T00:00:00"/>
    <n v="41"/>
    <s v="YES"/>
    <s v="Yes"/>
    <n v="2"/>
    <s v="Yes"/>
  </r>
  <r>
    <s v="EMP-2020-0772"/>
    <s v="David"/>
    <s v="Kim"/>
    <n v="50"/>
    <n v="50"/>
    <n v="1974"/>
    <s v="SIXTY THOUSAND"/>
    <n v="60000"/>
    <x v="0"/>
    <s v="HR"/>
    <x v="0"/>
    <s v="Assistant"/>
    <d v="2020-01-15T00:00:00"/>
    <d v="2020-01-15T00:00:00"/>
    <s v="F"/>
    <n v="35"/>
    <s v="david.kim@saltcorp.com"/>
    <s v=" "/>
    <s v="Full-Time"/>
    <s v="Full-Time"/>
    <s v="EMP-2018-0076"/>
    <n v="2"/>
    <n v="4"/>
    <n v="12"/>
    <d v="2021-10-01T00:00:00"/>
    <m/>
    <s v="YES"/>
    <s v="Yes"/>
    <n v="2"/>
    <s v="Yes"/>
  </r>
  <r>
    <s v="EMP-2019-0773"/>
    <s v="Alice"/>
    <s v="Anderson"/>
    <n v="25"/>
    <n v="25"/>
    <n v="1999"/>
    <n v="50000"/>
    <n v="50000"/>
    <x v="1"/>
    <s v="sales"/>
    <x v="2"/>
    <s v="Manager"/>
    <d v="2019-03-25T00:00:00"/>
    <d v="2019-03-25T00:00:00"/>
    <s v="A"/>
    <n v="98"/>
    <s v="alice.anderson@saltcorp.com"/>
    <s v="555-555-5555"/>
    <s v="Part-Time"/>
    <s v="Part-Time"/>
    <s v="EMP-2018-0006"/>
    <n v="5"/>
    <n v="1"/>
    <n v="4"/>
    <d v="2021-10-01T00:00:00"/>
    <n v="8"/>
    <m/>
    <s v=""/>
    <n v="5"/>
    <s v="No"/>
  </r>
  <r>
    <s v="EMP-2019-0774"/>
    <s v="Hannah"/>
    <s v="Foster"/>
    <n v="25"/>
    <n v="25"/>
    <n v="1999"/>
    <n v="55000"/>
    <n v="55000"/>
    <x v="1"/>
    <s v="sales"/>
    <x v="2"/>
    <s v="Analyst"/>
    <d v="2019-03-25T00:00:00"/>
    <d v="2019-03-25T00:00:00"/>
    <s v="B"/>
    <n v="81"/>
    <s v="hannah.foster@saltcorp.com"/>
    <m/>
    <s v="Full-Time"/>
    <s v="Full-Time"/>
    <m/>
    <n v="4"/>
    <m/>
    <m/>
    <d v="2022-06-20T00:00:00"/>
    <m/>
    <s v="YES"/>
    <s v="Yes"/>
    <n v="4"/>
    <s v="No"/>
  </r>
  <r>
    <s v="EMP-2020-0775"/>
    <s v="Alice"/>
    <s v="Martinez"/>
    <s v="thirty"/>
    <n v="30"/>
    <n v="1994"/>
    <n v="70000"/>
    <n v="70000"/>
    <x v="1"/>
    <s v="sales"/>
    <x v="2"/>
    <s v="Assistant"/>
    <d v="2020-01-15T00:00:00"/>
    <d v="2020-01-15T00:00:00"/>
    <s v="B"/>
    <n v="82"/>
    <s v="alice.martinez@saltcorp.com"/>
    <s v="555-555-5555"/>
    <s v="contract"/>
    <s v="Contract"/>
    <m/>
    <n v="6"/>
    <m/>
    <m/>
    <d v="2023-03-05T00:00:00"/>
    <m/>
    <s v="YES"/>
    <s v="Yes"/>
    <n v="4"/>
    <s v="Yes"/>
  </r>
  <r>
    <s v="EMP-2018-0776"/>
    <s v="Charlie"/>
    <s v="Lucas"/>
    <m/>
    <n v="46"/>
    <n v="1978"/>
    <n v="50000"/>
    <n v="50000"/>
    <x v="0"/>
    <s v="finance"/>
    <x v="1"/>
    <s v="Manager"/>
    <d v="2018-04-05T00:00:00"/>
    <d v="2018-04-05T00:00:00"/>
    <s v="C"/>
    <n v="79"/>
    <s v="charlie.lucas@saltcorp.com"/>
    <m/>
    <s v="Part-Time"/>
    <s v="Part-Time"/>
    <m/>
    <n v="2"/>
    <n v="3"/>
    <m/>
    <d v="2023-03-05T00:00:00"/>
    <m/>
    <s v="no"/>
    <s v="No"/>
    <n v="1"/>
    <s v="No"/>
  </r>
  <r>
    <s v="EMP-2018-0777"/>
    <s v="David"/>
    <s v="Cohen"/>
    <s v="thirty"/>
    <n v="30"/>
    <n v="1994"/>
    <n v="65000"/>
    <n v="65000"/>
    <x v="0"/>
    <s v="sales"/>
    <x v="2"/>
    <s v="Clerk"/>
    <d v="2018-04-05T00:00:00"/>
    <d v="2018-04-05T00:00:00"/>
    <s v="D"/>
    <n v="63"/>
    <s v="david.cohen@saltcorp.com"/>
    <s v="555-555-5555"/>
    <s v="Full-Time"/>
    <s v="Full-Time"/>
    <m/>
    <n v="1"/>
    <s v="N/A"/>
    <m/>
    <m/>
    <m/>
    <s v="YES"/>
    <s v="Yes"/>
    <n v="1"/>
    <s v="No"/>
  </r>
  <r>
    <s v="EMP-2020-0778"/>
    <s v="Hannah"/>
    <s v="Perry"/>
    <m/>
    <n v="36"/>
    <n v="1988"/>
    <n v="70000"/>
    <n v="70000"/>
    <x v="1"/>
    <s v="Marketing"/>
    <x v="4"/>
    <s v="Clerk"/>
    <d v="2020-02-20T00:00:00"/>
    <d v="2020-02-20T00:00:00"/>
    <s v="A"/>
    <n v="100"/>
    <s v="hannah.perry@saltcorp.com"/>
    <s v="098-765-4321"/>
    <s v="Full-Time"/>
    <s v="Full-Time"/>
    <m/>
    <n v="7"/>
    <s v="N/A"/>
    <m/>
    <d v="2021-10-01T00:00:00"/>
    <m/>
    <s v="no"/>
    <s v="No"/>
    <n v="5"/>
    <s v="No"/>
  </r>
  <r>
    <s v="EMP-2019-0779"/>
    <s v="Frank"/>
    <s v="Hoffman"/>
    <n v="50"/>
    <n v="50"/>
    <n v="1974"/>
    <n v="55000"/>
    <n v="55000"/>
    <x v="0"/>
    <s v="it"/>
    <x v="3"/>
    <s v="Assistant"/>
    <d v="2019-12-01T00:00:00"/>
    <d v="2019-12-01T00:00:00"/>
    <s v="C"/>
    <n v="70"/>
    <s v="frank.hoffman@saltcorp.com"/>
    <s v="123-456-7890"/>
    <s v="Part-Time"/>
    <s v="Part-Time"/>
    <m/>
    <n v="7"/>
    <n v="10"/>
    <n v="1"/>
    <s v="N/A"/>
    <m/>
    <m/>
    <s v=""/>
    <n v="4"/>
    <s v="No"/>
  </r>
  <r>
    <s v="EMP-2020-0780"/>
    <s v="Jack"/>
    <s v="Jordan"/>
    <m/>
    <n v="30"/>
    <n v="1994"/>
    <n v="55000"/>
    <n v="55000"/>
    <x v="0"/>
    <s v="HR"/>
    <x v="0"/>
    <s v="Clerk"/>
    <d v="2020-02-20T00:00:00"/>
    <d v="2020-02-20T00:00:00"/>
    <s v="F"/>
    <n v="31"/>
    <s v="jack.jordan@saltcorp.com"/>
    <s v="123-456-7890"/>
    <s v="Full-Time"/>
    <s v="Full-Time"/>
    <m/>
    <n v="5"/>
    <n v="5"/>
    <n v="19"/>
    <m/>
    <m/>
    <s v="no"/>
    <s v="No"/>
    <n v="1"/>
    <s v="Yes"/>
  </r>
  <r>
    <s v="EMP-2020-0781"/>
    <s v="Grace"/>
    <s v="Bell"/>
    <n v="50"/>
    <n v="50"/>
    <n v="1974"/>
    <s v="SIXTY THOUSAND"/>
    <n v="60000"/>
    <x v="1"/>
    <s v="finance"/>
    <x v="1"/>
    <s v="Director"/>
    <d v="2020-02-20T00:00:00"/>
    <d v="2020-02-20T00:00:00"/>
    <s v="D"/>
    <n v="62"/>
    <s v="grace.bell@saltcorp.com"/>
    <s v="098-765-4321"/>
    <s v="Part-Time"/>
    <s v="Part-Time"/>
    <m/>
    <n v="1"/>
    <n v="13"/>
    <m/>
    <m/>
    <m/>
    <s v="YES"/>
    <s v="Yes"/>
    <n v="2"/>
    <s v="Yes"/>
  </r>
  <r>
    <s v="EMP-2019-0782"/>
    <s v="Hannah"/>
    <s v="Williamson"/>
    <n v="35"/>
    <n v="35"/>
    <n v="1989"/>
    <n v="70000"/>
    <n v="70000"/>
    <x v="1"/>
    <s v="sales"/>
    <x v="2"/>
    <s v="Assistant"/>
    <d v="2019-12-01T00:00:00"/>
    <d v="2019-12-01T00:00:00"/>
    <s v="C"/>
    <n v="74"/>
    <s v="hannah.williamson@saltcorp.com"/>
    <m/>
    <s v="contract"/>
    <s v="Contract"/>
    <s v="EMP-2018-0008"/>
    <n v="3"/>
    <s v="N/A"/>
    <n v="15"/>
    <m/>
    <m/>
    <s v="no"/>
    <s v="No"/>
    <n v="2"/>
    <s v="No"/>
  </r>
  <r>
    <s v="EMP-2020-0783"/>
    <s v="Bob"/>
    <s v="Smith"/>
    <n v="35"/>
    <n v="35"/>
    <n v="1989"/>
    <s v="SIXTY THOUSAND"/>
    <n v="60000"/>
    <x v="0"/>
    <s v="sales"/>
    <x v="2"/>
    <s v="Manager"/>
    <d v="2020-01-15T00:00:00"/>
    <d v="2020-01-15T00:00:00"/>
    <s v="A"/>
    <n v="92"/>
    <s v="bob.smith@saltcorp.com"/>
    <s v=" "/>
    <s v="Full-Time"/>
    <s v="Full-Time"/>
    <m/>
    <n v="8"/>
    <n v="1"/>
    <n v="9"/>
    <m/>
    <m/>
    <s v="YES"/>
    <s v="Yes"/>
    <n v="5"/>
    <s v="No"/>
  </r>
  <r>
    <s v="EMP-2018-0784"/>
    <s v="Jack"/>
    <s v="Ryan"/>
    <m/>
    <n v="33"/>
    <n v="1991"/>
    <n v="50000"/>
    <n v="50000"/>
    <x v="0"/>
    <s v="it"/>
    <x v="3"/>
    <s v="Assistant"/>
    <d v="2018-04-05T00:00:00"/>
    <d v="2018-04-05T00:00:00"/>
    <s v="B"/>
    <n v="84"/>
    <s v="jack.ryan@saltcorp.com"/>
    <m/>
    <s v="Full-Time"/>
    <s v="Full-Time"/>
    <m/>
    <n v="8"/>
    <m/>
    <m/>
    <m/>
    <m/>
    <s v="YES"/>
    <s v="Yes"/>
    <n v="1"/>
    <s v="Yes"/>
  </r>
  <r>
    <s v="EMP-2020-0785"/>
    <s v="Hannah"/>
    <s v="Long"/>
    <m/>
    <n v="27"/>
    <n v="1997"/>
    <n v="59300"/>
    <n v="59300"/>
    <x v="0"/>
    <s v="it"/>
    <x v="3"/>
    <s v="Analyst"/>
    <d v="2020-02-20T00:00:00"/>
    <d v="2020-02-20T00:00:00"/>
    <s v="F"/>
    <n v="17"/>
    <s v="hannah.long@saltcorp.com"/>
    <s v="123-456-7890"/>
    <s v="Full-Time"/>
    <s v="Full-Time"/>
    <s v="EMP-2020-0023"/>
    <n v="1"/>
    <m/>
    <m/>
    <m/>
    <m/>
    <m/>
    <s v=""/>
    <n v="2"/>
    <s v="No"/>
  </r>
  <r>
    <s v="EMP-2019-0786"/>
    <s v="Charlie"/>
    <s v="Jordan"/>
    <n v="50"/>
    <n v="50"/>
    <n v="1974"/>
    <n v="58500"/>
    <n v="58500"/>
    <x v="0"/>
    <s v="finance"/>
    <x v="1"/>
    <s v="Assistant"/>
    <d v="2019-12-01T00:00:00"/>
    <d v="2019-12-01T00:00:00"/>
    <s v="A"/>
    <n v="96"/>
    <s v="charlie.jordan@saltcorp.com"/>
    <s v=" "/>
    <s v="contract"/>
    <s v="Contract"/>
    <s v="EMP-2018-0090"/>
    <n v="4"/>
    <m/>
    <m/>
    <m/>
    <m/>
    <m/>
    <s v=""/>
    <n v="2"/>
    <s v="No"/>
  </r>
  <r>
    <s v="EMP-2019-0787"/>
    <s v="Grace"/>
    <s v="Yang"/>
    <s v="thirty"/>
    <n v="30"/>
    <n v="1994"/>
    <n v="58800"/>
    <n v="58800"/>
    <x v="0"/>
    <s v="HR"/>
    <x v="0"/>
    <s v="Clerk"/>
    <d v="2019-03-25T00:00:00"/>
    <d v="2019-03-25T00:00:00"/>
    <s v="D"/>
    <n v="60"/>
    <s v="grace.yang@saltcorp.com"/>
    <s v="555-555-5555"/>
    <s v="Full-Time"/>
    <s v="Full-Time"/>
    <m/>
    <n v="5"/>
    <s v="N/A"/>
    <n v="5"/>
    <d v="2021-10-01T00:00:00"/>
    <m/>
    <m/>
    <s v=""/>
    <n v="4"/>
    <s v="No"/>
  </r>
  <r>
    <s v="EMP-2020-0788"/>
    <s v="Charlie"/>
    <s v="Gomez"/>
    <n v="50"/>
    <n v="50"/>
    <n v="1974"/>
    <n v="70000"/>
    <n v="70000"/>
    <x v="0"/>
    <s v="sales"/>
    <x v="2"/>
    <s v="Clerk"/>
    <d v="2020-02-20T00:00:00"/>
    <d v="2020-02-20T00:00:00"/>
    <s v="D"/>
    <n v="67"/>
    <s v="charlie.gomez@saltcorp.com"/>
    <s v=" "/>
    <s v="Part-Time"/>
    <s v="Part-Time"/>
    <s v="EMP-2020-0034"/>
    <n v="4"/>
    <s v="N/A"/>
    <n v="8"/>
    <d v="2021-10-01T00:00:00"/>
    <m/>
    <s v="YES"/>
    <s v="Yes"/>
    <n v="1"/>
    <s v="No"/>
  </r>
  <r>
    <s v="EMP-2018-0789"/>
    <s v="Grace"/>
    <s v="Figueroa"/>
    <s v="thirty"/>
    <n v="30"/>
    <n v="1994"/>
    <n v="60300"/>
    <n v="60300"/>
    <x v="0"/>
    <s v="finance"/>
    <x v="1"/>
    <s v="Director"/>
    <d v="2018-04-05T00:00:00"/>
    <d v="2018-04-05T00:00:00"/>
    <s v="B"/>
    <n v="88"/>
    <s v="grace.figueroa@saltcorp.com"/>
    <m/>
    <s v="Full-Time"/>
    <s v="Full-Time"/>
    <m/>
    <n v="1"/>
    <n v="5"/>
    <n v="3"/>
    <m/>
    <m/>
    <s v="no"/>
    <s v="No"/>
    <n v="5"/>
    <s v="No"/>
  </r>
  <r>
    <s v="EMP-2020-0790"/>
    <s v="Bob"/>
    <s v="Rodriguez"/>
    <n v="35"/>
    <n v="35"/>
    <n v="1989"/>
    <n v="50000"/>
    <n v="50000"/>
    <x v="0"/>
    <s v="Marketing"/>
    <x v="4"/>
    <s v="Director"/>
    <d v="2020-01-15T00:00:00"/>
    <d v="2020-01-15T00:00:00"/>
    <s v="B"/>
    <n v="80"/>
    <s v="bob.rodriguez@saltcorp.com"/>
    <s v="098-765-4321"/>
    <s v="contract"/>
    <s v="Contract"/>
    <s v="EMP-2018-0099"/>
    <n v="4"/>
    <s v="N/A"/>
    <n v="12"/>
    <m/>
    <m/>
    <s v="no"/>
    <s v="No"/>
    <n v="2"/>
    <s v="Yes"/>
  </r>
  <r>
    <s v="EMP-2020-0791"/>
    <s v="Jack"/>
    <s v="Andrews"/>
    <n v="25"/>
    <n v="25"/>
    <n v="1999"/>
    <s v="SIXTY THOUSAND"/>
    <n v="60000"/>
    <x v="0"/>
    <s v="Marketing"/>
    <x v="4"/>
    <s v="Director"/>
    <d v="2020-02-20T00:00:00"/>
    <d v="2020-02-20T00:00:00"/>
    <s v="F"/>
    <n v="33"/>
    <s v="jack.andrews@saltcorp.com"/>
    <s v="555-555-5555"/>
    <s v="contract"/>
    <s v="Contract"/>
    <m/>
    <n v="3"/>
    <m/>
    <m/>
    <m/>
    <m/>
    <s v="YES"/>
    <s v="Yes"/>
    <n v="5"/>
    <s v="No"/>
  </r>
  <r>
    <s v="EMP-2020-0792"/>
    <s v="Frank"/>
    <s v="Flores"/>
    <m/>
    <n v="36"/>
    <n v="1988"/>
    <n v="70000"/>
    <n v="70000"/>
    <x v="0"/>
    <s v="finance"/>
    <x v="1"/>
    <s v="Manager"/>
    <d v="2020-02-20T00:00:00"/>
    <d v="2020-02-20T00:00:00"/>
    <s v="F"/>
    <n v="6"/>
    <s v="frank.flores@saltcorp.com"/>
    <m/>
    <s v="Full-Time"/>
    <s v="Full-Time"/>
    <m/>
    <n v="1"/>
    <n v="0"/>
    <m/>
    <m/>
    <n v="28"/>
    <s v="no"/>
    <s v="No"/>
    <n v="1"/>
    <s v="Yes"/>
  </r>
  <r>
    <s v="EMP-2019-0793"/>
    <s v="Charlie"/>
    <s v="Santos"/>
    <s v="thirty"/>
    <n v="30"/>
    <n v="1994"/>
    <s v="SIXTY THOUSAND"/>
    <n v="60000"/>
    <x v="0"/>
    <s v="sales"/>
    <x v="2"/>
    <s v="Director"/>
    <d v="2019-12-01T00:00:00"/>
    <d v="2019-12-01T00:00:00"/>
    <s v="B"/>
    <n v="83"/>
    <s v="charlie.santos@saltcorp.com"/>
    <s v="555-555-5555"/>
    <s v="Full-Time"/>
    <s v="Full-Time"/>
    <m/>
    <n v="6"/>
    <m/>
    <m/>
    <m/>
    <m/>
    <m/>
    <s v=""/>
    <n v="2"/>
    <s v="No"/>
  </r>
  <r>
    <s v="EMP-2019-0794"/>
    <s v="Charlie"/>
    <s v="Knight"/>
    <n v="50"/>
    <n v="50"/>
    <n v="1974"/>
    <n v="70000"/>
    <n v="70000"/>
    <x v="1"/>
    <s v="finance"/>
    <x v="1"/>
    <s v="Manager"/>
    <d v="2019-03-25T00:00:00"/>
    <d v="2019-03-25T00:00:00"/>
    <s v="B"/>
    <n v="83"/>
    <s v="charlie.knight@saltcorp.com"/>
    <s v=" "/>
    <s v="Part-Time"/>
    <s v="Part-Time"/>
    <m/>
    <n v="4"/>
    <m/>
    <n v="16"/>
    <m/>
    <m/>
    <m/>
    <s v=""/>
    <n v="4"/>
    <s v="No"/>
  </r>
  <r>
    <s v="EMP-2019-0795"/>
    <s v="Ivy"/>
    <s v="Kumar"/>
    <n v="35"/>
    <n v="35"/>
    <n v="1989"/>
    <s v="SIXTY THOUSAND"/>
    <n v="60000"/>
    <x v="0"/>
    <s v="sales"/>
    <x v="2"/>
    <s v="Director"/>
    <d v="2019-03-25T00:00:00"/>
    <d v="2019-03-25T00:00:00"/>
    <s v="D"/>
    <n v="69"/>
    <s v="ivy.kumar@saltcorp.com"/>
    <s v="123-456-7890"/>
    <s v="Full-Time"/>
    <s v="Full-Time"/>
    <m/>
    <n v="1"/>
    <s v="N/A"/>
    <n v="1"/>
    <d v="2023-01-15T00:00:00"/>
    <m/>
    <m/>
    <s v=""/>
    <n v="2"/>
    <s v="Yes"/>
  </r>
  <r>
    <s v="EMP-2020-0796"/>
    <s v="Grace"/>
    <s v="West"/>
    <s v="thirty"/>
    <n v="30"/>
    <n v="1994"/>
    <n v="55000"/>
    <n v="55000"/>
    <x v="0"/>
    <s v="it"/>
    <x v="3"/>
    <s v="Manager"/>
    <d v="2020-01-15T00:00:00"/>
    <d v="2020-01-15T00:00:00"/>
    <s v="B"/>
    <n v="89"/>
    <s v="grace.west@saltcorp.com"/>
    <m/>
    <s v="contract"/>
    <s v="Contract"/>
    <m/>
    <n v="3"/>
    <m/>
    <n v="7"/>
    <d v="2021-10-01T00:00:00"/>
    <n v="20"/>
    <s v="YES"/>
    <s v="Yes"/>
    <n v="3"/>
    <s v="No"/>
  </r>
  <r>
    <s v="EMP-2018-0797"/>
    <s v="Eve"/>
    <s v="Carter"/>
    <n v="50"/>
    <n v="50"/>
    <n v="1974"/>
    <s v="SIXTY THOUSAND"/>
    <n v="60000"/>
    <x v="1"/>
    <s v="finance"/>
    <x v="1"/>
    <s v="Assistant"/>
    <d v="2018-04-05T00:00:00"/>
    <d v="2018-04-05T00:00:00"/>
    <s v="C"/>
    <n v="79"/>
    <s v="eve.carter@saltcorp.com"/>
    <s v="098-765-4321"/>
    <s v="Part-Time"/>
    <s v="Part-Time"/>
    <s v="EMP-2018-0032"/>
    <n v="2"/>
    <m/>
    <n v="9"/>
    <m/>
    <m/>
    <s v="YES"/>
    <s v="Yes"/>
    <n v="3"/>
    <s v="No"/>
  </r>
  <r>
    <s v="EMP-2020-0798"/>
    <s v="Jack"/>
    <s v="Sullivan"/>
    <m/>
    <n v="32"/>
    <n v="1992"/>
    <n v="58300"/>
    <n v="58300"/>
    <x v="0"/>
    <s v="sales"/>
    <x v="2"/>
    <s v="Assistant"/>
    <d v="2020-01-15T00:00:00"/>
    <d v="2020-01-15T00:00:00"/>
    <s v="A"/>
    <n v="97"/>
    <s v="jack.sullivan@saltcorp.com"/>
    <s v=" "/>
    <s v="contract"/>
    <s v="Contract"/>
    <s v="EMP-2019-0020"/>
    <n v="5"/>
    <n v="9"/>
    <m/>
    <m/>
    <m/>
    <s v="YES"/>
    <s v="Yes"/>
    <n v="4"/>
    <s v="No"/>
  </r>
  <r>
    <s v="EMP-2020-0799"/>
    <s v="Grace"/>
    <s v="Le"/>
    <m/>
    <n v="33"/>
    <n v="1991"/>
    <n v="55000"/>
    <n v="55000"/>
    <x v="0"/>
    <s v="finance"/>
    <x v="1"/>
    <s v="Clerk"/>
    <d v="2020-02-20T00:00:00"/>
    <d v="2020-02-20T00:00:00"/>
    <s v="B"/>
    <n v="81"/>
    <s v="grace.le@saltcorp.com"/>
    <m/>
    <s v="Full-Time"/>
    <s v="Full-Time"/>
    <m/>
    <n v="7"/>
    <m/>
    <m/>
    <d v="2023-01-15T00:00:00"/>
    <n v="37"/>
    <s v="YES"/>
    <s v="Yes"/>
    <n v="2"/>
    <s v="Yes"/>
  </r>
  <r>
    <s v="EMP-2020-0800"/>
    <s v="Ivy"/>
    <s v="Sharma"/>
    <n v="40"/>
    <n v="40"/>
    <n v="1984"/>
    <s v="SIXTY THOUSAND"/>
    <n v="60000"/>
    <x v="1"/>
    <s v="finance"/>
    <x v="1"/>
    <s v="Manager"/>
    <d v="2020-02-20T00:00:00"/>
    <d v="2020-02-20T00:00:00"/>
    <s v="F"/>
    <n v="0"/>
    <s v="ivy.sharma@saltcorp.com"/>
    <s v="098-765-4321"/>
    <s v="Full-Time"/>
    <s v="Full-Time"/>
    <m/>
    <n v="6"/>
    <n v="9"/>
    <n v="17"/>
    <m/>
    <m/>
    <m/>
    <s v=""/>
    <n v="2"/>
    <s v="Yes"/>
  </r>
  <r>
    <s v="EMP-2019-0801"/>
    <s v="Alice"/>
    <s v="Pearson"/>
    <n v="25"/>
    <n v="25"/>
    <n v="1999"/>
    <n v="70000"/>
    <n v="70000"/>
    <x v="0"/>
    <s v="sales"/>
    <x v="2"/>
    <s v="Analyst"/>
    <d v="2019-03-25T00:00:00"/>
    <d v="2019-03-25T00:00:00"/>
    <s v="C"/>
    <n v="73"/>
    <s v="alice.pearson@saltcorp.com"/>
    <m/>
    <s v="contract"/>
    <s v="Contract"/>
    <m/>
    <n v="7"/>
    <n v="3"/>
    <n v="3"/>
    <m/>
    <m/>
    <s v="YES"/>
    <s v="Yes"/>
    <n v="1"/>
    <s v="No"/>
  </r>
  <r>
    <s v="EMP-2018-0802"/>
    <s v="Grace"/>
    <s v="Vega"/>
    <n v="40"/>
    <n v="40"/>
    <n v="1984"/>
    <n v="70000"/>
    <n v="70000"/>
    <x v="0"/>
    <s v="sales"/>
    <x v="2"/>
    <s v="Clerk"/>
    <d v="2018-04-05T00:00:00"/>
    <d v="2018-04-05T00:00:00"/>
    <s v="F"/>
    <n v="9"/>
    <s v="grace.vega@saltcorp.com"/>
    <s v=" "/>
    <s v="contract"/>
    <s v="Contract"/>
    <m/>
    <n v="7"/>
    <s v="N/A"/>
    <m/>
    <m/>
    <n v="59"/>
    <s v="YES"/>
    <s v="Yes"/>
    <n v="4"/>
    <s v="No"/>
  </r>
  <r>
    <s v="EMP-2019-0803"/>
    <s v="Frank"/>
    <s v="Sanchez"/>
    <n v="35"/>
    <n v="35"/>
    <n v="1989"/>
    <n v="70000"/>
    <n v="70000"/>
    <x v="1"/>
    <s v="HR"/>
    <x v="0"/>
    <s v="Assistant"/>
    <d v="2019-12-01T00:00:00"/>
    <d v="2019-12-01T00:00:00"/>
    <s v="C"/>
    <n v="71"/>
    <s v="frank.sanchez@saltcorp.com"/>
    <m/>
    <s v="Part-Time"/>
    <s v="Part-Time"/>
    <m/>
    <n v="4"/>
    <n v="15"/>
    <m/>
    <m/>
    <n v="54"/>
    <s v="YES"/>
    <s v="Yes"/>
    <n v="4"/>
    <s v="No"/>
  </r>
  <r>
    <s v="EMP-2018-0804"/>
    <s v="Jack"/>
    <s v="Sullivan"/>
    <s v="thirty"/>
    <n v="30"/>
    <n v="1994"/>
    <n v="65000"/>
    <n v="65000"/>
    <x v="0"/>
    <s v="finance"/>
    <x v="1"/>
    <s v="Manager"/>
    <d v="2018-04-05T00:00:00"/>
    <d v="2018-04-05T00:00:00"/>
    <s v="B"/>
    <n v="81"/>
    <s v="jack.sullivan@saltcorp.com"/>
    <s v="555-555-5555"/>
    <s v="contract"/>
    <s v="Contract"/>
    <m/>
    <n v="1"/>
    <m/>
    <m/>
    <d v="2023-03-05T00:00:00"/>
    <n v="20"/>
    <s v="YES"/>
    <s v="Yes"/>
    <n v="1"/>
    <s v="Yes"/>
  </r>
  <r>
    <s v="EMP-2020-0805"/>
    <s v="Ivy"/>
    <s v="Desai"/>
    <n v="35"/>
    <n v="35"/>
    <n v="1989"/>
    <n v="50000"/>
    <n v="50000"/>
    <x v="0"/>
    <s v="Marketing"/>
    <x v="4"/>
    <s v="Director"/>
    <d v="2020-02-20T00:00:00"/>
    <d v="2020-02-20T00:00:00"/>
    <s v="A"/>
    <n v="91"/>
    <s v="ivy.desai@saltcorp.com"/>
    <s v=" "/>
    <s v="contract"/>
    <s v="Contract"/>
    <s v="EMP-2020-0007"/>
    <n v="2"/>
    <m/>
    <m/>
    <d v="2024-08-12T00:00:00"/>
    <n v="13"/>
    <s v="YES"/>
    <s v="Yes"/>
    <n v="5"/>
    <s v="No"/>
  </r>
  <r>
    <s v="EMP-2019-0806"/>
    <s v="Alice"/>
    <s v="Medina"/>
    <n v="50"/>
    <n v="50"/>
    <n v="1974"/>
    <n v="70000"/>
    <n v="70000"/>
    <x v="1"/>
    <s v="finance"/>
    <x v="1"/>
    <s v="Analyst"/>
    <d v="2019-12-01T00:00:00"/>
    <d v="2019-12-01T00:00:00"/>
    <s v="F"/>
    <n v="11"/>
    <s v="alice.medina@saltcorp.com"/>
    <m/>
    <s v="contract"/>
    <s v="Contract"/>
    <m/>
    <n v="2"/>
    <n v="15"/>
    <n v="4"/>
    <m/>
    <n v="39"/>
    <s v="YES"/>
    <s v="Yes"/>
    <n v="5"/>
    <s v="No"/>
  </r>
  <r>
    <s v="EMP-2018-0807"/>
    <s v="David"/>
    <s v="Ross"/>
    <m/>
    <n v="40"/>
    <n v="1984"/>
    <n v="55000"/>
    <n v="55000"/>
    <x v="0"/>
    <s v="finance"/>
    <x v="1"/>
    <s v="Assistant"/>
    <d v="2018-04-05T00:00:00"/>
    <d v="2018-04-05T00:00:00"/>
    <s v="C"/>
    <n v="75"/>
    <s v="david.ross@saltcorp.com"/>
    <s v="123-456-7890"/>
    <s v="Part-Time"/>
    <s v="Part-Time"/>
    <m/>
    <n v="5"/>
    <m/>
    <n v="6"/>
    <d v="2021-10-01T00:00:00"/>
    <m/>
    <s v="no"/>
    <s v="No"/>
    <n v="4"/>
    <s v="No"/>
  </r>
  <r>
    <s v="EMP-2018-0808"/>
    <s v="Ivy"/>
    <s v="Thomas"/>
    <n v="40"/>
    <n v="40"/>
    <n v="1984"/>
    <n v="70000"/>
    <n v="70000"/>
    <x v="1"/>
    <s v="sales"/>
    <x v="2"/>
    <s v="Clerk"/>
    <d v="2018-04-05T00:00:00"/>
    <d v="2018-04-05T00:00:00"/>
    <s v="D"/>
    <n v="64"/>
    <s v="ivy.thomas@saltcorp.com"/>
    <m/>
    <s v="Full-Time"/>
    <s v="Full-Time"/>
    <s v="EMP-2020-0059"/>
    <n v="6"/>
    <m/>
    <m/>
    <d v="2024-08-12T00:00:00"/>
    <m/>
    <s v="no"/>
    <s v="No"/>
    <n v="2"/>
    <s v="Yes"/>
  </r>
  <r>
    <s v="EMP-2019-0809"/>
    <s v="David"/>
    <s v="Powers"/>
    <n v="40"/>
    <n v="40"/>
    <n v="1984"/>
    <n v="65000"/>
    <n v="65000"/>
    <x v="1"/>
    <s v="finance"/>
    <x v="1"/>
    <s v="Manager"/>
    <d v="2019-12-01T00:00:00"/>
    <d v="2019-12-01T00:00:00"/>
    <s v="B"/>
    <n v="82"/>
    <s v="david.powers@saltcorp.com"/>
    <s v="555-555-5555"/>
    <s v="Part-Time"/>
    <s v="Part-Time"/>
    <m/>
    <n v="6"/>
    <s v="N/A"/>
    <m/>
    <s v="N/A"/>
    <n v="77"/>
    <s v="no"/>
    <s v="No"/>
    <n v="2"/>
    <s v="Yes"/>
  </r>
  <r>
    <s v="EMP-2020-0810"/>
    <s v="Jack"/>
    <s v="Gibson"/>
    <n v="40"/>
    <n v="40"/>
    <n v="1984"/>
    <n v="60800"/>
    <n v="60800"/>
    <x v="0"/>
    <s v="finance"/>
    <x v="1"/>
    <s v="Analyst"/>
    <d v="2020-02-20T00:00:00"/>
    <d v="2020-02-20T00:00:00"/>
    <s v="A"/>
    <n v="99"/>
    <s v="jack.gibson@saltcorp.com"/>
    <s v="098-765-4321"/>
    <s v="Part-Time"/>
    <s v="Part-Time"/>
    <m/>
    <n v="5"/>
    <m/>
    <n v="13"/>
    <m/>
    <n v="41"/>
    <s v="no"/>
    <s v="No"/>
    <n v="2"/>
    <s v="Yes"/>
  </r>
  <r>
    <s v="EMP-2018-0811"/>
    <s v="Charlie"/>
    <s v="Clark"/>
    <n v="35"/>
    <n v="35"/>
    <n v="1989"/>
    <n v="55000"/>
    <n v="55000"/>
    <x v="0"/>
    <s v="Marketing"/>
    <x v="4"/>
    <s v="Manager"/>
    <d v="2018-04-05T00:00:00"/>
    <d v="2018-04-05T00:00:00"/>
    <s v="B"/>
    <n v="85"/>
    <s v="charlie.clark@saltcorp.com"/>
    <s v="098-765-4321"/>
    <s v="Part-Time"/>
    <s v="Part-Time"/>
    <s v="EMP-2019-0099"/>
    <n v="4"/>
    <m/>
    <n v="0"/>
    <m/>
    <m/>
    <s v="YES"/>
    <s v="Yes"/>
    <n v="5"/>
    <s v="No"/>
  </r>
  <r>
    <s v="EMP-2019-0812"/>
    <s v="Ivy"/>
    <s v="Desai"/>
    <m/>
    <n v="51"/>
    <n v="1973"/>
    <n v="65000"/>
    <n v="65000"/>
    <x v="1"/>
    <s v="sales"/>
    <x v="2"/>
    <s v="Director"/>
    <d v="2019-12-01T00:00:00"/>
    <d v="2019-12-01T00:00:00"/>
    <s v="D"/>
    <n v="62"/>
    <s v="ivy.desai@saltcorp.com"/>
    <s v="098-765-4321"/>
    <s v="Full-Time"/>
    <s v="Full-Time"/>
    <s v="EMP-2020-0098"/>
    <n v="4"/>
    <n v="1"/>
    <n v="20"/>
    <m/>
    <m/>
    <s v="no"/>
    <s v="No"/>
    <n v="3"/>
    <s v="No"/>
  </r>
  <r>
    <s v="EMP-2020-0813"/>
    <s v="Bob"/>
    <s v="Harrison"/>
    <s v="thirty"/>
    <n v="30"/>
    <n v="1994"/>
    <n v="61300"/>
    <n v="61300"/>
    <x v="0"/>
    <s v="finance"/>
    <x v="1"/>
    <s v="Clerk"/>
    <d v="2020-02-20T00:00:00"/>
    <d v="2020-02-20T00:00:00"/>
    <s v="A"/>
    <n v="91"/>
    <s v="bob.harrison@saltcorp.com"/>
    <s v="123-456-7890"/>
    <s v="contract"/>
    <s v="Contract"/>
    <s v="EMP-2019-0004"/>
    <n v="8"/>
    <n v="7"/>
    <n v="8"/>
    <m/>
    <n v="35"/>
    <m/>
    <s v=""/>
    <n v="5"/>
    <s v="No"/>
  </r>
  <r>
    <s v="EMP-2019-0814"/>
    <s v="David"/>
    <s v="Harrison"/>
    <n v="50"/>
    <n v="50"/>
    <n v="1974"/>
    <n v="55000"/>
    <n v="55000"/>
    <x v="0"/>
    <s v="it"/>
    <x v="3"/>
    <s v="Manager"/>
    <d v="2019-12-01T00:00:00"/>
    <d v="2019-12-01T00:00:00"/>
    <s v="D"/>
    <n v="67"/>
    <s v="david.harrison@saltcorp.com"/>
    <s v="555-555-5555"/>
    <s v="Part-Time"/>
    <s v="Part-Time"/>
    <s v="EMP-2020-0089"/>
    <n v="7"/>
    <m/>
    <m/>
    <d v="2022-06-20T00:00:00"/>
    <m/>
    <s v="YES"/>
    <s v="Yes"/>
    <n v="2"/>
    <s v="Yes"/>
  </r>
  <r>
    <s v="EMP-2019-0815"/>
    <s v="Frank"/>
    <s v="Perez"/>
    <s v="thirty"/>
    <n v="30"/>
    <n v="1994"/>
    <s v="SIXTY THOUSAND"/>
    <n v="60000"/>
    <x v="1"/>
    <s v="HR"/>
    <x v="0"/>
    <s v="Assistant"/>
    <d v="2019-12-01T00:00:00"/>
    <d v="2019-12-01T00:00:00"/>
    <s v="B"/>
    <n v="83"/>
    <s v="frank.perez@saltcorp.com"/>
    <s v=" "/>
    <s v="contract"/>
    <s v="Contract"/>
    <m/>
    <n v="1"/>
    <m/>
    <n v="8"/>
    <d v="2022-06-20T00:00:00"/>
    <m/>
    <s v="YES"/>
    <s v="Yes"/>
    <n v="3"/>
    <s v="No"/>
  </r>
  <r>
    <s v="EMP-2018-0816"/>
    <s v="Bob"/>
    <s v="Garcia"/>
    <n v="35"/>
    <n v="35"/>
    <n v="1989"/>
    <n v="50000"/>
    <n v="50000"/>
    <x v="0"/>
    <s v="Marketing"/>
    <x v="4"/>
    <s v="Clerk"/>
    <d v="2018-04-05T00:00:00"/>
    <d v="2018-04-05T00:00:00"/>
    <s v="C"/>
    <n v="70"/>
    <s v="bob.garcia@saltcorp.com"/>
    <s v="098-765-4321"/>
    <s v="Part-Time"/>
    <s v="Part-Time"/>
    <m/>
    <n v="5"/>
    <s v="N/A"/>
    <m/>
    <m/>
    <m/>
    <s v="no"/>
    <s v="No"/>
    <n v="1"/>
    <s v="Yes"/>
  </r>
  <r>
    <s v="EMP-2020-0817"/>
    <s v="Hannah"/>
    <s v="Rivera"/>
    <n v="50"/>
    <n v="50"/>
    <n v="1974"/>
    <n v="50000"/>
    <n v="50000"/>
    <x v="0"/>
    <s v="finance"/>
    <x v="1"/>
    <s v="Assistant"/>
    <d v="2020-02-20T00:00:00"/>
    <d v="2020-02-20T00:00:00"/>
    <s v="B"/>
    <n v="86"/>
    <s v="hannah.rivera@saltcorp.com"/>
    <s v="555-555-5555"/>
    <s v="Full-Time"/>
    <s v="Full-Time"/>
    <m/>
    <n v="3"/>
    <m/>
    <n v="13"/>
    <d v="2023-01-15T00:00:00"/>
    <n v="7"/>
    <s v="no"/>
    <s v="No"/>
    <n v="2"/>
    <s v="Yes"/>
  </r>
  <r>
    <s v="EMP-2018-0818"/>
    <s v="Hannah"/>
    <s v="Andrews"/>
    <n v="40"/>
    <n v="40"/>
    <n v="1984"/>
    <n v="65000"/>
    <n v="65000"/>
    <x v="1"/>
    <s v="it"/>
    <x v="3"/>
    <s v="Manager"/>
    <d v="2018-04-05T00:00:00"/>
    <d v="2018-04-05T00:00:00"/>
    <s v="B"/>
    <n v="85"/>
    <s v="hannah.andrews@saltcorp.com"/>
    <m/>
    <s v="Full-Time"/>
    <s v="Full-Time"/>
    <m/>
    <n v="7"/>
    <s v="N/A"/>
    <m/>
    <d v="2021-10-01T00:00:00"/>
    <n v="39"/>
    <s v="no"/>
    <s v="No"/>
    <n v="4"/>
    <s v="Yes"/>
  </r>
  <r>
    <s v="EMP-2020-0819"/>
    <s v="Alice"/>
    <s v="Davidson"/>
    <n v="25"/>
    <n v="25"/>
    <n v="1999"/>
    <n v="61300"/>
    <n v="61300"/>
    <x v="1"/>
    <s v="finance"/>
    <x v="1"/>
    <s v="Clerk"/>
    <d v="2020-01-15T00:00:00"/>
    <d v="2020-01-15T00:00:00"/>
    <s v="B"/>
    <n v="89"/>
    <s v="alice.davidson@saltcorp.com"/>
    <s v="123-456-7890"/>
    <s v="Full-Time"/>
    <s v="Full-Time"/>
    <m/>
    <n v="2"/>
    <m/>
    <m/>
    <m/>
    <m/>
    <s v="YES"/>
    <s v="Yes"/>
    <n v="4"/>
    <s v="Yes"/>
  </r>
  <r>
    <s v="EMP-2020-0820"/>
    <s v="Charlie"/>
    <s v="Bennett"/>
    <n v="35"/>
    <n v="35"/>
    <n v="1989"/>
    <n v="50000"/>
    <n v="50000"/>
    <x v="0"/>
    <s v="finance"/>
    <x v="1"/>
    <s v="Assistant"/>
    <d v="2020-01-15T00:00:00"/>
    <d v="2020-01-15T00:00:00"/>
    <s v="F"/>
    <n v="20"/>
    <s v="charlie.bennett@saltcorp.com"/>
    <s v="555-555-5555"/>
    <s v="contract"/>
    <s v="Contract"/>
    <m/>
    <n v="2"/>
    <s v="N/A"/>
    <m/>
    <m/>
    <m/>
    <s v="no"/>
    <s v="No"/>
    <n v="4"/>
    <s v="No"/>
  </r>
  <r>
    <s v="EMP-2020-0821"/>
    <s v="Jack"/>
    <s v="O'Neill"/>
    <n v="35"/>
    <n v="35"/>
    <n v="1989"/>
    <n v="63000"/>
    <n v="63000"/>
    <x v="0"/>
    <s v="sales"/>
    <x v="2"/>
    <s v="Director"/>
    <d v="2020-02-20T00:00:00"/>
    <d v="2020-02-20T00:00:00"/>
    <s v="D"/>
    <n v="65"/>
    <s v="jack.o'neill@saltcorp.com"/>
    <s v="555-555-5555"/>
    <s v="Part-Time"/>
    <s v="Part-Time"/>
    <m/>
    <n v="5"/>
    <n v="5"/>
    <m/>
    <m/>
    <m/>
    <s v="no"/>
    <s v="No"/>
    <n v="4"/>
    <s v="No"/>
  </r>
  <r>
    <s v="EMP-2019-0822"/>
    <s v="Ivy"/>
    <s v="Gupta"/>
    <m/>
    <n v="43"/>
    <n v="1981"/>
    <n v="63000"/>
    <n v="63000"/>
    <x v="1"/>
    <s v="sales"/>
    <x v="2"/>
    <s v="Director"/>
    <d v="2019-12-01T00:00:00"/>
    <d v="2019-12-01T00:00:00"/>
    <s v="D"/>
    <n v="68"/>
    <s v="ivy.gupta@saltcorp.com"/>
    <s v=" "/>
    <s v="Full-Time"/>
    <s v="Full-Time"/>
    <s v="EMP-2018-0065"/>
    <n v="6"/>
    <s v="N/A"/>
    <m/>
    <d v="2023-01-15T00:00:00"/>
    <m/>
    <s v="no"/>
    <s v="No"/>
    <n v="2"/>
    <s v="No"/>
  </r>
  <r>
    <s v="EMP-2018-0823"/>
    <s v="Eve"/>
    <s v="Graham"/>
    <s v="thirty"/>
    <n v="30"/>
    <n v="1994"/>
    <n v="65000"/>
    <n v="65000"/>
    <x v="1"/>
    <s v="sales"/>
    <x v="2"/>
    <s v="Manager"/>
    <d v="2018-04-05T00:00:00"/>
    <d v="2018-04-05T00:00:00"/>
    <s v="D"/>
    <n v="69"/>
    <s v="eve.graham@saltcorp.com"/>
    <s v="555-555-5555"/>
    <s v="Full-Time"/>
    <s v="Full-Time"/>
    <m/>
    <n v="2"/>
    <m/>
    <m/>
    <d v="2024-08-12T00:00:00"/>
    <n v="57"/>
    <m/>
    <s v=""/>
    <n v="4"/>
    <s v="No"/>
  </r>
  <r>
    <s v="EMP-2018-0824"/>
    <s v="Frank"/>
    <s v="Thomas"/>
    <n v="35"/>
    <n v="35"/>
    <n v="1989"/>
    <n v="65000"/>
    <n v="65000"/>
    <x v="1"/>
    <s v="it"/>
    <x v="3"/>
    <s v="Clerk"/>
    <d v="2018-04-05T00:00:00"/>
    <d v="2018-04-05T00:00:00"/>
    <s v="F"/>
    <n v="38"/>
    <s v="frank.thomas@saltcorp.com"/>
    <s v=" "/>
    <s v="Full-Time"/>
    <s v="Full-Time"/>
    <s v="EMP-2019-0085"/>
    <n v="5"/>
    <m/>
    <m/>
    <m/>
    <n v="54"/>
    <m/>
    <s v=""/>
    <n v="5"/>
    <s v="Yes"/>
  </r>
  <r>
    <s v="EMP-2020-0825"/>
    <s v="David"/>
    <s v="Ross"/>
    <n v="35"/>
    <n v="35"/>
    <n v="1989"/>
    <n v="65000"/>
    <n v="65000"/>
    <x v="1"/>
    <s v="finance"/>
    <x v="1"/>
    <s v="Analyst"/>
    <d v="2020-02-20T00:00:00"/>
    <d v="2020-02-20T00:00:00"/>
    <s v="C"/>
    <n v="70"/>
    <s v="david.ross@saltcorp.com"/>
    <s v="123-456-7890"/>
    <s v="Part-Time"/>
    <s v="Part-Time"/>
    <m/>
    <n v="5"/>
    <n v="13"/>
    <n v="3"/>
    <s v="N/A"/>
    <n v="31"/>
    <m/>
    <s v=""/>
    <n v="3"/>
    <s v="No"/>
  </r>
  <r>
    <s v="EMP-2020-0826"/>
    <s v="Jack"/>
    <s v="Murphy"/>
    <n v="40"/>
    <n v="40"/>
    <n v="1984"/>
    <n v="50000"/>
    <n v="50000"/>
    <x v="0"/>
    <s v="HR"/>
    <x v="0"/>
    <s v="Clerk"/>
    <d v="2020-02-20T00:00:00"/>
    <d v="2020-02-20T00:00:00"/>
    <s v="B"/>
    <n v="83"/>
    <s v="jack.murphy@saltcorp.com"/>
    <s v="123-456-7890"/>
    <s v="Full-Time"/>
    <s v="Full-Time"/>
    <m/>
    <n v="8"/>
    <s v="N/A"/>
    <m/>
    <s v="N/A"/>
    <m/>
    <s v="no"/>
    <s v="No"/>
    <n v="1"/>
    <s v="No"/>
  </r>
  <r>
    <s v="EMP-2020-0827"/>
    <s v="Bob"/>
    <s v="Brown"/>
    <n v="40"/>
    <n v="40"/>
    <n v="1984"/>
    <n v="65000"/>
    <n v="65000"/>
    <x v="0"/>
    <s v="Marketing"/>
    <x v="4"/>
    <s v="Director"/>
    <d v="2020-01-15T00:00:00"/>
    <d v="2020-01-15T00:00:00"/>
    <s v="C"/>
    <n v="74"/>
    <s v="bob.brown@saltcorp.com"/>
    <m/>
    <s v="Full-Time"/>
    <s v="Full-Time"/>
    <s v="EMP-2018-0010"/>
    <n v="7"/>
    <m/>
    <n v="20"/>
    <m/>
    <n v="54"/>
    <m/>
    <s v=""/>
    <n v="1"/>
    <s v="Yes"/>
  </r>
  <r>
    <s v="EMP-2019-0828"/>
    <s v="Hannah"/>
    <s v="Garrett"/>
    <n v="50"/>
    <n v="50"/>
    <n v="1974"/>
    <n v="50000"/>
    <n v="50000"/>
    <x v="1"/>
    <s v="sales"/>
    <x v="2"/>
    <s v="Assistant"/>
    <d v="2019-03-25T00:00:00"/>
    <d v="2019-03-25T00:00:00"/>
    <s v="F"/>
    <n v="35"/>
    <s v="hannah.garrett@saltcorp.com"/>
    <s v=" "/>
    <s v="Full-Time"/>
    <s v="Full-Time"/>
    <s v="EMP-2020-0014"/>
    <n v="8"/>
    <m/>
    <m/>
    <m/>
    <n v="52"/>
    <s v="YES"/>
    <s v="Yes"/>
    <n v="4"/>
    <s v="No"/>
  </r>
  <r>
    <s v="EMP-2020-0829"/>
    <s v="Frank"/>
    <s v="Ross"/>
    <n v="25"/>
    <n v="25"/>
    <n v="1999"/>
    <n v="65000"/>
    <n v="65000"/>
    <x v="0"/>
    <s v="sales"/>
    <x v="2"/>
    <s v="Analyst"/>
    <d v="2020-02-20T00:00:00"/>
    <d v="2020-02-20T00:00:00"/>
    <s v="D"/>
    <n v="65"/>
    <s v="frank.ross@saltcorp.com"/>
    <s v=" "/>
    <s v="Full-Time"/>
    <s v="Full-Time"/>
    <m/>
    <n v="4"/>
    <m/>
    <m/>
    <m/>
    <n v="26"/>
    <s v="no"/>
    <s v="No"/>
    <n v="5"/>
    <s v="No"/>
  </r>
  <r>
    <s v="EMP-2019-0830"/>
    <s v="Eve"/>
    <s v="Olson"/>
    <m/>
    <n v="46"/>
    <n v="1978"/>
    <n v="70000"/>
    <n v="70000"/>
    <x v="0"/>
    <s v="finance"/>
    <x v="1"/>
    <s v="Manager"/>
    <d v="2019-03-25T00:00:00"/>
    <d v="2019-03-25T00:00:00"/>
    <s v="B"/>
    <n v="81"/>
    <s v="eve.olson@saltcorp.com"/>
    <s v="098-765-4321"/>
    <s v="Part-Time"/>
    <s v="Part-Time"/>
    <s v="EMP-2020-0046"/>
    <n v="6"/>
    <m/>
    <m/>
    <d v="2021-10-01T00:00:00"/>
    <n v="50"/>
    <s v="no"/>
    <s v="No"/>
    <n v="2"/>
    <s v="No"/>
  </r>
  <r>
    <s v="EMP-2020-0831"/>
    <s v="Ivy"/>
    <s v="Shah"/>
    <n v="25"/>
    <n v="25"/>
    <n v="1999"/>
    <n v="60800"/>
    <n v="60800"/>
    <x v="1"/>
    <s v="finance"/>
    <x v="1"/>
    <s v="Analyst"/>
    <d v="2020-02-20T00:00:00"/>
    <d v="2020-02-20T00:00:00"/>
    <s v="A"/>
    <n v="93"/>
    <s v="ivy.shah@saltcorp.com"/>
    <s v="098-765-4321"/>
    <s v="contract"/>
    <s v="Contract"/>
    <s v="EMP-2019-0034"/>
    <n v="8"/>
    <m/>
    <m/>
    <m/>
    <n v="34"/>
    <s v="no"/>
    <s v="No"/>
    <n v="3"/>
    <s v="No"/>
  </r>
  <r>
    <s v="EMP-2019-0832"/>
    <s v="Alice"/>
    <s v="Schmidt"/>
    <n v="50"/>
    <n v="50"/>
    <n v="1974"/>
    <n v="65000"/>
    <n v="65000"/>
    <x v="0"/>
    <s v="it"/>
    <x v="3"/>
    <s v="Manager"/>
    <d v="2019-12-01T00:00:00"/>
    <d v="2019-12-01T00:00:00"/>
    <s v="A"/>
    <n v="100"/>
    <s v="alice.schmidt@saltcorp.com"/>
    <m/>
    <s v="Full-Time"/>
    <s v="Full-Time"/>
    <m/>
    <n v="8"/>
    <s v="N/A"/>
    <m/>
    <m/>
    <m/>
    <s v="no"/>
    <s v="No"/>
    <n v="5"/>
    <s v="No"/>
  </r>
  <r>
    <s v="EMP-2019-0833"/>
    <s v="Eve"/>
    <s v="Weber"/>
    <n v="40"/>
    <n v="40"/>
    <n v="1984"/>
    <n v="55000"/>
    <n v="55000"/>
    <x v="1"/>
    <s v="it"/>
    <x v="3"/>
    <s v="Analyst"/>
    <d v="2019-12-01T00:00:00"/>
    <d v="2019-12-01T00:00:00"/>
    <s v="C"/>
    <n v="76"/>
    <s v="eve.weber@saltcorp.com"/>
    <s v="123-456-7890"/>
    <s v="Full-Time"/>
    <s v="Full-Time"/>
    <m/>
    <n v="1"/>
    <n v="3"/>
    <n v="9"/>
    <m/>
    <n v="13"/>
    <m/>
    <s v=""/>
    <n v="4"/>
    <s v="Yes"/>
  </r>
  <r>
    <s v="EMP-2020-0834"/>
    <s v="Frank"/>
    <s v="McCoy"/>
    <s v="thirty"/>
    <n v="30"/>
    <n v="1994"/>
    <n v="61500"/>
    <n v="61500"/>
    <x v="1"/>
    <s v="sales"/>
    <x v="2"/>
    <s v="Manager"/>
    <d v="2020-01-15T00:00:00"/>
    <d v="2020-01-15T00:00:00"/>
    <s v="D"/>
    <n v="68"/>
    <s v="frank.mccoy@saltcorp.com"/>
    <s v="098-765-4321"/>
    <s v="Full-Time"/>
    <s v="Full-Time"/>
    <m/>
    <n v="8"/>
    <s v="N/A"/>
    <n v="14"/>
    <d v="2023-01-15T00:00:00"/>
    <n v="51"/>
    <s v="no"/>
    <s v="No"/>
    <n v="1"/>
    <s v="Yes"/>
  </r>
  <r>
    <s v="EMP-2020-0835"/>
    <s v="Eve"/>
    <s v="Reed"/>
    <n v="40"/>
    <n v="40"/>
    <n v="1984"/>
    <n v="59500"/>
    <n v="59500"/>
    <x v="1"/>
    <s v="finance"/>
    <x v="1"/>
    <s v="Manager"/>
    <d v="2020-01-15T00:00:00"/>
    <d v="2020-01-15T00:00:00"/>
    <s v="A"/>
    <n v="92"/>
    <s v="eve.reed@saltcorp.com"/>
    <s v="555-555-5555"/>
    <s v="Part-Time"/>
    <s v="Part-Time"/>
    <m/>
    <n v="2"/>
    <s v="N/A"/>
    <n v="17"/>
    <d v="2024-08-12T00:00:00"/>
    <n v="62"/>
    <s v="YES"/>
    <s v="Yes"/>
    <n v="5"/>
    <s v="No"/>
  </r>
  <r>
    <s v="EMP-2019-0836"/>
    <s v="Frank"/>
    <s v="Gonzalez"/>
    <m/>
    <n v="39"/>
    <n v="1985"/>
    <n v="65000"/>
    <n v="65000"/>
    <x v="1"/>
    <s v="HR"/>
    <x v="0"/>
    <s v="Analyst"/>
    <d v="2019-03-25T00:00:00"/>
    <d v="2019-03-25T00:00:00"/>
    <s v="C"/>
    <n v="74"/>
    <s v="frank.gonzalez@saltcorp.com"/>
    <s v="123-456-7890"/>
    <s v="Full-Time"/>
    <s v="Full-Time"/>
    <m/>
    <n v="5"/>
    <m/>
    <m/>
    <s v="N/A"/>
    <m/>
    <s v="no"/>
    <s v="No"/>
    <n v="3"/>
    <s v="No"/>
  </r>
  <r>
    <s v="EMP-2020-0837"/>
    <s v="Frank"/>
    <s v="Johnston"/>
    <n v="40"/>
    <n v="40"/>
    <n v="1984"/>
    <s v="SIXTY THOUSAND"/>
    <n v="60000"/>
    <x v="0"/>
    <s v="Marketing"/>
    <x v="4"/>
    <s v="Analyst"/>
    <d v="2020-02-20T00:00:00"/>
    <d v="2020-02-20T00:00:00"/>
    <s v="F"/>
    <n v="3"/>
    <s v="frank.johnston@saltcorp.com"/>
    <s v="555-555-5555"/>
    <s v="Full-Time"/>
    <s v="Full-Time"/>
    <m/>
    <n v="2"/>
    <n v="4"/>
    <m/>
    <s v="N/A"/>
    <m/>
    <s v="YES"/>
    <s v="Yes"/>
    <n v="1"/>
    <s v="No"/>
  </r>
  <r>
    <s v="EMP-2018-0838"/>
    <s v="Grace"/>
    <s v="Williamson"/>
    <m/>
    <n v="46"/>
    <n v="1978"/>
    <n v="65000"/>
    <n v="65000"/>
    <x v="1"/>
    <s v="finance"/>
    <x v="1"/>
    <s v="Manager"/>
    <d v="2018-04-05T00:00:00"/>
    <d v="2018-04-05T00:00:00"/>
    <s v="C"/>
    <n v="71"/>
    <s v="grace.williamson@saltcorp.com"/>
    <s v=" "/>
    <s v="Full-Time"/>
    <s v="Full-Time"/>
    <s v="EMP-2020-0032"/>
    <n v="7"/>
    <m/>
    <n v="9"/>
    <d v="2022-06-20T00:00:00"/>
    <m/>
    <s v="no"/>
    <s v="No"/>
    <n v="4"/>
    <s v="No"/>
  </r>
  <r>
    <s v="EMP-2020-0839"/>
    <s v="David"/>
    <s v="Murphy"/>
    <m/>
    <n v="59"/>
    <n v="1965"/>
    <n v="60300"/>
    <n v="60300"/>
    <x v="1"/>
    <s v="finance"/>
    <x v="1"/>
    <s v="Director"/>
    <d v="2020-01-15T00:00:00"/>
    <d v="2020-01-15T00:00:00"/>
    <s v="C"/>
    <n v="79"/>
    <s v="david.murphy@saltcorp.com"/>
    <s v="123-456-7890"/>
    <s v="contract"/>
    <s v="Contract"/>
    <s v="EMP-2018-0016"/>
    <n v="4"/>
    <s v="N/A"/>
    <n v="19"/>
    <m/>
    <m/>
    <s v="YES"/>
    <s v="Yes"/>
    <n v="3"/>
    <s v="No"/>
  </r>
  <r>
    <s v="EMP-2018-0840"/>
    <s v="Hannah"/>
    <s v="Powell"/>
    <m/>
    <n v="39"/>
    <n v="1985"/>
    <n v="55000"/>
    <n v="55000"/>
    <x v="0"/>
    <s v="it"/>
    <x v="3"/>
    <s v="Analyst"/>
    <d v="2018-04-05T00:00:00"/>
    <d v="2018-04-05T00:00:00"/>
    <s v="C"/>
    <n v="78"/>
    <s v="hannah.powell@saltcorp.com"/>
    <m/>
    <s v="contract"/>
    <s v="Contract"/>
    <s v="EMP-2018-0017"/>
    <n v="4"/>
    <m/>
    <m/>
    <d v="2023-01-15T00:00:00"/>
    <m/>
    <s v="no"/>
    <s v="No"/>
    <n v="3"/>
    <s v="Yes"/>
  </r>
  <r>
    <s v="EMP-2018-0841"/>
    <s v="Grace"/>
    <s v="Wu"/>
    <n v="50"/>
    <n v="50"/>
    <n v="1974"/>
    <n v="58600"/>
    <n v="58600"/>
    <x v="0"/>
    <s v="Marketing"/>
    <x v="4"/>
    <s v="Clerk"/>
    <d v="2018-04-05T00:00:00"/>
    <d v="2018-04-05T00:00:00"/>
    <s v="B"/>
    <n v="87"/>
    <s v="grace.wu@saltcorp.com"/>
    <s v=" "/>
    <s v="Full-Time"/>
    <s v="Full-Time"/>
    <m/>
    <n v="6"/>
    <m/>
    <n v="0"/>
    <m/>
    <m/>
    <s v="YES"/>
    <s v="Yes"/>
    <n v="2"/>
    <s v="Yes"/>
  </r>
  <r>
    <s v="EMP-2020-0842"/>
    <s v="Ivy"/>
    <s v="Ross"/>
    <m/>
    <n v="34"/>
    <n v="1990"/>
    <n v="55000"/>
    <n v="55000"/>
    <x v="1"/>
    <s v="sales"/>
    <x v="2"/>
    <s v="Assistant"/>
    <d v="2020-02-20T00:00:00"/>
    <d v="2020-02-20T00:00:00"/>
    <s v="C"/>
    <n v="76"/>
    <s v="ivy.ross@saltcorp.com"/>
    <s v=" "/>
    <s v="Full-Time"/>
    <s v="Full-Time"/>
    <m/>
    <n v="7"/>
    <s v="N/A"/>
    <n v="19"/>
    <m/>
    <m/>
    <s v="no"/>
    <s v="No"/>
    <n v="3"/>
    <s v="No"/>
  </r>
  <r>
    <s v="EMP-2019-0843"/>
    <s v="Grace"/>
    <s v="Huang"/>
    <m/>
    <n v="39"/>
    <n v="1985"/>
    <n v="50000"/>
    <n v="50000"/>
    <x v="1"/>
    <s v="finance"/>
    <x v="1"/>
    <s v="Manager"/>
    <d v="2019-03-25T00:00:00"/>
    <d v="2019-03-25T00:00:00"/>
    <s v="C"/>
    <n v="79"/>
    <s v="grace.huang@saltcorp.com"/>
    <s v="555-555-5555"/>
    <s v="Full-Time"/>
    <s v="Full-Time"/>
    <s v="EMP-2020-0034"/>
    <n v="6"/>
    <n v="1"/>
    <n v="16"/>
    <m/>
    <m/>
    <s v="no"/>
    <s v="No"/>
    <n v="1"/>
    <s v="Yes"/>
  </r>
  <r>
    <s v="EMP-2020-0844"/>
    <s v="Charlie"/>
    <s v="Clark"/>
    <s v="thirty"/>
    <n v="30"/>
    <n v="1994"/>
    <n v="70000"/>
    <n v="70000"/>
    <x v="0"/>
    <s v="sales"/>
    <x v="2"/>
    <s v="Manager"/>
    <d v="2020-02-20T00:00:00"/>
    <d v="2020-02-20T00:00:00"/>
    <s v="B"/>
    <n v="87"/>
    <s v="charlie.clark@saltcorp.com"/>
    <s v=" "/>
    <s v="Full-Time"/>
    <s v="Full-Time"/>
    <m/>
    <n v="1"/>
    <s v="N/A"/>
    <m/>
    <m/>
    <m/>
    <m/>
    <s v=""/>
    <n v="2"/>
    <s v="No"/>
  </r>
  <r>
    <s v="EMP-2020-0845"/>
    <s v="Charlie"/>
    <s v="Harris"/>
    <n v="25"/>
    <n v="25"/>
    <n v="1999"/>
    <n v="58500"/>
    <n v="58500"/>
    <x v="0"/>
    <s v="finance"/>
    <x v="1"/>
    <s v="Assistant"/>
    <d v="2020-01-15T00:00:00"/>
    <d v="2020-01-15T00:00:00"/>
    <s v="B"/>
    <n v="82"/>
    <s v="charlie.harris@saltcorp.com"/>
    <s v="098-765-4321"/>
    <s v="Full-Time"/>
    <s v="Full-Time"/>
    <m/>
    <n v="5"/>
    <m/>
    <m/>
    <m/>
    <n v="44"/>
    <m/>
    <s v=""/>
    <n v="5"/>
    <s v="No"/>
  </r>
  <r>
    <s v="EMP-2018-0846"/>
    <s v="Hannah"/>
    <s v="Gibson"/>
    <n v="35"/>
    <n v="35"/>
    <n v="1989"/>
    <n v="65000"/>
    <n v="65000"/>
    <x v="0"/>
    <s v="sales"/>
    <x v="2"/>
    <s v="Director"/>
    <d v="2018-04-05T00:00:00"/>
    <d v="2018-04-05T00:00:00"/>
    <s v="F"/>
    <n v="53"/>
    <s v="hannah.gibson@saltcorp.com"/>
    <s v="123-456-7890"/>
    <s v="Part-Time"/>
    <s v="Part-Time"/>
    <s v="EMP-2019-0007"/>
    <n v="4"/>
    <m/>
    <n v="6"/>
    <d v="2024-08-12T00:00:00"/>
    <m/>
    <s v="YES"/>
    <s v="Yes"/>
    <n v="5"/>
    <s v="No"/>
  </r>
  <r>
    <s v="EMP-2020-0847"/>
    <s v="Eve"/>
    <s v="Stevens"/>
    <n v="25"/>
    <n v="25"/>
    <n v="1999"/>
    <n v="50000"/>
    <n v="50000"/>
    <x v="1"/>
    <s v="Marketing"/>
    <x v="4"/>
    <s v="Assistant"/>
    <d v="2020-02-20T00:00:00"/>
    <d v="2020-02-20T00:00:00"/>
    <s v="D"/>
    <n v="61"/>
    <s v="eve.stevens@saltcorp.com"/>
    <s v="098-765-4321"/>
    <s v="contract"/>
    <s v="Contract"/>
    <m/>
    <n v="5"/>
    <n v="3"/>
    <m/>
    <m/>
    <m/>
    <s v="no"/>
    <s v="No"/>
    <n v="2"/>
    <s v="Yes"/>
  </r>
  <r>
    <s v="EMP-2020-0848"/>
    <s v="David"/>
    <s v="Kim"/>
    <m/>
    <n v="34"/>
    <n v="1990"/>
    <n v="70000"/>
    <n v="70000"/>
    <x v="1"/>
    <s v="it"/>
    <x v="3"/>
    <s v="Analyst"/>
    <d v="2020-02-20T00:00:00"/>
    <d v="2020-02-20T00:00:00"/>
    <s v="A"/>
    <n v="96"/>
    <s v="david.kim@saltcorp.com"/>
    <s v="555-555-5555"/>
    <s v="contract"/>
    <s v="Contract"/>
    <m/>
    <n v="2"/>
    <s v="N/A"/>
    <n v="13"/>
    <s v="N/A"/>
    <n v="30"/>
    <s v="no"/>
    <s v="No"/>
    <n v="2"/>
    <s v="No"/>
  </r>
  <r>
    <s v="EMP-2020-0849"/>
    <s v="Hannah"/>
    <s v="Foster"/>
    <s v="thirty"/>
    <n v="30"/>
    <n v="1994"/>
    <n v="65000"/>
    <n v="65000"/>
    <x v="1"/>
    <s v="Marketing"/>
    <x v="4"/>
    <s v="Assistant"/>
    <d v="2020-02-20T00:00:00"/>
    <d v="2020-02-20T00:00:00"/>
    <s v="A"/>
    <n v="94"/>
    <s v="hannah.foster@saltcorp.com"/>
    <s v="555-555-5555"/>
    <s v="Part-Time"/>
    <s v="Part-Time"/>
    <s v="EMP-2020-0055"/>
    <n v="7"/>
    <m/>
    <m/>
    <d v="2023-01-15T00:00:00"/>
    <m/>
    <m/>
    <s v=""/>
    <n v="4"/>
    <s v="No"/>
  </r>
  <r>
    <s v="EMP-2020-0850"/>
    <s v="Frank"/>
    <s v="Garrett"/>
    <n v="40"/>
    <n v="40"/>
    <n v="1984"/>
    <s v="SIXTY THOUSAND"/>
    <n v="60000"/>
    <x v="0"/>
    <s v="HR"/>
    <x v="0"/>
    <s v="Manager"/>
    <d v="2020-01-15T00:00:00"/>
    <d v="2020-01-15T00:00:00"/>
    <s v="C"/>
    <n v="78"/>
    <s v="frank.garrett@saltcorp.com"/>
    <s v="123-456-7890"/>
    <s v="Full-Time"/>
    <s v="Full-Time"/>
    <m/>
    <n v="6"/>
    <m/>
    <n v="9"/>
    <m/>
    <n v="27"/>
    <m/>
    <s v=""/>
    <n v="2"/>
    <s v="Yes"/>
  </r>
  <r>
    <s v="EMP-2019-0851"/>
    <s v="Bob"/>
    <s v="Rogers"/>
    <s v="thirty"/>
    <n v="30"/>
    <n v="1994"/>
    <n v="65000"/>
    <n v="65000"/>
    <x v="0"/>
    <s v="it"/>
    <x v="3"/>
    <s v="Assistant"/>
    <d v="2019-03-25T00:00:00"/>
    <d v="2019-03-25T00:00:00"/>
    <s v="F"/>
    <n v="37"/>
    <s v="bob.rogers@saltcorp.com"/>
    <s v=" "/>
    <s v="Part-Time"/>
    <s v="Part-Time"/>
    <m/>
    <n v="2"/>
    <m/>
    <n v="0"/>
    <m/>
    <m/>
    <s v="no"/>
    <s v="No"/>
    <n v="2"/>
    <s v="Yes"/>
  </r>
  <r>
    <s v="EMP-2020-0852"/>
    <s v="David"/>
    <s v="Jordan"/>
    <m/>
    <n v="30"/>
    <n v="1994"/>
    <n v="55000"/>
    <n v="55000"/>
    <x v="0"/>
    <s v="Marketing"/>
    <x v="4"/>
    <s v="Clerk"/>
    <d v="2020-02-20T00:00:00"/>
    <d v="2020-02-20T00:00:00"/>
    <s v="C"/>
    <n v="71"/>
    <s v="david.jordan@saltcorp.com"/>
    <m/>
    <s v="Part-Time"/>
    <s v="Part-Time"/>
    <m/>
    <n v="3"/>
    <m/>
    <m/>
    <m/>
    <m/>
    <m/>
    <s v=""/>
    <n v="3"/>
    <s v="Yes"/>
  </r>
  <r>
    <s v="EMP-2020-0853"/>
    <s v="David"/>
    <s v="O'Brien"/>
    <s v="thirty"/>
    <n v="30"/>
    <n v="1994"/>
    <n v="55000"/>
    <n v="55000"/>
    <x v="1"/>
    <s v="HR"/>
    <x v="0"/>
    <s v="Analyst"/>
    <d v="2020-01-15T00:00:00"/>
    <d v="2020-01-15T00:00:00"/>
    <s v="A"/>
    <n v="91"/>
    <s v="david.o'brien@saltcorp.com"/>
    <s v="555-555-5555"/>
    <s v="Full-Time"/>
    <s v="Full-Time"/>
    <s v="EMP-2020-0062"/>
    <n v="8"/>
    <m/>
    <m/>
    <d v="2022-06-20T00:00:00"/>
    <n v="28"/>
    <m/>
    <s v=""/>
    <n v="4"/>
    <s v="No"/>
  </r>
  <r>
    <s v="EMP-2018-0854"/>
    <s v="Frank"/>
    <s v="Lopez"/>
    <s v="thirty"/>
    <n v="30"/>
    <n v="1994"/>
    <s v="SIXTY THOUSAND"/>
    <n v="60000"/>
    <x v="1"/>
    <s v="finance"/>
    <x v="1"/>
    <s v="Assistant"/>
    <d v="2018-04-05T00:00:00"/>
    <d v="2018-04-05T00:00:00"/>
    <s v="B"/>
    <n v="84"/>
    <s v="frank.lopez@saltcorp.com"/>
    <s v="123-456-7890"/>
    <s v="Part-Time"/>
    <s v="Part-Time"/>
    <m/>
    <n v="6"/>
    <s v="N/A"/>
    <n v="6"/>
    <d v="2021-10-01T00:00:00"/>
    <n v="26"/>
    <s v="YES"/>
    <s v="Yes"/>
    <n v="1"/>
    <s v="Yes"/>
  </r>
  <r>
    <s v="EMP-2019-0855"/>
    <s v="Frank"/>
    <s v="Olson"/>
    <m/>
    <n v="45"/>
    <n v="1979"/>
    <n v="50000"/>
    <n v="50000"/>
    <x v="0"/>
    <s v="finance"/>
    <x v="1"/>
    <s v="Manager"/>
    <d v="2019-12-01T00:00:00"/>
    <d v="2019-12-01T00:00:00"/>
    <s v="D"/>
    <n v="62"/>
    <s v="frank.olson@saltcorp.com"/>
    <m/>
    <s v="contract"/>
    <s v="Contract"/>
    <m/>
    <n v="6"/>
    <s v="N/A"/>
    <m/>
    <m/>
    <m/>
    <s v="YES"/>
    <s v="Yes"/>
    <n v="3"/>
    <s v="Yes"/>
  </r>
  <r>
    <s v="EMP-2020-0856"/>
    <s v="Alice"/>
    <s v="Lee"/>
    <n v="50"/>
    <n v="50"/>
    <n v="1974"/>
    <n v="70000"/>
    <n v="70000"/>
    <x v="0"/>
    <s v="sales"/>
    <x v="2"/>
    <s v="Analyst"/>
    <d v="2020-01-15T00:00:00"/>
    <d v="2020-01-15T00:00:00"/>
    <s v="F"/>
    <n v="43"/>
    <s v="alice.lee@saltcorp.com"/>
    <s v=" "/>
    <s v="Full-Time"/>
    <s v="Full-Time"/>
    <m/>
    <n v="4"/>
    <m/>
    <m/>
    <m/>
    <m/>
    <s v="YES"/>
    <s v="Yes"/>
    <n v="5"/>
    <s v="No"/>
  </r>
  <r>
    <s v="EMP-2019-0857"/>
    <s v="Hannah"/>
    <s v="Mason"/>
    <s v="thirty"/>
    <n v="30"/>
    <n v="1994"/>
    <n v="65000"/>
    <n v="65000"/>
    <x v="1"/>
    <s v="it"/>
    <x v="3"/>
    <s v="Manager"/>
    <d v="2019-12-01T00:00:00"/>
    <d v="2019-12-01T00:00:00"/>
    <s v="B"/>
    <n v="80"/>
    <s v="hannah.mason@saltcorp.com"/>
    <s v="555-555-5555"/>
    <s v="Full-Time"/>
    <s v="Full-Time"/>
    <m/>
    <n v="5"/>
    <m/>
    <n v="20"/>
    <d v="2024-08-12T00:00:00"/>
    <m/>
    <s v="no"/>
    <s v="No"/>
    <n v="4"/>
    <s v="Yes"/>
  </r>
  <r>
    <s v="EMP-2020-0858"/>
    <s v="Frank"/>
    <s v="Jordan"/>
    <n v="35"/>
    <n v="35"/>
    <n v="1989"/>
    <n v="55000"/>
    <n v="55000"/>
    <x v="1"/>
    <s v="finance"/>
    <x v="1"/>
    <s v="Director"/>
    <d v="2020-02-20T00:00:00"/>
    <d v="2020-02-20T00:00:00"/>
    <s v="D"/>
    <n v="64"/>
    <s v="frank.jordan@saltcorp.com"/>
    <s v="123-456-7890"/>
    <s v="Full-Time"/>
    <s v="Full-Time"/>
    <m/>
    <n v="3"/>
    <m/>
    <m/>
    <s v="N/A"/>
    <n v="63"/>
    <s v="YES"/>
    <s v="Yes"/>
    <n v="2"/>
    <s v="No"/>
  </r>
  <r>
    <s v="EMP-2020-0859"/>
    <s v="Charlie"/>
    <s v="Graham"/>
    <n v="35"/>
    <n v="35"/>
    <n v="1989"/>
    <n v="50000"/>
    <n v="50000"/>
    <x v="1"/>
    <s v="it"/>
    <x v="3"/>
    <s v="Clerk"/>
    <d v="2020-02-20T00:00:00"/>
    <d v="2020-02-20T00:00:00"/>
    <s v="F"/>
    <n v="19"/>
    <s v="charlie.graham@saltcorp.com"/>
    <s v="123-456-7890"/>
    <s v="Full-Time"/>
    <s v="Full-Time"/>
    <m/>
    <n v="4"/>
    <m/>
    <m/>
    <m/>
    <m/>
    <s v="YES"/>
    <s v="Yes"/>
    <n v="1"/>
    <s v="Yes"/>
  </r>
  <r>
    <s v="EMP-2020-0860"/>
    <s v="Ivy"/>
    <s v="Patel"/>
    <s v="thirty"/>
    <n v="30"/>
    <n v="1994"/>
    <s v="SIXTY THOUSAND"/>
    <n v="60000"/>
    <x v="0"/>
    <s v="finance"/>
    <x v="1"/>
    <s v="Director"/>
    <d v="2020-01-15T00:00:00"/>
    <d v="2020-01-15T00:00:00"/>
    <s v="F"/>
    <n v="8"/>
    <s v="ivy.patel@saltcorp.com"/>
    <s v="123-456-7890"/>
    <s v="contract"/>
    <s v="Contract"/>
    <s v="EMP-2019-0035"/>
    <n v="8"/>
    <m/>
    <n v="3"/>
    <s v="N/A"/>
    <n v="13"/>
    <s v="no"/>
    <s v="No"/>
    <n v="4"/>
    <s v="No"/>
  </r>
  <r>
    <s v="EMP-2019-0861"/>
    <s v="Bob"/>
    <s v="Wilson"/>
    <n v="50"/>
    <n v="50"/>
    <n v="1974"/>
    <n v="63000"/>
    <n v="63000"/>
    <x v="1"/>
    <s v="sales"/>
    <x v="2"/>
    <s v="Clerk"/>
    <d v="2019-12-01T00:00:00"/>
    <d v="2019-12-01T00:00:00"/>
    <s v="A"/>
    <n v="94"/>
    <s v="bob.wilson@saltcorp.com"/>
    <s v="555-555-5555"/>
    <s v="contract"/>
    <s v="Contract"/>
    <s v="EMP-2020-0029"/>
    <n v="4"/>
    <m/>
    <m/>
    <m/>
    <n v="63"/>
    <s v="YES"/>
    <s v="Yes"/>
    <n v="1"/>
    <s v="Yes"/>
  </r>
  <r>
    <s v="EMP-2020-0862"/>
    <s v="Hannah"/>
    <s v="Young"/>
    <n v="40"/>
    <n v="40"/>
    <n v="1984"/>
    <n v="55000"/>
    <n v="55000"/>
    <x v="1"/>
    <s v="Marketing"/>
    <x v="4"/>
    <s v="Assistant"/>
    <d v="2020-02-20T00:00:00"/>
    <d v="2020-02-20T00:00:00"/>
    <s v="B"/>
    <n v="89"/>
    <s v="hannah.young@saltcorp.com"/>
    <m/>
    <s v="contract"/>
    <s v="Contract"/>
    <m/>
    <n v="4"/>
    <n v="1"/>
    <m/>
    <d v="2021-10-01T00:00:00"/>
    <m/>
    <s v="no"/>
    <s v="No"/>
    <n v="3"/>
    <s v="Yes"/>
  </r>
  <r>
    <s v="EMP-2018-0863"/>
    <s v="Jack"/>
    <s v="Oliver"/>
    <m/>
    <n v="33"/>
    <n v="1991"/>
    <s v="SIXTY THOUSAND"/>
    <n v="60000"/>
    <x v="0"/>
    <s v="sales"/>
    <x v="2"/>
    <s v="Analyst"/>
    <d v="2018-04-05T00:00:00"/>
    <d v="2018-04-05T00:00:00"/>
    <s v="F"/>
    <n v="55"/>
    <s v="jack.oliver@saltcorp.com"/>
    <s v="123-456-7890"/>
    <s v="Full-Time"/>
    <s v="Full-Time"/>
    <m/>
    <n v="4"/>
    <m/>
    <n v="10"/>
    <m/>
    <n v="56"/>
    <s v="no"/>
    <s v="No"/>
    <n v="2"/>
    <s v="Yes"/>
  </r>
  <r>
    <s v="EMP-2019-0864"/>
    <s v="Charlie"/>
    <s v="Matthews"/>
    <n v="35"/>
    <n v="35"/>
    <n v="1989"/>
    <n v="65000"/>
    <n v="65000"/>
    <x v="0"/>
    <s v="HR"/>
    <x v="0"/>
    <s v="Assistant"/>
    <d v="2019-03-25T00:00:00"/>
    <d v="2019-03-25T00:00:00"/>
    <s v="F"/>
    <n v="4"/>
    <s v="charlie.matthews@saltcorp.com"/>
    <s v=" "/>
    <s v="Full-Time"/>
    <s v="Full-Time"/>
    <s v="EMP-2020-0030"/>
    <n v="5"/>
    <m/>
    <m/>
    <m/>
    <m/>
    <m/>
    <s v=""/>
    <n v="1"/>
    <s v="Yes"/>
  </r>
  <r>
    <s v="EMP-2019-0865"/>
    <s v="Eve"/>
    <s v="Davidson"/>
    <n v="40"/>
    <n v="40"/>
    <n v="1984"/>
    <n v="70000"/>
    <n v="70000"/>
    <x v="1"/>
    <s v="finance"/>
    <x v="1"/>
    <s v="Clerk"/>
    <d v="2019-03-25T00:00:00"/>
    <d v="2019-03-25T00:00:00"/>
    <s v="D"/>
    <n v="62"/>
    <s v="eve.davidson@saltcorp.com"/>
    <s v="123-456-7890"/>
    <s v="contract"/>
    <s v="Contract"/>
    <m/>
    <n v="4"/>
    <m/>
    <n v="2"/>
    <m/>
    <m/>
    <s v="YES"/>
    <s v="Yes"/>
    <n v="4"/>
    <s v="No"/>
  </r>
  <r>
    <s v="EMP-2020-0866"/>
    <s v="Frank"/>
    <s v="Ward"/>
    <s v="thirty"/>
    <n v="30"/>
    <n v="1994"/>
    <n v="55000"/>
    <n v="55000"/>
    <x v="0"/>
    <s v="HR"/>
    <x v="0"/>
    <s v="Clerk"/>
    <d v="2020-02-20T00:00:00"/>
    <d v="2020-02-20T00:00:00"/>
    <s v="A"/>
    <n v="98"/>
    <s v="frank.ward@saltcorp.com"/>
    <m/>
    <s v="Part-Time"/>
    <s v="Part-Time"/>
    <s v="EMP-2020-0008"/>
    <n v="4"/>
    <s v="N/A"/>
    <m/>
    <d v="2022-06-20T00:00:00"/>
    <m/>
    <m/>
    <s v=""/>
    <n v="4"/>
    <s v="Yes"/>
  </r>
  <r>
    <s v="EMP-2019-0867"/>
    <s v="Jack"/>
    <s v="Ryan"/>
    <n v="40"/>
    <n v="40"/>
    <n v="1984"/>
    <n v="55000"/>
    <n v="55000"/>
    <x v="1"/>
    <s v="HR"/>
    <x v="0"/>
    <s v="Clerk"/>
    <d v="2019-12-01T00:00:00"/>
    <d v="2019-12-01T00:00:00"/>
    <s v="C"/>
    <n v="73"/>
    <s v="jack.ryan@saltcorp.com"/>
    <s v="555-555-5555"/>
    <s v="Full-Time"/>
    <s v="Full-Time"/>
    <s v="EMP-2019-0046"/>
    <n v="4"/>
    <m/>
    <m/>
    <d v="2024-08-12T00:00:00"/>
    <n v="26"/>
    <s v="YES"/>
    <s v="Yes"/>
    <n v="4"/>
    <s v="No"/>
  </r>
  <r>
    <s v="EMP-2020-0868"/>
    <s v="Frank"/>
    <s v="Weber"/>
    <n v="25"/>
    <n v="25"/>
    <n v="1999"/>
    <n v="65000"/>
    <n v="65000"/>
    <x v="0"/>
    <s v="it"/>
    <x v="3"/>
    <s v="Manager"/>
    <d v="2020-02-20T00:00:00"/>
    <d v="2020-02-20T00:00:00"/>
    <s v="A"/>
    <n v="90"/>
    <s v="frank.weber@saltcorp.com"/>
    <s v="123-456-7890"/>
    <s v="Full-Time"/>
    <s v="Full-Time"/>
    <m/>
    <n v="4"/>
    <m/>
    <m/>
    <d v="2023-01-15T00:00:00"/>
    <n v="9"/>
    <s v="no"/>
    <s v="No"/>
    <n v="3"/>
    <s v="Yes"/>
  </r>
  <r>
    <s v="EMP-2019-0869"/>
    <s v="David"/>
    <s v="O'Brien"/>
    <n v="35"/>
    <n v="35"/>
    <n v="1989"/>
    <n v="60800"/>
    <n v="60800"/>
    <x v="1"/>
    <s v="finance"/>
    <x v="1"/>
    <s v="Analyst"/>
    <d v="2019-12-01T00:00:00"/>
    <d v="2019-12-01T00:00:00"/>
    <s v="C"/>
    <n v="76"/>
    <s v="david.o'brien@saltcorp.com"/>
    <s v="123-456-7890"/>
    <s v="Part-Time"/>
    <s v="Part-Time"/>
    <m/>
    <n v="6"/>
    <s v="N/A"/>
    <m/>
    <d v="2024-08-12T00:00:00"/>
    <n v="52"/>
    <s v="no"/>
    <s v="No"/>
    <n v="1"/>
    <s v="Yes"/>
  </r>
  <r>
    <s v="EMP-2018-0870"/>
    <s v="Charlie"/>
    <s v="Armstrong"/>
    <s v="thirty"/>
    <n v="30"/>
    <n v="1994"/>
    <n v="50000"/>
    <n v="50000"/>
    <x v="0"/>
    <s v="HR"/>
    <x v="0"/>
    <s v="Assistant"/>
    <d v="2018-04-05T00:00:00"/>
    <d v="2018-04-05T00:00:00"/>
    <s v="B"/>
    <n v="83"/>
    <s v="charlie.armstrong@saltcorp.com"/>
    <s v=" "/>
    <s v="Part-Time"/>
    <s v="Part-Time"/>
    <s v="EMP-2020-0073"/>
    <n v="3"/>
    <n v="13"/>
    <n v="20"/>
    <m/>
    <n v="53"/>
    <s v="YES"/>
    <s v="Yes"/>
    <n v="4"/>
    <s v="No"/>
  </r>
  <r>
    <s v="EMP-2019-0871"/>
    <s v="David"/>
    <s v="Walker"/>
    <m/>
    <n v="32"/>
    <n v="1992"/>
    <n v="70000"/>
    <n v="70000"/>
    <x v="0"/>
    <s v="Marketing"/>
    <x v="4"/>
    <s v="Assistant"/>
    <d v="2019-12-01T00:00:00"/>
    <d v="2019-12-01T00:00:00"/>
    <s v="B"/>
    <n v="82"/>
    <s v="david.walker@saltcorp.com"/>
    <s v=" "/>
    <s v="Part-Time"/>
    <s v="Part-Time"/>
    <m/>
    <n v="2"/>
    <s v="N/A"/>
    <n v="19"/>
    <m/>
    <n v="45"/>
    <m/>
    <s v=""/>
    <n v="1"/>
    <s v="No"/>
  </r>
  <r>
    <s v="EMP-2020-0872"/>
    <s v="Alice"/>
    <s v="Gibson"/>
    <n v="50"/>
    <n v="50"/>
    <n v="1974"/>
    <n v="55000"/>
    <n v="55000"/>
    <x v="0"/>
    <s v="HR"/>
    <x v="0"/>
    <s v="Director"/>
    <d v="2020-02-20T00:00:00"/>
    <d v="2020-02-20T00:00:00"/>
    <s v="F"/>
    <n v="47"/>
    <s v="alice.gibson@saltcorp.com"/>
    <s v="123-456-7890"/>
    <s v="Full-Time"/>
    <s v="Full-Time"/>
    <s v="EMP-2019-0005"/>
    <n v="2"/>
    <n v="2"/>
    <n v="8"/>
    <m/>
    <n v="32"/>
    <m/>
    <s v=""/>
    <n v="5"/>
    <s v="No"/>
  </r>
  <r>
    <s v="EMP-2018-0873"/>
    <s v="David"/>
    <s v="McCoy"/>
    <s v="thirty"/>
    <n v="30"/>
    <n v="1994"/>
    <n v="70000"/>
    <n v="70000"/>
    <x v="1"/>
    <s v="Marketing"/>
    <x v="4"/>
    <s v="Clerk"/>
    <d v="2018-04-05T00:00:00"/>
    <d v="2018-04-05T00:00:00"/>
    <s v="B"/>
    <n v="84"/>
    <s v="david.mccoy@saltcorp.com"/>
    <s v="123-456-7890"/>
    <s v="Full-Time"/>
    <s v="Full-Time"/>
    <s v="EMP-2020-0029"/>
    <n v="2"/>
    <m/>
    <n v="6"/>
    <m/>
    <m/>
    <s v="YES"/>
    <s v="Yes"/>
    <n v="4"/>
    <s v="No"/>
  </r>
  <r>
    <s v="EMP-2020-0874"/>
    <s v="Alice"/>
    <s v="Johnston"/>
    <m/>
    <n v="31"/>
    <n v="1993"/>
    <n v="55000"/>
    <n v="55000"/>
    <x v="1"/>
    <s v="it"/>
    <x v="3"/>
    <s v="Clerk"/>
    <d v="2020-01-15T00:00:00"/>
    <d v="2020-01-15T00:00:00"/>
    <s v="F"/>
    <n v="41"/>
    <s v="alice.johnston@saltcorp.com"/>
    <s v=" "/>
    <s v="Part-Time"/>
    <s v="Part-Time"/>
    <m/>
    <n v="8"/>
    <m/>
    <n v="0"/>
    <m/>
    <m/>
    <s v="YES"/>
    <s v="Yes"/>
    <n v="3"/>
    <s v="No"/>
  </r>
  <r>
    <s v="EMP-2019-0875"/>
    <s v="Alice"/>
    <s v="Riley"/>
    <n v="50"/>
    <n v="50"/>
    <n v="1974"/>
    <n v="70000"/>
    <n v="70000"/>
    <x v="1"/>
    <s v="HR"/>
    <x v="0"/>
    <s v="Clerk"/>
    <d v="2019-03-25T00:00:00"/>
    <d v="2019-03-25T00:00:00"/>
    <s v="A"/>
    <n v="93"/>
    <s v="alice.riley@saltcorp.com"/>
    <m/>
    <s v="Part-Time"/>
    <s v="Part-Time"/>
    <m/>
    <n v="1"/>
    <m/>
    <m/>
    <d v="2024-08-12T00:00:00"/>
    <m/>
    <s v="no"/>
    <s v="No"/>
    <n v="1"/>
    <s v="No"/>
  </r>
  <r>
    <s v="EMP-2020-0876"/>
    <s v="Jack"/>
    <s v="O'Neill"/>
    <n v="50"/>
    <n v="50"/>
    <n v="1974"/>
    <s v="SIXTY THOUSAND"/>
    <n v="60000"/>
    <x v="0"/>
    <s v="sales"/>
    <x v="2"/>
    <s v="Assistant"/>
    <d v="2020-02-20T00:00:00"/>
    <d v="2020-02-20T00:00:00"/>
    <s v="B"/>
    <n v="80"/>
    <s v="jack.o'neill@saltcorp.com"/>
    <s v="098-765-4321"/>
    <s v="contract"/>
    <s v="Contract"/>
    <s v="EMP-2019-0008"/>
    <n v="1"/>
    <m/>
    <n v="10"/>
    <m/>
    <m/>
    <s v="no"/>
    <s v="No"/>
    <n v="2"/>
    <s v="No"/>
  </r>
  <r>
    <s v="EMP-2020-0877"/>
    <s v="Frank"/>
    <s v="Andrews"/>
    <s v="thirty"/>
    <n v="30"/>
    <n v="1994"/>
    <n v="55000"/>
    <n v="55000"/>
    <x v="0"/>
    <s v="it"/>
    <x v="3"/>
    <s v="Director"/>
    <d v="2020-02-20T00:00:00"/>
    <d v="2020-02-20T00:00:00"/>
    <s v="A"/>
    <n v="92"/>
    <s v="frank.andrews@saltcorp.com"/>
    <s v="098-765-4321"/>
    <s v="Full-Time"/>
    <s v="Full-Time"/>
    <s v="EMP-2020-0019"/>
    <n v="8"/>
    <m/>
    <m/>
    <d v="2023-03-05T00:00:00"/>
    <m/>
    <s v="YES"/>
    <s v="Yes"/>
    <n v="2"/>
    <s v="No"/>
  </r>
  <r>
    <s v="EMP-2020-0878"/>
    <s v="Eve"/>
    <s v="Parker"/>
    <n v="40"/>
    <n v="40"/>
    <n v="1984"/>
    <n v="70000"/>
    <n v="70000"/>
    <x v="1"/>
    <s v="Marketing"/>
    <x v="4"/>
    <s v="Manager"/>
    <d v="2020-02-20T00:00:00"/>
    <d v="2020-02-20T00:00:00"/>
    <s v="A"/>
    <n v="99"/>
    <s v="eve.parker@saltcorp.com"/>
    <s v="123-456-7890"/>
    <s v="Full-Time"/>
    <s v="Full-Time"/>
    <m/>
    <n v="6"/>
    <s v="N/A"/>
    <n v="0"/>
    <m/>
    <n v="64"/>
    <s v="no"/>
    <s v="No"/>
    <n v="4"/>
    <s v="No"/>
  </r>
  <r>
    <s v="EMP-2018-0879"/>
    <s v="David"/>
    <s v="Dixon"/>
    <n v="40"/>
    <n v="40"/>
    <n v="1984"/>
    <n v="50000"/>
    <n v="50000"/>
    <x v="0"/>
    <s v="it"/>
    <x v="3"/>
    <s v="Analyst"/>
    <d v="2018-04-05T00:00:00"/>
    <d v="2018-04-05T00:00:00"/>
    <s v="B"/>
    <n v="85"/>
    <s v="david.dixon@saltcorp.com"/>
    <s v=" "/>
    <s v="contract"/>
    <s v="Contract"/>
    <m/>
    <n v="6"/>
    <n v="2"/>
    <n v="11"/>
    <s v="N/A"/>
    <m/>
    <s v="no"/>
    <s v="No"/>
    <n v="1"/>
    <s v="Yes"/>
  </r>
  <r>
    <s v="EMP-2020-0880"/>
    <s v="Charlie"/>
    <s v="White"/>
    <n v="50"/>
    <n v="50"/>
    <n v="1974"/>
    <s v="SIXTY THOUSAND"/>
    <n v="60000"/>
    <x v="1"/>
    <s v="HR"/>
    <x v="0"/>
    <s v="Manager"/>
    <d v="2020-01-15T00:00:00"/>
    <d v="2020-01-15T00:00:00"/>
    <s v="A"/>
    <n v="97"/>
    <s v="charlie.white@saltcorp.com"/>
    <s v="555-555-5555"/>
    <s v="Full-Time"/>
    <s v="Full-Time"/>
    <s v="EMP-2019-0042"/>
    <n v="8"/>
    <n v="4"/>
    <m/>
    <m/>
    <m/>
    <s v="YES"/>
    <s v="Yes"/>
    <n v="1"/>
    <s v="Yes"/>
  </r>
  <r>
    <s v="EMP-2019-0881"/>
    <s v="Alice"/>
    <s v="Lee"/>
    <n v="40"/>
    <n v="40"/>
    <n v="1984"/>
    <s v="SIXTY THOUSAND"/>
    <n v="60000"/>
    <x v="1"/>
    <s v="finance"/>
    <x v="1"/>
    <s v="Assistant"/>
    <d v="2019-12-01T00:00:00"/>
    <d v="2019-12-01T00:00:00"/>
    <s v="B"/>
    <n v="81"/>
    <s v="alice.lee@saltcorp.com"/>
    <s v="555-555-5555"/>
    <s v="Part-Time"/>
    <s v="Part-Time"/>
    <m/>
    <n v="5"/>
    <m/>
    <m/>
    <d v="2021-10-01T00:00:00"/>
    <m/>
    <s v="YES"/>
    <s v="Yes"/>
    <n v="4"/>
    <s v="No"/>
  </r>
  <r>
    <s v="EMP-2020-0882"/>
    <s v="Frank"/>
    <s v="Harrison"/>
    <n v="25"/>
    <n v="25"/>
    <n v="1999"/>
    <n v="50000"/>
    <n v="50000"/>
    <x v="1"/>
    <s v="finance"/>
    <x v="1"/>
    <s v="Clerk"/>
    <d v="2020-01-15T00:00:00"/>
    <d v="2020-01-15T00:00:00"/>
    <s v="B"/>
    <n v="88"/>
    <s v="frank.harrison@saltcorp.com"/>
    <s v="098-765-4321"/>
    <s v="Full-Time"/>
    <s v="Full-Time"/>
    <m/>
    <n v="8"/>
    <m/>
    <m/>
    <d v="2023-01-15T00:00:00"/>
    <m/>
    <s v="YES"/>
    <s v="Yes"/>
    <n v="1"/>
    <s v="Yes"/>
  </r>
  <r>
    <s v="EMP-2018-0883"/>
    <s v="Bob"/>
    <s v="Johnson"/>
    <n v="50"/>
    <n v="50"/>
    <n v="1974"/>
    <n v="70000"/>
    <n v="70000"/>
    <x v="0"/>
    <s v="Marketing"/>
    <x v="4"/>
    <s v="Analyst"/>
    <d v="2018-04-05T00:00:00"/>
    <d v="2018-04-05T00:00:00"/>
    <s v="B"/>
    <n v="81"/>
    <s v="bob.johnson@saltcorp.com"/>
    <m/>
    <s v="Full-Time"/>
    <s v="Full-Time"/>
    <m/>
    <n v="3"/>
    <s v="N/A"/>
    <n v="0"/>
    <m/>
    <n v="49"/>
    <s v="YES"/>
    <s v="Yes"/>
    <n v="2"/>
    <s v="No"/>
  </r>
  <r>
    <s v="EMP-2020-0884"/>
    <s v="Hannah"/>
    <s v="Long"/>
    <n v="50"/>
    <n v="50"/>
    <n v="1974"/>
    <n v="65000"/>
    <n v="65000"/>
    <x v="1"/>
    <s v="Marketing"/>
    <x v="4"/>
    <s v="Assistant"/>
    <d v="2020-02-20T00:00:00"/>
    <d v="2020-02-20T00:00:00"/>
    <s v="C"/>
    <n v="74"/>
    <s v="hannah.long@saltcorp.com"/>
    <s v="098-765-4321"/>
    <s v="Part-Time"/>
    <s v="Part-Time"/>
    <s v="EMP-2020-0046"/>
    <n v="5"/>
    <m/>
    <m/>
    <m/>
    <m/>
    <s v="no"/>
    <s v="No"/>
    <n v="3"/>
    <s v="No"/>
  </r>
  <r>
    <s v="EMP-2019-0885"/>
    <s v="Jack"/>
    <s v="Sullivan"/>
    <m/>
    <n v="41"/>
    <n v="1983"/>
    <n v="50000"/>
    <n v="50000"/>
    <x v="0"/>
    <s v="finance"/>
    <x v="1"/>
    <s v="Assistant"/>
    <d v="2019-03-25T00:00:00"/>
    <d v="2019-03-25T00:00:00"/>
    <s v="A"/>
    <n v="100"/>
    <s v="jack.sullivan@saltcorp.com"/>
    <s v="123-456-7890"/>
    <s v="Full-Time"/>
    <s v="Full-Time"/>
    <m/>
    <n v="7"/>
    <m/>
    <m/>
    <m/>
    <m/>
    <s v="YES"/>
    <s v="Yes"/>
    <n v="1"/>
    <s v="No"/>
  </r>
  <r>
    <s v="EMP-2020-0886"/>
    <s v="Eve"/>
    <s v="Mitchell"/>
    <n v="40"/>
    <n v="40"/>
    <n v="1984"/>
    <n v="70000"/>
    <n v="70000"/>
    <x v="1"/>
    <s v="Marketing"/>
    <x v="4"/>
    <s v="Assistant"/>
    <d v="2020-02-20T00:00:00"/>
    <d v="2020-02-20T00:00:00"/>
    <s v="D"/>
    <n v="66"/>
    <s v="eve.mitchell@saltcorp.com"/>
    <m/>
    <s v="contract"/>
    <s v="Contract"/>
    <s v="EMP-2019-0017"/>
    <n v="4"/>
    <m/>
    <m/>
    <m/>
    <m/>
    <s v="no"/>
    <s v="No"/>
    <n v="1"/>
    <s v="No"/>
  </r>
  <r>
    <s v="EMP-2019-0887"/>
    <s v="Grace"/>
    <s v="Wang"/>
    <n v="50"/>
    <n v="50"/>
    <n v="1974"/>
    <n v="50000"/>
    <n v="50000"/>
    <x v="1"/>
    <s v="it"/>
    <x v="3"/>
    <s v="Analyst"/>
    <d v="2019-12-01T00:00:00"/>
    <d v="2019-12-01T00:00:00"/>
    <s v="B"/>
    <n v="82"/>
    <s v="grace.wang@saltcorp.com"/>
    <s v="555-555-5555"/>
    <s v="Full-Time"/>
    <s v="Full-Time"/>
    <m/>
    <n v="3"/>
    <m/>
    <m/>
    <m/>
    <n v="50"/>
    <s v="no"/>
    <s v="No"/>
    <n v="3"/>
    <s v="No"/>
  </r>
  <r>
    <s v="EMP-2019-0888"/>
    <s v="Jack"/>
    <s v="Navarro"/>
    <n v="25"/>
    <n v="25"/>
    <n v="1999"/>
    <n v="50000"/>
    <n v="50000"/>
    <x v="0"/>
    <s v="sales"/>
    <x v="2"/>
    <s v="Analyst"/>
    <d v="2019-03-25T00:00:00"/>
    <d v="2019-03-25T00:00:00"/>
    <s v="A"/>
    <n v="94"/>
    <s v="jack.navarro@saltcorp.com"/>
    <s v=" "/>
    <s v="contract"/>
    <s v="Contract"/>
    <m/>
    <n v="1"/>
    <m/>
    <n v="9"/>
    <m/>
    <m/>
    <m/>
    <s v=""/>
    <n v="1"/>
    <s v="Yes"/>
  </r>
  <r>
    <s v="EMP-2020-0889"/>
    <s v="Bob"/>
    <s v="Lucas"/>
    <m/>
    <n v="47"/>
    <n v="1977"/>
    <n v="55000"/>
    <n v="55000"/>
    <x v="1"/>
    <s v="sales"/>
    <x v="2"/>
    <s v="Director"/>
    <d v="2020-02-20T00:00:00"/>
    <d v="2020-02-20T00:00:00"/>
    <s v="F"/>
    <n v="21"/>
    <s v="bob.lucas@saltcorp.com"/>
    <s v=" "/>
    <s v="Part-Time"/>
    <s v="Part-Time"/>
    <s v="EMP-2020-0005"/>
    <n v="7"/>
    <m/>
    <n v="13"/>
    <s v="N/A"/>
    <m/>
    <s v="YES"/>
    <s v="Yes"/>
    <n v="1"/>
    <s v="Yes"/>
  </r>
  <r>
    <s v="EMP-2019-0890"/>
    <s v="Hannah"/>
    <s v="Hanson"/>
    <s v="thirty"/>
    <n v="30"/>
    <n v="1994"/>
    <n v="70000"/>
    <n v="70000"/>
    <x v="0"/>
    <s v="it"/>
    <x v="3"/>
    <s v="Director"/>
    <d v="2019-03-25T00:00:00"/>
    <d v="2019-03-25T00:00:00"/>
    <s v="B"/>
    <n v="88"/>
    <s v="hannah.hanson@saltcorp.com"/>
    <s v="123-456-7890"/>
    <s v="Full-Time"/>
    <s v="Full-Time"/>
    <m/>
    <n v="8"/>
    <m/>
    <m/>
    <m/>
    <m/>
    <s v="no"/>
    <s v="No"/>
    <n v="5"/>
    <s v="Yes"/>
  </r>
  <r>
    <s v="EMP-2020-0891"/>
    <s v="Bob"/>
    <s v="Garcia"/>
    <n v="50"/>
    <n v="50"/>
    <n v="1974"/>
    <n v="65000"/>
    <n v="65000"/>
    <x v="1"/>
    <s v="sales"/>
    <x v="2"/>
    <s v="Manager"/>
    <d v="2020-01-15T00:00:00"/>
    <d v="2020-01-15T00:00:00"/>
    <s v="B"/>
    <n v="82"/>
    <s v="bob.garcia@saltcorp.com"/>
    <s v="098-765-4321"/>
    <s v="contract"/>
    <s v="Contract"/>
    <m/>
    <n v="1"/>
    <n v="6"/>
    <n v="8"/>
    <d v="2023-03-05T00:00:00"/>
    <m/>
    <m/>
    <s v=""/>
    <n v="1"/>
    <s v="Yes"/>
  </r>
  <r>
    <s v="EMP-2018-0892"/>
    <s v="David"/>
    <s v="Knight"/>
    <n v="25"/>
    <n v="25"/>
    <n v="1999"/>
    <n v="55000"/>
    <n v="55000"/>
    <x v="0"/>
    <s v="HR"/>
    <x v="0"/>
    <s v="Analyst"/>
    <d v="2018-04-05T00:00:00"/>
    <d v="2018-04-05T00:00:00"/>
    <s v="D"/>
    <n v="64"/>
    <s v="david.knight@saltcorp.com"/>
    <s v="123-456-7890"/>
    <s v="contract"/>
    <s v="Contract"/>
    <m/>
    <n v="6"/>
    <n v="5"/>
    <m/>
    <m/>
    <n v="47"/>
    <s v="YES"/>
    <s v="Yes"/>
    <n v="5"/>
    <s v="No"/>
  </r>
  <r>
    <s v="EMP-2020-0893"/>
    <s v="Alice"/>
    <s v="Aguilar"/>
    <n v="35"/>
    <n v="35"/>
    <n v="1989"/>
    <n v="50000"/>
    <n v="50000"/>
    <x v="0"/>
    <s v="it"/>
    <x v="3"/>
    <s v="Analyst"/>
    <d v="2020-02-20T00:00:00"/>
    <d v="2020-02-20T00:00:00"/>
    <s v="C"/>
    <n v="75"/>
    <s v="alice.aguilar@saltcorp.com"/>
    <s v=" "/>
    <s v="Full-Time"/>
    <s v="Full-Time"/>
    <m/>
    <n v="7"/>
    <m/>
    <m/>
    <d v="2024-08-12T00:00:00"/>
    <m/>
    <s v="no"/>
    <s v="No"/>
    <n v="4"/>
    <s v="No"/>
  </r>
  <r>
    <s v="EMP-2019-0894"/>
    <s v="Eve"/>
    <s v="Turner"/>
    <n v="25"/>
    <n v="25"/>
    <n v="1999"/>
    <n v="60300"/>
    <n v="60300"/>
    <x v="0"/>
    <s v="Marketing"/>
    <x v="4"/>
    <s v="Analyst"/>
    <d v="2019-12-01T00:00:00"/>
    <d v="2019-12-01T00:00:00"/>
    <s v="C"/>
    <n v="74"/>
    <s v="eve.turner@saltcorp.com"/>
    <s v="555-555-5555"/>
    <s v="Full-Time"/>
    <s v="Full-Time"/>
    <s v="EMP-2019-0058"/>
    <n v="3"/>
    <m/>
    <m/>
    <m/>
    <n v="71"/>
    <s v="no"/>
    <s v="No"/>
    <n v="2"/>
    <s v="No"/>
  </r>
  <r>
    <s v="EMP-2020-0895"/>
    <s v="Ivy"/>
    <s v="Kumar"/>
    <n v="25"/>
    <n v="25"/>
    <n v="1999"/>
    <n v="50000"/>
    <n v="50000"/>
    <x v="0"/>
    <s v="it"/>
    <x v="3"/>
    <s v="Director"/>
    <d v="2020-01-15T00:00:00"/>
    <d v="2020-01-15T00:00:00"/>
    <s v="B"/>
    <n v="85"/>
    <s v="ivy.kumar@saltcorp.com"/>
    <s v=" "/>
    <s v="contract"/>
    <s v="Contract"/>
    <s v="EMP-2018-0089"/>
    <n v="8"/>
    <m/>
    <m/>
    <m/>
    <m/>
    <s v="no"/>
    <s v="No"/>
    <n v="1"/>
    <s v="No"/>
  </r>
  <r>
    <s v="EMP-2020-0896"/>
    <s v="Alice"/>
    <s v="Castillo"/>
    <m/>
    <n v="38"/>
    <n v="1986"/>
    <n v="50000"/>
    <n v="50000"/>
    <x v="1"/>
    <s v="finance"/>
    <x v="1"/>
    <s v="Assistant"/>
    <d v="2020-02-20T00:00:00"/>
    <d v="2020-02-20T00:00:00"/>
    <s v="A"/>
    <n v="97"/>
    <s v="alice.castillo@saltcorp.com"/>
    <m/>
    <s v="Full-Time"/>
    <s v="Full-Time"/>
    <s v="EMP-2018-0093"/>
    <n v="2"/>
    <s v="N/A"/>
    <m/>
    <m/>
    <m/>
    <m/>
    <s v=""/>
    <n v="4"/>
    <s v="No"/>
  </r>
  <r>
    <s v="EMP-2020-0897"/>
    <s v="Ivy"/>
    <s v="Dominguez"/>
    <s v="thirty"/>
    <n v="30"/>
    <n v="1994"/>
    <n v="70000"/>
    <n v="70000"/>
    <x v="1"/>
    <s v="Marketing"/>
    <x v="4"/>
    <s v="Clerk"/>
    <d v="2020-01-15T00:00:00"/>
    <d v="2020-01-15T00:00:00"/>
    <s v="F"/>
    <n v="4"/>
    <s v="ivy.dominguez@saltcorp.com"/>
    <s v=" "/>
    <s v="Full-Time"/>
    <s v="Full-Time"/>
    <m/>
    <n v="8"/>
    <m/>
    <n v="12"/>
    <m/>
    <n v="70"/>
    <m/>
    <s v=""/>
    <n v="5"/>
    <s v="No"/>
  </r>
  <r>
    <s v="EMP-2019-0898"/>
    <s v="Hannah"/>
    <s v="Santos"/>
    <n v="35"/>
    <n v="35"/>
    <n v="1989"/>
    <n v="70000"/>
    <n v="70000"/>
    <x v="1"/>
    <s v="finance"/>
    <x v="1"/>
    <s v="Director"/>
    <d v="2019-12-01T00:00:00"/>
    <d v="2019-12-01T00:00:00"/>
    <s v="F"/>
    <n v="55"/>
    <s v="hannah.santos@saltcorp.com"/>
    <s v=" "/>
    <s v="Full-Time"/>
    <s v="Full-Time"/>
    <m/>
    <n v="6"/>
    <m/>
    <n v="11"/>
    <m/>
    <m/>
    <s v="YES"/>
    <s v="Yes"/>
    <n v="4"/>
    <s v="No"/>
  </r>
  <r>
    <s v="EMP-2020-0899"/>
    <s v="Frank"/>
    <s v="Schmidt"/>
    <n v="40"/>
    <n v="40"/>
    <n v="1984"/>
    <n v="55000"/>
    <n v="55000"/>
    <x v="0"/>
    <s v="Marketing"/>
    <x v="4"/>
    <s v="Analyst"/>
    <d v="2020-02-20T00:00:00"/>
    <d v="2020-02-20T00:00:00"/>
    <s v="A"/>
    <n v="100"/>
    <s v="frank.schmidt@saltcorp.com"/>
    <m/>
    <s v="contract"/>
    <s v="Contract"/>
    <m/>
    <n v="1"/>
    <m/>
    <m/>
    <d v="2023-01-15T00:00:00"/>
    <n v="47"/>
    <s v="YES"/>
    <s v="Yes"/>
    <n v="2"/>
    <s v="Yes"/>
  </r>
  <r>
    <s v="EMP-2019-0900"/>
    <s v="Grace"/>
    <s v="Wu"/>
    <n v="40"/>
    <n v="40"/>
    <n v="1984"/>
    <n v="65000"/>
    <n v="65000"/>
    <x v="1"/>
    <s v="sales"/>
    <x v="2"/>
    <s v="Director"/>
    <d v="2019-12-01T00:00:00"/>
    <d v="2019-12-01T00:00:00"/>
    <s v="B"/>
    <n v="82"/>
    <s v="grace.wu@saltcorp.com"/>
    <s v="098-765-4321"/>
    <s v="Full-Time"/>
    <s v="Full-Time"/>
    <m/>
    <n v="1"/>
    <m/>
    <m/>
    <m/>
    <m/>
    <s v="YES"/>
    <s v="Yes"/>
    <n v="4"/>
    <s v="Yes"/>
  </r>
  <r>
    <s v="EMP-2019-0901"/>
    <s v="Charlie"/>
    <s v="Walker"/>
    <n v="25"/>
    <n v="25"/>
    <n v="1999"/>
    <n v="55000"/>
    <n v="55000"/>
    <x v="0"/>
    <s v="it"/>
    <x v="3"/>
    <s v="Manager"/>
    <d v="2019-03-25T00:00:00"/>
    <d v="2019-03-25T00:00:00"/>
    <s v="F"/>
    <n v="20"/>
    <s v="charlie.walker@saltcorp.com"/>
    <s v=" "/>
    <s v="Full-Time"/>
    <s v="Full-Time"/>
    <m/>
    <n v="4"/>
    <m/>
    <m/>
    <s v="N/A"/>
    <m/>
    <s v="no"/>
    <s v="No"/>
    <n v="5"/>
    <s v="No"/>
  </r>
  <r>
    <s v="EMP-2019-0902"/>
    <s v="Alice"/>
    <s v="Chen"/>
    <m/>
    <n v="35"/>
    <n v="1989"/>
    <s v="SIXTY THOUSAND"/>
    <n v="60000"/>
    <x v="0"/>
    <s v="HR"/>
    <x v="0"/>
    <s v="Analyst"/>
    <d v="2019-12-01T00:00:00"/>
    <d v="2019-12-01T00:00:00"/>
    <s v="C"/>
    <n v="77"/>
    <s v="alice.chen@saltcorp.com"/>
    <s v="123-456-7890"/>
    <s v="Full-Time"/>
    <s v="Full-Time"/>
    <m/>
    <n v="7"/>
    <m/>
    <m/>
    <s v="N/A"/>
    <n v="40"/>
    <s v="no"/>
    <s v="No"/>
    <n v="4"/>
    <s v="No"/>
  </r>
  <r>
    <s v="EMP-2019-0903"/>
    <s v="Eve"/>
    <s v="Turner"/>
    <m/>
    <n v="43"/>
    <n v="1981"/>
    <n v="50000"/>
    <n v="50000"/>
    <x v="0"/>
    <s v="Marketing"/>
    <x v="4"/>
    <s v="Manager"/>
    <d v="2019-03-25T00:00:00"/>
    <d v="2019-03-25T00:00:00"/>
    <s v="A"/>
    <n v="92"/>
    <s v="eve.turner@saltcorp.com"/>
    <s v=" "/>
    <s v="Full-Time"/>
    <s v="Full-Time"/>
    <s v="EMP-2018-0038"/>
    <n v="2"/>
    <m/>
    <m/>
    <d v="2021-10-01T00:00:00"/>
    <n v="10"/>
    <s v="YES"/>
    <s v="Yes"/>
    <n v="2"/>
    <s v="No"/>
  </r>
  <r>
    <s v="EMP-2020-0904"/>
    <s v="Bob"/>
    <s v="Johnson"/>
    <n v="40"/>
    <n v="40"/>
    <n v="1984"/>
    <n v="60300"/>
    <n v="60300"/>
    <x v="0"/>
    <s v="Marketing"/>
    <x v="4"/>
    <s v="Analyst"/>
    <d v="2020-02-20T00:00:00"/>
    <d v="2020-02-20T00:00:00"/>
    <s v="D"/>
    <n v="69"/>
    <s v="bob.johnson@saltcorp.com"/>
    <s v="123-456-7890"/>
    <s v="contract"/>
    <s v="Contract"/>
    <m/>
    <n v="6"/>
    <m/>
    <m/>
    <m/>
    <m/>
    <s v="YES"/>
    <s v="Yes"/>
    <n v="4"/>
    <s v="No"/>
  </r>
  <r>
    <s v="EMP-2019-0905"/>
    <s v="Eve"/>
    <s v="Castillo"/>
    <n v="35"/>
    <n v="35"/>
    <n v="1989"/>
    <n v="50000"/>
    <n v="50000"/>
    <x v="1"/>
    <s v="finance"/>
    <x v="1"/>
    <s v="Director"/>
    <d v="2019-03-25T00:00:00"/>
    <d v="2019-03-25T00:00:00"/>
    <s v="B"/>
    <n v="87"/>
    <s v="eve.castillo@saltcorp.com"/>
    <m/>
    <s v="Part-Time"/>
    <s v="Part-Time"/>
    <m/>
    <n v="6"/>
    <m/>
    <m/>
    <d v="2023-01-15T00:00:00"/>
    <n v="29"/>
    <s v="no"/>
    <s v="No"/>
    <n v="2"/>
    <s v="No"/>
  </r>
  <r>
    <s v="EMP-2020-0906"/>
    <s v="Hannah"/>
    <s v="Thomas"/>
    <s v="thirty"/>
    <n v="30"/>
    <n v="1994"/>
    <n v="50000"/>
    <n v="50000"/>
    <x v="1"/>
    <s v="sales"/>
    <x v="2"/>
    <s v="Assistant"/>
    <d v="2020-02-20T00:00:00"/>
    <d v="2020-02-20T00:00:00"/>
    <s v="A"/>
    <n v="96"/>
    <s v="hannah.thomas@saltcorp.com"/>
    <s v=" "/>
    <s v="Full-Time"/>
    <s v="Full-Time"/>
    <m/>
    <n v="5"/>
    <n v="14"/>
    <m/>
    <m/>
    <m/>
    <m/>
    <s v=""/>
    <n v="2"/>
    <s v="No"/>
  </r>
  <r>
    <s v="EMP-2020-0907"/>
    <s v="Ivy"/>
    <s v="McCoy"/>
    <n v="35"/>
    <n v="35"/>
    <n v="1989"/>
    <n v="55000"/>
    <n v="55000"/>
    <x v="0"/>
    <s v="finance"/>
    <x v="1"/>
    <s v="Clerk"/>
    <d v="2020-02-20T00:00:00"/>
    <d v="2020-02-20T00:00:00"/>
    <s v="F"/>
    <n v="12"/>
    <s v="ivy.mccoy@saltcorp.com"/>
    <m/>
    <s v="contract"/>
    <s v="Contract"/>
    <m/>
    <n v="3"/>
    <m/>
    <m/>
    <d v="2022-06-20T00:00:00"/>
    <m/>
    <s v="YES"/>
    <s v="Yes"/>
    <n v="3"/>
    <s v="Yes"/>
  </r>
  <r>
    <s v="EMP-2018-0908"/>
    <s v="Bob"/>
    <s v="Hanson"/>
    <n v="50"/>
    <n v="50"/>
    <n v="1974"/>
    <n v="59500"/>
    <n v="59500"/>
    <x v="0"/>
    <s v="finance"/>
    <x v="1"/>
    <s v="Manager"/>
    <d v="2018-04-05T00:00:00"/>
    <d v="2018-04-05T00:00:00"/>
    <s v="B"/>
    <n v="80"/>
    <s v="bob.hanson@saltcorp.com"/>
    <m/>
    <s v="Part-Time"/>
    <s v="Part-Time"/>
    <m/>
    <n v="5"/>
    <m/>
    <m/>
    <m/>
    <m/>
    <s v="no"/>
    <s v="No"/>
    <n v="2"/>
    <s v="Yes"/>
  </r>
  <r>
    <s v="EMP-2020-0909"/>
    <s v="Charlie"/>
    <s v="Lewis"/>
    <n v="50"/>
    <n v="50"/>
    <n v="1974"/>
    <n v="63000"/>
    <n v="63000"/>
    <x v="0"/>
    <s v="sales"/>
    <x v="2"/>
    <s v="Director"/>
    <d v="2020-02-20T00:00:00"/>
    <d v="2020-02-20T00:00:00"/>
    <s v="C"/>
    <n v="73"/>
    <s v="charlie.lewis@saltcorp.com"/>
    <s v="098-765-4321"/>
    <s v="contract"/>
    <s v="Contract"/>
    <s v="EMP-2019-0084"/>
    <n v="4"/>
    <s v="N/A"/>
    <n v="18"/>
    <m/>
    <n v="13"/>
    <s v="no"/>
    <s v="No"/>
    <n v="5"/>
    <s v="No"/>
  </r>
  <r>
    <s v="EMP-2019-0910"/>
    <s v="Charlie"/>
    <s v="White"/>
    <s v="thirty"/>
    <n v="30"/>
    <n v="1994"/>
    <n v="61500"/>
    <n v="61500"/>
    <x v="0"/>
    <s v="HR"/>
    <x v="0"/>
    <s v="Assistant"/>
    <d v="2019-03-25T00:00:00"/>
    <d v="2019-03-25T00:00:00"/>
    <s v="B"/>
    <n v="84"/>
    <s v="charlie.white@saltcorp.com"/>
    <s v=" "/>
    <s v="Full-Time"/>
    <s v="Full-Time"/>
    <s v="EMP-2019-0021"/>
    <n v="5"/>
    <m/>
    <m/>
    <m/>
    <m/>
    <m/>
    <s v=""/>
    <n v="5"/>
    <s v="No"/>
  </r>
  <r>
    <s v="EMP-2018-0911"/>
    <s v="Alice"/>
    <s v="Williams"/>
    <n v="40"/>
    <n v="40"/>
    <n v="1984"/>
    <n v="55000"/>
    <n v="55000"/>
    <x v="0"/>
    <s v="finance"/>
    <x v="1"/>
    <s v="Director"/>
    <d v="2018-04-05T00:00:00"/>
    <d v="2018-04-05T00:00:00"/>
    <s v="B"/>
    <n v="89"/>
    <s v="alice.williams@saltcorp.com"/>
    <s v="123-456-7890"/>
    <s v="Full-Time"/>
    <s v="Full-Time"/>
    <m/>
    <n v="8"/>
    <m/>
    <n v="15"/>
    <m/>
    <n v="26"/>
    <s v="YES"/>
    <s v="Yes"/>
    <n v="1"/>
    <s v="Yes"/>
  </r>
  <r>
    <s v="EMP-2018-0912"/>
    <s v="Hannah"/>
    <s v="Powell"/>
    <s v="thirty"/>
    <n v="30"/>
    <n v="1994"/>
    <n v="50000"/>
    <n v="50000"/>
    <x v="0"/>
    <s v="finance"/>
    <x v="1"/>
    <s v="Manager"/>
    <d v="2018-04-05T00:00:00"/>
    <d v="2018-04-05T00:00:00"/>
    <s v="C"/>
    <n v="74"/>
    <s v="hannah.powell@saltcorp.com"/>
    <s v="123-456-7890"/>
    <s v="contract"/>
    <s v="Contract"/>
    <m/>
    <n v="6"/>
    <n v="3"/>
    <n v="8"/>
    <s v="N/A"/>
    <m/>
    <s v="YES"/>
    <s v="Yes"/>
    <n v="2"/>
    <s v="Yes"/>
  </r>
  <r>
    <s v="EMP-2020-0913"/>
    <s v="Frank"/>
    <s v="Perez"/>
    <m/>
    <n v="33"/>
    <n v="1991"/>
    <n v="55000"/>
    <n v="55000"/>
    <x v="1"/>
    <s v="Marketing"/>
    <x v="4"/>
    <s v="Clerk"/>
    <d v="2020-02-20T00:00:00"/>
    <d v="2020-02-20T00:00:00"/>
    <s v="C"/>
    <n v="78"/>
    <s v="frank.perez@saltcorp.com"/>
    <s v=" "/>
    <s v="Full-Time"/>
    <s v="Full-Time"/>
    <s v="EMP-2019-0039"/>
    <n v="6"/>
    <s v="N/A"/>
    <m/>
    <d v="2021-10-01T00:00:00"/>
    <m/>
    <s v="YES"/>
    <s v="Yes"/>
    <n v="5"/>
    <s v="Yes"/>
  </r>
  <r>
    <s v="EMP-2019-0914"/>
    <s v="Hannah"/>
    <s v="Hansen"/>
    <n v="50"/>
    <n v="50"/>
    <n v="1974"/>
    <n v="70000"/>
    <n v="70000"/>
    <x v="1"/>
    <s v="sales"/>
    <x v="2"/>
    <s v="Director"/>
    <d v="2019-12-01T00:00:00"/>
    <d v="2019-12-01T00:00:00"/>
    <s v="B"/>
    <n v="82"/>
    <s v="hannah.hansen@saltcorp.com"/>
    <s v="098-765-4321"/>
    <s v="Full-Time"/>
    <s v="Full-Time"/>
    <m/>
    <n v="3"/>
    <m/>
    <n v="7"/>
    <m/>
    <m/>
    <s v="no"/>
    <s v="No"/>
    <n v="5"/>
    <s v="No"/>
  </r>
  <r>
    <s v="EMP-2019-0915"/>
    <s v="Ivy"/>
    <s v="Singh"/>
    <n v="25"/>
    <n v="25"/>
    <n v="1999"/>
    <n v="70000"/>
    <n v="70000"/>
    <x v="1"/>
    <s v="it"/>
    <x v="3"/>
    <s v="Analyst"/>
    <d v="2019-12-01T00:00:00"/>
    <d v="2019-12-01T00:00:00"/>
    <s v="C"/>
    <n v="76"/>
    <s v="ivy.singh@saltcorp.com"/>
    <s v="098-765-4321"/>
    <s v="Full-Time"/>
    <s v="Full-Time"/>
    <m/>
    <n v="8"/>
    <n v="3"/>
    <n v="20"/>
    <m/>
    <m/>
    <s v="no"/>
    <s v="No"/>
    <n v="5"/>
    <s v="No"/>
  </r>
  <r>
    <s v="EMP-2018-0916"/>
    <s v="Eve"/>
    <s v="Bishop"/>
    <n v="25"/>
    <n v="25"/>
    <n v="1999"/>
    <n v="55000"/>
    <n v="55000"/>
    <x v="0"/>
    <s v="HR"/>
    <x v="0"/>
    <s v="Assistant"/>
    <d v="2018-04-05T00:00:00"/>
    <d v="2018-04-05T00:00:00"/>
    <s v="A"/>
    <n v="93"/>
    <s v="eve.bishop@saltcorp.com"/>
    <s v="098-765-4321"/>
    <s v="Part-Time"/>
    <s v="Part-Time"/>
    <m/>
    <n v="7"/>
    <m/>
    <m/>
    <m/>
    <m/>
    <s v="no"/>
    <s v="No"/>
    <n v="1"/>
    <s v="No"/>
  </r>
  <r>
    <s v="EMP-2020-0917"/>
    <s v="Charlie"/>
    <s v="Gibson"/>
    <n v="40"/>
    <n v="40"/>
    <n v="1984"/>
    <n v="60900"/>
    <n v="60900"/>
    <x v="0"/>
    <s v="HR"/>
    <x v="0"/>
    <s v="Director"/>
    <d v="2020-02-20T00:00:00"/>
    <d v="2020-02-20T00:00:00"/>
    <s v="C"/>
    <n v="71"/>
    <s v="charlie.gibson@saltcorp.com"/>
    <s v="123-456-7890"/>
    <s v="Part-Time"/>
    <s v="Part-Time"/>
    <s v="EMP-2019-0026"/>
    <n v="4"/>
    <m/>
    <n v="12"/>
    <d v="2024-08-12T00:00:00"/>
    <m/>
    <s v="YES"/>
    <s v="Yes"/>
    <n v="3"/>
    <s v="No"/>
  </r>
  <r>
    <s v="EMP-2019-0918"/>
    <s v="Eve"/>
    <s v="Schmidt"/>
    <m/>
    <n v="30"/>
    <n v="1994"/>
    <n v="50000"/>
    <n v="50000"/>
    <x v="0"/>
    <s v="sales"/>
    <x v="2"/>
    <s v="Assistant"/>
    <d v="2019-12-01T00:00:00"/>
    <d v="2019-12-01T00:00:00"/>
    <s v="C"/>
    <n v="76"/>
    <s v="eve.schmidt@saltcorp.com"/>
    <m/>
    <s v="Full-Time"/>
    <s v="Full-Time"/>
    <m/>
    <n v="7"/>
    <n v="1"/>
    <n v="2"/>
    <s v="N/A"/>
    <m/>
    <s v="YES"/>
    <s v="Yes"/>
    <n v="1"/>
    <s v="Yes"/>
  </r>
  <r>
    <s v="EMP-2020-0919"/>
    <s v="Eve"/>
    <s v="Andrews"/>
    <n v="35"/>
    <n v="35"/>
    <n v="1989"/>
    <n v="55000"/>
    <n v="55000"/>
    <x v="1"/>
    <s v="Marketing"/>
    <x v="4"/>
    <s v="Analyst"/>
    <d v="2020-02-20T00:00:00"/>
    <d v="2020-02-20T00:00:00"/>
    <s v="B"/>
    <n v="89"/>
    <s v="eve.andrews@saltcorp.com"/>
    <s v="098-765-4321"/>
    <s v="Full-Time"/>
    <s v="Full-Time"/>
    <m/>
    <n v="6"/>
    <m/>
    <m/>
    <m/>
    <m/>
    <s v="YES"/>
    <s v="Yes"/>
    <n v="1"/>
    <s v="No"/>
  </r>
  <r>
    <s v="EMP-2020-0920"/>
    <s v="Eve"/>
    <s v="Bell"/>
    <m/>
    <n v="32"/>
    <n v="1992"/>
    <n v="55000"/>
    <n v="55000"/>
    <x v="1"/>
    <s v="Marketing"/>
    <x v="4"/>
    <s v="Clerk"/>
    <d v="2020-02-20T00:00:00"/>
    <d v="2020-02-20T00:00:00"/>
    <s v="A"/>
    <n v="100"/>
    <s v="eve.bell@saltcorp.com"/>
    <s v="123-456-7890"/>
    <s v="Part-Time"/>
    <s v="Part-Time"/>
    <m/>
    <n v="6"/>
    <m/>
    <n v="11"/>
    <d v="2021-10-01T00:00:00"/>
    <m/>
    <s v="YES"/>
    <s v="Yes"/>
    <n v="3"/>
    <s v="No"/>
  </r>
  <r>
    <s v="EMP-2018-0921"/>
    <s v="Charlie"/>
    <s v="Taylor"/>
    <n v="25"/>
    <n v="25"/>
    <n v="1999"/>
    <n v="55000"/>
    <n v="55000"/>
    <x v="0"/>
    <s v="sales"/>
    <x v="2"/>
    <s v="Clerk"/>
    <d v="2018-04-05T00:00:00"/>
    <d v="2018-04-05T00:00:00"/>
    <s v="D"/>
    <n v="66"/>
    <s v="charlie.taylor@saltcorp.com"/>
    <s v="123-456-7890"/>
    <s v="Part-Time"/>
    <s v="Part-Time"/>
    <s v="EMP-2020-0034"/>
    <n v="7"/>
    <n v="4"/>
    <n v="10"/>
    <d v="2022-06-20T00:00:00"/>
    <m/>
    <m/>
    <s v=""/>
    <n v="2"/>
    <s v="Yes"/>
  </r>
  <r>
    <s v="EMP-2018-0922"/>
    <s v="Jack"/>
    <s v="Gutierrez"/>
    <n v="25"/>
    <n v="25"/>
    <n v="1999"/>
    <s v="SIXTY THOUSAND"/>
    <n v="60000"/>
    <x v="0"/>
    <s v="Marketing"/>
    <x v="4"/>
    <s v="Analyst"/>
    <d v="2018-04-05T00:00:00"/>
    <d v="2018-04-05T00:00:00"/>
    <s v="D"/>
    <n v="62"/>
    <s v="jack.gutierrez@saltcorp.com"/>
    <m/>
    <s v="Part-Time"/>
    <s v="Part-Time"/>
    <m/>
    <n v="5"/>
    <m/>
    <n v="14"/>
    <d v="2023-03-05T00:00:00"/>
    <m/>
    <m/>
    <s v=""/>
    <n v="3"/>
    <s v="Yes"/>
  </r>
  <r>
    <s v="EMP-2020-0923"/>
    <s v="David"/>
    <s v="Patel"/>
    <n v="50"/>
    <n v="50"/>
    <n v="1974"/>
    <n v="70000"/>
    <n v="70000"/>
    <x v="0"/>
    <s v="HR"/>
    <x v="0"/>
    <s v="Assistant"/>
    <d v="2020-01-15T00:00:00"/>
    <d v="2020-01-15T00:00:00"/>
    <s v="F"/>
    <n v="42"/>
    <s v="david.patel@saltcorp.com"/>
    <s v=" "/>
    <s v="Part-Time"/>
    <s v="Part-Time"/>
    <m/>
    <n v="8"/>
    <s v="N/A"/>
    <m/>
    <d v="2022-06-20T00:00:00"/>
    <m/>
    <s v="no"/>
    <s v="No"/>
    <n v="3"/>
    <s v="Yes"/>
  </r>
  <r>
    <s v="EMP-2019-0924"/>
    <s v="Ivy"/>
    <s v="Shah"/>
    <m/>
    <n v="56"/>
    <n v="1968"/>
    <n v="60900"/>
    <n v="60900"/>
    <x v="1"/>
    <s v="HR"/>
    <x v="0"/>
    <s v="Director"/>
    <d v="2019-12-01T00:00:00"/>
    <d v="2019-12-01T00:00:00"/>
    <s v="C"/>
    <n v="74"/>
    <s v="ivy.shah@saltcorp.com"/>
    <s v=" "/>
    <s v="Full-Time"/>
    <s v="Full-Time"/>
    <m/>
    <n v="3"/>
    <s v="N/A"/>
    <m/>
    <d v="2021-10-01T00:00:00"/>
    <m/>
    <s v="YES"/>
    <s v="Yes"/>
    <n v="4"/>
    <s v="No"/>
  </r>
  <r>
    <s v="EMP-2019-0925"/>
    <s v="Jack"/>
    <s v="Schmidt"/>
    <m/>
    <n v="27"/>
    <n v="1997"/>
    <n v="65000"/>
    <n v="65000"/>
    <x v="1"/>
    <s v="it"/>
    <x v="3"/>
    <s v="Analyst"/>
    <d v="2019-12-01T00:00:00"/>
    <d v="2019-12-01T00:00:00"/>
    <s v="C"/>
    <n v="71"/>
    <s v="jack.schmidt@saltcorp.com"/>
    <s v="098-765-4321"/>
    <s v="contract"/>
    <s v="Contract"/>
    <m/>
    <n v="3"/>
    <m/>
    <n v="7"/>
    <m/>
    <m/>
    <s v="YES"/>
    <s v="Yes"/>
    <n v="5"/>
    <s v="No"/>
  </r>
  <r>
    <s v="EMP-2019-0926"/>
    <s v="Ivy"/>
    <s v="Ward"/>
    <n v="25"/>
    <n v="25"/>
    <n v="1999"/>
    <n v="61500"/>
    <n v="61500"/>
    <x v="0"/>
    <s v="sales"/>
    <x v="2"/>
    <s v="Manager"/>
    <d v="2019-12-01T00:00:00"/>
    <d v="2019-12-01T00:00:00"/>
    <s v="A"/>
    <n v="99"/>
    <s v="ivy.ward@saltcorp.com"/>
    <s v="098-765-4321"/>
    <s v="Full-Time"/>
    <s v="Full-Time"/>
    <m/>
    <n v="4"/>
    <s v="N/A"/>
    <m/>
    <m/>
    <m/>
    <s v="YES"/>
    <s v="Yes"/>
    <n v="2"/>
    <s v="No"/>
  </r>
  <r>
    <s v="EMP-2019-0927"/>
    <s v="Bob"/>
    <s v="Hansen"/>
    <n v="35"/>
    <n v="35"/>
    <n v="1989"/>
    <n v="65000"/>
    <n v="65000"/>
    <x v="0"/>
    <s v="finance"/>
    <x v="1"/>
    <s v="Assistant"/>
    <d v="2019-03-25T00:00:00"/>
    <d v="2019-03-25T00:00:00"/>
    <s v="D"/>
    <n v="69"/>
    <s v="bob.hansen@saltcorp.com"/>
    <m/>
    <s v="Part-Time"/>
    <s v="Part-Time"/>
    <m/>
    <n v="2"/>
    <m/>
    <n v="6"/>
    <m/>
    <m/>
    <s v="YES"/>
    <s v="Yes"/>
    <n v="4"/>
    <s v="Yes"/>
  </r>
  <r>
    <s v="EMP-2020-0928"/>
    <s v="Hannah"/>
    <s v="Dixon"/>
    <n v="40"/>
    <n v="40"/>
    <n v="1984"/>
    <s v="SIXTY THOUSAND"/>
    <n v="60000"/>
    <x v="0"/>
    <s v="finance"/>
    <x v="1"/>
    <s v="Clerk"/>
    <d v="2020-02-20T00:00:00"/>
    <d v="2020-02-20T00:00:00"/>
    <s v="F"/>
    <n v="45"/>
    <s v="hannah.dixon@saltcorp.com"/>
    <s v="098-765-4321"/>
    <s v="Part-Time"/>
    <s v="Part-Time"/>
    <m/>
    <n v="5"/>
    <m/>
    <m/>
    <m/>
    <m/>
    <s v="no"/>
    <s v="No"/>
    <n v="5"/>
    <s v="No"/>
  </r>
  <r>
    <s v="EMP-2018-0929"/>
    <s v="Hannah"/>
    <s v="Aguilar"/>
    <n v="40"/>
    <n v="40"/>
    <n v="1984"/>
    <n v="55000"/>
    <n v="55000"/>
    <x v="1"/>
    <s v="it"/>
    <x v="3"/>
    <s v="Analyst"/>
    <d v="2018-04-05T00:00:00"/>
    <d v="2018-04-05T00:00:00"/>
    <s v="A"/>
    <n v="96"/>
    <s v="hannah.aguilar@saltcorp.com"/>
    <m/>
    <s v="Full-Time"/>
    <s v="Full-Time"/>
    <m/>
    <n v="4"/>
    <m/>
    <m/>
    <m/>
    <n v="56"/>
    <m/>
    <s v=""/>
    <n v="1"/>
    <s v="Yes"/>
  </r>
  <r>
    <s v="EMP-2019-0930"/>
    <s v="Grace"/>
    <s v="Ward"/>
    <m/>
    <n v="28"/>
    <n v="1996"/>
    <s v="SIXTY THOUSAND"/>
    <n v="60000"/>
    <x v="1"/>
    <s v="it"/>
    <x v="3"/>
    <s v="Clerk"/>
    <d v="2019-12-01T00:00:00"/>
    <d v="2019-12-01T00:00:00"/>
    <s v="C"/>
    <n v="77"/>
    <s v="grace.ward@saltcorp.com"/>
    <s v="123-456-7890"/>
    <s v="contract"/>
    <s v="Contract"/>
    <m/>
    <n v="7"/>
    <n v="5"/>
    <n v="1"/>
    <m/>
    <m/>
    <s v="no"/>
    <s v="No"/>
    <n v="2"/>
    <s v="No"/>
  </r>
  <r>
    <s v="EMP-2020-0931"/>
    <s v="Hannah"/>
    <s v="Hudson"/>
    <n v="40"/>
    <n v="40"/>
    <n v="1984"/>
    <s v="SIXTY THOUSAND"/>
    <n v="60000"/>
    <x v="1"/>
    <s v="Marketing"/>
    <x v="4"/>
    <s v="Assistant"/>
    <d v="2020-01-15T00:00:00"/>
    <d v="2020-01-15T00:00:00"/>
    <s v="D"/>
    <n v="61"/>
    <s v="hannah.hudson@saltcorp.com"/>
    <s v="098-765-4321"/>
    <s v="contract"/>
    <s v="Contract"/>
    <m/>
    <n v="7"/>
    <m/>
    <m/>
    <d v="2024-08-12T00:00:00"/>
    <m/>
    <s v="no"/>
    <s v="No"/>
    <n v="4"/>
    <s v="No"/>
  </r>
  <r>
    <s v="EMP-2019-0932"/>
    <s v="Charlie"/>
    <s v="White"/>
    <n v="25"/>
    <n v="25"/>
    <n v="1999"/>
    <n v="50000"/>
    <n v="50000"/>
    <x v="1"/>
    <s v="it"/>
    <x v="3"/>
    <s v="Clerk"/>
    <d v="2019-12-01T00:00:00"/>
    <d v="2019-12-01T00:00:00"/>
    <s v="F"/>
    <n v="49"/>
    <s v="charlie.white@saltcorp.com"/>
    <s v="123-456-7890"/>
    <s v="Full-Time"/>
    <s v="Full-Time"/>
    <m/>
    <n v="4"/>
    <m/>
    <n v="19"/>
    <m/>
    <m/>
    <s v="no"/>
    <s v="No"/>
    <n v="2"/>
    <s v="No"/>
  </r>
  <r>
    <s v="EMP-2020-0933"/>
    <s v="Frank"/>
    <s v="Gonzalez"/>
    <n v="25"/>
    <n v="25"/>
    <n v="1999"/>
    <n v="70000"/>
    <n v="70000"/>
    <x v="0"/>
    <s v="it"/>
    <x v="3"/>
    <s v="Analyst"/>
    <d v="2020-02-20T00:00:00"/>
    <d v="2020-02-20T00:00:00"/>
    <s v="B"/>
    <n v="81"/>
    <s v="frank.gonzalez@saltcorp.com"/>
    <s v="555-555-5555"/>
    <s v="contract"/>
    <s v="Contract"/>
    <m/>
    <n v="3"/>
    <m/>
    <n v="4"/>
    <m/>
    <m/>
    <s v="YES"/>
    <s v="Yes"/>
    <n v="3"/>
    <s v="No"/>
  </r>
  <r>
    <s v="EMP-2020-0934"/>
    <s v="Alice"/>
    <s v="Le"/>
    <m/>
    <n v="32"/>
    <n v="1992"/>
    <n v="65000"/>
    <n v="65000"/>
    <x v="0"/>
    <s v="finance"/>
    <x v="1"/>
    <s v="Assistant"/>
    <d v="2020-02-20T00:00:00"/>
    <d v="2020-02-20T00:00:00"/>
    <s v="D"/>
    <n v="64"/>
    <s v="alice.le@saltcorp.com"/>
    <m/>
    <s v="Part-Time"/>
    <s v="Part-Time"/>
    <m/>
    <n v="3"/>
    <n v="14"/>
    <n v="4"/>
    <m/>
    <m/>
    <m/>
    <s v=""/>
    <n v="4"/>
    <s v="Yes"/>
  </r>
  <r>
    <s v="EMP-2018-0935"/>
    <s v="Grace"/>
    <s v="Zhou"/>
    <m/>
    <n v="51"/>
    <n v="1973"/>
    <n v="55000"/>
    <n v="55000"/>
    <x v="1"/>
    <s v="Marketing"/>
    <x v="4"/>
    <s v="Manager"/>
    <d v="2018-04-05T00:00:00"/>
    <d v="2018-04-05T00:00:00"/>
    <s v="F"/>
    <n v="54"/>
    <s v="grace.zhou@saltcorp.com"/>
    <s v="555-555-5555"/>
    <s v="Part-Time"/>
    <s v="Part-Time"/>
    <s v="EMP-2019-0023"/>
    <n v="8"/>
    <m/>
    <m/>
    <m/>
    <n v="67"/>
    <s v="no"/>
    <s v="No"/>
    <n v="3"/>
    <s v="No"/>
  </r>
  <r>
    <s v="EMP-2019-0936"/>
    <s v="Alice"/>
    <s v="Harrison"/>
    <n v="50"/>
    <n v="50"/>
    <n v="1974"/>
    <n v="65000"/>
    <n v="65000"/>
    <x v="1"/>
    <s v="it"/>
    <x v="3"/>
    <s v="Analyst"/>
    <d v="2019-03-25T00:00:00"/>
    <d v="2019-03-25T00:00:00"/>
    <s v="A"/>
    <n v="94"/>
    <s v="alice.harrison@saltcorp.com"/>
    <s v="098-765-4321"/>
    <s v="Part-Time"/>
    <s v="Part-Time"/>
    <m/>
    <n v="1"/>
    <m/>
    <m/>
    <m/>
    <m/>
    <s v="no"/>
    <s v="No"/>
    <n v="2"/>
    <s v="No"/>
  </r>
  <r>
    <s v="EMP-2018-0937"/>
    <s v="Ivy"/>
    <s v="Oliver"/>
    <m/>
    <n v="44"/>
    <n v="1980"/>
    <n v="60100"/>
    <n v="60100"/>
    <x v="1"/>
    <s v="it"/>
    <x v="3"/>
    <s v="Director"/>
    <d v="2018-04-05T00:00:00"/>
    <d v="2018-04-05T00:00:00"/>
    <s v="B"/>
    <n v="81"/>
    <s v="ivy.oliver@saltcorp.com"/>
    <s v="123-456-7890"/>
    <s v="contract"/>
    <s v="Contract"/>
    <m/>
    <n v="3"/>
    <s v="N/A"/>
    <m/>
    <m/>
    <n v="56"/>
    <s v="YES"/>
    <s v="Yes"/>
    <n v="1"/>
    <s v="Yes"/>
  </r>
  <r>
    <s v="EMP-2019-0938"/>
    <s v="Alice"/>
    <s v="Ross"/>
    <n v="35"/>
    <n v="35"/>
    <n v="1989"/>
    <n v="65000"/>
    <n v="65000"/>
    <x v="1"/>
    <s v="Marketing"/>
    <x v="4"/>
    <s v="Analyst"/>
    <d v="2019-12-01T00:00:00"/>
    <d v="2019-12-01T00:00:00"/>
    <s v="F"/>
    <n v="57"/>
    <s v="alice.ross@saltcorp.com"/>
    <s v="098-765-4321"/>
    <s v="contract"/>
    <s v="Contract"/>
    <s v="EMP-2020-0056"/>
    <n v="7"/>
    <n v="15"/>
    <m/>
    <m/>
    <m/>
    <s v="no"/>
    <s v="No"/>
    <n v="4"/>
    <s v="No"/>
  </r>
  <r>
    <s v="EMP-2020-0939"/>
    <s v="Alice"/>
    <s v="Lee"/>
    <n v="40"/>
    <n v="40"/>
    <n v="1984"/>
    <n v="58300"/>
    <n v="58300"/>
    <x v="0"/>
    <s v="sales"/>
    <x v="2"/>
    <s v="Assistant"/>
    <d v="2020-01-15T00:00:00"/>
    <d v="2020-01-15T00:00:00"/>
    <s v="F"/>
    <n v="23"/>
    <s v="alice.lee@saltcorp.com"/>
    <s v="555-555-5555"/>
    <s v="Full-Time"/>
    <s v="Full-Time"/>
    <m/>
    <n v="8"/>
    <s v="N/A"/>
    <m/>
    <m/>
    <m/>
    <s v="YES"/>
    <s v="Yes"/>
    <n v="2"/>
    <s v="Yes"/>
  </r>
  <r>
    <s v="EMP-2018-0940"/>
    <s v="Grace"/>
    <s v="Powers"/>
    <m/>
    <n v="32"/>
    <n v="1992"/>
    <n v="70000"/>
    <n v="70000"/>
    <x v="1"/>
    <s v="Marketing"/>
    <x v="4"/>
    <s v="Analyst"/>
    <d v="2018-04-05T00:00:00"/>
    <d v="2018-04-05T00:00:00"/>
    <s v="C"/>
    <n v="71"/>
    <s v="grace.powers@saltcorp.com"/>
    <s v="098-765-4321"/>
    <s v="Full-Time"/>
    <s v="Full-Time"/>
    <m/>
    <n v="3"/>
    <n v="4"/>
    <n v="6"/>
    <s v="N/A"/>
    <n v="80"/>
    <s v="YES"/>
    <s v="Yes"/>
    <n v="4"/>
    <s v="No"/>
  </r>
  <r>
    <s v="EMP-2019-0941"/>
    <s v="Bob"/>
    <s v="Walker"/>
    <s v="thirty"/>
    <n v="30"/>
    <n v="1994"/>
    <n v="59500"/>
    <n v="59500"/>
    <x v="0"/>
    <s v="finance"/>
    <x v="1"/>
    <s v="Manager"/>
    <d v="2019-03-25T00:00:00"/>
    <d v="2019-03-25T00:00:00"/>
    <s v="D"/>
    <n v="67"/>
    <s v="bob.walker@saltcorp.com"/>
    <s v=" "/>
    <s v="Full-Time"/>
    <s v="Full-Time"/>
    <m/>
    <n v="6"/>
    <m/>
    <m/>
    <s v="N/A"/>
    <m/>
    <s v="no"/>
    <s v="No"/>
    <n v="4"/>
    <s v="No"/>
  </r>
  <r>
    <s v="EMP-2018-0942"/>
    <s v="Eve"/>
    <s v="Thomas"/>
    <n v="50"/>
    <n v="50"/>
    <n v="1974"/>
    <n v="65000"/>
    <n v="65000"/>
    <x v="1"/>
    <s v="sales"/>
    <x v="2"/>
    <s v="Manager"/>
    <d v="2018-04-05T00:00:00"/>
    <d v="2018-04-05T00:00:00"/>
    <s v="C"/>
    <n v="71"/>
    <s v="eve.thomas@saltcorp.com"/>
    <s v="555-555-5555"/>
    <s v="Part-Time"/>
    <s v="Part-Time"/>
    <m/>
    <n v="8"/>
    <n v="1"/>
    <n v="6"/>
    <d v="2021-10-01T00:00:00"/>
    <m/>
    <s v="YES"/>
    <s v="Yes"/>
    <n v="2"/>
    <s v="Yes"/>
  </r>
  <r>
    <s v="EMP-2020-0943"/>
    <s v="Hannah"/>
    <s v="Hoffman"/>
    <s v="thirty"/>
    <n v="30"/>
    <n v="1994"/>
    <n v="65000"/>
    <n v="65000"/>
    <x v="1"/>
    <s v="HR"/>
    <x v="0"/>
    <s v="Director"/>
    <d v="2020-02-20T00:00:00"/>
    <d v="2020-02-20T00:00:00"/>
    <s v="B"/>
    <n v="82"/>
    <s v="hannah.hoffman@saltcorp.com"/>
    <s v="098-765-4321"/>
    <s v="contract"/>
    <s v="Contract"/>
    <m/>
    <n v="5"/>
    <n v="6"/>
    <m/>
    <d v="2023-01-15T00:00:00"/>
    <m/>
    <m/>
    <s v=""/>
    <n v="1"/>
    <s v="No"/>
  </r>
  <r>
    <s v="EMP-2019-0944"/>
    <s v="Hannah"/>
    <s v="Powell"/>
    <n v="25"/>
    <n v="25"/>
    <n v="1999"/>
    <n v="58600"/>
    <n v="58600"/>
    <x v="0"/>
    <s v="Marketing"/>
    <x v="4"/>
    <s v="Clerk"/>
    <d v="2019-12-01T00:00:00"/>
    <d v="2019-12-01T00:00:00"/>
    <s v="F"/>
    <n v="11"/>
    <s v="hannah.powell@saltcorp.com"/>
    <s v="123-456-7890"/>
    <s v="Full-Time"/>
    <s v="Full-Time"/>
    <m/>
    <n v="5"/>
    <s v="N/A"/>
    <m/>
    <m/>
    <m/>
    <s v="no"/>
    <s v="No"/>
    <n v="5"/>
    <s v="Yes"/>
  </r>
  <r>
    <s v="EMP-2019-0945"/>
    <s v="Charlie"/>
    <s v="Moore"/>
    <n v="40"/>
    <n v="40"/>
    <n v="1984"/>
    <s v="SIXTY THOUSAND"/>
    <n v="60000"/>
    <x v="0"/>
    <s v="finance"/>
    <x v="1"/>
    <s v="Assistant"/>
    <d v="2019-12-01T00:00:00"/>
    <d v="2019-12-01T00:00:00"/>
    <s v="C"/>
    <n v="75"/>
    <s v="charlie.moore@saltcorp.com"/>
    <s v="098-765-4321"/>
    <s v="Part-Time"/>
    <s v="Part-Time"/>
    <m/>
    <n v="1"/>
    <m/>
    <m/>
    <m/>
    <n v="51"/>
    <s v="YES"/>
    <s v="Yes"/>
    <n v="3"/>
    <s v="No"/>
  </r>
  <r>
    <s v="EMP-2019-0946"/>
    <s v="Grace"/>
    <s v="Wu"/>
    <m/>
    <n v="33"/>
    <n v="1991"/>
    <n v="70000"/>
    <n v="70000"/>
    <x v="1"/>
    <s v="sales"/>
    <x v="2"/>
    <s v="Assistant"/>
    <d v="2019-12-01T00:00:00"/>
    <d v="2019-12-01T00:00:00"/>
    <s v="D"/>
    <n v="67"/>
    <s v="grace.wu@saltcorp.com"/>
    <s v="123-456-7890"/>
    <s v="Full-Time"/>
    <s v="Full-Time"/>
    <m/>
    <n v="7"/>
    <n v="15"/>
    <m/>
    <m/>
    <n v="44"/>
    <s v="no"/>
    <s v="No"/>
    <n v="2"/>
    <s v="No"/>
  </r>
  <r>
    <s v="EMP-2019-0947"/>
    <s v="Charlie"/>
    <s v="Taylor"/>
    <s v="thirty"/>
    <n v="30"/>
    <n v="1994"/>
    <n v="50000"/>
    <n v="50000"/>
    <x v="0"/>
    <s v="Marketing"/>
    <x v="4"/>
    <s v="Clerk"/>
    <d v="2019-12-01T00:00:00"/>
    <d v="2019-12-01T00:00:00"/>
    <s v="B"/>
    <n v="87"/>
    <s v="charlie.taylor@saltcorp.com"/>
    <s v=" "/>
    <s v="contract"/>
    <s v="Contract"/>
    <m/>
    <n v="2"/>
    <m/>
    <n v="9"/>
    <m/>
    <n v="79"/>
    <s v="no"/>
    <s v="No"/>
    <n v="4"/>
    <s v="No"/>
  </r>
  <r>
    <s v="EMP-2019-0948"/>
    <s v="Frank"/>
    <s v="Sanchez"/>
    <n v="40"/>
    <n v="40"/>
    <n v="1984"/>
    <n v="55000"/>
    <n v="55000"/>
    <x v="0"/>
    <s v="it"/>
    <x v="3"/>
    <s v="Manager"/>
    <d v="2019-12-01T00:00:00"/>
    <d v="2019-12-01T00:00:00"/>
    <s v="A"/>
    <n v="100"/>
    <s v="frank.sanchez@saltcorp.com"/>
    <s v="098-765-4321"/>
    <s v="Part-Time"/>
    <s v="Part-Time"/>
    <m/>
    <n v="3"/>
    <s v="N/A"/>
    <m/>
    <m/>
    <n v="26"/>
    <s v="no"/>
    <s v="No"/>
    <n v="2"/>
    <s v="No"/>
  </r>
  <r>
    <s v="EMP-2019-0949"/>
    <s v="Frank"/>
    <s v="Lopez"/>
    <n v="25"/>
    <n v="25"/>
    <n v="1999"/>
    <n v="65000"/>
    <n v="65000"/>
    <x v="0"/>
    <s v="Marketing"/>
    <x v="4"/>
    <s v="Manager"/>
    <d v="2019-12-01T00:00:00"/>
    <d v="2019-12-01T00:00:00"/>
    <s v="C"/>
    <n v="73"/>
    <s v="frank.lopez@saltcorp.com"/>
    <s v=" "/>
    <s v="contract"/>
    <s v="Contract"/>
    <m/>
    <n v="1"/>
    <m/>
    <n v="12"/>
    <m/>
    <m/>
    <s v="YES"/>
    <s v="Yes"/>
    <n v="3"/>
    <s v="No"/>
  </r>
  <r>
    <s v="EMP-2020-0950"/>
    <s v="Charlie"/>
    <s v="Navarro"/>
    <n v="35"/>
    <n v="35"/>
    <n v="1989"/>
    <n v="55000"/>
    <n v="55000"/>
    <x v="0"/>
    <s v="HR"/>
    <x v="0"/>
    <s v="Analyst"/>
    <d v="2020-01-15T00:00:00"/>
    <d v="2020-01-15T00:00:00"/>
    <s v="B"/>
    <n v="89"/>
    <s v="charlie.navarro@saltcorp.com"/>
    <s v="555-555-5555"/>
    <s v="Full-Time"/>
    <s v="Full-Time"/>
    <m/>
    <n v="4"/>
    <s v="N/A"/>
    <m/>
    <d v="2023-01-15T00:00:00"/>
    <m/>
    <s v="no"/>
    <s v="No"/>
    <n v="4"/>
    <s v="No"/>
  </r>
  <r>
    <s v="EMP-2019-0951"/>
    <s v="Grace"/>
    <s v="Huang"/>
    <n v="50"/>
    <n v="50"/>
    <n v="1974"/>
    <n v="50000"/>
    <n v="50000"/>
    <x v="1"/>
    <s v="Marketing"/>
    <x v="4"/>
    <s v="Director"/>
    <d v="2019-03-25T00:00:00"/>
    <d v="2019-03-25T00:00:00"/>
    <s v="A"/>
    <n v="93"/>
    <s v="grace.huang@saltcorp.com"/>
    <s v="123-456-7890"/>
    <s v="Full-Time"/>
    <s v="Full-Time"/>
    <m/>
    <n v="5"/>
    <m/>
    <n v="12"/>
    <m/>
    <m/>
    <s v="YES"/>
    <s v="Yes"/>
    <n v="2"/>
    <s v="Yes"/>
  </r>
  <r>
    <s v="EMP-2019-0952"/>
    <s v="Charlie"/>
    <s v="White"/>
    <n v="40"/>
    <n v="40"/>
    <n v="1984"/>
    <n v="55000"/>
    <n v="55000"/>
    <x v="0"/>
    <s v="sales"/>
    <x v="2"/>
    <s v="Director"/>
    <d v="2019-12-01T00:00:00"/>
    <d v="2019-12-01T00:00:00"/>
    <s v="C"/>
    <n v="70"/>
    <s v="charlie.white@saltcorp.com"/>
    <s v="555-555-5555"/>
    <s v="contract"/>
    <s v="Contract"/>
    <m/>
    <n v="8"/>
    <m/>
    <n v="5"/>
    <d v="2022-06-20T00:00:00"/>
    <m/>
    <m/>
    <s v=""/>
    <n v="1"/>
    <s v="Yes"/>
  </r>
  <r>
    <s v="EMP-2019-0953"/>
    <s v="Hannah"/>
    <s v="Perry"/>
    <n v="40"/>
    <n v="40"/>
    <n v="1984"/>
    <n v="50000"/>
    <n v="50000"/>
    <x v="0"/>
    <s v="sales"/>
    <x v="2"/>
    <s v="Director"/>
    <d v="2019-03-25T00:00:00"/>
    <d v="2019-03-25T00:00:00"/>
    <s v="B"/>
    <n v="88"/>
    <s v="hannah.perry@saltcorp.com"/>
    <s v="123-456-7890"/>
    <s v="Part-Time"/>
    <s v="Part-Time"/>
    <m/>
    <n v="2"/>
    <m/>
    <m/>
    <m/>
    <n v="17"/>
    <s v="no"/>
    <s v="No"/>
    <n v="5"/>
    <s v="Yes"/>
  </r>
  <r>
    <s v="EMP-2019-0954"/>
    <s v="Jack"/>
    <s v="Walsh"/>
    <n v="35"/>
    <n v="35"/>
    <n v="1989"/>
    <n v="60300"/>
    <n v="60300"/>
    <x v="0"/>
    <s v="Marketing"/>
    <x v="4"/>
    <s v="Analyst"/>
    <d v="2019-12-01T00:00:00"/>
    <d v="2019-12-01T00:00:00"/>
    <s v="B"/>
    <n v="81"/>
    <s v="jack.walsh@saltcorp.com"/>
    <s v=" "/>
    <s v="Full-Time"/>
    <s v="Full-Time"/>
    <m/>
    <n v="8"/>
    <m/>
    <m/>
    <m/>
    <n v="9"/>
    <s v="YES"/>
    <s v="Yes"/>
    <n v="2"/>
    <s v="No"/>
  </r>
  <r>
    <s v="EMP-2018-0955"/>
    <s v="David"/>
    <s v="Kim"/>
    <n v="40"/>
    <n v="40"/>
    <n v="1984"/>
    <s v="SIXTY THOUSAND"/>
    <n v="60000"/>
    <x v="0"/>
    <s v="sales"/>
    <x v="2"/>
    <s v="Director"/>
    <d v="2018-04-05T00:00:00"/>
    <d v="2018-04-05T00:00:00"/>
    <s v="C"/>
    <n v="70"/>
    <s v="david.kim@saltcorp.com"/>
    <m/>
    <s v="Part-Time"/>
    <s v="Part-Time"/>
    <m/>
    <n v="6"/>
    <n v="3"/>
    <m/>
    <d v="2023-03-05T00:00:00"/>
    <m/>
    <s v="no"/>
    <s v="No"/>
    <n v="1"/>
    <s v="Yes"/>
  </r>
  <r>
    <s v="EMP-2019-0956"/>
    <s v="Alice"/>
    <s v="Williams"/>
    <n v="25"/>
    <n v="25"/>
    <n v="1999"/>
    <n v="65000"/>
    <n v="65000"/>
    <x v="1"/>
    <s v="it"/>
    <x v="3"/>
    <s v="Clerk"/>
    <d v="2019-12-01T00:00:00"/>
    <d v="2019-12-01T00:00:00"/>
    <s v="B"/>
    <n v="86"/>
    <s v="alice.williams@saltcorp.com"/>
    <s v="098-765-4321"/>
    <s v="contract"/>
    <s v="Contract"/>
    <m/>
    <n v="5"/>
    <m/>
    <m/>
    <s v="N/A"/>
    <m/>
    <s v="no"/>
    <s v="No"/>
    <n v="4"/>
    <s v="No"/>
  </r>
  <r>
    <s v="EMP-2020-0957"/>
    <s v="David"/>
    <s v="Ross"/>
    <n v="25"/>
    <n v="25"/>
    <n v="1999"/>
    <n v="50000"/>
    <n v="50000"/>
    <x v="1"/>
    <s v="Marketing"/>
    <x v="4"/>
    <s v="Analyst"/>
    <d v="2020-02-20T00:00:00"/>
    <d v="2020-02-20T00:00:00"/>
    <s v="F"/>
    <n v="5"/>
    <s v="david.ross@saltcorp.com"/>
    <s v=" "/>
    <s v="Full-Time"/>
    <s v="Full-Time"/>
    <m/>
    <n v="6"/>
    <m/>
    <n v="12"/>
    <m/>
    <m/>
    <s v="YES"/>
    <s v="Yes"/>
    <n v="1"/>
    <s v="No"/>
  </r>
  <r>
    <s v="EMP-2020-0958"/>
    <s v="Grace"/>
    <s v="Zhang"/>
    <n v="35"/>
    <n v="35"/>
    <n v="1989"/>
    <n v="55000"/>
    <n v="55000"/>
    <x v="0"/>
    <s v="it"/>
    <x v="3"/>
    <s v="Clerk"/>
    <d v="2020-01-15T00:00:00"/>
    <d v="2020-01-15T00:00:00"/>
    <s v="C"/>
    <n v="75"/>
    <s v="grace.zhang@saltcorp.com"/>
    <s v="123-456-7890"/>
    <s v="contract"/>
    <s v="Contract"/>
    <m/>
    <n v="6"/>
    <m/>
    <m/>
    <m/>
    <m/>
    <s v="no"/>
    <s v="No"/>
    <n v="4"/>
    <s v="No"/>
  </r>
  <r>
    <s v="EMP-2018-0959"/>
    <s v="David"/>
    <s v="Sullivan"/>
    <n v="50"/>
    <n v="50"/>
    <n v="1974"/>
    <n v="65000"/>
    <n v="65000"/>
    <x v="0"/>
    <s v="it"/>
    <x v="3"/>
    <s v="Analyst"/>
    <d v="2018-04-05T00:00:00"/>
    <d v="2018-04-05T00:00:00"/>
    <s v="B"/>
    <n v="80"/>
    <s v="david.sullivan@saltcorp.com"/>
    <s v="123-456-7890"/>
    <s v="Part-Time"/>
    <s v="Part-Time"/>
    <m/>
    <n v="5"/>
    <m/>
    <n v="20"/>
    <m/>
    <m/>
    <s v="YES"/>
    <s v="Yes"/>
    <n v="1"/>
    <s v="Yes"/>
  </r>
  <r>
    <s v="EMP-2018-0960"/>
    <s v="Frank"/>
    <s v="Hudson"/>
    <m/>
    <n v="58"/>
    <n v="1966"/>
    <s v="SIXTY THOUSAND"/>
    <n v="60000"/>
    <x v="0"/>
    <s v="finance"/>
    <x v="1"/>
    <s v="Director"/>
    <d v="2018-04-05T00:00:00"/>
    <d v="2018-04-05T00:00:00"/>
    <s v="A"/>
    <n v="90"/>
    <s v="frank.hudson@saltcorp.com"/>
    <s v="123-456-7890"/>
    <s v="Full-Time"/>
    <s v="Full-Time"/>
    <s v="EMP-2020-0088"/>
    <n v="6"/>
    <m/>
    <m/>
    <d v="2023-03-05T00:00:00"/>
    <m/>
    <s v="YES"/>
    <s v="Yes"/>
    <n v="5"/>
    <s v="No"/>
  </r>
  <r>
    <s v="EMP-2020-0961"/>
    <s v="Ivy"/>
    <s v="Bennett"/>
    <s v="thirty"/>
    <n v="30"/>
    <n v="1994"/>
    <n v="58600"/>
    <n v="58600"/>
    <x v="0"/>
    <s v="Marketing"/>
    <x v="4"/>
    <s v="Clerk"/>
    <d v="2020-02-20T00:00:00"/>
    <d v="2020-02-20T00:00:00"/>
    <s v="A"/>
    <n v="91"/>
    <s v="ivy.bennett@saltcorp.com"/>
    <s v="123-456-7890"/>
    <s v="contract"/>
    <s v="Contract"/>
    <m/>
    <n v="1"/>
    <n v="1"/>
    <m/>
    <m/>
    <m/>
    <s v="YES"/>
    <s v="Yes"/>
    <n v="5"/>
    <s v="No"/>
  </r>
  <r>
    <s v="EMP-2019-0962"/>
    <s v="Alice"/>
    <s v="Weber"/>
    <m/>
    <n v="28"/>
    <n v="1996"/>
    <n v="65000"/>
    <n v="65000"/>
    <x v="1"/>
    <s v="sales"/>
    <x v="2"/>
    <s v="Clerk"/>
    <d v="2019-12-01T00:00:00"/>
    <d v="2019-12-01T00:00:00"/>
    <s v="F"/>
    <n v="21"/>
    <s v="alice.weber@saltcorp.com"/>
    <s v="098-765-4321"/>
    <s v="Full-Time"/>
    <s v="Full-Time"/>
    <m/>
    <n v="7"/>
    <n v="12"/>
    <n v="16"/>
    <m/>
    <m/>
    <s v="YES"/>
    <s v="Yes"/>
    <n v="3"/>
    <s v="No"/>
  </r>
  <r>
    <s v="EMP-2020-0963"/>
    <s v="Eve"/>
    <s v="Hanson"/>
    <n v="40"/>
    <n v="40"/>
    <n v="1984"/>
    <n v="50000"/>
    <n v="50000"/>
    <x v="1"/>
    <s v="it"/>
    <x v="3"/>
    <s v="Clerk"/>
    <d v="2020-01-15T00:00:00"/>
    <d v="2020-01-15T00:00:00"/>
    <s v="C"/>
    <n v="73"/>
    <s v="eve.hanson@saltcorp.com"/>
    <s v="555-555-5555"/>
    <s v="contract"/>
    <s v="Contract"/>
    <m/>
    <n v="2"/>
    <m/>
    <m/>
    <m/>
    <m/>
    <s v="no"/>
    <s v="No"/>
    <n v="2"/>
    <s v="No"/>
  </r>
  <r>
    <s v="EMP-2018-0964"/>
    <s v="Grace"/>
    <s v="Wu"/>
    <s v="thirty"/>
    <n v="30"/>
    <n v="1994"/>
    <s v="SIXTY THOUSAND"/>
    <n v="60000"/>
    <x v="1"/>
    <s v="finance"/>
    <x v="1"/>
    <s v="Analyst"/>
    <d v="2018-04-05T00:00:00"/>
    <d v="2018-04-05T00:00:00"/>
    <s v="B"/>
    <n v="89"/>
    <s v="grace.wu@saltcorp.com"/>
    <m/>
    <s v="Full-Time"/>
    <s v="Full-Time"/>
    <s v="EMP-2020-0012"/>
    <n v="6"/>
    <m/>
    <m/>
    <s v="N/A"/>
    <n v="12"/>
    <m/>
    <s v=""/>
    <n v="3"/>
    <s v="No"/>
  </r>
  <r>
    <s v="EMP-2020-0965"/>
    <s v="Alice"/>
    <s v="Thompson"/>
    <n v="35"/>
    <n v="35"/>
    <n v="1989"/>
    <n v="55000"/>
    <n v="55000"/>
    <x v="0"/>
    <s v="Marketing"/>
    <x v="4"/>
    <s v="Assistant"/>
    <d v="2020-01-15T00:00:00"/>
    <d v="2020-01-15T00:00:00"/>
    <s v="B"/>
    <n v="85"/>
    <s v="alice.thompson@saltcorp.com"/>
    <s v="098-765-4321"/>
    <s v="contract"/>
    <s v="Contract"/>
    <m/>
    <n v="4"/>
    <m/>
    <m/>
    <m/>
    <m/>
    <m/>
    <s v=""/>
    <n v="3"/>
    <s v="No"/>
  </r>
  <r>
    <s v="EMP-2018-0966"/>
    <s v="David"/>
    <s v="Bennett"/>
    <n v="35"/>
    <n v="35"/>
    <n v="1989"/>
    <s v="SIXTY THOUSAND"/>
    <n v="60000"/>
    <x v="1"/>
    <s v="Marketing"/>
    <x v="4"/>
    <s v="Director"/>
    <d v="2018-04-05T00:00:00"/>
    <d v="2018-04-05T00:00:00"/>
    <s v="A"/>
    <n v="100"/>
    <s v="david.bennett@saltcorp.com"/>
    <s v="123-456-7890"/>
    <s v="Part-Time"/>
    <s v="Part-Time"/>
    <m/>
    <n v="3"/>
    <n v="2"/>
    <m/>
    <m/>
    <m/>
    <s v="YES"/>
    <s v="Yes"/>
    <n v="3"/>
    <s v="No"/>
  </r>
  <r>
    <s v="EMP-2019-0967"/>
    <s v="Frank"/>
    <s v="Barnett"/>
    <n v="50"/>
    <n v="50"/>
    <n v="1974"/>
    <s v="SIXTY THOUSAND"/>
    <n v="60000"/>
    <x v="0"/>
    <s v="HR"/>
    <x v="0"/>
    <s v="Clerk"/>
    <d v="2019-12-01T00:00:00"/>
    <d v="2019-12-01T00:00:00"/>
    <s v="F"/>
    <n v="23"/>
    <s v="frank.barnett@saltcorp.com"/>
    <s v="098-765-4321"/>
    <s v="Full-Time"/>
    <s v="Full-Time"/>
    <m/>
    <n v="5"/>
    <m/>
    <n v="12"/>
    <d v="2024-08-12T00:00:00"/>
    <m/>
    <s v="no"/>
    <s v="No"/>
    <n v="3"/>
    <s v="Yes"/>
  </r>
  <r>
    <s v="EMP-2018-0968"/>
    <s v="Bob"/>
    <s v="Johnson"/>
    <s v="thirty"/>
    <n v="30"/>
    <n v="1994"/>
    <n v="70000"/>
    <n v="70000"/>
    <x v="0"/>
    <s v="HR"/>
    <x v="0"/>
    <s v="Assistant"/>
    <d v="2018-04-05T00:00:00"/>
    <d v="2018-04-05T00:00:00"/>
    <s v="A"/>
    <n v="91"/>
    <s v="bob.johnson@saltcorp.com"/>
    <s v=" "/>
    <s v="Full-Time"/>
    <s v="Full-Time"/>
    <m/>
    <n v="6"/>
    <n v="4"/>
    <n v="8"/>
    <d v="2023-01-15T00:00:00"/>
    <m/>
    <s v="no"/>
    <s v="No"/>
    <n v="3"/>
    <s v="No"/>
  </r>
  <r>
    <s v="EMP-2018-0969"/>
    <s v="Jack"/>
    <s v="Knight"/>
    <n v="25"/>
    <n v="25"/>
    <n v="1999"/>
    <s v="SIXTY THOUSAND"/>
    <n v="60000"/>
    <x v="0"/>
    <s v="it"/>
    <x v="3"/>
    <s v="Director"/>
    <d v="2018-04-05T00:00:00"/>
    <d v="2018-04-05T00:00:00"/>
    <s v="A"/>
    <n v="96"/>
    <s v="jack.knight@saltcorp.com"/>
    <s v="123-456-7890"/>
    <s v="Full-Time"/>
    <s v="Full-Time"/>
    <m/>
    <n v="6"/>
    <m/>
    <m/>
    <s v="N/A"/>
    <m/>
    <m/>
    <s v=""/>
    <n v="1"/>
    <s v="Yes"/>
  </r>
  <r>
    <s v="EMP-2019-0970"/>
    <s v="Eve"/>
    <s v="Gibson"/>
    <s v="thirty"/>
    <n v="30"/>
    <n v="1994"/>
    <s v="SIXTY THOUSAND"/>
    <n v="60000"/>
    <x v="1"/>
    <s v="HR"/>
    <x v="0"/>
    <s v="Director"/>
    <d v="2019-03-25T00:00:00"/>
    <d v="2019-03-25T00:00:00"/>
    <s v="F"/>
    <n v="29"/>
    <s v="eve.gibson@saltcorp.com"/>
    <m/>
    <s v="Part-Time"/>
    <s v="Part-Time"/>
    <s v="EMP-2018-0026"/>
    <n v="8"/>
    <m/>
    <n v="9"/>
    <s v="N/A"/>
    <m/>
    <m/>
    <s v=""/>
    <n v="4"/>
    <s v="No"/>
  </r>
  <r>
    <s v="EMP-2019-0971"/>
    <s v="Jack"/>
    <s v="Wells"/>
    <n v="40"/>
    <n v="40"/>
    <n v="1984"/>
    <n v="65000"/>
    <n v="65000"/>
    <x v="0"/>
    <s v="it"/>
    <x v="3"/>
    <s v="Clerk"/>
    <d v="2019-12-01T00:00:00"/>
    <d v="2019-12-01T00:00:00"/>
    <s v="C"/>
    <n v="71"/>
    <s v="jack.wells@saltcorp.com"/>
    <s v="123-456-7890"/>
    <s v="Full-Time"/>
    <s v="Full-Time"/>
    <m/>
    <n v="8"/>
    <n v="11"/>
    <m/>
    <m/>
    <m/>
    <s v="no"/>
    <s v="No"/>
    <n v="4"/>
    <s v="No"/>
  </r>
  <r>
    <s v="EMP-2020-0972"/>
    <s v="Alice"/>
    <s v="Hoffman"/>
    <n v="25"/>
    <n v="25"/>
    <n v="1999"/>
    <n v="55000"/>
    <n v="55000"/>
    <x v="1"/>
    <s v="sales"/>
    <x v="2"/>
    <s v="Clerk"/>
    <d v="2020-02-20T00:00:00"/>
    <d v="2020-02-20T00:00:00"/>
    <s v="B"/>
    <n v="89"/>
    <s v="alice.hoffman@saltcorp.com"/>
    <m/>
    <s v="Full-Time"/>
    <s v="Full-Time"/>
    <m/>
    <n v="2"/>
    <m/>
    <m/>
    <m/>
    <n v="29"/>
    <m/>
    <s v=""/>
    <n v="3"/>
    <s v="Yes"/>
  </r>
  <r>
    <s v="EMP-2020-0973"/>
    <s v="Frank"/>
    <s v="Perez"/>
    <n v="35"/>
    <n v="35"/>
    <n v="1989"/>
    <n v="65000"/>
    <n v="65000"/>
    <x v="1"/>
    <s v="it"/>
    <x v="3"/>
    <s v="Analyst"/>
    <d v="2020-02-20T00:00:00"/>
    <d v="2020-02-20T00:00:00"/>
    <s v="C"/>
    <n v="78"/>
    <s v="frank.perez@saltcorp.com"/>
    <m/>
    <s v="contract"/>
    <s v="Contract"/>
    <m/>
    <n v="7"/>
    <s v="N/A"/>
    <n v="5"/>
    <m/>
    <m/>
    <s v="YES"/>
    <s v="Yes"/>
    <n v="4"/>
    <s v="Yes"/>
  </r>
  <r>
    <s v="EMP-2019-0974"/>
    <s v="Frank"/>
    <s v="Gonzalez"/>
    <s v="thirty"/>
    <n v="30"/>
    <n v="1994"/>
    <n v="65000"/>
    <n v="65000"/>
    <x v="0"/>
    <s v="HR"/>
    <x v="0"/>
    <s v="Assistant"/>
    <d v="2019-12-01T00:00:00"/>
    <d v="2019-12-01T00:00:00"/>
    <s v="D"/>
    <n v="68"/>
    <s v="frank.gonzalez@saltcorp.com"/>
    <s v="555-555-5555"/>
    <s v="Part-Time"/>
    <s v="Part-Time"/>
    <m/>
    <n v="5"/>
    <m/>
    <m/>
    <d v="2022-06-20T00:00:00"/>
    <m/>
    <s v="no"/>
    <s v="No"/>
    <n v="2"/>
    <s v="No"/>
  </r>
  <r>
    <s v="EMP-2020-0975"/>
    <s v="David"/>
    <s v="Oliver"/>
    <m/>
    <n v="31"/>
    <n v="1993"/>
    <n v="50000"/>
    <n v="50000"/>
    <x v="1"/>
    <s v="sales"/>
    <x v="2"/>
    <s v="Assistant"/>
    <d v="2020-02-20T00:00:00"/>
    <d v="2020-02-20T00:00:00"/>
    <s v="D"/>
    <n v="68"/>
    <s v="david.oliver@saltcorp.com"/>
    <s v="555-555-5555"/>
    <s v="Full-Time"/>
    <s v="Full-Time"/>
    <m/>
    <n v="8"/>
    <n v="13"/>
    <m/>
    <m/>
    <n v="46"/>
    <m/>
    <s v=""/>
    <n v="5"/>
    <s v="No"/>
  </r>
  <r>
    <s v="EMP-2019-0976"/>
    <s v="Hannah"/>
    <s v="Figueroa"/>
    <n v="50"/>
    <n v="50"/>
    <n v="1974"/>
    <n v="65000"/>
    <n v="65000"/>
    <x v="1"/>
    <s v="HR"/>
    <x v="0"/>
    <s v="Clerk"/>
    <d v="2019-12-01T00:00:00"/>
    <d v="2019-12-01T00:00:00"/>
    <s v="D"/>
    <n v="62"/>
    <s v="hannah.figueroa@saltcorp.com"/>
    <s v="098-765-4321"/>
    <s v="contract"/>
    <s v="Contract"/>
    <m/>
    <n v="3"/>
    <m/>
    <n v="13"/>
    <m/>
    <m/>
    <s v="YES"/>
    <s v="Yes"/>
    <n v="4"/>
    <s v="No"/>
  </r>
  <r>
    <s v="EMP-2020-0977"/>
    <s v="David"/>
    <s v="Sullivan"/>
    <m/>
    <n v="55"/>
    <n v="1969"/>
    <n v="70000"/>
    <n v="70000"/>
    <x v="0"/>
    <s v="it"/>
    <x v="3"/>
    <s v="Director"/>
    <d v="2020-02-20T00:00:00"/>
    <d v="2020-02-20T00:00:00"/>
    <s v="F"/>
    <n v="32"/>
    <s v="david.sullivan@saltcorp.com"/>
    <s v="098-765-4321"/>
    <s v="contract"/>
    <s v="Contract"/>
    <s v="EMP-2018-0037"/>
    <n v="3"/>
    <m/>
    <m/>
    <m/>
    <m/>
    <s v="YES"/>
    <s v="Yes"/>
    <n v="3"/>
    <s v="No"/>
  </r>
  <r>
    <s v="EMP-2019-0978"/>
    <s v="Hannah"/>
    <s v="Perry"/>
    <n v="50"/>
    <n v="50"/>
    <n v="1974"/>
    <n v="70000"/>
    <n v="70000"/>
    <x v="1"/>
    <s v="finance"/>
    <x v="1"/>
    <s v="Clerk"/>
    <d v="2019-03-25T00:00:00"/>
    <d v="2019-03-25T00:00:00"/>
    <s v="A"/>
    <n v="96"/>
    <s v="hannah.perry@saltcorp.com"/>
    <m/>
    <s v="Full-Time"/>
    <s v="Full-Time"/>
    <s v="EMP-2018-0074"/>
    <n v="6"/>
    <s v="N/A"/>
    <m/>
    <m/>
    <m/>
    <s v="YES"/>
    <s v="Yes"/>
    <n v="3"/>
    <s v="No"/>
  </r>
  <r>
    <s v="EMP-2020-0979"/>
    <s v="Hannah"/>
    <s v="Rogers"/>
    <n v="40"/>
    <n v="40"/>
    <n v="1984"/>
    <n v="50000"/>
    <n v="50000"/>
    <x v="0"/>
    <s v="Marketing"/>
    <x v="4"/>
    <s v="Director"/>
    <d v="2020-02-20T00:00:00"/>
    <d v="2020-02-20T00:00:00"/>
    <s v="C"/>
    <n v="74"/>
    <s v="hannah.rogers@saltcorp.com"/>
    <s v="123-456-7890"/>
    <s v="Part-Time"/>
    <s v="Part-Time"/>
    <m/>
    <n v="7"/>
    <s v="N/A"/>
    <m/>
    <d v="2022-06-20T00:00:00"/>
    <m/>
    <s v="no"/>
    <s v="No"/>
    <n v="2"/>
    <s v="Yes"/>
  </r>
  <r>
    <s v="EMP-2018-0980"/>
    <s v="Eve"/>
    <s v="Reed"/>
    <m/>
    <n v="41"/>
    <n v="1983"/>
    <n v="60900"/>
    <n v="60900"/>
    <x v="1"/>
    <s v="HR"/>
    <x v="0"/>
    <s v="Director"/>
    <d v="2018-04-05T00:00:00"/>
    <d v="2018-04-05T00:00:00"/>
    <s v="B"/>
    <n v="82"/>
    <s v="eve.reed@saltcorp.com"/>
    <s v=" "/>
    <s v="contract"/>
    <s v="Contract"/>
    <m/>
    <n v="7"/>
    <s v="N/A"/>
    <n v="7"/>
    <d v="2023-01-15T00:00:00"/>
    <n v="37"/>
    <s v="no"/>
    <s v="No"/>
    <n v="4"/>
    <s v="Yes"/>
  </r>
  <r>
    <s v="EMP-2019-0981"/>
    <s v="David"/>
    <s v="Bell"/>
    <s v="thirty"/>
    <n v="30"/>
    <n v="1994"/>
    <n v="55000"/>
    <n v="55000"/>
    <x v="0"/>
    <s v="it"/>
    <x v="3"/>
    <s v="Clerk"/>
    <d v="2019-12-01T00:00:00"/>
    <d v="2019-12-01T00:00:00"/>
    <s v="D"/>
    <n v="65"/>
    <s v="david.bell@saltcorp.com"/>
    <s v=" "/>
    <s v="contract"/>
    <s v="Contract"/>
    <m/>
    <n v="2"/>
    <n v="3"/>
    <m/>
    <m/>
    <n v="47"/>
    <s v="YES"/>
    <s v="Yes"/>
    <n v="4"/>
    <s v="No"/>
  </r>
  <r>
    <s v="EMP-2020-0982"/>
    <s v="Bob"/>
    <s v="Williamson"/>
    <s v="thirty"/>
    <n v="30"/>
    <n v="1994"/>
    <n v="55000"/>
    <n v="55000"/>
    <x v="1"/>
    <s v="sales"/>
    <x v="2"/>
    <s v="Manager"/>
    <d v="2020-01-15T00:00:00"/>
    <d v="2020-01-15T00:00:00"/>
    <s v="C"/>
    <n v="73"/>
    <s v="bob.williamson@saltcorp.com"/>
    <s v="123-456-7890"/>
    <s v="Full-Time"/>
    <s v="Full-Time"/>
    <s v="EMP-2018-0083"/>
    <n v="2"/>
    <s v="N/A"/>
    <m/>
    <s v="N/A"/>
    <m/>
    <m/>
    <s v=""/>
    <n v="5"/>
    <s v="No"/>
  </r>
  <r>
    <s v="EMP-2020-0983"/>
    <s v="Charlie"/>
    <s v="Hudson"/>
    <m/>
    <n v="33"/>
    <n v="1991"/>
    <n v="65000"/>
    <n v="65000"/>
    <x v="1"/>
    <s v="HR"/>
    <x v="0"/>
    <s v="Assistant"/>
    <d v="2020-01-15T00:00:00"/>
    <d v="2020-01-15T00:00:00"/>
    <s v="D"/>
    <n v="62"/>
    <s v="charlie.hudson@saltcorp.com"/>
    <s v="123-456-7890"/>
    <s v="Full-Time"/>
    <s v="Full-Time"/>
    <m/>
    <n v="3"/>
    <m/>
    <n v="5"/>
    <m/>
    <m/>
    <s v="YES"/>
    <s v="Yes"/>
    <n v="3"/>
    <s v="No"/>
  </r>
  <r>
    <s v="EMP-2019-0984"/>
    <s v="Charlie"/>
    <s v="White"/>
    <s v="thirty"/>
    <n v="30"/>
    <n v="1994"/>
    <n v="65000"/>
    <n v="65000"/>
    <x v="1"/>
    <s v="HR"/>
    <x v="0"/>
    <s v="Director"/>
    <d v="2019-12-01T00:00:00"/>
    <d v="2019-12-01T00:00:00"/>
    <s v="D"/>
    <n v="65"/>
    <s v="charlie.white@saltcorp.com"/>
    <s v="555-555-5555"/>
    <s v="Full-Time"/>
    <s v="Full-Time"/>
    <m/>
    <n v="6"/>
    <m/>
    <n v="14"/>
    <m/>
    <m/>
    <m/>
    <s v=""/>
    <n v="3"/>
    <s v="Yes"/>
  </r>
  <r>
    <s v="EMP-2019-0985"/>
    <s v="David"/>
    <s v="Davidson"/>
    <n v="40"/>
    <n v="40"/>
    <n v="1984"/>
    <n v="60500"/>
    <n v="60500"/>
    <x v="1"/>
    <s v="Marketing"/>
    <x v="4"/>
    <s v="Director"/>
    <d v="2019-03-25T00:00:00"/>
    <d v="2019-03-25T00:00:00"/>
    <s v="B"/>
    <n v="89"/>
    <s v="david.davidson@saltcorp.com"/>
    <s v=" "/>
    <s v="Full-Time"/>
    <s v="Full-Time"/>
    <m/>
    <n v="4"/>
    <n v="9"/>
    <n v="8"/>
    <m/>
    <m/>
    <m/>
    <s v=""/>
    <n v="2"/>
    <s v="No"/>
  </r>
  <r>
    <s v="EMP-2020-0986"/>
    <s v="David"/>
    <s v="Aguilar"/>
    <n v="25"/>
    <n v="25"/>
    <n v="1999"/>
    <n v="65000"/>
    <n v="65000"/>
    <x v="1"/>
    <s v="it"/>
    <x v="3"/>
    <s v="Manager"/>
    <d v="2020-02-20T00:00:00"/>
    <d v="2020-02-20T00:00:00"/>
    <s v="F"/>
    <n v="33"/>
    <s v="david.aguilar@saltcorp.com"/>
    <m/>
    <s v="Full-Time"/>
    <s v="Full-Time"/>
    <m/>
    <n v="6"/>
    <n v="1"/>
    <m/>
    <m/>
    <m/>
    <s v="no"/>
    <s v="No"/>
    <n v="3"/>
    <s v="No"/>
  </r>
  <r>
    <s v="EMP-2019-0987"/>
    <s v="Jack"/>
    <s v="Pearson"/>
    <n v="40"/>
    <n v="40"/>
    <n v="1984"/>
    <n v="55000"/>
    <n v="55000"/>
    <x v="1"/>
    <s v="finance"/>
    <x v="1"/>
    <s v="Analyst"/>
    <d v="2019-03-25T00:00:00"/>
    <d v="2019-03-25T00:00:00"/>
    <s v="A"/>
    <n v="91"/>
    <s v="jack.pearson@saltcorp.com"/>
    <s v="098-765-4321"/>
    <s v="Full-Time"/>
    <s v="Full-Time"/>
    <m/>
    <n v="6"/>
    <n v="13"/>
    <n v="16"/>
    <d v="2023-01-15T00:00:00"/>
    <n v="18"/>
    <s v="YES"/>
    <s v="Yes"/>
    <n v="4"/>
    <s v="No"/>
  </r>
  <r>
    <s v="EMP-2020-0988"/>
    <s v="Eve"/>
    <s v="Bell"/>
    <n v="50"/>
    <n v="50"/>
    <n v="1974"/>
    <s v="SIXTY THOUSAND"/>
    <n v="60000"/>
    <x v="1"/>
    <s v="sales"/>
    <x v="2"/>
    <s v="Manager"/>
    <d v="2020-01-15T00:00:00"/>
    <d v="2020-01-15T00:00:00"/>
    <s v="F"/>
    <n v="48"/>
    <s v="eve.bell@saltcorp.com"/>
    <s v="555-555-5555"/>
    <s v="Full-Time"/>
    <s v="Full-Time"/>
    <m/>
    <n v="5"/>
    <m/>
    <n v="16"/>
    <d v="2023-01-15T00:00:00"/>
    <m/>
    <s v="YES"/>
    <s v="Yes"/>
    <n v="2"/>
    <s v="No"/>
  </r>
  <r>
    <s v="EMP-2019-0989"/>
    <s v="David"/>
    <s v="Ross"/>
    <n v="40"/>
    <n v="40"/>
    <n v="1984"/>
    <n v="70000"/>
    <n v="70000"/>
    <x v="1"/>
    <s v="it"/>
    <x v="3"/>
    <s v="Manager"/>
    <d v="2019-12-01T00:00:00"/>
    <d v="2019-12-01T00:00:00"/>
    <s v="C"/>
    <n v="74"/>
    <s v="david.ross@saltcorp.com"/>
    <s v=" "/>
    <s v="contract"/>
    <s v="Contract"/>
    <m/>
    <n v="5"/>
    <n v="2"/>
    <m/>
    <m/>
    <m/>
    <s v="no"/>
    <s v="No"/>
    <n v="1"/>
    <s v="No"/>
  </r>
  <r>
    <s v="EMP-2019-0990"/>
    <s v="Jack"/>
    <s v="McCoy"/>
    <n v="50"/>
    <n v="50"/>
    <n v="1974"/>
    <s v="SIXTY THOUSAND"/>
    <n v="60000"/>
    <x v="1"/>
    <s v="sales"/>
    <x v="2"/>
    <s v="Director"/>
    <d v="2019-12-01T00:00:00"/>
    <d v="2019-12-01T00:00:00"/>
    <s v="F"/>
    <n v="2"/>
    <s v="jack.mccoy@saltcorp.com"/>
    <s v="123-456-7890"/>
    <s v="contract"/>
    <s v="Contract"/>
    <s v="EMP-2018-0062"/>
    <n v="7"/>
    <m/>
    <n v="7"/>
    <m/>
    <m/>
    <m/>
    <s v=""/>
    <n v="5"/>
    <s v="Yes"/>
  </r>
  <r>
    <s v="EMP-2019-0991"/>
    <s v="Hannah"/>
    <s v="Powell"/>
    <s v="thirty"/>
    <n v="30"/>
    <n v="1994"/>
    <s v="SIXTY THOUSAND"/>
    <n v="60000"/>
    <x v="0"/>
    <s v="HR"/>
    <x v="0"/>
    <s v="Assistant"/>
    <d v="2019-03-25T00:00:00"/>
    <d v="2019-03-25T00:00:00"/>
    <s v="C"/>
    <n v="71"/>
    <s v="hannah.powell@saltcorp.com"/>
    <s v=" "/>
    <s v="Full-Time"/>
    <s v="Full-Time"/>
    <m/>
    <n v="5"/>
    <n v="5"/>
    <n v="6"/>
    <m/>
    <m/>
    <m/>
    <s v=""/>
    <n v="2"/>
    <s v="No"/>
  </r>
  <r>
    <s v="EMP-2019-0992"/>
    <s v="Frank"/>
    <s v="Lopez"/>
    <n v="25"/>
    <n v="25"/>
    <n v="1999"/>
    <n v="55000"/>
    <n v="55000"/>
    <x v="0"/>
    <s v="Marketing"/>
    <x v="4"/>
    <s v="Manager"/>
    <d v="2019-03-25T00:00:00"/>
    <d v="2019-03-25T00:00:00"/>
    <s v="C"/>
    <n v="73"/>
    <s v="frank.lopez@saltcorp.com"/>
    <m/>
    <s v="Full-Time"/>
    <s v="Full-Time"/>
    <m/>
    <n v="8"/>
    <m/>
    <n v="20"/>
    <m/>
    <m/>
    <m/>
    <s v=""/>
    <n v="2"/>
    <s v="Yes"/>
  </r>
  <r>
    <s v="EMP-2020-0993"/>
    <s v="Frank"/>
    <s v="Ramirez"/>
    <s v="thirty"/>
    <n v="30"/>
    <n v="1994"/>
    <s v="SIXTY THOUSAND"/>
    <n v="60000"/>
    <x v="1"/>
    <s v="Marketing"/>
    <x v="4"/>
    <s v="Analyst"/>
    <d v="2020-02-20T00:00:00"/>
    <d v="2020-02-20T00:00:00"/>
    <s v="A"/>
    <n v="93"/>
    <s v="frank.ramirez@saltcorp.com"/>
    <s v="555-555-5555"/>
    <s v="contract"/>
    <s v="Contract"/>
    <m/>
    <n v="6"/>
    <m/>
    <m/>
    <m/>
    <m/>
    <s v="YES"/>
    <s v="Yes"/>
    <n v="2"/>
    <s v="No"/>
  </r>
  <r>
    <s v="EMP-2018-0994"/>
    <s v="Hannah"/>
    <s v="Harrison"/>
    <n v="35"/>
    <n v="35"/>
    <n v="1989"/>
    <n v="61300"/>
    <n v="61300"/>
    <x v="1"/>
    <s v="finance"/>
    <x v="1"/>
    <s v="Clerk"/>
    <d v="2018-04-05T00:00:00"/>
    <d v="2018-04-05T00:00:00"/>
    <s v="B"/>
    <n v="86"/>
    <s v="hannah.harrison@saltcorp.com"/>
    <s v="123-456-7890"/>
    <s v="Part-Time"/>
    <s v="Part-Time"/>
    <s v="EMP-2020-0098"/>
    <n v="8"/>
    <s v="N/A"/>
    <m/>
    <s v="N/A"/>
    <n v="57"/>
    <s v="no"/>
    <s v="No"/>
    <n v="2"/>
    <s v="No"/>
  </r>
  <r>
    <s v="EMP-2018-0995"/>
    <s v="Grace"/>
    <s v="Zhang"/>
    <s v="thirty"/>
    <n v="30"/>
    <n v="1994"/>
    <n v="50000"/>
    <n v="50000"/>
    <x v="1"/>
    <s v="Marketing"/>
    <x v="4"/>
    <s v="Manager"/>
    <d v="2018-04-05T00:00:00"/>
    <d v="2018-04-05T00:00:00"/>
    <s v="A"/>
    <n v="90"/>
    <s v="grace.zhang@saltcorp.com"/>
    <m/>
    <s v="Full-Time"/>
    <s v="Full-Time"/>
    <m/>
    <n v="7"/>
    <m/>
    <n v="10"/>
    <d v="2022-06-20T00:00:00"/>
    <m/>
    <s v="YES"/>
    <s v="Yes"/>
    <n v="5"/>
    <s v="No"/>
  </r>
  <r>
    <s v="EMP-2020-0996"/>
    <s v="Jack"/>
    <s v="West"/>
    <n v="50"/>
    <n v="50"/>
    <n v="1974"/>
    <n v="65000"/>
    <n v="65000"/>
    <x v="1"/>
    <s v="HR"/>
    <x v="0"/>
    <s v="Manager"/>
    <d v="2020-02-20T00:00:00"/>
    <d v="2020-02-20T00:00:00"/>
    <s v="F"/>
    <n v="34"/>
    <s v="jack.west@saltcorp.com"/>
    <s v="098-765-4321"/>
    <s v="Part-Time"/>
    <s v="Part-Time"/>
    <m/>
    <n v="3"/>
    <m/>
    <m/>
    <d v="2024-08-12T00:00:00"/>
    <m/>
    <s v="no"/>
    <s v="No"/>
    <n v="1"/>
    <s v="No"/>
  </r>
  <r>
    <s v="EMP-2018-0997"/>
    <s v="Jack"/>
    <s v="Hansen"/>
    <s v="thirty"/>
    <n v="30"/>
    <n v="1994"/>
    <n v="50000"/>
    <n v="50000"/>
    <x v="0"/>
    <s v="finance"/>
    <x v="1"/>
    <s v="Analyst"/>
    <d v="2018-04-05T00:00:00"/>
    <d v="2018-04-05T00:00:00"/>
    <s v="C"/>
    <n v="73"/>
    <s v="jack.hansen@saltcorp.com"/>
    <s v="555-555-5555"/>
    <s v="contract"/>
    <s v="Contract"/>
    <s v="EMP-2018-0093"/>
    <n v="3"/>
    <m/>
    <n v="16"/>
    <m/>
    <m/>
    <s v="no"/>
    <s v="No"/>
    <n v="3"/>
    <s v="Yes"/>
  </r>
  <r>
    <s v="EMP-2020-0998"/>
    <s v="Hannah"/>
    <s v="Foster"/>
    <s v="thirty"/>
    <n v="30"/>
    <n v="1994"/>
    <n v="70000"/>
    <n v="70000"/>
    <x v="0"/>
    <s v="it"/>
    <x v="3"/>
    <s v="Assistant"/>
    <d v="2020-01-15T00:00:00"/>
    <d v="2020-01-15T00:00:00"/>
    <s v="D"/>
    <n v="62"/>
    <s v="hannah.foster@saltcorp.com"/>
    <m/>
    <s v="Part-Time"/>
    <s v="Part-Time"/>
    <m/>
    <n v="1"/>
    <n v="5"/>
    <m/>
    <d v="2022-06-20T00:00:00"/>
    <n v="38"/>
    <s v="YES"/>
    <s v="Yes"/>
    <n v="4"/>
    <s v="No"/>
  </r>
  <r>
    <s v="EMP-2018-0999"/>
    <s v="Bob"/>
    <s v="Smith"/>
    <n v="25"/>
    <n v="25"/>
    <n v="1999"/>
    <n v="65000"/>
    <n v="65000"/>
    <x v="0"/>
    <s v="Marketing"/>
    <x v="4"/>
    <s v="Manager"/>
    <d v="2018-04-05T00:00:00"/>
    <d v="2018-04-05T00:00:00"/>
    <s v="D"/>
    <n v="60"/>
    <s v="bob.smith@saltcorp.com"/>
    <m/>
    <s v="contract"/>
    <s v="Contract"/>
    <m/>
    <n v="3"/>
    <m/>
    <m/>
    <m/>
    <m/>
    <s v="no"/>
    <s v="No"/>
    <n v="1"/>
    <s v="Yes"/>
  </r>
  <r>
    <s v="EMP-2020-1000"/>
    <s v="Ivy"/>
    <s v="Garrett"/>
    <s v="thirty"/>
    <n v="30"/>
    <n v="1994"/>
    <s v="SIXTY THOUSAND"/>
    <n v="60000"/>
    <x v="0"/>
    <s v="finance"/>
    <x v="1"/>
    <s v="Manager"/>
    <d v="2020-02-20T00:00:00"/>
    <d v="2020-02-20T00:00:00"/>
    <s v="C"/>
    <n v="74"/>
    <s v="ivy.garrett@saltcorp.com"/>
    <s v="123-456-7890"/>
    <s v="contract"/>
    <s v="Contract"/>
    <m/>
    <n v="4"/>
    <s v="N/A"/>
    <m/>
    <m/>
    <m/>
    <s v="YES"/>
    <s v="Yes"/>
    <n v="4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-2018-0001"/>
    <s v="Grace"/>
    <s v="Hansen"/>
    <n v="25"/>
    <n v="25"/>
    <n v="1999"/>
    <n v="50000"/>
    <n v="50000"/>
    <s v="Male"/>
    <s v="HR"/>
    <x v="0"/>
    <s v="Manager"/>
    <d v="2018-04-05T00:00:00"/>
    <d v="2018-04-05T00:00:00"/>
    <s v="D"/>
    <n v="64"/>
    <s v="grace.hansen@saltcorp.com"/>
    <m/>
    <s v="contract"/>
    <x v="0"/>
    <m/>
    <x v="0"/>
    <m/>
    <n v="0"/>
    <m/>
    <m/>
    <s v="YES"/>
    <s v="Yes"/>
    <x v="0"/>
    <x v="0"/>
    <x v="0"/>
  </r>
  <r>
    <s v="EMP-2020-0002"/>
    <s v="David"/>
    <s v="Cohen"/>
    <m/>
    <n v="41"/>
    <n v="1983"/>
    <n v="65000"/>
    <n v="65000"/>
    <s v="Female"/>
    <s v="finance"/>
    <x v="1"/>
    <s v="Director"/>
    <d v="2020-02-20T00:00:00"/>
    <d v="2020-02-20T00:00:00"/>
    <s v="F"/>
    <n v="5"/>
    <s v="david.cohen@saltcorp.com"/>
    <s v="123-456-7890"/>
    <s v="Full-Time"/>
    <x v="1"/>
    <m/>
    <x v="1"/>
    <n v="3"/>
    <n v="15"/>
    <m/>
    <n v="14"/>
    <s v="N"/>
    <s v="No"/>
    <x v="1"/>
    <x v="1"/>
    <x v="1"/>
  </r>
  <r>
    <s v="EMP-2020-0003"/>
    <s v="Hannah"/>
    <s v="Matthews"/>
    <n v="35"/>
    <n v="35"/>
    <n v="1989"/>
    <s v="SIXTY THOUSAND"/>
    <n v="60000"/>
    <s v="Female"/>
    <s v="sales"/>
    <x v="2"/>
    <s v="Director"/>
    <d v="2020-01-15T00:00:00"/>
    <d v="2020-01-15T00:00:00"/>
    <s v="C"/>
    <n v="70"/>
    <s v="hannah.matthews@saltcorp.com"/>
    <s v="098-765-4321"/>
    <s v="Full-Time"/>
    <x v="1"/>
    <m/>
    <x v="2"/>
    <n v="15"/>
    <m/>
    <d v="2024-08-12T00:00:00"/>
    <m/>
    <s v="YES"/>
    <s v="Yes"/>
    <x v="2"/>
    <x v="0"/>
    <x v="0"/>
  </r>
  <r>
    <s v="EMP-2018-0004"/>
    <s v="Eve"/>
    <s v="Parker"/>
    <m/>
    <n v="48"/>
    <n v="1976"/>
    <n v="50000"/>
    <n v="50000"/>
    <s v="Female"/>
    <s v="it"/>
    <x v="3"/>
    <s v="Manager"/>
    <d v="2018-04-05T00:00:00"/>
    <d v="2018-04-05T00:00:00"/>
    <s v="A"/>
    <n v="93"/>
    <s v="eve.parker@saltcorp.com"/>
    <s v=" "/>
    <s v="contract"/>
    <x v="0"/>
    <m/>
    <x v="3"/>
    <n v="12"/>
    <n v="11"/>
    <d v="2024-08-12T00:00:00"/>
    <m/>
    <s v="YES"/>
    <s v="Yes"/>
    <x v="3"/>
    <x v="1"/>
    <x v="1"/>
  </r>
  <r>
    <s v="EMP-2020-0005"/>
    <s v="Grace"/>
    <s v="Liu"/>
    <m/>
    <n v="51"/>
    <n v="1973"/>
    <n v="59500"/>
    <n v="59500"/>
    <s v="Female"/>
    <s v="finance"/>
    <x v="1"/>
    <s v="Manager"/>
    <d v="2020-01-15T00:00:00"/>
    <d v="2020-01-15T00:00:00"/>
    <s v="F"/>
    <n v="14"/>
    <s v="grace.liu@saltcorp.com"/>
    <s v="098-765-4321"/>
    <s v="contract"/>
    <x v="0"/>
    <m/>
    <x v="4"/>
    <n v="4"/>
    <m/>
    <d v="2023-01-15T00:00:00"/>
    <n v="47"/>
    <m/>
    <s v=""/>
    <x v="1"/>
    <x v="0"/>
    <x v="0"/>
  </r>
  <r>
    <s v="EMP-2019-0006"/>
    <s v="Jack"/>
    <s v="Evans"/>
    <m/>
    <n v="53"/>
    <n v="1971"/>
    <n v="65000"/>
    <n v="65000"/>
    <s v="Male"/>
    <s v="Marketing"/>
    <x v="4"/>
    <s v="Director"/>
    <d v="2019-03-25T00:00:00"/>
    <d v="2019-03-25T00:00:00"/>
    <s v="F"/>
    <n v="48"/>
    <s v="jack.evans@saltcorp.com"/>
    <m/>
    <s v="Part-Time"/>
    <x v="2"/>
    <m/>
    <x v="4"/>
    <m/>
    <m/>
    <d v="2022-06-20T00:00:00"/>
    <m/>
    <s v="no"/>
    <s v="No"/>
    <x v="2"/>
    <x v="0"/>
    <x v="0"/>
  </r>
  <r>
    <s v="EMP-2019-0007"/>
    <s v="Charlie"/>
    <s v="Moore"/>
    <m/>
    <n v="33"/>
    <n v="1991"/>
    <n v="50000"/>
    <n v="50000"/>
    <s v="Male"/>
    <s v="Marketing"/>
    <x v="4"/>
    <s v="Clerk"/>
    <d v="2019-12-01T00:00:00"/>
    <d v="2019-12-01T00:00:00"/>
    <s v="B"/>
    <n v="86"/>
    <s v="charlie.moore@saltcorp.com"/>
    <s v="123-456-7890"/>
    <s v="Part-Time"/>
    <x v="2"/>
    <m/>
    <x v="3"/>
    <s v="N/A"/>
    <n v="0"/>
    <d v="2024-08-12T00:00:00"/>
    <m/>
    <s v="YES"/>
    <s v="Yes"/>
    <x v="0"/>
    <x v="1"/>
    <x v="1"/>
  </r>
  <r>
    <s v="EMP-2019-0008"/>
    <s v="Grace"/>
    <s v="Wang"/>
    <n v="40"/>
    <n v="40"/>
    <n v="1984"/>
    <n v="50000"/>
    <n v="50000"/>
    <s v="Female"/>
    <s v="HR"/>
    <x v="0"/>
    <s v="Director"/>
    <d v="2019-03-25T00:00:00"/>
    <d v="2019-03-25T00:00:00"/>
    <s v="C"/>
    <n v="71"/>
    <s v="grace.wang@saltcorp.com"/>
    <s v=" "/>
    <s v="Part-Time"/>
    <x v="2"/>
    <m/>
    <x v="5"/>
    <m/>
    <m/>
    <m/>
    <m/>
    <s v="no"/>
    <s v="No"/>
    <x v="4"/>
    <x v="0"/>
    <x v="0"/>
  </r>
  <r>
    <s v="EMP-2020-0009"/>
    <s v="Hannah"/>
    <s v="McCoy"/>
    <n v="40"/>
    <n v="40"/>
    <n v="1984"/>
    <s v="SIXTY THOUSAND"/>
    <n v="60000"/>
    <s v="Female"/>
    <s v="Marketing"/>
    <x v="4"/>
    <s v="Manager"/>
    <d v="2020-01-15T00:00:00"/>
    <d v="2020-01-15T00:00:00"/>
    <s v="C"/>
    <n v="75"/>
    <s v="hannah.mccoy@saltcorp.com"/>
    <s v="123-456-7890"/>
    <s v="contract"/>
    <x v="0"/>
    <m/>
    <x v="1"/>
    <m/>
    <m/>
    <m/>
    <m/>
    <m/>
    <s v=""/>
    <x v="3"/>
    <x v="0"/>
    <x v="0"/>
  </r>
  <r>
    <s v="EMP-2020-0010"/>
    <s v="Eve"/>
    <s v="Stevens"/>
    <s v="thirty"/>
    <n v="30"/>
    <n v="1994"/>
    <n v="58500"/>
    <n v="58500"/>
    <s v="Female"/>
    <s v="finance"/>
    <x v="1"/>
    <s v="Assistant"/>
    <d v="2020-02-20T00:00:00"/>
    <d v="2020-02-20T00:00:00"/>
    <s v="A"/>
    <n v="90"/>
    <s v="eve.stevens@saltcorp.com"/>
    <s v=" "/>
    <s v="Full-Time"/>
    <x v="1"/>
    <s v="EMP-2020-0025"/>
    <x v="4"/>
    <m/>
    <n v="4"/>
    <d v="2024-08-12T00:00:00"/>
    <n v="65"/>
    <s v="no"/>
    <s v="No"/>
    <x v="2"/>
    <x v="0"/>
    <x v="0"/>
  </r>
  <r>
    <s v="EMP-2019-0011"/>
    <s v="David"/>
    <s v="West"/>
    <n v="25"/>
    <n v="25"/>
    <n v="1999"/>
    <n v="70000"/>
    <n v="70000"/>
    <s v="Male"/>
    <s v="Marketing"/>
    <x v="4"/>
    <s v="Analyst"/>
    <d v="2019-12-01T00:00:00"/>
    <d v="2019-12-01T00:00:00"/>
    <s v="B"/>
    <n v="81"/>
    <s v="david.west@saltcorp.com"/>
    <s v="123-456-7890"/>
    <s v="contract"/>
    <x v="0"/>
    <m/>
    <x v="3"/>
    <s v="N/A"/>
    <m/>
    <d v="2024-08-12T00:00:00"/>
    <m/>
    <s v="N"/>
    <s v="No"/>
    <x v="1"/>
    <x v="0"/>
    <x v="0"/>
  </r>
  <r>
    <s v="EMP-2019-0012"/>
    <s v="Hannah"/>
    <s v="Brooks"/>
    <m/>
    <n v="37"/>
    <n v="1987"/>
    <n v="70000"/>
    <n v="70000"/>
    <s v="Female"/>
    <s v="finance"/>
    <x v="1"/>
    <s v="Assistant"/>
    <d v="2019-03-25T00:00:00"/>
    <d v="2019-03-25T00:00:00"/>
    <s v="A"/>
    <n v="100"/>
    <s v="hannah.brooks@saltcorp.com"/>
    <m/>
    <s v="contract"/>
    <x v="0"/>
    <m/>
    <x v="4"/>
    <n v="1"/>
    <n v="15"/>
    <m/>
    <m/>
    <s v="YES"/>
    <s v="Yes"/>
    <x v="4"/>
    <x v="1"/>
    <x v="1"/>
  </r>
  <r>
    <s v="EMP-2018-0013"/>
    <s v="Hannah"/>
    <s v="Gomez"/>
    <s v="thirty"/>
    <n v="30"/>
    <n v="1994"/>
    <n v="50000"/>
    <n v="50000"/>
    <s v="Male"/>
    <s v="it"/>
    <x v="3"/>
    <s v="Assistant"/>
    <d v="2018-04-05T00:00:00"/>
    <d v="2018-04-05T00:00:00"/>
    <s v="D"/>
    <n v="64"/>
    <s v="hannah.gomez@saltcorp.com"/>
    <s v=" "/>
    <s v="Part-Time"/>
    <x v="2"/>
    <s v="EMP-2019-0003"/>
    <x v="2"/>
    <m/>
    <m/>
    <d v="2021-10-01T00:00:00"/>
    <m/>
    <s v="N"/>
    <s v="No"/>
    <x v="3"/>
    <x v="0"/>
    <x v="0"/>
  </r>
  <r>
    <s v="EMP-2020-0014"/>
    <s v="Charlie"/>
    <s v="Martin"/>
    <n v="25"/>
    <n v="25"/>
    <n v="1999"/>
    <n v="55000"/>
    <n v="55000"/>
    <s v="Male"/>
    <s v="HR"/>
    <x v="0"/>
    <s v="Manager"/>
    <d v="2020-02-20T00:00:00"/>
    <d v="2020-02-20T00:00:00"/>
    <s v="F"/>
    <n v="29"/>
    <s v="charlie.martin@saltcorp.com"/>
    <s v="555-555-5555"/>
    <s v="Full-Time"/>
    <x v="1"/>
    <s v="EMP-2019-0089"/>
    <x v="5"/>
    <n v="3"/>
    <n v="18"/>
    <m/>
    <m/>
    <s v="YES"/>
    <s v="Yes"/>
    <x v="3"/>
    <x v="0"/>
    <x v="0"/>
  </r>
  <r>
    <s v="EMP-2019-0015"/>
    <s v="Frank"/>
    <s v="Young"/>
    <n v="50"/>
    <n v="50"/>
    <n v="1974"/>
    <n v="60500"/>
    <n v="60500"/>
    <s v="Male"/>
    <s v="Marketing"/>
    <x v="4"/>
    <s v="Director"/>
    <d v="2019-03-25T00:00:00"/>
    <d v="2019-03-25T00:00:00"/>
    <s v="A"/>
    <n v="100"/>
    <s v="frank.young@saltcorp.com"/>
    <s v="123-456-7890"/>
    <s v="Part-Time"/>
    <x v="2"/>
    <m/>
    <x v="0"/>
    <n v="7"/>
    <n v="20"/>
    <m/>
    <n v="23"/>
    <s v="no"/>
    <s v="No"/>
    <x v="0"/>
    <x v="0"/>
    <x v="0"/>
  </r>
  <r>
    <s v="EMP-2018-0016"/>
    <s v="Eve"/>
    <s v="Pearson"/>
    <n v="35"/>
    <n v="35"/>
    <n v="1989"/>
    <n v="65000"/>
    <n v="65000"/>
    <s v="Male"/>
    <s v="finance"/>
    <x v="1"/>
    <s v="Clerk"/>
    <d v="2018-04-05T00:00:00"/>
    <d v="2018-04-05T00:00:00"/>
    <s v="F"/>
    <n v="40"/>
    <s v="eve.pearson@saltcorp.com"/>
    <s v="123-456-7890"/>
    <s v="Full-Time"/>
    <x v="1"/>
    <m/>
    <x v="2"/>
    <s v="N/A"/>
    <m/>
    <d v="2023-03-05T00:00:00"/>
    <n v="71"/>
    <s v="YES"/>
    <s v="Yes"/>
    <x v="3"/>
    <x v="0"/>
    <x v="0"/>
  </r>
  <r>
    <s v="EMP-2020-0017"/>
    <s v="Bob"/>
    <s v="Garcia"/>
    <n v="40"/>
    <n v="40"/>
    <n v="1984"/>
    <n v="55000"/>
    <n v="55000"/>
    <s v="Female"/>
    <s v="sales"/>
    <x v="2"/>
    <s v="Assistant"/>
    <d v="2020-01-15T00:00:00"/>
    <d v="2020-01-15T00:00:00"/>
    <s v="B"/>
    <n v="88"/>
    <s v="bob.garcia@saltcorp.com"/>
    <s v="098-765-4321"/>
    <s v="Full-Time"/>
    <x v="1"/>
    <m/>
    <x v="0"/>
    <n v="9"/>
    <m/>
    <d v="2022-06-20T00:00:00"/>
    <m/>
    <m/>
    <s v=""/>
    <x v="3"/>
    <x v="0"/>
    <x v="0"/>
  </r>
  <r>
    <s v="EMP-2018-0018"/>
    <s v="Hannah"/>
    <s v="Weber"/>
    <n v="50"/>
    <n v="50"/>
    <n v="1974"/>
    <n v="55000"/>
    <n v="55000"/>
    <s v="Male"/>
    <s v="HR"/>
    <x v="0"/>
    <s v="Director"/>
    <d v="2018-04-05T00:00:00"/>
    <d v="2018-04-05T00:00:00"/>
    <s v="D"/>
    <n v="63"/>
    <s v="hannah.weber@saltcorp.com"/>
    <s v=" "/>
    <s v="Full-Time"/>
    <x v="1"/>
    <s v="EMP-2019-0030"/>
    <x v="3"/>
    <m/>
    <m/>
    <d v="2023-01-15T00:00:00"/>
    <m/>
    <m/>
    <s v=""/>
    <x v="1"/>
    <x v="1"/>
    <x v="1"/>
  </r>
  <r>
    <s v="EMP-2019-0019"/>
    <s v="Frank"/>
    <s v="Flores"/>
    <n v="25"/>
    <n v="25"/>
    <n v="1999"/>
    <n v="58600"/>
    <n v="58600"/>
    <s v="Female"/>
    <s v="it"/>
    <x v="3"/>
    <s v="Clerk"/>
    <d v="2019-03-25T00:00:00"/>
    <d v="2019-03-25T00:00:00"/>
    <s v="B"/>
    <n v="80"/>
    <s v="frank.flores@saltcorp.com"/>
    <s v="555-555-5555"/>
    <s v="Full-Time"/>
    <x v="1"/>
    <m/>
    <x v="6"/>
    <s v="N/A"/>
    <n v="15"/>
    <m/>
    <n v="26"/>
    <s v="N"/>
    <s v="No"/>
    <x v="0"/>
    <x v="0"/>
    <x v="0"/>
  </r>
  <r>
    <s v="EMP-2019-0020"/>
    <s v="Bob"/>
    <s v="Miller"/>
    <n v="50"/>
    <n v="50"/>
    <n v="1974"/>
    <n v="50000"/>
    <n v="50000"/>
    <s v="Female"/>
    <s v="finance"/>
    <x v="1"/>
    <s v="Assistant"/>
    <d v="2019-03-25T00:00:00"/>
    <d v="2019-03-25T00:00:00"/>
    <s v="D"/>
    <n v="61"/>
    <s v="bob.miller@saltcorp.com"/>
    <m/>
    <s v="Part-Time"/>
    <x v="2"/>
    <s v="EMP-2020-0024"/>
    <x v="2"/>
    <m/>
    <n v="1"/>
    <m/>
    <n v="53"/>
    <s v="YES"/>
    <s v="Yes"/>
    <x v="4"/>
    <x v="0"/>
    <x v="0"/>
  </r>
  <r>
    <s v="EMP-2020-0021"/>
    <s v="Eve"/>
    <s v="Stevens"/>
    <n v="35"/>
    <n v="35"/>
    <n v="1989"/>
    <n v="50000"/>
    <n v="50000"/>
    <s v="Female"/>
    <s v="it"/>
    <x v="3"/>
    <s v="Clerk"/>
    <d v="2020-01-15T00:00:00"/>
    <d v="2020-01-15T00:00:00"/>
    <s v="D"/>
    <n v="67"/>
    <s v="eve.stevens@saltcorp.com"/>
    <s v="098-765-4321"/>
    <s v="Part-Time"/>
    <x v="2"/>
    <m/>
    <x v="2"/>
    <s v="N/A"/>
    <n v="10"/>
    <d v="2022-06-20T00:00:00"/>
    <m/>
    <m/>
    <s v=""/>
    <x v="1"/>
    <x v="1"/>
    <x v="1"/>
  </r>
  <r>
    <s v="EMP-2018-0022"/>
    <s v="Alice"/>
    <s v="Dixon"/>
    <n v="25"/>
    <n v="25"/>
    <n v="1999"/>
    <n v="50000"/>
    <n v="50000"/>
    <s v="Female"/>
    <s v="it"/>
    <x v="3"/>
    <s v="Director"/>
    <d v="2018-04-05T00:00:00"/>
    <d v="2018-04-05T00:00:00"/>
    <s v="F"/>
    <n v="8"/>
    <s v="alice.dixon@saltcorp.com"/>
    <s v="555-555-5555"/>
    <s v="Part-Time"/>
    <x v="2"/>
    <m/>
    <x v="3"/>
    <n v="1"/>
    <n v="13"/>
    <m/>
    <m/>
    <s v="YES"/>
    <s v="Yes"/>
    <x v="4"/>
    <x v="0"/>
    <x v="0"/>
  </r>
  <r>
    <s v="EMP-2018-0023"/>
    <s v="Jack"/>
    <s v="Barnett"/>
    <n v="50"/>
    <n v="50"/>
    <n v="1974"/>
    <n v="50000"/>
    <n v="50000"/>
    <s v="Male"/>
    <s v="Marketing"/>
    <x v="4"/>
    <s v="Analyst"/>
    <d v="2018-04-05T00:00:00"/>
    <d v="2018-04-05T00:00:00"/>
    <s v="B"/>
    <n v="88"/>
    <s v="jack.barnett@saltcorp.com"/>
    <s v=" "/>
    <s v="Part-Time"/>
    <x v="2"/>
    <m/>
    <x v="3"/>
    <m/>
    <m/>
    <m/>
    <m/>
    <s v="YES"/>
    <s v="Yes"/>
    <x v="3"/>
    <x v="1"/>
    <x v="1"/>
  </r>
  <r>
    <s v="EMP-2020-0024"/>
    <s v="Frank"/>
    <s v="Oliver"/>
    <n v="40"/>
    <n v="40"/>
    <n v="1984"/>
    <n v="70000"/>
    <n v="70000"/>
    <s v="Male"/>
    <s v="Marketing"/>
    <x v="4"/>
    <s v="Director"/>
    <d v="2020-01-15T00:00:00"/>
    <d v="2020-01-15T00:00:00"/>
    <s v="B"/>
    <n v="86"/>
    <s v="frank.oliver@saltcorp.com"/>
    <s v="555-555-5555"/>
    <s v="Full-Time"/>
    <x v="1"/>
    <m/>
    <x v="1"/>
    <s v="N/A"/>
    <m/>
    <d v="2021-10-01T00:00:00"/>
    <m/>
    <m/>
    <s v=""/>
    <x v="3"/>
    <x v="0"/>
    <x v="0"/>
  </r>
  <r>
    <s v="EMP-2018-0025"/>
    <s v="Ivy"/>
    <s v="Olson"/>
    <n v="40"/>
    <n v="40"/>
    <n v="1984"/>
    <n v="50000"/>
    <n v="50000"/>
    <s v="Female"/>
    <s v="finance"/>
    <x v="1"/>
    <s v="Manager"/>
    <d v="2018-04-05T00:00:00"/>
    <d v="2018-04-05T00:00:00"/>
    <s v="A"/>
    <n v="93"/>
    <s v="ivy.olson@saltcorp.com"/>
    <s v="123-456-7890"/>
    <s v="Part-Time"/>
    <x v="2"/>
    <m/>
    <x v="5"/>
    <n v="3"/>
    <m/>
    <m/>
    <n v="9"/>
    <s v="no"/>
    <s v="No"/>
    <x v="1"/>
    <x v="0"/>
    <x v="0"/>
  </r>
  <r>
    <s v="EMP-2020-0026"/>
    <s v="Alice"/>
    <s v="Martinez"/>
    <s v="thirty"/>
    <n v="30"/>
    <n v="1994"/>
    <n v="70000"/>
    <n v="70000"/>
    <s v="Male"/>
    <s v="sales"/>
    <x v="2"/>
    <s v="Clerk"/>
    <d v="2020-01-15T00:00:00"/>
    <d v="2020-01-15T00:00:00"/>
    <s v="B"/>
    <n v="81"/>
    <s v="alice.martinez@saltcorp.com"/>
    <s v="123-456-7890"/>
    <s v="Part-Time"/>
    <x v="2"/>
    <m/>
    <x v="1"/>
    <s v="N/A"/>
    <m/>
    <m/>
    <m/>
    <m/>
    <s v=""/>
    <x v="2"/>
    <x v="0"/>
    <x v="0"/>
  </r>
  <r>
    <s v="EMP-2020-0027"/>
    <s v="Jack"/>
    <s v="Sims"/>
    <n v="50"/>
    <n v="50"/>
    <n v="1974"/>
    <n v="70000"/>
    <n v="70000"/>
    <s v="Male"/>
    <s v="finance"/>
    <x v="1"/>
    <s v="Analyst"/>
    <d v="2020-02-20T00:00:00"/>
    <d v="2020-02-20T00:00:00"/>
    <s v="A"/>
    <n v="100"/>
    <s v="jack.sims@saltcorp.com"/>
    <s v="098-765-4321"/>
    <s v="contract"/>
    <x v="0"/>
    <m/>
    <x v="7"/>
    <m/>
    <m/>
    <d v="2023-03-05T00:00:00"/>
    <n v="39"/>
    <m/>
    <s v=""/>
    <x v="3"/>
    <x v="1"/>
    <x v="1"/>
  </r>
  <r>
    <s v="EMP-2019-0028"/>
    <s v="Charlie"/>
    <s v="Harris"/>
    <m/>
    <n v="25"/>
    <n v="1999"/>
    <n v="50000"/>
    <n v="50000"/>
    <s v="Male"/>
    <s v="sales"/>
    <x v="2"/>
    <s v="Clerk"/>
    <d v="2019-03-25T00:00:00"/>
    <d v="2019-03-25T00:00:00"/>
    <s v="C"/>
    <n v="77"/>
    <s v="charlie.harris@saltcorp.com"/>
    <s v=" "/>
    <s v="contract"/>
    <x v="0"/>
    <m/>
    <x v="5"/>
    <n v="2"/>
    <m/>
    <m/>
    <m/>
    <s v="YES"/>
    <s v="Yes"/>
    <x v="3"/>
    <x v="0"/>
    <x v="0"/>
  </r>
  <r>
    <s v="EMP-2020-0029"/>
    <s v="Grace"/>
    <s v="Hudson"/>
    <n v="50"/>
    <n v="50"/>
    <n v="1974"/>
    <s v="SIXTY THOUSAND"/>
    <n v="60000"/>
    <s v="Male"/>
    <s v="it"/>
    <x v="3"/>
    <s v="Clerk"/>
    <d v="2020-02-20T00:00:00"/>
    <d v="2020-02-20T00:00:00"/>
    <s v="C"/>
    <n v="71"/>
    <s v="grace.hudson@saltcorp.com"/>
    <s v=" "/>
    <s v="contract"/>
    <x v="0"/>
    <s v="EMP-2019-0044"/>
    <x v="1"/>
    <m/>
    <m/>
    <d v="2024-08-12T00:00:00"/>
    <m/>
    <s v="no"/>
    <s v="No"/>
    <x v="1"/>
    <x v="1"/>
    <x v="1"/>
  </r>
  <r>
    <s v="EMP-2019-0030"/>
    <s v="David"/>
    <s v="Kim"/>
    <n v="25"/>
    <n v="25"/>
    <n v="1999"/>
    <n v="65000"/>
    <n v="65000"/>
    <s v="Male"/>
    <s v="HR"/>
    <x v="0"/>
    <s v="Assistant"/>
    <d v="2019-12-01T00:00:00"/>
    <d v="2019-12-01T00:00:00"/>
    <s v="C"/>
    <n v="71"/>
    <s v="david.kim@saltcorp.com"/>
    <s v="555-555-5555"/>
    <s v="Part-Time"/>
    <x v="2"/>
    <m/>
    <x v="0"/>
    <s v="N/A"/>
    <m/>
    <d v="2024-08-12T00:00:00"/>
    <m/>
    <s v="no"/>
    <s v="No"/>
    <x v="4"/>
    <x v="0"/>
    <x v="0"/>
  </r>
  <r>
    <s v="EMP-2019-0031"/>
    <s v="Ivy"/>
    <s v="Williamson"/>
    <n v="25"/>
    <n v="25"/>
    <n v="1999"/>
    <n v="55000"/>
    <n v="55000"/>
    <s v="Female"/>
    <s v="finance"/>
    <x v="1"/>
    <s v="Manager"/>
    <d v="2019-12-01T00:00:00"/>
    <d v="2019-12-01T00:00:00"/>
    <s v="B"/>
    <n v="87"/>
    <s v="ivy.williamson@saltcorp.com"/>
    <s v="098-765-4321"/>
    <s v="Full-Time"/>
    <x v="1"/>
    <s v="EMP-2019-0015"/>
    <x v="5"/>
    <n v="5"/>
    <m/>
    <s v="N/A"/>
    <m/>
    <s v="N"/>
    <s v="No"/>
    <x v="3"/>
    <x v="1"/>
    <x v="1"/>
  </r>
  <r>
    <s v="EMP-2019-0032"/>
    <s v="Charlie"/>
    <s v="Medina"/>
    <n v="50"/>
    <n v="50"/>
    <n v="1974"/>
    <n v="70000"/>
    <n v="70000"/>
    <s v="Female"/>
    <s v="finance"/>
    <x v="1"/>
    <s v="Clerk"/>
    <d v="2019-12-01T00:00:00"/>
    <d v="2019-12-01T00:00:00"/>
    <s v="B"/>
    <n v="88"/>
    <s v="charlie.medina@saltcorp.com"/>
    <s v=" "/>
    <s v="Part-Time"/>
    <x v="2"/>
    <m/>
    <x v="6"/>
    <m/>
    <m/>
    <m/>
    <m/>
    <m/>
    <s v=""/>
    <x v="1"/>
    <x v="0"/>
    <x v="0"/>
  </r>
  <r>
    <s v="EMP-2020-0033"/>
    <s v="Eve"/>
    <s v="Cooper"/>
    <n v="35"/>
    <n v="35"/>
    <n v="1989"/>
    <n v="63000"/>
    <n v="63000"/>
    <s v="Female"/>
    <s v="sales"/>
    <x v="2"/>
    <s v="Director"/>
    <d v="2020-01-15T00:00:00"/>
    <d v="2020-01-15T00:00:00"/>
    <s v="A"/>
    <n v="100"/>
    <s v="eve.cooper@saltcorp.com"/>
    <s v="123-456-7890"/>
    <s v="Full-Time"/>
    <x v="1"/>
    <m/>
    <x v="3"/>
    <m/>
    <m/>
    <m/>
    <m/>
    <s v="YES"/>
    <s v="Yes"/>
    <x v="2"/>
    <x v="0"/>
    <x v="0"/>
  </r>
  <r>
    <s v="EMP-2018-0034"/>
    <s v="Charlie"/>
    <s v="Hanson"/>
    <n v="40"/>
    <n v="40"/>
    <n v="1984"/>
    <n v="60100"/>
    <n v="60100"/>
    <s v="Female"/>
    <s v="it"/>
    <x v="3"/>
    <s v="Director"/>
    <d v="2018-04-05T00:00:00"/>
    <d v="2018-04-05T00:00:00"/>
    <s v="D"/>
    <n v="68"/>
    <s v="charlie.hanson@saltcorp.com"/>
    <s v="555-555-5555"/>
    <s v="Part-Time"/>
    <x v="2"/>
    <m/>
    <x v="6"/>
    <m/>
    <n v="2"/>
    <m/>
    <m/>
    <s v="YES"/>
    <s v="Yes"/>
    <x v="1"/>
    <x v="1"/>
    <x v="1"/>
  </r>
  <r>
    <s v="EMP-2020-0035"/>
    <s v="Grace"/>
    <s v="Yang"/>
    <n v="25"/>
    <n v="25"/>
    <n v="1999"/>
    <n v="65000"/>
    <n v="65000"/>
    <s v="Male"/>
    <s v="it"/>
    <x v="3"/>
    <s v="Assistant"/>
    <d v="2020-02-20T00:00:00"/>
    <d v="2020-02-20T00:00:00"/>
    <s v="A"/>
    <n v="90"/>
    <s v="grace.yang@saltcorp.com"/>
    <m/>
    <s v="contract"/>
    <x v="0"/>
    <m/>
    <x v="7"/>
    <s v="N/A"/>
    <n v="5"/>
    <s v="N/A"/>
    <n v="66"/>
    <m/>
    <s v=""/>
    <x v="3"/>
    <x v="1"/>
    <x v="1"/>
  </r>
  <r>
    <s v="EMP-2020-0036"/>
    <s v="Eve"/>
    <s v="Stevens"/>
    <n v="40"/>
    <n v="40"/>
    <n v="1984"/>
    <n v="61500"/>
    <n v="61500"/>
    <s v="Female"/>
    <s v="sales"/>
    <x v="2"/>
    <s v="Manager"/>
    <d v="2020-02-20T00:00:00"/>
    <d v="2020-02-20T00:00:00"/>
    <s v="C"/>
    <n v="74"/>
    <s v="eve.stevens@saltcorp.com"/>
    <s v="123-456-7890"/>
    <s v="Full-Time"/>
    <x v="1"/>
    <m/>
    <x v="4"/>
    <m/>
    <m/>
    <m/>
    <n v="11"/>
    <s v="no"/>
    <s v="No"/>
    <x v="4"/>
    <x v="0"/>
    <x v="0"/>
  </r>
  <r>
    <s v="EMP-2020-0037"/>
    <s v="Ivy"/>
    <s v="Lucas"/>
    <n v="25"/>
    <n v="25"/>
    <n v="1999"/>
    <s v="SIXTY THOUSAND"/>
    <n v="60000"/>
    <s v="Male"/>
    <s v="it"/>
    <x v="3"/>
    <s v="Manager"/>
    <d v="2020-02-20T00:00:00"/>
    <d v="2020-02-20T00:00:00"/>
    <s v="A"/>
    <n v="93"/>
    <s v="ivy.lucas@saltcorp.com"/>
    <s v="098-765-4321"/>
    <s v="Full-Time"/>
    <x v="1"/>
    <m/>
    <x v="4"/>
    <n v="4"/>
    <n v="17"/>
    <m/>
    <n v="19"/>
    <s v="YES"/>
    <s v="Yes"/>
    <x v="2"/>
    <x v="0"/>
    <x v="0"/>
  </r>
  <r>
    <s v="EMP-2020-0038"/>
    <s v="Grace"/>
    <s v="Schmidt"/>
    <s v="thirty"/>
    <n v="30"/>
    <n v="1994"/>
    <n v="60500"/>
    <n v="60500"/>
    <s v="Male"/>
    <s v="Marketing"/>
    <x v="4"/>
    <s v="Director"/>
    <d v="2020-02-20T00:00:00"/>
    <d v="2020-02-20T00:00:00"/>
    <s v="D"/>
    <n v="62"/>
    <s v="grace.schmidt@saltcorp.com"/>
    <s v=" "/>
    <s v="Full-Time"/>
    <x v="1"/>
    <m/>
    <x v="0"/>
    <s v="N/A"/>
    <m/>
    <m/>
    <m/>
    <s v="no"/>
    <s v="No"/>
    <x v="0"/>
    <x v="0"/>
    <x v="0"/>
  </r>
  <r>
    <s v="EMP-2019-0039"/>
    <s v="Bob"/>
    <s v="Garcia"/>
    <m/>
    <n v="39"/>
    <n v="1985"/>
    <n v="55000"/>
    <n v="55000"/>
    <s v="Male"/>
    <s v="HR"/>
    <x v="0"/>
    <s v="Analyst"/>
    <d v="2019-12-01T00:00:00"/>
    <d v="2019-12-01T00:00:00"/>
    <s v="B"/>
    <n v="87"/>
    <s v="bob.garcia@saltcorp.com"/>
    <s v="123-456-7890"/>
    <s v="Full-Time"/>
    <x v="1"/>
    <m/>
    <x v="2"/>
    <n v="6"/>
    <n v="16"/>
    <m/>
    <n v="43"/>
    <s v="no"/>
    <s v="No"/>
    <x v="1"/>
    <x v="1"/>
    <x v="1"/>
  </r>
  <r>
    <s v="EMP-2020-0040"/>
    <s v="David"/>
    <s v="Kim"/>
    <n v="25"/>
    <n v="25"/>
    <n v="1999"/>
    <n v="55000"/>
    <n v="55000"/>
    <s v="Female"/>
    <s v="finance"/>
    <x v="1"/>
    <s v="Assistant"/>
    <d v="2020-02-20T00:00:00"/>
    <d v="2020-02-20T00:00:00"/>
    <s v="A"/>
    <n v="98"/>
    <s v="david.kim@saltcorp.com"/>
    <m/>
    <s v="Full-Time"/>
    <x v="1"/>
    <m/>
    <x v="6"/>
    <m/>
    <m/>
    <d v="2023-01-15T00:00:00"/>
    <m/>
    <s v="YES"/>
    <s v="Yes"/>
    <x v="1"/>
    <x v="0"/>
    <x v="0"/>
  </r>
  <r>
    <s v="EMP-2018-0041"/>
    <s v="Ivy"/>
    <s v="Dixon"/>
    <n v="40"/>
    <n v="40"/>
    <n v="1984"/>
    <n v="70000"/>
    <n v="70000"/>
    <s v="Female"/>
    <s v="HR"/>
    <x v="0"/>
    <s v="Assistant"/>
    <d v="2018-04-05T00:00:00"/>
    <d v="2018-04-05T00:00:00"/>
    <s v="C"/>
    <n v="74"/>
    <s v="ivy.dixon@saltcorp.com"/>
    <m/>
    <s v="Part-Time"/>
    <x v="2"/>
    <s v="EMP-2018-0081"/>
    <x v="1"/>
    <n v="4"/>
    <m/>
    <m/>
    <m/>
    <s v="no"/>
    <s v="No"/>
    <x v="2"/>
    <x v="0"/>
    <x v="0"/>
  </r>
  <r>
    <s v="EMP-2019-0042"/>
    <s v="Bob"/>
    <s v="Dominguez"/>
    <s v="thirty"/>
    <n v="30"/>
    <n v="1994"/>
    <n v="50000"/>
    <n v="50000"/>
    <s v="Female"/>
    <s v="finance"/>
    <x v="1"/>
    <s v="Director"/>
    <d v="2019-12-01T00:00:00"/>
    <d v="2019-12-01T00:00:00"/>
    <s v="C"/>
    <n v="77"/>
    <s v="bob.dominguez@saltcorp.com"/>
    <s v="098-765-4321"/>
    <s v="contract"/>
    <x v="0"/>
    <s v="EMP-2018-0021"/>
    <x v="4"/>
    <n v="12"/>
    <m/>
    <d v="2021-10-01T00:00:00"/>
    <m/>
    <m/>
    <s v=""/>
    <x v="0"/>
    <x v="1"/>
    <x v="1"/>
  </r>
  <r>
    <s v="EMP-2020-0043"/>
    <s v="Jack"/>
    <s v="O'Connor"/>
    <n v="25"/>
    <n v="25"/>
    <n v="1999"/>
    <s v="SIXTY THOUSAND"/>
    <n v="60000"/>
    <s v="Male"/>
    <s v="Marketing"/>
    <x v="4"/>
    <s v="Director"/>
    <d v="2020-02-20T00:00:00"/>
    <d v="2020-02-20T00:00:00"/>
    <s v="B"/>
    <n v="83"/>
    <s v="jack.o'connor@saltcorp.com"/>
    <s v="123-456-7890"/>
    <s v="Full-Time"/>
    <x v="1"/>
    <s v="EMP-2018-0021"/>
    <x v="2"/>
    <m/>
    <m/>
    <m/>
    <m/>
    <s v="YES"/>
    <s v="Yes"/>
    <x v="1"/>
    <x v="1"/>
    <x v="1"/>
  </r>
  <r>
    <s v="EMP-2020-0044"/>
    <s v="Ivy"/>
    <s v="Shah"/>
    <n v="35"/>
    <n v="35"/>
    <n v="1989"/>
    <n v="70000"/>
    <n v="70000"/>
    <s v="Male"/>
    <s v="it"/>
    <x v="3"/>
    <s v="Analyst"/>
    <d v="2020-01-15T00:00:00"/>
    <d v="2020-01-15T00:00:00"/>
    <s v="A"/>
    <n v="90"/>
    <s v="ivy.shah@saltcorp.com"/>
    <s v="555-555-5555"/>
    <s v="contract"/>
    <x v="0"/>
    <m/>
    <x v="4"/>
    <m/>
    <m/>
    <d v="2023-03-05T00:00:00"/>
    <m/>
    <s v="no"/>
    <s v="No"/>
    <x v="3"/>
    <x v="0"/>
    <x v="0"/>
  </r>
  <r>
    <s v="EMP-2019-0045"/>
    <s v="Jack"/>
    <s v="Byrd"/>
    <m/>
    <n v="28"/>
    <n v="1996"/>
    <s v="SIXTY THOUSAND"/>
    <n v="60000"/>
    <s v="Male"/>
    <s v="sales"/>
    <x v="2"/>
    <s v="Analyst"/>
    <d v="2019-03-25T00:00:00"/>
    <d v="2019-03-25T00:00:00"/>
    <s v="D"/>
    <n v="60"/>
    <s v="jack.byrd@saltcorp.com"/>
    <s v="123-456-7890"/>
    <s v="contract"/>
    <x v="0"/>
    <m/>
    <x v="5"/>
    <n v="12"/>
    <m/>
    <m/>
    <m/>
    <s v="YES"/>
    <s v="Yes"/>
    <x v="3"/>
    <x v="0"/>
    <x v="0"/>
  </r>
  <r>
    <s v="EMP-2019-0046"/>
    <s v="Eve"/>
    <s v="Parker"/>
    <n v="25"/>
    <n v="25"/>
    <n v="1999"/>
    <n v="50000"/>
    <n v="50000"/>
    <s v="Female"/>
    <s v="Marketing"/>
    <x v="4"/>
    <s v="Manager"/>
    <d v="2019-03-25T00:00:00"/>
    <d v="2019-03-25T00:00:00"/>
    <s v="B"/>
    <n v="80"/>
    <s v="eve.parker@saltcorp.com"/>
    <m/>
    <s v="Part-Time"/>
    <x v="2"/>
    <m/>
    <x v="1"/>
    <s v="N/A"/>
    <n v="4"/>
    <d v="2024-08-12T00:00:00"/>
    <m/>
    <s v="YES"/>
    <s v="Yes"/>
    <x v="1"/>
    <x v="0"/>
    <x v="0"/>
  </r>
  <r>
    <s v="EMP-2019-0047"/>
    <s v="Bob"/>
    <s v="Le"/>
    <s v="thirty"/>
    <n v="30"/>
    <n v="1994"/>
    <n v="61500"/>
    <n v="61500"/>
    <s v="Male"/>
    <s v="HR"/>
    <x v="0"/>
    <s v="Assistant"/>
    <d v="2019-03-25T00:00:00"/>
    <d v="2019-03-25T00:00:00"/>
    <s v="A"/>
    <n v="93"/>
    <s v="bob.le@saltcorp.com"/>
    <s v="098-765-4321"/>
    <s v="Part-Time"/>
    <x v="2"/>
    <m/>
    <x v="2"/>
    <m/>
    <n v="14"/>
    <m/>
    <n v="28"/>
    <s v="YES"/>
    <s v="Yes"/>
    <x v="4"/>
    <x v="0"/>
    <x v="0"/>
  </r>
  <r>
    <s v="EMP-2019-0048"/>
    <s v="David"/>
    <s v="Kim"/>
    <n v="35"/>
    <n v="35"/>
    <n v="1989"/>
    <n v="58300"/>
    <n v="58300"/>
    <s v="Male"/>
    <s v="sales"/>
    <x v="2"/>
    <s v="Assistant"/>
    <d v="2019-12-01T00:00:00"/>
    <d v="2019-12-01T00:00:00"/>
    <s v="F"/>
    <n v="15"/>
    <s v="david.kim@saltcorp.com"/>
    <s v="098-765-4321"/>
    <s v="Full-Time"/>
    <x v="1"/>
    <s v="EMP-2018-0055"/>
    <x v="4"/>
    <m/>
    <m/>
    <d v="2023-01-15T00:00:00"/>
    <n v="65"/>
    <s v="YES"/>
    <s v="Yes"/>
    <x v="4"/>
    <x v="1"/>
    <x v="1"/>
  </r>
  <r>
    <s v="EMP-2020-0049"/>
    <s v="Grace"/>
    <s v="Liu"/>
    <n v="50"/>
    <n v="50"/>
    <n v="1974"/>
    <n v="50000"/>
    <n v="50000"/>
    <s v="Male"/>
    <s v="it"/>
    <x v="3"/>
    <s v="Director"/>
    <d v="2020-02-20T00:00:00"/>
    <d v="2020-02-20T00:00:00"/>
    <s v="C"/>
    <n v="73"/>
    <s v="grace.liu@saltcorp.com"/>
    <s v="555-555-5555"/>
    <s v="contract"/>
    <x v="0"/>
    <m/>
    <x v="2"/>
    <m/>
    <m/>
    <s v="N/A"/>
    <m/>
    <s v="YES"/>
    <s v="Yes"/>
    <x v="3"/>
    <x v="1"/>
    <x v="1"/>
  </r>
  <r>
    <s v="EMP-2019-0050"/>
    <s v="Hannah"/>
    <s v="Armstrong"/>
    <s v="thirty"/>
    <n v="30"/>
    <n v="1994"/>
    <n v="70000"/>
    <n v="70000"/>
    <s v="Female"/>
    <s v="Marketing"/>
    <x v="4"/>
    <s v="Manager"/>
    <d v="2019-12-01T00:00:00"/>
    <d v="2019-12-01T00:00:00"/>
    <s v="D"/>
    <n v="66"/>
    <s v="hannah.armstrong@saltcorp.com"/>
    <s v="098-765-4321"/>
    <s v="Full-Time"/>
    <x v="1"/>
    <s v="EMP-2018-0008"/>
    <x v="7"/>
    <m/>
    <n v="3"/>
    <m/>
    <m/>
    <s v="no"/>
    <s v="No"/>
    <x v="1"/>
    <x v="0"/>
    <x v="0"/>
  </r>
  <r>
    <s v="EMP-2018-0051"/>
    <s v="Charlie"/>
    <s v="Clark"/>
    <s v="thirty"/>
    <n v="30"/>
    <n v="1994"/>
    <n v="50000"/>
    <n v="50000"/>
    <s v="Female"/>
    <s v="sales"/>
    <x v="2"/>
    <s v="Assistant"/>
    <d v="2018-04-05T00:00:00"/>
    <d v="2018-04-05T00:00:00"/>
    <s v="D"/>
    <n v="60"/>
    <s v="charlie.clark@saltcorp.com"/>
    <s v="098-765-4321"/>
    <s v="Full-Time"/>
    <x v="1"/>
    <m/>
    <x v="7"/>
    <n v="1"/>
    <n v="5"/>
    <d v="2024-08-12T00:00:00"/>
    <m/>
    <s v="YES"/>
    <s v="Yes"/>
    <x v="1"/>
    <x v="0"/>
    <x v="0"/>
  </r>
  <r>
    <s v="EMP-2020-0052"/>
    <s v="Alice"/>
    <s v="Chen"/>
    <n v="35"/>
    <n v="35"/>
    <n v="1989"/>
    <n v="65000"/>
    <n v="65000"/>
    <s v="Female"/>
    <s v="Marketing"/>
    <x v="4"/>
    <s v="Manager"/>
    <d v="2020-01-15T00:00:00"/>
    <d v="2020-01-15T00:00:00"/>
    <s v="D"/>
    <n v="63"/>
    <s v="alice.chen@saltcorp.com"/>
    <s v="098-765-4321"/>
    <s v="Full-Time"/>
    <x v="1"/>
    <m/>
    <x v="1"/>
    <m/>
    <m/>
    <m/>
    <n v="45"/>
    <s v="no"/>
    <s v="No"/>
    <x v="4"/>
    <x v="0"/>
    <x v="0"/>
  </r>
  <r>
    <s v="EMP-2020-0053"/>
    <s v="David"/>
    <s v="Ross"/>
    <s v="thirty"/>
    <n v="30"/>
    <n v="1994"/>
    <n v="55000"/>
    <n v="55000"/>
    <s v="Female"/>
    <s v="Marketing"/>
    <x v="4"/>
    <s v="Manager"/>
    <d v="2020-01-15T00:00:00"/>
    <d v="2020-01-15T00:00:00"/>
    <s v="C"/>
    <n v="72"/>
    <s v="david.ross@saltcorp.com"/>
    <s v="098-765-4321"/>
    <s v="Full-Time"/>
    <x v="1"/>
    <m/>
    <x v="3"/>
    <m/>
    <m/>
    <m/>
    <m/>
    <s v="no"/>
    <s v="No"/>
    <x v="1"/>
    <x v="0"/>
    <x v="0"/>
  </r>
  <r>
    <s v="EMP-2019-0054"/>
    <s v="Bob"/>
    <s v="Wilson"/>
    <n v="35"/>
    <n v="35"/>
    <n v="1989"/>
    <n v="70000"/>
    <n v="70000"/>
    <s v="Female"/>
    <s v="it"/>
    <x v="3"/>
    <s v="Director"/>
    <d v="2019-03-25T00:00:00"/>
    <d v="2019-03-25T00:00:00"/>
    <s v="A"/>
    <n v="94"/>
    <s v="bob.wilson@saltcorp.com"/>
    <s v="098-765-4321"/>
    <s v="contract"/>
    <x v="0"/>
    <m/>
    <x v="0"/>
    <m/>
    <n v="14"/>
    <d v="2022-06-20T00:00:00"/>
    <m/>
    <s v="YES"/>
    <s v="Yes"/>
    <x v="3"/>
    <x v="1"/>
    <x v="1"/>
  </r>
  <r>
    <s v="EMP-2019-0055"/>
    <s v="Hannah"/>
    <s v="Gray"/>
    <n v="25"/>
    <n v="25"/>
    <n v="1999"/>
    <s v="SIXTY THOUSAND"/>
    <n v="60000"/>
    <s v="Male"/>
    <s v="finance"/>
    <x v="1"/>
    <s v="Manager"/>
    <d v="2019-03-25T00:00:00"/>
    <d v="2019-03-25T00:00:00"/>
    <s v="B"/>
    <n v="81"/>
    <s v="hannah.gray@saltcorp.com"/>
    <m/>
    <s v="Full-Time"/>
    <x v="1"/>
    <s v="EMP-2018-0077"/>
    <x v="4"/>
    <m/>
    <m/>
    <m/>
    <m/>
    <s v="YES"/>
    <s v="Yes"/>
    <x v="1"/>
    <x v="1"/>
    <x v="1"/>
  </r>
  <r>
    <s v="EMP-2019-0056"/>
    <s v="David"/>
    <s v="Gibson"/>
    <n v="35"/>
    <n v="35"/>
    <n v="1989"/>
    <n v="65000"/>
    <n v="65000"/>
    <s v="Female"/>
    <s v="sales"/>
    <x v="2"/>
    <s v="Analyst"/>
    <d v="2019-03-25T00:00:00"/>
    <d v="2019-03-25T00:00:00"/>
    <s v="A"/>
    <n v="90"/>
    <s v="david.gibson@saltcorp.com"/>
    <s v="123-456-7890"/>
    <s v="contract"/>
    <x v="0"/>
    <m/>
    <x v="4"/>
    <n v="8"/>
    <m/>
    <m/>
    <n v="46"/>
    <s v="no"/>
    <s v="No"/>
    <x v="1"/>
    <x v="1"/>
    <x v="1"/>
  </r>
  <r>
    <s v="EMP-2020-0057"/>
    <s v="Bob"/>
    <s v="Wilson"/>
    <n v="35"/>
    <n v="35"/>
    <n v="1989"/>
    <n v="70000"/>
    <n v="70000"/>
    <s v="Female"/>
    <s v="it"/>
    <x v="3"/>
    <s v="Analyst"/>
    <d v="2020-02-20T00:00:00"/>
    <d v="2020-02-20T00:00:00"/>
    <s v="B"/>
    <n v="87"/>
    <s v="bob.wilson@saltcorp.com"/>
    <s v=" "/>
    <s v="Part-Time"/>
    <x v="2"/>
    <s v="EMP-2020-0033"/>
    <x v="1"/>
    <n v="7"/>
    <m/>
    <m/>
    <m/>
    <s v="YES"/>
    <s v="Yes"/>
    <x v="3"/>
    <x v="0"/>
    <x v="0"/>
  </r>
  <r>
    <s v="EMP-2018-0058"/>
    <s v="Frank"/>
    <s v="Hansen"/>
    <m/>
    <n v="33"/>
    <n v="1991"/>
    <n v="50000"/>
    <n v="50000"/>
    <s v="Male"/>
    <s v="Marketing"/>
    <x v="4"/>
    <s v="Clerk"/>
    <d v="2018-04-05T00:00:00"/>
    <d v="2018-04-05T00:00:00"/>
    <s v="D"/>
    <n v="60"/>
    <s v="frank.hansen@saltcorp.com"/>
    <s v="098-765-4321"/>
    <s v="contract"/>
    <x v="0"/>
    <m/>
    <x v="5"/>
    <m/>
    <m/>
    <d v="2023-01-15T00:00:00"/>
    <m/>
    <s v="YES"/>
    <s v="Yes"/>
    <x v="3"/>
    <x v="1"/>
    <x v="1"/>
  </r>
  <r>
    <s v="EMP-2018-0059"/>
    <s v="Frank"/>
    <s v="Dominguez"/>
    <n v="35"/>
    <n v="35"/>
    <n v="1989"/>
    <n v="50000"/>
    <n v="50000"/>
    <s v="Male"/>
    <s v="it"/>
    <x v="3"/>
    <s v="Director"/>
    <d v="2018-04-05T00:00:00"/>
    <d v="2018-04-05T00:00:00"/>
    <s v="A"/>
    <n v="94"/>
    <s v="frank.dominguez@saltcorp.com"/>
    <s v=" "/>
    <s v="Full-Time"/>
    <x v="1"/>
    <m/>
    <x v="4"/>
    <m/>
    <m/>
    <m/>
    <m/>
    <m/>
    <s v=""/>
    <x v="0"/>
    <x v="0"/>
    <x v="0"/>
  </r>
  <r>
    <s v="EMP-2018-0060"/>
    <s v="Jack"/>
    <s v="Riley"/>
    <n v="35"/>
    <n v="35"/>
    <n v="1989"/>
    <n v="50000"/>
    <n v="50000"/>
    <s v="Male"/>
    <s v="finance"/>
    <x v="1"/>
    <s v="Clerk"/>
    <d v="2018-04-05T00:00:00"/>
    <d v="2018-04-05T00:00:00"/>
    <s v="D"/>
    <n v="63"/>
    <s v="jack.riley@saltcorp.com"/>
    <s v=" "/>
    <s v="Full-Time"/>
    <x v="1"/>
    <m/>
    <x v="6"/>
    <m/>
    <m/>
    <s v="N/A"/>
    <m/>
    <m/>
    <s v=""/>
    <x v="3"/>
    <x v="1"/>
    <x v="1"/>
  </r>
  <r>
    <s v="EMP-2018-0061"/>
    <s v="David"/>
    <s v="Patel"/>
    <n v="50"/>
    <n v="50"/>
    <n v="1974"/>
    <n v="50000"/>
    <n v="50000"/>
    <s v="Female"/>
    <s v="sales"/>
    <x v="2"/>
    <s v="Analyst"/>
    <d v="2018-04-05T00:00:00"/>
    <d v="2018-04-05T00:00:00"/>
    <s v="F"/>
    <n v="3"/>
    <s v="david.patel@saltcorp.com"/>
    <m/>
    <s v="contract"/>
    <x v="0"/>
    <s v="EMP-2019-0074"/>
    <x v="6"/>
    <m/>
    <n v="4"/>
    <d v="2021-10-01T00:00:00"/>
    <m/>
    <s v="no"/>
    <s v="No"/>
    <x v="3"/>
    <x v="1"/>
    <x v="1"/>
  </r>
  <r>
    <s v="EMP-2019-0062"/>
    <s v="Frank"/>
    <s v="Perez"/>
    <n v="25"/>
    <n v="25"/>
    <n v="1999"/>
    <s v="SIXTY THOUSAND"/>
    <n v="60000"/>
    <s v="Male"/>
    <s v="finance"/>
    <x v="1"/>
    <s v="Clerk"/>
    <d v="2019-03-25T00:00:00"/>
    <d v="2019-03-25T00:00:00"/>
    <s v="D"/>
    <n v="69"/>
    <s v="frank.perez@saltcorp.com"/>
    <s v="098-765-4321"/>
    <s v="Full-Time"/>
    <x v="1"/>
    <m/>
    <x v="6"/>
    <m/>
    <m/>
    <d v="2024-08-12T00:00:00"/>
    <m/>
    <s v="no"/>
    <s v="No"/>
    <x v="1"/>
    <x v="1"/>
    <x v="1"/>
  </r>
  <r>
    <s v="EMP-2020-0063"/>
    <s v="Bob"/>
    <s v="Hoffman"/>
    <m/>
    <n v="45"/>
    <n v="1979"/>
    <n v="65000"/>
    <n v="65000"/>
    <s v="Male"/>
    <s v="HR"/>
    <x v="0"/>
    <s v="Director"/>
    <d v="2020-01-15T00:00:00"/>
    <d v="2020-01-15T00:00:00"/>
    <s v="D"/>
    <n v="60"/>
    <s v="bob.hoffman@saltcorp.com"/>
    <s v=" "/>
    <s v="Part-Time"/>
    <x v="2"/>
    <m/>
    <x v="6"/>
    <m/>
    <n v="13"/>
    <m/>
    <n v="59"/>
    <s v="YES"/>
    <s v="Yes"/>
    <x v="1"/>
    <x v="1"/>
    <x v="1"/>
  </r>
  <r>
    <s v="EMP-2019-0064"/>
    <s v="Jack"/>
    <s v="O'Neill"/>
    <n v="50"/>
    <n v="50"/>
    <n v="1974"/>
    <n v="63000"/>
    <n v="63000"/>
    <s v="Male"/>
    <s v="sales"/>
    <x v="2"/>
    <s v="Director"/>
    <d v="2019-03-25T00:00:00"/>
    <d v="2019-03-25T00:00:00"/>
    <s v="B"/>
    <n v="82"/>
    <s v="jack.o'neill@saltcorp.com"/>
    <s v="098-765-4321"/>
    <s v="Full-Time"/>
    <x v="1"/>
    <m/>
    <x v="1"/>
    <m/>
    <m/>
    <m/>
    <m/>
    <s v="no"/>
    <s v="No"/>
    <x v="3"/>
    <x v="1"/>
    <x v="1"/>
  </r>
  <r>
    <s v="EMP-2018-0065"/>
    <s v="Bob"/>
    <s v="Powers"/>
    <n v="40"/>
    <n v="40"/>
    <n v="1984"/>
    <n v="55000"/>
    <n v="55000"/>
    <s v="Female"/>
    <s v="finance"/>
    <x v="1"/>
    <s v="Manager"/>
    <d v="2018-04-05T00:00:00"/>
    <d v="2018-04-05T00:00:00"/>
    <s v="F"/>
    <n v="56"/>
    <s v="bob.powers@saltcorp.com"/>
    <s v="555-555-5555"/>
    <s v="Full-Time"/>
    <x v="1"/>
    <m/>
    <x v="6"/>
    <m/>
    <m/>
    <m/>
    <n v="12"/>
    <s v="YES"/>
    <s v="Yes"/>
    <x v="3"/>
    <x v="1"/>
    <x v="1"/>
  </r>
  <r>
    <s v="EMP-2019-0066"/>
    <s v="Jack"/>
    <s v="Sullivan"/>
    <n v="25"/>
    <n v="25"/>
    <n v="1999"/>
    <s v="SIXTY THOUSAND"/>
    <n v="60000"/>
    <s v="Female"/>
    <s v="Marketing"/>
    <x v="4"/>
    <s v="Assistant"/>
    <d v="2019-03-25T00:00:00"/>
    <d v="2019-03-25T00:00:00"/>
    <s v="D"/>
    <n v="69"/>
    <s v="jack.sullivan@saltcorp.com"/>
    <s v="555-555-5555"/>
    <s v="Full-Time"/>
    <x v="1"/>
    <m/>
    <x v="7"/>
    <m/>
    <n v="0"/>
    <m/>
    <m/>
    <s v="no"/>
    <s v="No"/>
    <x v="2"/>
    <x v="0"/>
    <x v="0"/>
  </r>
  <r>
    <s v="EMP-2018-0067"/>
    <s v="David"/>
    <s v="Garrett"/>
    <n v="25"/>
    <n v="25"/>
    <n v="1999"/>
    <s v="SIXTY THOUSAND"/>
    <n v="60000"/>
    <s v="Male"/>
    <s v="sales"/>
    <x v="2"/>
    <s v="Manager"/>
    <d v="2018-04-05T00:00:00"/>
    <d v="2018-04-05T00:00:00"/>
    <s v="D"/>
    <n v="69"/>
    <s v="david.garrett@saltcorp.com"/>
    <s v="555-555-5555"/>
    <s v="Part-Time"/>
    <x v="2"/>
    <m/>
    <x v="7"/>
    <m/>
    <n v="0"/>
    <d v="2022-06-20T00:00:00"/>
    <m/>
    <s v="no"/>
    <s v="No"/>
    <x v="1"/>
    <x v="1"/>
    <x v="1"/>
  </r>
  <r>
    <s v="EMP-2019-0068"/>
    <s v="Hannah"/>
    <s v="Powell"/>
    <n v="40"/>
    <n v="40"/>
    <n v="1984"/>
    <n v="63000"/>
    <n v="63000"/>
    <s v="Male"/>
    <s v="sales"/>
    <x v="2"/>
    <s v="Director"/>
    <d v="2019-12-01T00:00:00"/>
    <d v="2019-12-01T00:00:00"/>
    <s v="F"/>
    <n v="42"/>
    <s v="hannah.powell@saltcorp.com"/>
    <s v=" "/>
    <s v="contract"/>
    <x v="0"/>
    <m/>
    <x v="0"/>
    <n v="6"/>
    <m/>
    <d v="2022-06-20T00:00:00"/>
    <m/>
    <s v="YES"/>
    <s v="Yes"/>
    <x v="1"/>
    <x v="0"/>
    <x v="0"/>
  </r>
  <r>
    <s v="EMP-2020-0069"/>
    <s v="Grace"/>
    <s v="Zhang"/>
    <n v="35"/>
    <n v="35"/>
    <n v="1989"/>
    <n v="59300"/>
    <n v="59300"/>
    <s v="Female"/>
    <s v="it"/>
    <x v="3"/>
    <s v="Analyst"/>
    <d v="2020-01-15T00:00:00"/>
    <d v="2020-01-15T00:00:00"/>
    <s v="F"/>
    <n v="8"/>
    <s v="grace.zhang@saltcorp.com"/>
    <s v="555-555-5555"/>
    <s v="Full-Time"/>
    <x v="1"/>
    <s v="EMP-2019-0042"/>
    <x v="2"/>
    <m/>
    <m/>
    <d v="2023-03-05T00:00:00"/>
    <m/>
    <s v="YES"/>
    <s v="Yes"/>
    <x v="2"/>
    <x v="0"/>
    <x v="0"/>
  </r>
  <r>
    <s v="EMP-2019-0070"/>
    <s v="Ivy"/>
    <s v="Kumar"/>
    <n v="50"/>
    <n v="50"/>
    <n v="1974"/>
    <n v="55000"/>
    <n v="55000"/>
    <s v="Female"/>
    <s v="Marketing"/>
    <x v="4"/>
    <s v="Analyst"/>
    <d v="2019-12-01T00:00:00"/>
    <d v="2019-12-01T00:00:00"/>
    <s v="A"/>
    <n v="100"/>
    <s v="ivy.kumar@saltcorp.com"/>
    <m/>
    <s v="contract"/>
    <x v="0"/>
    <m/>
    <x v="7"/>
    <s v="N/A"/>
    <m/>
    <s v="N/A"/>
    <m/>
    <s v="no"/>
    <s v="No"/>
    <x v="4"/>
    <x v="0"/>
    <x v="0"/>
  </r>
  <r>
    <s v="EMP-2020-0071"/>
    <s v="Hannah"/>
    <s v="Bennett"/>
    <s v="thirty"/>
    <n v="30"/>
    <n v="1994"/>
    <n v="55000"/>
    <n v="55000"/>
    <s v="Male"/>
    <s v="HR"/>
    <x v="0"/>
    <s v="Manager"/>
    <d v="2020-02-20T00:00:00"/>
    <d v="2020-02-20T00:00:00"/>
    <s v="B"/>
    <n v="80"/>
    <s v="hannah.bennett@saltcorp.com"/>
    <m/>
    <s v="Part-Time"/>
    <x v="2"/>
    <m/>
    <x v="2"/>
    <m/>
    <m/>
    <s v="N/A"/>
    <n v="61"/>
    <m/>
    <s v=""/>
    <x v="0"/>
    <x v="0"/>
    <x v="0"/>
  </r>
  <r>
    <s v="EMP-2019-0072"/>
    <s v="Eve"/>
    <s v="Cooper"/>
    <m/>
    <n v="44"/>
    <n v="1980"/>
    <n v="60300"/>
    <n v="60300"/>
    <s v="Male"/>
    <s v="finance"/>
    <x v="1"/>
    <s v="Director"/>
    <d v="2019-03-25T00:00:00"/>
    <d v="2019-03-25T00:00:00"/>
    <s v="F"/>
    <n v="32"/>
    <s v="eve.cooper@saltcorp.com"/>
    <s v=" "/>
    <s v="Full-Time"/>
    <x v="1"/>
    <m/>
    <x v="0"/>
    <m/>
    <m/>
    <d v="2022-06-20T00:00:00"/>
    <n v="46"/>
    <s v="YES"/>
    <s v="Yes"/>
    <x v="3"/>
    <x v="1"/>
    <x v="1"/>
  </r>
  <r>
    <s v="EMP-2020-0073"/>
    <s v="Bob"/>
    <s v="Garcia"/>
    <s v="thirty"/>
    <n v="30"/>
    <n v="1994"/>
    <n v="50000"/>
    <n v="50000"/>
    <s v="Male"/>
    <s v="it"/>
    <x v="3"/>
    <s v="Analyst"/>
    <d v="2020-02-20T00:00:00"/>
    <d v="2020-02-20T00:00:00"/>
    <s v="F"/>
    <n v="56"/>
    <s v="bob.garcia@saltcorp.com"/>
    <s v="098-765-4321"/>
    <s v="contract"/>
    <x v="0"/>
    <m/>
    <x v="7"/>
    <m/>
    <m/>
    <s v="N/A"/>
    <m/>
    <s v="no"/>
    <s v="No"/>
    <x v="1"/>
    <x v="1"/>
    <x v="1"/>
  </r>
  <r>
    <s v="EMP-2019-0074"/>
    <s v="Eve"/>
    <s v="McCoy"/>
    <n v="40"/>
    <n v="40"/>
    <n v="1984"/>
    <s v="SIXTY THOUSAND"/>
    <n v="60000"/>
    <s v="Female"/>
    <s v="finance"/>
    <x v="1"/>
    <s v="Director"/>
    <d v="2019-03-25T00:00:00"/>
    <d v="2019-03-25T00:00:00"/>
    <s v="C"/>
    <n v="74"/>
    <s v="eve.mccoy@saltcorp.com"/>
    <s v="123-456-7890"/>
    <s v="Part-Time"/>
    <x v="2"/>
    <m/>
    <x v="7"/>
    <m/>
    <m/>
    <m/>
    <n v="54"/>
    <m/>
    <s v=""/>
    <x v="4"/>
    <x v="0"/>
    <x v="0"/>
  </r>
  <r>
    <s v="EMP-2019-0075"/>
    <s v="Hannah"/>
    <s v="Davidson"/>
    <n v="25"/>
    <n v="25"/>
    <n v="1999"/>
    <n v="70000"/>
    <n v="70000"/>
    <s v="Female"/>
    <s v="HR"/>
    <x v="0"/>
    <s v="Analyst"/>
    <s v="2019.12.01"/>
    <d v="2019-12-01T00:00:00"/>
    <s v="F"/>
    <n v="0"/>
    <s v="hannah.davidson@saltcorp.com"/>
    <s v="098-765-4321"/>
    <s v="Part-Time"/>
    <x v="2"/>
    <m/>
    <x v="0"/>
    <n v="5"/>
    <m/>
    <m/>
    <n v="80"/>
    <m/>
    <s v=""/>
    <x v="1"/>
    <x v="1"/>
    <x v="1"/>
  </r>
  <r>
    <s v="EMP-2018-0076"/>
    <s v="Jack"/>
    <s v="O'Connor"/>
    <n v="25"/>
    <n v="25"/>
    <n v="1999"/>
    <n v="55000"/>
    <n v="55000"/>
    <s v="Male"/>
    <s v="HR"/>
    <x v="0"/>
    <s v="Director"/>
    <d v="2018-04-05T00:00:00"/>
    <d v="2018-04-05T00:00:00"/>
    <s v="B"/>
    <n v="88"/>
    <s v="jack.o'connor@saltcorp.com"/>
    <s v="098-765-4321"/>
    <s v="contract"/>
    <x v="0"/>
    <m/>
    <x v="0"/>
    <m/>
    <m/>
    <m/>
    <m/>
    <m/>
    <s v=""/>
    <x v="1"/>
    <x v="0"/>
    <x v="0"/>
  </r>
  <r>
    <s v="EMP-2018-0077"/>
    <s v="Ivy"/>
    <s v="Sharma"/>
    <m/>
    <n v="25"/>
    <n v="1999"/>
    <n v="55000"/>
    <n v="55000"/>
    <s v="Female"/>
    <s v="sales"/>
    <x v="2"/>
    <s v="Clerk"/>
    <d v="2018-04-05T00:00:00"/>
    <d v="2018-04-05T00:00:00"/>
    <s v="D"/>
    <n v="61"/>
    <s v="ivy.sharma@saltcorp.com"/>
    <s v="098-765-4321"/>
    <s v="Full-Time"/>
    <x v="1"/>
    <m/>
    <x v="2"/>
    <m/>
    <n v="20"/>
    <s v="N/A"/>
    <n v="19"/>
    <m/>
    <s v=""/>
    <x v="2"/>
    <x v="1"/>
    <x v="1"/>
  </r>
  <r>
    <s v="EMP-2019-0078"/>
    <s v="Ivy"/>
    <s v="Kumar"/>
    <n v="25"/>
    <n v="25"/>
    <n v="1999"/>
    <n v="60900"/>
    <n v="60900"/>
    <s v="Male"/>
    <s v="HR"/>
    <x v="0"/>
    <s v="Director"/>
    <d v="2019-03-25T00:00:00"/>
    <d v="2019-03-25T00:00:00"/>
    <s v="D"/>
    <n v="64"/>
    <s v="ivy.kumar@saltcorp.com"/>
    <s v="098-765-4321"/>
    <s v="Full-Time"/>
    <x v="1"/>
    <m/>
    <x v="3"/>
    <n v="14"/>
    <m/>
    <m/>
    <n v="46"/>
    <s v="no"/>
    <s v="No"/>
    <x v="1"/>
    <x v="0"/>
    <x v="0"/>
  </r>
  <r>
    <s v="EMP-2018-0079"/>
    <s v="Alice"/>
    <s v="Lee"/>
    <n v="25"/>
    <n v="25"/>
    <n v="1999"/>
    <n v="65000"/>
    <n v="65000"/>
    <s v="Male"/>
    <s v="finance"/>
    <x v="1"/>
    <s v="Director"/>
    <d v="2018-04-05T00:00:00"/>
    <d v="2018-04-05T00:00:00"/>
    <s v="D"/>
    <n v="64"/>
    <s v="alice.lee@saltcorp.com"/>
    <s v="123-456-7890"/>
    <s v="contract"/>
    <x v="0"/>
    <s v="EMP-2020-0053"/>
    <x v="4"/>
    <m/>
    <m/>
    <m/>
    <m/>
    <m/>
    <s v=""/>
    <x v="4"/>
    <x v="1"/>
    <x v="1"/>
  </r>
  <r>
    <s v="EMP-2019-0080"/>
    <s v="Ivy"/>
    <s v="Gibson"/>
    <m/>
    <n v="38"/>
    <n v="1986"/>
    <n v="70000"/>
    <n v="70000"/>
    <s v="Female"/>
    <s v="Marketing"/>
    <x v="4"/>
    <s v="Manager"/>
    <s v="2019.12.01"/>
    <d v="2019-12-01T00:00:00"/>
    <s v="D"/>
    <n v="61"/>
    <s v="ivy.gibson@saltcorp.com"/>
    <s v="555-555-5555"/>
    <s v="Part-Time"/>
    <x v="2"/>
    <s v="EMP-2018-0060"/>
    <x v="5"/>
    <n v="5"/>
    <n v="10"/>
    <d v="2023-01-15T00:00:00"/>
    <m/>
    <s v="YES"/>
    <s v="Yes"/>
    <x v="3"/>
    <x v="0"/>
    <x v="0"/>
  </r>
  <r>
    <s v="EMP-2018-0081"/>
    <s v="Grace"/>
    <s v="Zhou"/>
    <n v="50"/>
    <n v="50"/>
    <n v="1974"/>
    <n v="70000"/>
    <n v="70000"/>
    <s v="Female"/>
    <s v="Marketing"/>
    <x v="4"/>
    <s v="Clerk"/>
    <d v="2018-04-05T00:00:00"/>
    <d v="2018-04-05T00:00:00"/>
    <s v="C"/>
    <n v="70"/>
    <s v="grace.zhou@saltcorp.com"/>
    <s v="098-765-4321"/>
    <s v="Full-Time"/>
    <x v="1"/>
    <m/>
    <x v="6"/>
    <m/>
    <m/>
    <d v="2023-03-05T00:00:00"/>
    <n v="78"/>
    <s v="no"/>
    <s v="No"/>
    <x v="2"/>
    <x v="1"/>
    <x v="1"/>
  </r>
  <r>
    <s v="EMP-2019-0082"/>
    <s v="Ivy"/>
    <s v="Reddy"/>
    <n v="50"/>
    <n v="50"/>
    <n v="1974"/>
    <n v="55000"/>
    <n v="55000"/>
    <s v="Female"/>
    <s v="sales"/>
    <x v="2"/>
    <s v="Assistant"/>
    <s v="2019.12.01"/>
    <d v="2019-12-01T00:00:00"/>
    <s v="F"/>
    <n v="35"/>
    <s v="ivy.reddy@saltcorp.com"/>
    <m/>
    <s v="contract"/>
    <x v="0"/>
    <m/>
    <x v="3"/>
    <s v="N/A"/>
    <m/>
    <d v="2023-03-05T00:00:00"/>
    <m/>
    <s v="YES"/>
    <s v="Yes"/>
    <x v="3"/>
    <x v="1"/>
    <x v="1"/>
  </r>
  <r>
    <s v="EMP-2020-0083"/>
    <s v="Hannah"/>
    <s v="Jordan"/>
    <m/>
    <n v="44"/>
    <n v="1980"/>
    <n v="50000"/>
    <n v="50000"/>
    <s v="Female"/>
    <s v="finance"/>
    <x v="1"/>
    <s v="Manager"/>
    <d v="2020-02-20T00:00:00"/>
    <d v="2020-02-20T00:00:00"/>
    <s v="D"/>
    <n v="61"/>
    <s v="hannah.jordan@saltcorp.com"/>
    <s v=" "/>
    <s v="Full-Time"/>
    <x v="1"/>
    <m/>
    <x v="4"/>
    <n v="5"/>
    <n v="20"/>
    <d v="2024-08-12T00:00:00"/>
    <m/>
    <s v="no"/>
    <s v="No"/>
    <x v="1"/>
    <x v="0"/>
    <x v="0"/>
  </r>
  <r>
    <s v="EMP-2019-0084"/>
    <s v="Alice"/>
    <s v="Martinez"/>
    <n v="40"/>
    <n v="40"/>
    <n v="1984"/>
    <n v="65000"/>
    <n v="65000"/>
    <s v="Female"/>
    <s v="finance"/>
    <x v="1"/>
    <s v="Assistant"/>
    <s v="2019.12.01"/>
    <d v="2019-12-01T00:00:00"/>
    <s v="A"/>
    <n v="92"/>
    <s v="alice.martinez@saltcorp.com"/>
    <s v=" "/>
    <s v="Full-Time"/>
    <x v="1"/>
    <m/>
    <x v="5"/>
    <s v="N/A"/>
    <m/>
    <d v="2022-06-20T00:00:00"/>
    <m/>
    <s v="YES"/>
    <s v="Yes"/>
    <x v="0"/>
    <x v="0"/>
    <x v="0"/>
  </r>
  <r>
    <s v="EMP-2020-0085"/>
    <s v="Hannah"/>
    <s v="Knight"/>
    <n v="25"/>
    <n v="25"/>
    <n v="1999"/>
    <n v="70000"/>
    <n v="70000"/>
    <s v="Female"/>
    <s v="HR"/>
    <x v="0"/>
    <s v="Analyst"/>
    <d v="2020-01-15T00:00:00"/>
    <d v="2020-01-15T00:00:00"/>
    <s v="D"/>
    <n v="62"/>
    <s v="hannah.knight@saltcorp.com"/>
    <m/>
    <s v="Part-Time"/>
    <x v="2"/>
    <m/>
    <x v="7"/>
    <n v="3"/>
    <n v="9"/>
    <m/>
    <n v="51"/>
    <s v="YES"/>
    <s v="Yes"/>
    <x v="3"/>
    <x v="0"/>
    <x v="0"/>
  </r>
  <r>
    <s v="EMP-2020-0086"/>
    <s v="Hannah"/>
    <s v="Pearson"/>
    <n v="25"/>
    <n v="25"/>
    <n v="1999"/>
    <n v="55000"/>
    <n v="55000"/>
    <s v="Male"/>
    <s v="finance"/>
    <x v="1"/>
    <s v="Assistant"/>
    <d v="2020-01-15T00:00:00"/>
    <d v="2020-01-15T00:00:00"/>
    <s v="F"/>
    <n v="13"/>
    <s v="hannah.pearson@saltcorp.com"/>
    <s v="098-765-4321"/>
    <s v="Full-Time"/>
    <x v="1"/>
    <m/>
    <x v="3"/>
    <n v="2"/>
    <m/>
    <d v="2024-08-12T00:00:00"/>
    <m/>
    <s v="no"/>
    <s v="No"/>
    <x v="3"/>
    <x v="0"/>
    <x v="0"/>
  </r>
  <r>
    <s v="EMP-2020-0087"/>
    <s v="Charlie"/>
    <s v="Clark"/>
    <n v="40"/>
    <n v="40"/>
    <n v="1984"/>
    <n v="70000"/>
    <n v="70000"/>
    <s v="Male"/>
    <s v="it"/>
    <x v="3"/>
    <s v="Director"/>
    <d v="2020-01-15T00:00:00"/>
    <d v="2020-01-15T00:00:00"/>
    <s v="D"/>
    <n v="65"/>
    <s v="charlie.clark@saltcorp.com"/>
    <s v="123-456-7890"/>
    <s v="Full-Time"/>
    <x v="1"/>
    <m/>
    <x v="3"/>
    <m/>
    <n v="3"/>
    <d v="2022-06-20T00:00:00"/>
    <m/>
    <s v="no"/>
    <s v="No"/>
    <x v="3"/>
    <x v="1"/>
    <x v="1"/>
  </r>
  <r>
    <s v="EMP-2019-0088"/>
    <s v="Alice"/>
    <s v="Rivera"/>
    <n v="50"/>
    <n v="50"/>
    <n v="1974"/>
    <n v="65000"/>
    <n v="65000"/>
    <s v="Female"/>
    <s v="HR"/>
    <x v="0"/>
    <s v="Assistant"/>
    <d v="2019-03-25T00:00:00"/>
    <d v="2019-03-25T00:00:00"/>
    <s v="C"/>
    <n v="79"/>
    <s v="alice.rivera@saltcorp.com"/>
    <s v="555-555-5555"/>
    <s v="Full-Time"/>
    <x v="1"/>
    <m/>
    <x v="1"/>
    <m/>
    <m/>
    <m/>
    <m/>
    <m/>
    <s v=""/>
    <x v="3"/>
    <x v="0"/>
    <x v="0"/>
  </r>
  <r>
    <s v="EMP-2019-0089"/>
    <s v="Hannah"/>
    <s v="Powell"/>
    <n v="35"/>
    <n v="35"/>
    <n v="1989"/>
    <n v="65000"/>
    <n v="65000"/>
    <s v="Female"/>
    <s v="it"/>
    <x v="3"/>
    <s v="Manager"/>
    <d v="2019-03-25T00:00:00"/>
    <d v="2019-03-25T00:00:00"/>
    <s v="B"/>
    <n v="82"/>
    <s v="hannah.powell@saltcorp.com"/>
    <s v=" "/>
    <s v="contract"/>
    <x v="0"/>
    <m/>
    <x v="2"/>
    <n v="6"/>
    <m/>
    <d v="2024-08-12T00:00:00"/>
    <n v="7"/>
    <s v="YES"/>
    <s v="Yes"/>
    <x v="4"/>
    <x v="0"/>
    <x v="0"/>
  </r>
  <r>
    <s v="EMP-2019-0090"/>
    <s v="Charlie"/>
    <s v="Martin"/>
    <n v="35"/>
    <n v="35"/>
    <n v="1989"/>
    <s v="SIXTY THOUSAND"/>
    <n v="60000"/>
    <s v="Male"/>
    <s v="sales"/>
    <x v="2"/>
    <s v="Manager"/>
    <d v="2019-03-25T00:00:00"/>
    <d v="2019-03-25T00:00:00"/>
    <s v="B"/>
    <n v="85"/>
    <s v="charlie.martin@saltcorp.com"/>
    <s v="555-555-5555"/>
    <s v="Full-Time"/>
    <x v="1"/>
    <m/>
    <x v="6"/>
    <s v="N/A"/>
    <m/>
    <m/>
    <n v="55"/>
    <s v="YES"/>
    <s v="Yes"/>
    <x v="2"/>
    <x v="1"/>
    <x v="1"/>
  </r>
  <r>
    <s v="EMP-2019-0091"/>
    <s v="Charlie"/>
    <s v="Jackson"/>
    <n v="35"/>
    <n v="35"/>
    <n v="1989"/>
    <n v="61600"/>
    <n v="61600"/>
    <s v="Male"/>
    <s v="Marketing"/>
    <x v="4"/>
    <s v="Assistant"/>
    <s v="2019.12.01"/>
    <d v="2019-12-01T00:00:00"/>
    <s v="F"/>
    <n v="54"/>
    <s v="charlie.jackson@saltcorp.com"/>
    <s v="123-456-7890"/>
    <s v="contract"/>
    <x v="0"/>
    <m/>
    <x v="4"/>
    <n v="8"/>
    <m/>
    <d v="2024-08-12T00:00:00"/>
    <m/>
    <s v="no"/>
    <s v="No"/>
    <x v="3"/>
    <x v="0"/>
    <x v="0"/>
  </r>
  <r>
    <s v="EMP-2019-0092"/>
    <s v="Alice"/>
    <s v="Lucas"/>
    <n v="50"/>
    <n v="50"/>
    <n v="1974"/>
    <n v="61500"/>
    <n v="61500"/>
    <s v="Female"/>
    <s v="sales"/>
    <x v="2"/>
    <s v="Manager"/>
    <d v="2019-03-25T00:00:00"/>
    <d v="2019-03-25T00:00:00"/>
    <s v="B"/>
    <n v="83"/>
    <s v="alice.lucas@saltcorp.com"/>
    <s v=" "/>
    <s v="Full-Time"/>
    <x v="1"/>
    <m/>
    <x v="2"/>
    <n v="2"/>
    <m/>
    <s v="N/A"/>
    <m/>
    <s v="no"/>
    <s v="No"/>
    <x v="0"/>
    <x v="0"/>
    <x v="0"/>
  </r>
  <r>
    <s v="EMP-2020-0093"/>
    <s v="Eve"/>
    <s v="Gutierrez"/>
    <n v="50"/>
    <n v="50"/>
    <n v="1974"/>
    <n v="55000"/>
    <n v="55000"/>
    <s v="Male"/>
    <s v="Marketing"/>
    <x v="4"/>
    <s v="Manager"/>
    <d v="2020-02-20T00:00:00"/>
    <d v="2020-02-20T00:00:00"/>
    <s v="B"/>
    <n v="83"/>
    <s v="eve.gutierrez@saltcorp.com"/>
    <s v="555-555-5555"/>
    <s v="contract"/>
    <x v="0"/>
    <m/>
    <x v="1"/>
    <m/>
    <m/>
    <m/>
    <n v="70"/>
    <s v="YES"/>
    <s v="Yes"/>
    <x v="2"/>
    <x v="0"/>
    <x v="0"/>
  </r>
  <r>
    <s v="EMP-2020-0094"/>
    <s v="Jack"/>
    <s v="Murphy"/>
    <n v="40"/>
    <n v="40"/>
    <n v="1984"/>
    <n v="65000"/>
    <n v="65000"/>
    <s v="Male"/>
    <s v="sales"/>
    <x v="2"/>
    <s v="Assistant"/>
    <d v="2020-01-15T00:00:00"/>
    <d v="2020-01-15T00:00:00"/>
    <s v="A"/>
    <n v="93"/>
    <s v="jack.murphy@saltcorp.com"/>
    <s v="123-456-7890"/>
    <s v="Part-Time"/>
    <x v="2"/>
    <m/>
    <x v="2"/>
    <n v="15"/>
    <n v="16"/>
    <m/>
    <m/>
    <s v="YES"/>
    <s v="Yes"/>
    <x v="1"/>
    <x v="1"/>
    <x v="1"/>
  </r>
  <r>
    <s v="EMP-2019-0095"/>
    <s v="Grace"/>
    <s v="Weber"/>
    <n v="25"/>
    <n v="25"/>
    <n v="1999"/>
    <s v="SIXTY THOUSAND"/>
    <n v="60000"/>
    <s v="Female"/>
    <s v="finance"/>
    <x v="1"/>
    <s v="Clerk"/>
    <s v="2019.12.01"/>
    <d v="2019-12-01T00:00:00"/>
    <s v="F"/>
    <n v="25"/>
    <s v="grace.weber@saltcorp.com"/>
    <s v="555-555-5555"/>
    <s v="contract"/>
    <x v="0"/>
    <s v="EMP-2020-0084"/>
    <x v="0"/>
    <m/>
    <m/>
    <s v="N/A"/>
    <m/>
    <s v="YES"/>
    <s v="Yes"/>
    <x v="1"/>
    <x v="1"/>
    <x v="1"/>
  </r>
  <r>
    <s v="EMP-2020-0096"/>
    <s v="Jack"/>
    <s v="Ryan"/>
    <n v="40"/>
    <n v="40"/>
    <n v="1984"/>
    <s v="SIXTY THOUSAND"/>
    <n v="60000"/>
    <s v="Male"/>
    <s v="it"/>
    <x v="3"/>
    <s v="Clerk"/>
    <d v="2020-01-15T00:00:00"/>
    <d v="2020-01-15T00:00:00"/>
    <s v="F"/>
    <n v="7"/>
    <s v="jack.ryan@saltcorp.com"/>
    <s v="098-765-4321"/>
    <s v="contract"/>
    <x v="0"/>
    <m/>
    <x v="4"/>
    <m/>
    <n v="13"/>
    <d v="2021-10-01T00:00:00"/>
    <n v="78"/>
    <s v="YES"/>
    <s v="Yes"/>
    <x v="4"/>
    <x v="0"/>
    <x v="0"/>
  </r>
  <r>
    <s v="EMP-2019-0097"/>
    <s v="Ivy"/>
    <s v="Reddy"/>
    <n v="40"/>
    <n v="40"/>
    <n v="1984"/>
    <n v="70000"/>
    <n v="70000"/>
    <s v="Female"/>
    <s v="Marketing"/>
    <x v="4"/>
    <s v="Analyst"/>
    <d v="2019-03-25T00:00:00"/>
    <d v="2019-03-25T00:00:00"/>
    <s v="B"/>
    <n v="82"/>
    <s v="ivy.reddy@saltcorp.com"/>
    <s v="123-456-7890"/>
    <s v="Part-Time"/>
    <x v="2"/>
    <m/>
    <x v="6"/>
    <m/>
    <m/>
    <d v="2023-03-05T00:00:00"/>
    <m/>
    <m/>
    <s v=""/>
    <x v="2"/>
    <x v="1"/>
    <x v="1"/>
  </r>
  <r>
    <s v="EMP-2019-0098"/>
    <s v="Grace"/>
    <s v="Wu"/>
    <n v="50"/>
    <n v="50"/>
    <n v="1974"/>
    <n v="70000"/>
    <n v="70000"/>
    <s v="Male"/>
    <s v="HR"/>
    <x v="0"/>
    <s v="Manager"/>
    <d v="2019-12-01T00:00:00"/>
    <d v="2019-12-01T00:00:00"/>
    <s v="B"/>
    <n v="89"/>
    <s v="grace.wu@saltcorp.com"/>
    <s v="555-555-5555"/>
    <s v="contract"/>
    <x v="0"/>
    <s v="EMP-2018-0057"/>
    <x v="7"/>
    <n v="8"/>
    <m/>
    <m/>
    <m/>
    <m/>
    <s v=""/>
    <x v="0"/>
    <x v="0"/>
    <x v="0"/>
  </r>
  <r>
    <s v="EMP-2018-0099"/>
    <s v="Ivy"/>
    <s v="Hoffman"/>
    <n v="35"/>
    <n v="35"/>
    <n v="1989"/>
    <s v="SIXTY THOUSAND"/>
    <n v="60000"/>
    <s v="Female"/>
    <s v="it"/>
    <x v="3"/>
    <s v="Assistant"/>
    <d v="2018-04-05T00:00:00"/>
    <d v="2018-04-05T00:00:00"/>
    <s v="B"/>
    <n v="86"/>
    <s v="ivy.hoffman@saltcorp.com"/>
    <s v="098-765-4321"/>
    <s v="contract"/>
    <x v="0"/>
    <m/>
    <x v="0"/>
    <n v="4"/>
    <n v="18"/>
    <d v="2021-10-01T00:00:00"/>
    <m/>
    <s v="no"/>
    <s v="No"/>
    <x v="1"/>
    <x v="0"/>
    <x v="0"/>
  </r>
  <r>
    <s v="EMP-2020-0100"/>
    <s v="Hannah"/>
    <s v="Perry"/>
    <s v="thirty"/>
    <n v="30"/>
    <n v="1994"/>
    <n v="70000"/>
    <n v="70000"/>
    <s v="Male"/>
    <s v="HR"/>
    <x v="0"/>
    <s v="Manager"/>
    <d v="2020-02-20T00:00:00"/>
    <d v="2020-02-20T00:00:00"/>
    <s v="C"/>
    <n v="73"/>
    <s v="hannah.perry@saltcorp.com"/>
    <s v="098-765-4321"/>
    <s v="contract"/>
    <x v="0"/>
    <s v="EMP-2020-0020"/>
    <x v="0"/>
    <m/>
    <m/>
    <m/>
    <m/>
    <m/>
    <s v=""/>
    <x v="0"/>
    <x v="1"/>
    <x v="1"/>
  </r>
  <r>
    <s v="EMP-2019-0101"/>
    <s v="Bob"/>
    <s v="Aguilar"/>
    <n v="25"/>
    <n v="25"/>
    <n v="1999"/>
    <n v="65000"/>
    <n v="65000"/>
    <s v="Male"/>
    <s v="it"/>
    <x v="3"/>
    <s v="Director"/>
    <d v="2019-03-25T00:00:00"/>
    <d v="2019-03-25T00:00:00"/>
    <s v="D"/>
    <n v="68"/>
    <s v="bob.aguilar@saltcorp.com"/>
    <s v="123-456-7890"/>
    <s v="contract"/>
    <x v="0"/>
    <m/>
    <x v="4"/>
    <n v="6"/>
    <n v="13"/>
    <m/>
    <n v="64"/>
    <s v="YES"/>
    <s v="Yes"/>
    <x v="1"/>
    <x v="1"/>
    <x v="1"/>
  </r>
  <r>
    <s v="EMP-2019-0102"/>
    <s v="Alice"/>
    <s v="Byrd"/>
    <n v="50"/>
    <n v="50"/>
    <n v="1974"/>
    <n v="50000"/>
    <n v="50000"/>
    <s v="Male"/>
    <s v="it"/>
    <x v="3"/>
    <s v="Manager"/>
    <d v="2019-03-25T00:00:00"/>
    <d v="2019-03-25T00:00:00"/>
    <s v="C"/>
    <n v="75"/>
    <s v="alice.byrd@saltcorp.com"/>
    <m/>
    <s v="contract"/>
    <x v="0"/>
    <m/>
    <x v="0"/>
    <s v="N/A"/>
    <m/>
    <d v="2021-10-01T00:00:00"/>
    <m/>
    <s v="YES"/>
    <s v="Yes"/>
    <x v="4"/>
    <x v="0"/>
    <x v="0"/>
  </r>
  <r>
    <s v="EMP-2020-0103"/>
    <s v="Grace"/>
    <s v="Walker"/>
    <n v="35"/>
    <n v="35"/>
    <n v="1989"/>
    <n v="65000"/>
    <n v="65000"/>
    <s v="Female"/>
    <s v="sales"/>
    <x v="2"/>
    <s v="Manager"/>
    <d v="2020-02-20T00:00:00"/>
    <d v="2020-02-20T00:00:00"/>
    <s v="F"/>
    <n v="42"/>
    <s v="grace.walker@saltcorp.com"/>
    <s v=" "/>
    <s v="Full-Time"/>
    <x v="1"/>
    <m/>
    <x v="7"/>
    <m/>
    <n v="15"/>
    <d v="2024-08-12T00:00:00"/>
    <n v="64"/>
    <s v="YES"/>
    <s v="Yes"/>
    <x v="3"/>
    <x v="0"/>
    <x v="0"/>
  </r>
  <r>
    <s v="EMP-2020-0104"/>
    <s v="Grace"/>
    <s v="Gibson"/>
    <s v="thirty"/>
    <n v="30"/>
    <n v="1994"/>
    <s v="SIXTY THOUSAND"/>
    <n v="60000"/>
    <s v="Female"/>
    <s v="Marketing"/>
    <x v="4"/>
    <s v="Clerk"/>
    <d v="2020-02-20T00:00:00"/>
    <d v="2020-02-20T00:00:00"/>
    <s v="A"/>
    <n v="91"/>
    <s v="grace.gibson@saltcorp.com"/>
    <s v="123-456-7890"/>
    <s v="Part-Time"/>
    <x v="2"/>
    <m/>
    <x v="4"/>
    <n v="13"/>
    <n v="16"/>
    <m/>
    <m/>
    <s v="no"/>
    <s v="No"/>
    <x v="3"/>
    <x v="1"/>
    <x v="1"/>
  </r>
  <r>
    <s v="EMP-2018-0105"/>
    <s v="Hannah"/>
    <s v="West"/>
    <s v="thirty"/>
    <n v="30"/>
    <n v="1994"/>
    <s v="SIXTY THOUSAND"/>
    <n v="60000"/>
    <s v="Male"/>
    <s v="Marketing"/>
    <x v="4"/>
    <s v="Assistant"/>
    <d v="2018-04-05T00:00:00"/>
    <d v="2018-04-05T00:00:00"/>
    <s v="D"/>
    <n v="64"/>
    <s v="hannah.west@saltcorp.com"/>
    <s v="098-765-4321"/>
    <s v="contract"/>
    <x v="0"/>
    <m/>
    <x v="5"/>
    <n v="2"/>
    <n v="14"/>
    <s v="N/A"/>
    <m/>
    <s v="no"/>
    <s v="No"/>
    <x v="1"/>
    <x v="0"/>
    <x v="0"/>
  </r>
  <r>
    <s v="EMP-2019-0106"/>
    <s v="Eve"/>
    <s v="Walker"/>
    <n v="50"/>
    <n v="50"/>
    <n v="1974"/>
    <n v="65000"/>
    <n v="65000"/>
    <s v="Female"/>
    <s v="it"/>
    <x v="3"/>
    <s v="Manager"/>
    <d v="2019-03-25T00:00:00"/>
    <d v="2019-03-25T00:00:00"/>
    <s v="A"/>
    <n v="92"/>
    <s v="eve.walker@saltcorp.com"/>
    <s v="098-765-4321"/>
    <s v="Part-Time"/>
    <x v="2"/>
    <m/>
    <x v="2"/>
    <s v="N/A"/>
    <n v="17"/>
    <s v="N/A"/>
    <m/>
    <s v="no"/>
    <s v="No"/>
    <x v="0"/>
    <x v="0"/>
    <x v="0"/>
  </r>
  <r>
    <s v="EMP-2019-0107"/>
    <s v="Charlie"/>
    <s v="Pearson"/>
    <m/>
    <n v="24"/>
    <n v="2000"/>
    <n v="70000"/>
    <n v="70000"/>
    <s v="Male"/>
    <s v="finance"/>
    <x v="1"/>
    <s v="Clerk"/>
    <d v="2019-03-25T00:00:00"/>
    <d v="2019-03-25T00:00:00"/>
    <s v="F"/>
    <n v="25"/>
    <s v="charlie.pearson@saltcorp.com"/>
    <s v="123-456-7890"/>
    <s v="Part-Time"/>
    <x v="2"/>
    <m/>
    <x v="7"/>
    <m/>
    <n v="13"/>
    <m/>
    <n v="63"/>
    <m/>
    <s v=""/>
    <x v="3"/>
    <x v="0"/>
    <x v="0"/>
  </r>
  <r>
    <s v="EMP-2020-0108"/>
    <s v="Hannah"/>
    <s v="Brooks"/>
    <n v="25"/>
    <n v="25"/>
    <n v="1999"/>
    <n v="70000"/>
    <n v="70000"/>
    <s v="Female"/>
    <s v="finance"/>
    <x v="1"/>
    <s v="Analyst"/>
    <d v="2020-01-15T00:00:00"/>
    <d v="2020-01-15T00:00:00"/>
    <s v="F"/>
    <n v="13"/>
    <s v="hannah.brooks@saltcorp.com"/>
    <m/>
    <s v="contract"/>
    <x v="0"/>
    <m/>
    <x v="6"/>
    <s v="N/A"/>
    <m/>
    <d v="2024-08-12T00:00:00"/>
    <m/>
    <s v="no"/>
    <s v="No"/>
    <x v="4"/>
    <x v="0"/>
    <x v="0"/>
  </r>
  <r>
    <s v="EMP-2019-0109"/>
    <s v="Frank"/>
    <s v="Sanchez"/>
    <s v="thirty"/>
    <n v="30"/>
    <n v="1994"/>
    <n v="58800"/>
    <n v="58800"/>
    <s v="Male"/>
    <s v="HR"/>
    <x v="0"/>
    <s v="Clerk"/>
    <d v="2019-12-01T00:00:00"/>
    <d v="2019-12-01T00:00:00"/>
    <s v="A"/>
    <n v="96"/>
    <s v="frank.sanchez@saltcorp.com"/>
    <s v=" "/>
    <s v="Part-Time"/>
    <x v="2"/>
    <m/>
    <x v="3"/>
    <s v="N/A"/>
    <m/>
    <m/>
    <n v="5"/>
    <s v="no"/>
    <s v="No"/>
    <x v="1"/>
    <x v="0"/>
    <x v="0"/>
  </r>
  <r>
    <s v="EMP-2019-0110"/>
    <s v="Charlie"/>
    <s v="Clark"/>
    <n v="50"/>
    <n v="50"/>
    <n v="1974"/>
    <s v="SIXTY THOUSAND"/>
    <n v="60000"/>
    <s v="Male"/>
    <s v="HR"/>
    <x v="0"/>
    <s v="Clerk"/>
    <d v="2019-12-01T00:00:00"/>
    <d v="2019-12-01T00:00:00"/>
    <s v="A"/>
    <n v="97"/>
    <s v="charlie.clark@saltcorp.com"/>
    <s v="555-555-5555"/>
    <s v="Part-Time"/>
    <x v="2"/>
    <m/>
    <x v="7"/>
    <m/>
    <m/>
    <m/>
    <n v="46"/>
    <s v="YES"/>
    <s v="Yes"/>
    <x v="1"/>
    <x v="0"/>
    <x v="0"/>
  </r>
  <r>
    <s v="EMP-2020-0111"/>
    <s v="Alice"/>
    <s v="Wallace"/>
    <n v="50"/>
    <n v="50"/>
    <n v="1974"/>
    <n v="55000"/>
    <n v="55000"/>
    <s v="Female"/>
    <s v="sales"/>
    <x v="2"/>
    <s v="Clerk"/>
    <d v="2020-01-15T00:00:00"/>
    <d v="2020-01-15T00:00:00"/>
    <s v="A"/>
    <n v="92"/>
    <s v="alice.wallace@saltcorp.com"/>
    <s v="123-456-7890"/>
    <s v="Full-Time"/>
    <x v="1"/>
    <s v="EMP-2018-0057"/>
    <x v="7"/>
    <m/>
    <m/>
    <m/>
    <m/>
    <s v="no"/>
    <s v="No"/>
    <x v="4"/>
    <x v="0"/>
    <x v="0"/>
  </r>
  <r>
    <s v="EMP-2019-0112"/>
    <s v="Charlie"/>
    <s v="Lewis"/>
    <n v="35"/>
    <n v="35"/>
    <n v="1989"/>
    <n v="60900"/>
    <n v="60900"/>
    <s v="Male"/>
    <s v="it"/>
    <x v="3"/>
    <s v="Manager"/>
    <d v="2019-12-01T00:00:00"/>
    <d v="2019-12-01T00:00:00"/>
    <s v="F"/>
    <n v="52"/>
    <s v="charlie.lewis@saltcorp.com"/>
    <s v=" "/>
    <s v="Full-Time"/>
    <x v="1"/>
    <m/>
    <x v="5"/>
    <m/>
    <m/>
    <d v="2023-01-15T00:00:00"/>
    <m/>
    <m/>
    <s v=""/>
    <x v="0"/>
    <x v="1"/>
    <x v="1"/>
  </r>
  <r>
    <s v="EMP-2020-0113"/>
    <s v="Eve"/>
    <s v="Hudson"/>
    <m/>
    <n v="46"/>
    <n v="1978"/>
    <n v="70000"/>
    <n v="70000"/>
    <s v="Male"/>
    <s v="HR"/>
    <x v="0"/>
    <s v="Manager"/>
    <d v="2020-02-20T00:00:00"/>
    <d v="2020-02-20T00:00:00"/>
    <s v="B"/>
    <n v="84"/>
    <s v="eve.hudson@saltcorp.com"/>
    <s v=" "/>
    <s v="contract"/>
    <x v="0"/>
    <m/>
    <x v="7"/>
    <m/>
    <n v="15"/>
    <m/>
    <m/>
    <s v="no"/>
    <s v="No"/>
    <x v="4"/>
    <x v="0"/>
    <x v="0"/>
  </r>
  <r>
    <s v="EMP-2019-0114"/>
    <s v="Charlie"/>
    <s v="Harrison"/>
    <n v="25"/>
    <n v="25"/>
    <n v="1999"/>
    <n v="65000"/>
    <n v="65000"/>
    <s v="Female"/>
    <s v="HR"/>
    <x v="0"/>
    <s v="Analyst"/>
    <d v="2019-12-01T00:00:00"/>
    <d v="2019-12-01T00:00:00"/>
    <s v="A"/>
    <n v="90"/>
    <s v="charlie.harrison@saltcorp.com"/>
    <s v="098-765-4321"/>
    <s v="contract"/>
    <x v="0"/>
    <m/>
    <x v="7"/>
    <n v="14"/>
    <n v="1"/>
    <d v="2022-06-20T00:00:00"/>
    <m/>
    <s v="no"/>
    <s v="No"/>
    <x v="1"/>
    <x v="0"/>
    <x v="0"/>
  </r>
  <r>
    <s v="EMP-2019-0115"/>
    <s v="Alice"/>
    <s v="Martinez"/>
    <n v="40"/>
    <n v="40"/>
    <n v="1984"/>
    <n v="70000"/>
    <n v="70000"/>
    <s v="Female"/>
    <s v="it"/>
    <x v="3"/>
    <s v="Director"/>
    <d v="2019-12-01T00:00:00"/>
    <d v="2019-12-01T00:00:00"/>
    <s v="D"/>
    <n v="69"/>
    <s v="alice.martinez@saltcorp.com"/>
    <s v="555-555-5555"/>
    <s v="contract"/>
    <x v="0"/>
    <s v="EMP-2018-0022"/>
    <x v="5"/>
    <m/>
    <n v="18"/>
    <m/>
    <m/>
    <m/>
    <s v=""/>
    <x v="0"/>
    <x v="0"/>
    <x v="0"/>
  </r>
  <r>
    <s v="EMP-2020-0116"/>
    <s v="Eve"/>
    <s v="Williamson"/>
    <n v="35"/>
    <n v="35"/>
    <n v="1989"/>
    <n v="65000"/>
    <n v="65000"/>
    <s v="Female"/>
    <s v="sales"/>
    <x v="2"/>
    <s v="Director"/>
    <d v="2020-01-15T00:00:00"/>
    <d v="2020-01-15T00:00:00"/>
    <s v="F"/>
    <n v="9"/>
    <s v="eve.williamson@saltcorp.com"/>
    <s v="123-456-7890"/>
    <s v="Part-Time"/>
    <x v="2"/>
    <m/>
    <x v="6"/>
    <m/>
    <m/>
    <s v="N/A"/>
    <n v="17"/>
    <m/>
    <s v=""/>
    <x v="3"/>
    <x v="1"/>
    <x v="1"/>
  </r>
  <r>
    <s v="EMP-2018-0117"/>
    <s v="Jack"/>
    <s v="Powers"/>
    <s v="thirty"/>
    <n v="30"/>
    <n v="1994"/>
    <n v="60900"/>
    <n v="60900"/>
    <s v="Male"/>
    <s v="HR"/>
    <x v="0"/>
    <s v="Director"/>
    <d v="2018-04-05T00:00:00"/>
    <d v="2018-04-05T00:00:00"/>
    <s v="C"/>
    <n v="71"/>
    <s v="jack.powers@saltcorp.com"/>
    <s v="098-765-4321"/>
    <s v="Part-Time"/>
    <x v="2"/>
    <s v="EMP-2020-0019"/>
    <x v="1"/>
    <s v="N/A"/>
    <m/>
    <d v="2023-03-05T00:00:00"/>
    <m/>
    <m/>
    <s v=""/>
    <x v="0"/>
    <x v="0"/>
    <x v="0"/>
  </r>
  <r>
    <s v="EMP-2019-0118"/>
    <s v="Grace"/>
    <s v="Liu"/>
    <s v="thirty"/>
    <n v="30"/>
    <n v="1994"/>
    <s v="SIXTY THOUSAND"/>
    <n v="60000"/>
    <s v="Female"/>
    <s v="sales"/>
    <x v="2"/>
    <s v="Analyst"/>
    <d v="2019-12-01T00:00:00"/>
    <d v="2019-12-01T00:00:00"/>
    <s v="C"/>
    <n v="77"/>
    <s v="grace.liu@saltcorp.com"/>
    <s v="098-765-4321"/>
    <s v="contract"/>
    <x v="0"/>
    <m/>
    <x v="6"/>
    <m/>
    <m/>
    <m/>
    <m/>
    <s v="no"/>
    <s v="No"/>
    <x v="0"/>
    <x v="1"/>
    <x v="1"/>
  </r>
  <r>
    <s v="EMP-2019-0119"/>
    <s v="Grace"/>
    <s v="Li"/>
    <n v="35"/>
    <n v="35"/>
    <n v="1989"/>
    <n v="70000"/>
    <n v="70000"/>
    <s v="Female"/>
    <s v="Marketing"/>
    <x v="4"/>
    <s v="Director"/>
    <d v="2019-12-01T00:00:00"/>
    <d v="2019-12-01T00:00:00"/>
    <s v="D"/>
    <n v="62"/>
    <s v="grace.li@saltcorp.com"/>
    <m/>
    <s v="contract"/>
    <x v="0"/>
    <m/>
    <x v="5"/>
    <m/>
    <n v="14"/>
    <m/>
    <m/>
    <s v="YES"/>
    <s v="Yes"/>
    <x v="1"/>
    <x v="0"/>
    <x v="0"/>
  </r>
  <r>
    <s v="EMP-2018-0120"/>
    <s v="Ivy"/>
    <s v="Figueroa"/>
    <n v="50"/>
    <n v="50"/>
    <n v="1974"/>
    <n v="65000"/>
    <n v="65000"/>
    <s v="Female"/>
    <s v="sales"/>
    <x v="2"/>
    <s v="Director"/>
    <d v="2018-04-05T00:00:00"/>
    <d v="2018-04-05T00:00:00"/>
    <s v="B"/>
    <n v="88"/>
    <s v="ivy.figueroa@saltcorp.com"/>
    <s v=" "/>
    <s v="Full-Time"/>
    <x v="1"/>
    <m/>
    <x v="3"/>
    <m/>
    <n v="2"/>
    <m/>
    <m/>
    <s v="YES"/>
    <s v="Yes"/>
    <x v="0"/>
    <x v="1"/>
    <x v="1"/>
  </r>
  <r>
    <s v="EMP-2020-0121"/>
    <s v="Jack"/>
    <s v="Ryan"/>
    <s v="thirty"/>
    <n v="30"/>
    <n v="1994"/>
    <s v="SIXTY THOUSAND"/>
    <n v="60000"/>
    <s v="Female"/>
    <s v="finance"/>
    <x v="1"/>
    <s v="Clerk"/>
    <d v="2020-01-15T00:00:00"/>
    <d v="2020-01-15T00:00:00"/>
    <s v="A"/>
    <n v="97"/>
    <s v="jack.ryan@saltcorp.com"/>
    <s v="123-456-7890"/>
    <s v="Full-Time"/>
    <x v="1"/>
    <m/>
    <x v="1"/>
    <m/>
    <n v="12"/>
    <d v="2021-10-01T00:00:00"/>
    <m/>
    <s v="no"/>
    <s v="No"/>
    <x v="4"/>
    <x v="0"/>
    <x v="0"/>
  </r>
  <r>
    <s v="EMP-2018-0122"/>
    <s v="Jack"/>
    <s v="Murphy"/>
    <m/>
    <n v="47"/>
    <n v="1977"/>
    <n v="55000"/>
    <n v="55000"/>
    <s v="Female"/>
    <s v="finance"/>
    <x v="1"/>
    <s v="Manager"/>
    <d v="2018-04-05T00:00:00"/>
    <d v="2018-04-05T00:00:00"/>
    <s v="F"/>
    <n v="28"/>
    <s v="jack.murphy@saltcorp.com"/>
    <s v="123-456-7890"/>
    <s v="Full-Time"/>
    <x v="1"/>
    <m/>
    <x v="4"/>
    <m/>
    <m/>
    <m/>
    <n v="32"/>
    <s v="YES"/>
    <s v="Yes"/>
    <x v="3"/>
    <x v="1"/>
    <x v="1"/>
  </r>
  <r>
    <s v="EMP-2020-0123"/>
    <s v="Charlie"/>
    <s v="Harris"/>
    <n v="25"/>
    <n v="25"/>
    <n v="1999"/>
    <n v="65000"/>
    <n v="65000"/>
    <s v="Female"/>
    <s v="sales"/>
    <x v="2"/>
    <s v="Manager"/>
    <d v="2020-01-15T00:00:00"/>
    <d v="2020-01-15T00:00:00"/>
    <s v="A"/>
    <n v="94"/>
    <s v="charlie.harris@saltcorp.com"/>
    <s v="123-456-7890"/>
    <s v="Full-Time"/>
    <x v="1"/>
    <m/>
    <x v="0"/>
    <m/>
    <m/>
    <m/>
    <n v="20"/>
    <s v="YES"/>
    <s v="Yes"/>
    <x v="0"/>
    <x v="0"/>
    <x v="0"/>
  </r>
  <r>
    <s v="EMP-2020-0124"/>
    <s v="Grace"/>
    <s v="Zhou"/>
    <m/>
    <n v="33"/>
    <n v="1991"/>
    <n v="61300"/>
    <n v="61300"/>
    <s v="Male"/>
    <s v="finance"/>
    <x v="1"/>
    <s v="Clerk"/>
    <d v="2020-02-20T00:00:00"/>
    <d v="2020-02-20T00:00:00"/>
    <s v="F"/>
    <n v="4"/>
    <s v="grace.zhou@saltcorp.com"/>
    <s v="098-765-4321"/>
    <s v="Part-Time"/>
    <x v="2"/>
    <m/>
    <x v="7"/>
    <m/>
    <m/>
    <m/>
    <n v="31"/>
    <m/>
    <s v=""/>
    <x v="1"/>
    <x v="1"/>
    <x v="1"/>
  </r>
  <r>
    <s v="EMP-2020-0125"/>
    <s v="Alice"/>
    <s v="Williamson"/>
    <s v="thirty"/>
    <n v="30"/>
    <n v="1994"/>
    <n v="55000"/>
    <n v="55000"/>
    <s v="Female"/>
    <s v="Marketing"/>
    <x v="4"/>
    <s v="Clerk"/>
    <d v="2020-01-15T00:00:00"/>
    <d v="2020-01-15T00:00:00"/>
    <s v="C"/>
    <n v="74"/>
    <s v="alice.williamson@saltcorp.com"/>
    <m/>
    <s v="Full-Time"/>
    <x v="1"/>
    <m/>
    <x v="3"/>
    <m/>
    <m/>
    <d v="2024-08-12T00:00:00"/>
    <m/>
    <s v="no"/>
    <s v="No"/>
    <x v="1"/>
    <x v="1"/>
    <x v="1"/>
  </r>
  <r>
    <s v="EMP-2020-0126"/>
    <s v="David"/>
    <s v="Kim"/>
    <n v="40"/>
    <n v="40"/>
    <n v="1984"/>
    <n v="55000"/>
    <n v="55000"/>
    <s v="Male"/>
    <s v="it"/>
    <x v="3"/>
    <s v="Clerk"/>
    <d v="2020-02-20T00:00:00"/>
    <d v="2020-02-20T00:00:00"/>
    <s v="A"/>
    <n v="98"/>
    <s v="david.kim@saltcorp.com"/>
    <s v="555-555-5555"/>
    <s v="Full-Time"/>
    <x v="1"/>
    <s v="EMP-2020-0038"/>
    <x v="6"/>
    <m/>
    <n v="3"/>
    <d v="2022-06-20T00:00:00"/>
    <m/>
    <s v="YES"/>
    <s v="Yes"/>
    <x v="4"/>
    <x v="0"/>
    <x v="0"/>
  </r>
  <r>
    <s v="EMP-2020-0127"/>
    <s v="David"/>
    <s v="Weber"/>
    <n v="25"/>
    <n v="25"/>
    <n v="1999"/>
    <n v="50000"/>
    <n v="50000"/>
    <s v="Male"/>
    <s v="finance"/>
    <x v="1"/>
    <s v="Manager"/>
    <d v="2020-02-20T00:00:00"/>
    <d v="2020-02-20T00:00:00"/>
    <s v="D"/>
    <n v="61"/>
    <s v="david.weber@saltcorp.com"/>
    <s v="098-765-4321"/>
    <s v="Full-Time"/>
    <x v="1"/>
    <m/>
    <x v="5"/>
    <m/>
    <n v="19"/>
    <m/>
    <m/>
    <s v="YES"/>
    <s v="Yes"/>
    <x v="4"/>
    <x v="0"/>
    <x v="0"/>
  </r>
  <r>
    <s v="EMP-2020-0128"/>
    <s v="Eve"/>
    <s v="Bennett"/>
    <n v="25"/>
    <n v="25"/>
    <n v="1999"/>
    <n v="70000"/>
    <n v="70000"/>
    <s v="Female"/>
    <s v="finance"/>
    <x v="1"/>
    <s v="Director"/>
    <d v="2020-01-15T00:00:00"/>
    <d v="2020-01-15T00:00:00"/>
    <s v="B"/>
    <n v="85"/>
    <s v="eve.bennett@saltcorp.com"/>
    <s v="555-555-5555"/>
    <s v="contract"/>
    <x v="0"/>
    <m/>
    <x v="3"/>
    <m/>
    <m/>
    <m/>
    <n v="79"/>
    <s v="YES"/>
    <s v="Yes"/>
    <x v="0"/>
    <x v="0"/>
    <x v="0"/>
  </r>
  <r>
    <s v="EMP-2019-0129"/>
    <s v="Grace"/>
    <s v="Liu"/>
    <n v="35"/>
    <n v="35"/>
    <n v="1989"/>
    <n v="65000"/>
    <n v="65000"/>
    <s v="Female"/>
    <s v="sales"/>
    <x v="2"/>
    <s v="Clerk"/>
    <d v="2019-03-25T00:00:00"/>
    <d v="2019-03-25T00:00:00"/>
    <s v="D"/>
    <n v="66"/>
    <s v="grace.liu@saltcorp.com"/>
    <m/>
    <s v="Full-Time"/>
    <x v="1"/>
    <m/>
    <x v="4"/>
    <m/>
    <n v="15"/>
    <m/>
    <n v="20"/>
    <s v="YES"/>
    <s v="Yes"/>
    <x v="2"/>
    <x v="0"/>
    <x v="0"/>
  </r>
  <r>
    <s v="EMP-2020-0130"/>
    <s v="Grace"/>
    <s v="Rogers"/>
    <n v="35"/>
    <n v="35"/>
    <n v="1989"/>
    <n v="55000"/>
    <n v="55000"/>
    <s v="Female"/>
    <s v="Marketing"/>
    <x v="4"/>
    <s v="Analyst"/>
    <d v="2020-01-15T00:00:00"/>
    <d v="2020-01-15T00:00:00"/>
    <s v="B"/>
    <n v="80"/>
    <s v="grace.rogers@saltcorp.com"/>
    <s v=" "/>
    <s v="contract"/>
    <x v="0"/>
    <m/>
    <x v="6"/>
    <m/>
    <n v="17"/>
    <m/>
    <m/>
    <s v="YES"/>
    <s v="Yes"/>
    <x v="3"/>
    <x v="1"/>
    <x v="1"/>
  </r>
  <r>
    <s v="EMP-2019-0131"/>
    <s v="David"/>
    <s v="Dominguez"/>
    <n v="40"/>
    <n v="40"/>
    <n v="1984"/>
    <n v="50000"/>
    <n v="50000"/>
    <s v="Male"/>
    <s v="it"/>
    <x v="3"/>
    <s v="Clerk"/>
    <d v="2019-12-01T00:00:00"/>
    <d v="2019-12-01T00:00:00"/>
    <s v="A"/>
    <n v="90"/>
    <s v="david.dominguez@saltcorp.com"/>
    <s v="123-456-7890"/>
    <s v="Full-Time"/>
    <x v="1"/>
    <s v="EMP-2019-0100"/>
    <x v="5"/>
    <m/>
    <n v="7"/>
    <s v="N/A"/>
    <m/>
    <s v="no"/>
    <s v="No"/>
    <x v="4"/>
    <x v="0"/>
    <x v="0"/>
  </r>
  <r>
    <s v="EMP-2019-0132"/>
    <s v="Grace"/>
    <s v="Wang"/>
    <n v="50"/>
    <n v="50"/>
    <n v="1974"/>
    <n v="58300"/>
    <n v="58300"/>
    <s v="Male"/>
    <s v="sales"/>
    <x v="2"/>
    <s v="Assistant"/>
    <d v="2019-12-01T00:00:00"/>
    <d v="2019-12-01T00:00:00"/>
    <s v="A"/>
    <n v="96"/>
    <s v="grace.wang@saltcorp.com"/>
    <s v="555-555-5555"/>
    <s v="Part-Time"/>
    <x v="2"/>
    <m/>
    <x v="5"/>
    <m/>
    <m/>
    <d v="2023-03-05T00:00:00"/>
    <m/>
    <s v="YES"/>
    <s v="Yes"/>
    <x v="0"/>
    <x v="1"/>
    <x v="1"/>
  </r>
  <r>
    <s v="EMP-2019-0133"/>
    <s v="Charlie"/>
    <s v="Mason"/>
    <n v="25"/>
    <n v="25"/>
    <n v="1999"/>
    <s v="SIXTY THOUSAND"/>
    <n v="60000"/>
    <s v="Male"/>
    <s v="sales"/>
    <x v="2"/>
    <s v="Clerk"/>
    <d v="2019-03-25T00:00:00"/>
    <d v="2019-03-25T00:00:00"/>
    <s v="B"/>
    <n v="87"/>
    <s v="charlie.mason@saltcorp.com"/>
    <s v="098-765-4321"/>
    <s v="Part-Time"/>
    <x v="2"/>
    <m/>
    <x v="3"/>
    <n v="12"/>
    <n v="1"/>
    <s v="N/A"/>
    <n v="19"/>
    <s v="YES"/>
    <s v="Yes"/>
    <x v="2"/>
    <x v="0"/>
    <x v="0"/>
  </r>
  <r>
    <s v="EMP-2020-0134"/>
    <s v="Frank"/>
    <s v="Wallace"/>
    <n v="40"/>
    <n v="40"/>
    <n v="1984"/>
    <n v="65000"/>
    <n v="65000"/>
    <s v="Female"/>
    <s v="Marketing"/>
    <x v="4"/>
    <s v="Manager"/>
    <d v="2020-02-20T00:00:00"/>
    <d v="2020-02-20T00:00:00"/>
    <s v="C"/>
    <n v="76"/>
    <s v="frank.wallace@saltcorp.com"/>
    <s v="555-555-5555"/>
    <s v="contract"/>
    <x v="0"/>
    <m/>
    <x v="5"/>
    <m/>
    <n v="5"/>
    <d v="2024-08-12T00:00:00"/>
    <n v="58"/>
    <m/>
    <s v=""/>
    <x v="0"/>
    <x v="1"/>
    <x v="1"/>
  </r>
  <r>
    <s v="EMP-2019-0135"/>
    <s v="Bob"/>
    <s v="Dixon"/>
    <n v="35"/>
    <n v="35"/>
    <n v="1989"/>
    <n v="55000"/>
    <n v="55000"/>
    <s v="Female"/>
    <s v="it"/>
    <x v="3"/>
    <s v="Clerk"/>
    <d v="2019-03-25T00:00:00"/>
    <d v="2019-03-25T00:00:00"/>
    <s v="F"/>
    <n v="58"/>
    <s v="bob.dixon@saltcorp.com"/>
    <s v=" "/>
    <s v="contract"/>
    <x v="0"/>
    <s v="EMP-2020-0083"/>
    <x v="5"/>
    <m/>
    <m/>
    <d v="2021-10-01T00:00:00"/>
    <m/>
    <s v="no"/>
    <s v="No"/>
    <x v="3"/>
    <x v="0"/>
    <x v="0"/>
  </r>
  <r>
    <s v="EMP-2019-0136"/>
    <s v="Jack"/>
    <s v="Ryan"/>
    <n v="35"/>
    <n v="35"/>
    <n v="1989"/>
    <n v="70000"/>
    <n v="70000"/>
    <s v="Female"/>
    <s v="Marketing"/>
    <x v="4"/>
    <s v="Assistant"/>
    <d v="2019-12-01T00:00:00"/>
    <d v="2019-12-01T00:00:00"/>
    <s v="D"/>
    <n v="60"/>
    <s v="jack.ryan@saltcorp.com"/>
    <s v="123-456-7890"/>
    <s v="Part-Time"/>
    <x v="2"/>
    <m/>
    <x v="1"/>
    <s v="N/A"/>
    <n v="8"/>
    <d v="2023-03-05T00:00:00"/>
    <n v="51"/>
    <s v="YES"/>
    <s v="Yes"/>
    <x v="1"/>
    <x v="0"/>
    <x v="0"/>
  </r>
  <r>
    <s v="EMP-2019-0137"/>
    <s v="Ivy"/>
    <s v="Barnett"/>
    <n v="25"/>
    <n v="25"/>
    <n v="1999"/>
    <n v="50000"/>
    <n v="50000"/>
    <s v="Female"/>
    <s v="it"/>
    <x v="3"/>
    <s v="Analyst"/>
    <d v="2019-03-25T00:00:00"/>
    <d v="2019-03-25T00:00:00"/>
    <s v="D"/>
    <n v="60"/>
    <s v="ivy.barnett@saltcorp.com"/>
    <s v="555-555-5555"/>
    <s v="contract"/>
    <x v="0"/>
    <m/>
    <x v="0"/>
    <m/>
    <m/>
    <d v="2023-01-15T00:00:00"/>
    <n v="43"/>
    <s v="no"/>
    <s v="No"/>
    <x v="3"/>
    <x v="1"/>
    <x v="1"/>
  </r>
  <r>
    <s v="EMP-2020-0138"/>
    <s v="Eve"/>
    <s v="Bell"/>
    <m/>
    <n v="51"/>
    <n v="1973"/>
    <n v="55000"/>
    <n v="55000"/>
    <s v="Female"/>
    <s v="Marketing"/>
    <x v="4"/>
    <s v="Director"/>
    <d v="2020-01-15T00:00:00"/>
    <d v="2020-01-15T00:00:00"/>
    <s v="D"/>
    <n v="67"/>
    <s v="eve.bell@saltcorp.com"/>
    <s v=" "/>
    <s v="Full-Time"/>
    <x v="1"/>
    <s v="EMP-2019-0023"/>
    <x v="0"/>
    <n v="7"/>
    <m/>
    <m/>
    <m/>
    <m/>
    <s v=""/>
    <x v="2"/>
    <x v="0"/>
    <x v="0"/>
  </r>
  <r>
    <s v="EMP-2019-0139"/>
    <s v="Frank"/>
    <s v="Bell"/>
    <s v="thirty"/>
    <n v="30"/>
    <n v="1994"/>
    <n v="70000"/>
    <n v="70000"/>
    <s v="Male"/>
    <s v="sales"/>
    <x v="2"/>
    <s v="Clerk"/>
    <d v="2019-03-25T00:00:00"/>
    <d v="2019-03-25T00:00:00"/>
    <s v="A"/>
    <n v="90"/>
    <s v="frank.bell@saltcorp.com"/>
    <s v="098-765-4321"/>
    <s v="Full-Time"/>
    <x v="1"/>
    <m/>
    <x v="3"/>
    <n v="12"/>
    <m/>
    <m/>
    <m/>
    <m/>
    <s v=""/>
    <x v="3"/>
    <x v="0"/>
    <x v="0"/>
  </r>
  <r>
    <s v="EMP-2020-0140"/>
    <s v="David"/>
    <s v="Murphy"/>
    <n v="35"/>
    <n v="35"/>
    <n v="1989"/>
    <n v="55000"/>
    <n v="55000"/>
    <s v="Male"/>
    <s v="sales"/>
    <x v="2"/>
    <s v="Assistant"/>
    <d v="2020-02-20T00:00:00"/>
    <d v="2020-02-20T00:00:00"/>
    <s v="D"/>
    <n v="66"/>
    <s v="david.murphy@saltcorp.com"/>
    <m/>
    <s v="contract"/>
    <x v="0"/>
    <m/>
    <x v="0"/>
    <m/>
    <m/>
    <d v="2021-10-01T00:00:00"/>
    <m/>
    <s v="no"/>
    <s v="No"/>
    <x v="0"/>
    <x v="0"/>
    <x v="0"/>
  </r>
  <r>
    <s v="EMP-2020-0141"/>
    <s v="Jack"/>
    <s v="McCarthy"/>
    <n v="50"/>
    <n v="50"/>
    <n v="1974"/>
    <n v="65000"/>
    <n v="65000"/>
    <s v="Female"/>
    <s v="HR"/>
    <x v="0"/>
    <s v="Assistant"/>
    <d v="2020-01-15T00:00:00"/>
    <d v="2020-01-15T00:00:00"/>
    <s v="F"/>
    <n v="1"/>
    <s v="jack.mccarthy@saltcorp.com"/>
    <s v="098-765-4321"/>
    <s v="Full-Time"/>
    <x v="1"/>
    <m/>
    <x v="2"/>
    <m/>
    <m/>
    <m/>
    <n v="40"/>
    <s v="YES"/>
    <s v="Yes"/>
    <x v="3"/>
    <x v="1"/>
    <x v="1"/>
  </r>
  <r>
    <s v="EMP-2018-0142"/>
    <s v="Grace"/>
    <s v="Liu"/>
    <n v="50"/>
    <n v="50"/>
    <n v="1974"/>
    <n v="65000"/>
    <n v="65000"/>
    <s v="Female"/>
    <s v="finance"/>
    <x v="1"/>
    <s v="Analyst"/>
    <d v="2018-04-05T00:00:00"/>
    <d v="2018-04-05T00:00:00"/>
    <s v="F"/>
    <n v="41"/>
    <s v="grace.liu@saltcorp.com"/>
    <s v="123-456-7890"/>
    <s v="Part-Time"/>
    <x v="2"/>
    <m/>
    <x v="6"/>
    <m/>
    <n v="9"/>
    <m/>
    <n v="36"/>
    <m/>
    <s v=""/>
    <x v="1"/>
    <x v="0"/>
    <x v="0"/>
  </r>
  <r>
    <s v="EMP-2019-0143"/>
    <s v="Ivy"/>
    <s v="Gomez"/>
    <n v="35"/>
    <n v="35"/>
    <n v="1989"/>
    <n v="65000"/>
    <n v="65000"/>
    <s v="Female"/>
    <s v="Marketing"/>
    <x v="4"/>
    <s v="Manager"/>
    <d v="2019-12-01T00:00:00"/>
    <d v="2019-12-01T00:00:00"/>
    <s v="B"/>
    <n v="80"/>
    <s v="ivy.gomez@saltcorp.com"/>
    <s v="098-765-4321"/>
    <s v="contract"/>
    <x v="0"/>
    <m/>
    <x v="3"/>
    <s v="N/A"/>
    <m/>
    <d v="2022-06-20T00:00:00"/>
    <n v="22"/>
    <m/>
    <s v=""/>
    <x v="0"/>
    <x v="1"/>
    <x v="1"/>
  </r>
  <r>
    <s v="EMP-2019-0144"/>
    <s v="Grace"/>
    <s v="Ross"/>
    <m/>
    <n v="35"/>
    <n v="1989"/>
    <n v="58800"/>
    <n v="58800"/>
    <s v="Female"/>
    <s v="HR"/>
    <x v="0"/>
    <s v="Clerk"/>
    <d v="2019-12-01T00:00:00"/>
    <d v="2019-12-01T00:00:00"/>
    <s v="A"/>
    <n v="90"/>
    <s v="grace.ross@saltcorp.com"/>
    <s v="098-765-4321"/>
    <s v="Part-Time"/>
    <x v="2"/>
    <m/>
    <x v="4"/>
    <m/>
    <m/>
    <s v="N/A"/>
    <m/>
    <m/>
    <s v=""/>
    <x v="2"/>
    <x v="0"/>
    <x v="0"/>
  </r>
  <r>
    <s v="EMP-2019-0145"/>
    <s v="Alice"/>
    <s v="Evans"/>
    <m/>
    <n v="29"/>
    <n v="1995"/>
    <n v="58500"/>
    <n v="58500"/>
    <s v="Female"/>
    <s v="finance"/>
    <x v="1"/>
    <s v="Assistant"/>
    <d v="2019-03-25T00:00:00"/>
    <d v="2019-03-25T00:00:00"/>
    <s v="F"/>
    <n v="29"/>
    <s v="alice.evans@saltcorp.com"/>
    <s v="098-765-4321"/>
    <s v="Part-Time"/>
    <x v="2"/>
    <m/>
    <x v="7"/>
    <m/>
    <m/>
    <d v="2023-03-05T00:00:00"/>
    <m/>
    <m/>
    <s v=""/>
    <x v="1"/>
    <x v="0"/>
    <x v="0"/>
  </r>
  <r>
    <s v="EMP-2020-0146"/>
    <s v="Alice"/>
    <s v="Morris"/>
    <n v="40"/>
    <n v="40"/>
    <n v="1984"/>
    <n v="50000"/>
    <n v="50000"/>
    <s v="Male"/>
    <s v="Marketing"/>
    <x v="4"/>
    <s v="Analyst"/>
    <d v="2020-01-15T00:00:00"/>
    <d v="2020-01-15T00:00:00"/>
    <s v="C"/>
    <n v="72"/>
    <s v="alice.morris@saltcorp.com"/>
    <s v="098-765-4321"/>
    <s v="contract"/>
    <x v="0"/>
    <m/>
    <x v="1"/>
    <m/>
    <n v="16"/>
    <s v="N/A"/>
    <m/>
    <s v="YES"/>
    <s v="Yes"/>
    <x v="3"/>
    <x v="1"/>
    <x v="1"/>
  </r>
  <r>
    <s v="EMP-2018-0147"/>
    <s v="Ivy"/>
    <s v="Harrison"/>
    <n v="50"/>
    <n v="50"/>
    <n v="1974"/>
    <n v="65000"/>
    <n v="65000"/>
    <s v="Male"/>
    <s v="it"/>
    <x v="3"/>
    <s v="Director"/>
    <d v="2018-04-05T00:00:00"/>
    <d v="2018-04-05T00:00:00"/>
    <s v="A"/>
    <n v="91"/>
    <s v="ivy.harrison@saltcorp.com"/>
    <s v="123-456-7890"/>
    <s v="Part-Time"/>
    <x v="2"/>
    <m/>
    <x v="0"/>
    <s v="N/A"/>
    <n v="14"/>
    <m/>
    <m/>
    <s v="no"/>
    <s v="No"/>
    <x v="2"/>
    <x v="0"/>
    <x v="0"/>
  </r>
  <r>
    <s v="EMP-2020-0148"/>
    <s v="Ivy"/>
    <s v="Desai"/>
    <n v="40"/>
    <n v="40"/>
    <n v="1984"/>
    <n v="70000"/>
    <n v="70000"/>
    <s v="Female"/>
    <s v="finance"/>
    <x v="1"/>
    <s v="Assistant"/>
    <d v="2020-01-15T00:00:00"/>
    <d v="2020-01-15T00:00:00"/>
    <s v="A"/>
    <n v="90"/>
    <s v="ivy.desai@saltcorp.com"/>
    <s v=" "/>
    <s v="Part-Time"/>
    <x v="2"/>
    <m/>
    <x v="1"/>
    <s v="N/A"/>
    <m/>
    <m/>
    <n v="19"/>
    <s v="YES"/>
    <s v="Yes"/>
    <x v="2"/>
    <x v="0"/>
    <x v="0"/>
  </r>
  <r>
    <s v="EMP-2019-0149"/>
    <s v="David"/>
    <s v="Pearson"/>
    <n v="50"/>
    <n v="50"/>
    <n v="1974"/>
    <n v="55000"/>
    <n v="55000"/>
    <s v="Female"/>
    <s v="sales"/>
    <x v="2"/>
    <s v="Analyst"/>
    <d v="2019-12-01T00:00:00"/>
    <d v="2019-12-01T00:00:00"/>
    <s v="F"/>
    <n v="6"/>
    <s v="david.pearson@saltcorp.com"/>
    <s v="555-555-5555"/>
    <s v="contract"/>
    <x v="0"/>
    <m/>
    <x v="2"/>
    <s v="N/A"/>
    <m/>
    <d v="2021-10-01T00:00:00"/>
    <m/>
    <s v="YES"/>
    <s v="Yes"/>
    <x v="1"/>
    <x v="1"/>
    <x v="1"/>
  </r>
  <r>
    <s v="EMP-2020-0150"/>
    <s v="Ivy"/>
    <s v="Weber"/>
    <s v="thirty"/>
    <n v="30"/>
    <n v="1994"/>
    <s v="SIXTY THOUSAND"/>
    <n v="60000"/>
    <s v="Female"/>
    <s v="HR"/>
    <x v="0"/>
    <s v="Manager"/>
    <d v="2020-01-15T00:00:00"/>
    <d v="2020-01-15T00:00:00"/>
    <s v="C"/>
    <n v="71"/>
    <s v="ivy.weber@saltcorp.com"/>
    <m/>
    <s v="contract"/>
    <x v="0"/>
    <m/>
    <x v="0"/>
    <m/>
    <n v="17"/>
    <m/>
    <m/>
    <s v="no"/>
    <s v="No"/>
    <x v="3"/>
    <x v="0"/>
    <x v="0"/>
  </r>
  <r>
    <s v="EMP-2018-0151"/>
    <s v="Charlie"/>
    <s v="Williamson"/>
    <s v="thirty"/>
    <n v="30"/>
    <n v="1994"/>
    <n v="70000"/>
    <n v="70000"/>
    <s v="Male"/>
    <s v="finance"/>
    <x v="1"/>
    <s v="Manager"/>
    <d v="2018-04-05T00:00:00"/>
    <d v="2018-04-05T00:00:00"/>
    <s v="B"/>
    <n v="85"/>
    <s v="charlie.williamson@saltcorp.com"/>
    <s v="555-555-5555"/>
    <s v="Part-Time"/>
    <x v="2"/>
    <m/>
    <x v="7"/>
    <s v="N/A"/>
    <m/>
    <m/>
    <n v="46"/>
    <s v="YES"/>
    <s v="Yes"/>
    <x v="2"/>
    <x v="0"/>
    <x v="0"/>
  </r>
  <r>
    <s v="EMP-2019-0152"/>
    <s v="Grace"/>
    <s v="Wang"/>
    <n v="25"/>
    <n v="25"/>
    <n v="1999"/>
    <n v="58500"/>
    <n v="58500"/>
    <s v="Female"/>
    <s v="finance"/>
    <x v="1"/>
    <s v="Assistant"/>
    <d v="2019-03-25T00:00:00"/>
    <d v="2019-03-25T00:00:00"/>
    <s v="F"/>
    <n v="0"/>
    <s v="grace.wang@saltcorp.com"/>
    <s v="555-555-5555"/>
    <s v="Full-Time"/>
    <x v="1"/>
    <m/>
    <x v="7"/>
    <s v="N/A"/>
    <n v="13"/>
    <m/>
    <m/>
    <m/>
    <s v=""/>
    <x v="0"/>
    <x v="0"/>
    <x v="0"/>
  </r>
  <r>
    <s v="EMP-2020-0153"/>
    <s v="Frank"/>
    <s v="Ramirez"/>
    <n v="40"/>
    <n v="40"/>
    <n v="1984"/>
    <n v="58300"/>
    <n v="58300"/>
    <s v="Male"/>
    <s v="sales"/>
    <x v="2"/>
    <s v="Assistant"/>
    <d v="2020-02-20T00:00:00"/>
    <d v="2020-02-20T00:00:00"/>
    <s v="C"/>
    <n v="71"/>
    <s v="frank.ramirez@saltcorp.com"/>
    <m/>
    <s v="Part-Time"/>
    <x v="2"/>
    <m/>
    <x v="5"/>
    <m/>
    <m/>
    <d v="2021-10-01T00:00:00"/>
    <m/>
    <s v="no"/>
    <s v="No"/>
    <x v="3"/>
    <x v="0"/>
    <x v="0"/>
  </r>
  <r>
    <s v="EMP-2020-0154"/>
    <s v="Hannah"/>
    <s v="Evans"/>
    <n v="35"/>
    <n v="35"/>
    <n v="1989"/>
    <n v="70000"/>
    <n v="70000"/>
    <s v="Male"/>
    <s v="Marketing"/>
    <x v="4"/>
    <s v="Clerk"/>
    <d v="2020-01-15T00:00:00"/>
    <d v="2020-01-15T00:00:00"/>
    <s v="A"/>
    <n v="100"/>
    <s v="hannah.evans@saltcorp.com"/>
    <s v="123-456-7890"/>
    <s v="Full-Time"/>
    <x v="1"/>
    <m/>
    <x v="5"/>
    <s v="N/A"/>
    <m/>
    <m/>
    <m/>
    <s v="YES"/>
    <s v="Yes"/>
    <x v="1"/>
    <x v="0"/>
    <x v="0"/>
  </r>
  <r>
    <s v="EMP-2020-0155"/>
    <s v="Ivy"/>
    <s v="Kumar"/>
    <n v="40"/>
    <n v="40"/>
    <n v="1984"/>
    <n v="59300"/>
    <n v="59300"/>
    <s v="Female"/>
    <s v="it"/>
    <x v="3"/>
    <s v="Analyst"/>
    <d v="2020-02-20T00:00:00"/>
    <d v="2020-02-20T00:00:00"/>
    <s v="C"/>
    <n v="79"/>
    <s v="ivy.kumar@saltcorp.com"/>
    <m/>
    <s v="contract"/>
    <x v="0"/>
    <s v="EMP-2018-0018"/>
    <x v="1"/>
    <n v="2"/>
    <m/>
    <d v="2022-06-20T00:00:00"/>
    <m/>
    <s v="YES"/>
    <s v="Yes"/>
    <x v="4"/>
    <x v="0"/>
    <x v="0"/>
  </r>
  <r>
    <s v="EMP-2019-0156"/>
    <s v="Eve"/>
    <s v="Parker"/>
    <n v="35"/>
    <n v="35"/>
    <n v="1989"/>
    <n v="65000"/>
    <n v="65000"/>
    <s v="Female"/>
    <s v="sales"/>
    <x v="2"/>
    <s v="Assistant"/>
    <d v="2019-12-01T00:00:00"/>
    <d v="2019-12-01T00:00:00"/>
    <s v="A"/>
    <n v="97"/>
    <s v="eve.parker@saltcorp.com"/>
    <s v="123-456-7890"/>
    <s v="Part-Time"/>
    <x v="2"/>
    <m/>
    <x v="4"/>
    <m/>
    <n v="17"/>
    <d v="2023-01-15T00:00:00"/>
    <n v="19"/>
    <s v="no"/>
    <s v="No"/>
    <x v="1"/>
    <x v="0"/>
    <x v="0"/>
  </r>
  <r>
    <s v="EMP-2019-0157"/>
    <s v="Alice"/>
    <s v="Oliver"/>
    <m/>
    <n v="31"/>
    <n v="1993"/>
    <n v="50000"/>
    <n v="50000"/>
    <s v="Female"/>
    <s v="it"/>
    <x v="3"/>
    <s v="Clerk"/>
    <d v="2019-03-25T00:00:00"/>
    <d v="2019-03-25T00:00:00"/>
    <s v="F"/>
    <n v="56"/>
    <s v="alice.oliver@saltcorp.com"/>
    <s v="555-555-5555"/>
    <s v="Part-Time"/>
    <x v="2"/>
    <s v="EMP-2019-0015"/>
    <x v="5"/>
    <m/>
    <m/>
    <m/>
    <n v="73"/>
    <s v="YES"/>
    <s v="Yes"/>
    <x v="4"/>
    <x v="0"/>
    <x v="0"/>
  </r>
  <r>
    <s v="EMP-2019-0158"/>
    <s v="Charlie"/>
    <s v="Dixon"/>
    <n v="40"/>
    <n v="40"/>
    <n v="1984"/>
    <n v="55000"/>
    <n v="55000"/>
    <s v="Female"/>
    <s v="Marketing"/>
    <x v="4"/>
    <s v="Clerk"/>
    <d v="2019-03-25T00:00:00"/>
    <d v="2019-03-25T00:00:00"/>
    <s v="F"/>
    <n v="39"/>
    <s v="charlie.dixon@saltcorp.com"/>
    <s v="123-456-7890"/>
    <s v="Part-Time"/>
    <x v="2"/>
    <m/>
    <x v="5"/>
    <m/>
    <n v="5"/>
    <d v="2023-03-05T00:00:00"/>
    <n v="44"/>
    <s v="YES"/>
    <s v="Yes"/>
    <x v="1"/>
    <x v="0"/>
    <x v="0"/>
  </r>
  <r>
    <s v="EMP-2020-0159"/>
    <s v="Jack"/>
    <s v="Lucas"/>
    <m/>
    <n v="33"/>
    <n v="1991"/>
    <n v="50000"/>
    <n v="50000"/>
    <s v="Male"/>
    <s v="finance"/>
    <x v="1"/>
    <s v="Assistant"/>
    <d v="2020-01-15T00:00:00"/>
    <d v="2020-01-15T00:00:00"/>
    <s v="D"/>
    <n v="60"/>
    <s v="jack.lucas@saltcorp.com"/>
    <s v=" "/>
    <s v="Full-Time"/>
    <x v="1"/>
    <m/>
    <x v="5"/>
    <s v="N/A"/>
    <m/>
    <m/>
    <m/>
    <s v="YES"/>
    <s v="Yes"/>
    <x v="3"/>
    <x v="0"/>
    <x v="0"/>
  </r>
  <r>
    <s v="EMP-2019-0160"/>
    <s v="Hannah"/>
    <s v="Foster"/>
    <s v="thirty"/>
    <n v="30"/>
    <n v="1994"/>
    <n v="55000"/>
    <n v="55000"/>
    <s v="Male"/>
    <s v="it"/>
    <x v="3"/>
    <s v="Manager"/>
    <d v="2019-03-25T00:00:00"/>
    <d v="2019-03-25T00:00:00"/>
    <s v="D"/>
    <n v="63"/>
    <s v="hannah.foster@saltcorp.com"/>
    <m/>
    <s v="Full-Time"/>
    <x v="1"/>
    <m/>
    <x v="3"/>
    <n v="14"/>
    <n v="8"/>
    <d v="2024-08-12T00:00:00"/>
    <m/>
    <s v="YES"/>
    <s v="Yes"/>
    <x v="2"/>
    <x v="0"/>
    <x v="0"/>
  </r>
  <r>
    <s v="EMP-2020-0161"/>
    <s v="Frank"/>
    <s v="Vega"/>
    <s v="thirty"/>
    <n v="30"/>
    <n v="1994"/>
    <n v="55000"/>
    <n v="55000"/>
    <s v="Male"/>
    <s v="HR"/>
    <x v="0"/>
    <s v="Analyst"/>
    <d v="2020-01-15T00:00:00"/>
    <d v="2020-01-15T00:00:00"/>
    <s v="D"/>
    <n v="69"/>
    <s v="frank.vega@saltcorp.com"/>
    <s v=" "/>
    <s v="Full-Time"/>
    <x v="1"/>
    <s v="EMP-2020-0094"/>
    <x v="0"/>
    <m/>
    <m/>
    <m/>
    <n v="66"/>
    <s v="no"/>
    <s v="No"/>
    <x v="1"/>
    <x v="1"/>
    <x v="1"/>
  </r>
  <r>
    <s v="EMP-2020-0162"/>
    <s v="Hannah"/>
    <s v="Johnston"/>
    <n v="25"/>
    <n v="25"/>
    <n v="1999"/>
    <n v="50000"/>
    <n v="50000"/>
    <s v="Female"/>
    <s v="HR"/>
    <x v="0"/>
    <s v="Analyst"/>
    <d v="2020-01-15T00:00:00"/>
    <d v="2020-01-15T00:00:00"/>
    <s v="F"/>
    <n v="12"/>
    <s v="hannah.johnston@saltcorp.com"/>
    <s v="555-555-5555"/>
    <s v="Full-Time"/>
    <x v="1"/>
    <m/>
    <x v="1"/>
    <m/>
    <m/>
    <d v="2021-10-01T00:00:00"/>
    <m/>
    <s v="YES"/>
    <s v="Yes"/>
    <x v="1"/>
    <x v="1"/>
    <x v="1"/>
  </r>
  <r>
    <s v="EMP-2020-0163"/>
    <s v="Ivy"/>
    <s v="Armstrong"/>
    <n v="40"/>
    <n v="40"/>
    <n v="1984"/>
    <n v="70000"/>
    <n v="70000"/>
    <s v="Male"/>
    <s v="sales"/>
    <x v="2"/>
    <s v="Manager"/>
    <d v="2020-02-20T00:00:00"/>
    <d v="2020-02-20T00:00:00"/>
    <s v="B"/>
    <n v="83"/>
    <s v="ivy.armstrong@saltcorp.com"/>
    <m/>
    <s v="Full-Time"/>
    <x v="1"/>
    <m/>
    <x v="3"/>
    <m/>
    <n v="16"/>
    <m/>
    <m/>
    <s v="YES"/>
    <s v="Yes"/>
    <x v="2"/>
    <x v="0"/>
    <x v="0"/>
  </r>
  <r>
    <s v="EMP-2019-0164"/>
    <s v="David"/>
    <s v="Matthews"/>
    <m/>
    <n v="38"/>
    <n v="1986"/>
    <n v="55000"/>
    <n v="55000"/>
    <s v="Male"/>
    <s v="Marketing"/>
    <x v="4"/>
    <s v="Assistant"/>
    <d v="2019-03-25T00:00:00"/>
    <d v="2019-03-25T00:00:00"/>
    <s v="F"/>
    <n v="50"/>
    <s v="david.matthews@saltcorp.com"/>
    <s v="555-555-5555"/>
    <s v="Full-Time"/>
    <x v="1"/>
    <m/>
    <x v="3"/>
    <m/>
    <n v="17"/>
    <d v="2023-03-05T00:00:00"/>
    <m/>
    <s v="YES"/>
    <s v="Yes"/>
    <x v="1"/>
    <x v="1"/>
    <x v="1"/>
  </r>
  <r>
    <s v="EMP-2020-0165"/>
    <s v="Alice"/>
    <s v="Williams"/>
    <n v="35"/>
    <n v="35"/>
    <n v="1989"/>
    <n v="50000"/>
    <n v="50000"/>
    <s v="Male"/>
    <s v="sales"/>
    <x v="2"/>
    <s v="Analyst"/>
    <d v="2020-01-15T00:00:00"/>
    <d v="2020-01-15T00:00:00"/>
    <s v="C"/>
    <n v="74"/>
    <s v="alice.williams@saltcorp.com"/>
    <s v=" "/>
    <s v="Part-Time"/>
    <x v="2"/>
    <s v="EMP-2020-0048"/>
    <x v="1"/>
    <m/>
    <m/>
    <m/>
    <m/>
    <s v="no"/>
    <s v="No"/>
    <x v="0"/>
    <x v="1"/>
    <x v="1"/>
  </r>
  <r>
    <s v="EMP-2020-0166"/>
    <s v="Alice"/>
    <s v="Chen"/>
    <s v="thirty"/>
    <n v="30"/>
    <n v="1994"/>
    <n v="55000"/>
    <n v="55000"/>
    <s v="Female"/>
    <s v="sales"/>
    <x v="2"/>
    <s v="Assistant"/>
    <d v="2020-02-20T00:00:00"/>
    <d v="2020-02-20T00:00:00"/>
    <s v="F"/>
    <n v="30"/>
    <s v="alice.chen@saltcorp.com"/>
    <s v="555-555-5555"/>
    <s v="contract"/>
    <x v="0"/>
    <s v="EMP-2018-0047"/>
    <x v="7"/>
    <m/>
    <m/>
    <m/>
    <n v="17"/>
    <s v="no"/>
    <s v="No"/>
    <x v="1"/>
    <x v="1"/>
    <x v="1"/>
  </r>
  <r>
    <s v="EMP-2018-0167"/>
    <s v="Jack"/>
    <s v="O'Neill"/>
    <s v="thirty"/>
    <n v="30"/>
    <n v="1994"/>
    <s v="SIXTY THOUSAND"/>
    <n v="60000"/>
    <s v="Male"/>
    <s v="sales"/>
    <x v="2"/>
    <s v="Assistant"/>
    <d v="2018-04-05T00:00:00"/>
    <d v="2018-04-05T00:00:00"/>
    <s v="F"/>
    <n v="47"/>
    <s v="jack.o'neill@saltcorp.com"/>
    <m/>
    <s v="Part-Time"/>
    <x v="2"/>
    <m/>
    <x v="5"/>
    <m/>
    <m/>
    <m/>
    <m/>
    <m/>
    <s v=""/>
    <x v="2"/>
    <x v="0"/>
    <x v="0"/>
  </r>
  <r>
    <s v="EMP-2020-0168"/>
    <s v="David"/>
    <s v="Walsh"/>
    <n v="35"/>
    <n v="35"/>
    <n v="1989"/>
    <n v="70000"/>
    <n v="70000"/>
    <s v="Male"/>
    <s v="HR"/>
    <x v="0"/>
    <s v="Clerk"/>
    <d v="2020-02-20T00:00:00"/>
    <d v="2020-02-20T00:00:00"/>
    <s v="A"/>
    <n v="98"/>
    <s v="david.walsh@saltcorp.com"/>
    <m/>
    <s v="Full-Time"/>
    <x v="1"/>
    <s v="EMP-2020-0046"/>
    <x v="4"/>
    <m/>
    <m/>
    <m/>
    <n v="47"/>
    <s v="Y"/>
    <s v="Yes"/>
    <x v="1"/>
    <x v="1"/>
    <x v="1"/>
  </r>
  <r>
    <s v="EMP-2020-0169"/>
    <s v="Grace"/>
    <s v="Barnett"/>
    <m/>
    <n v="42"/>
    <n v="1982"/>
    <n v="65000"/>
    <n v="65000"/>
    <s v="Female"/>
    <s v="HR"/>
    <x v="0"/>
    <s v="Manager"/>
    <d v="2020-02-20T00:00:00"/>
    <d v="2020-02-20T00:00:00"/>
    <s v="A"/>
    <n v="94"/>
    <s v="grace.barnett@saltcorp.com"/>
    <s v="555-555-5555"/>
    <s v="contract"/>
    <x v="0"/>
    <m/>
    <x v="7"/>
    <m/>
    <m/>
    <d v="2022-06-20T00:00:00"/>
    <m/>
    <s v="no"/>
    <s v="No"/>
    <x v="0"/>
    <x v="0"/>
    <x v="0"/>
  </r>
  <r>
    <s v="EMP-2020-0170"/>
    <s v="Bob"/>
    <s v="Figueroa"/>
    <m/>
    <n v="30"/>
    <n v="1994"/>
    <n v="55000"/>
    <n v="55000"/>
    <s v="Male"/>
    <s v="sales"/>
    <x v="2"/>
    <s v="Assistant"/>
    <d v="2020-01-15T00:00:00"/>
    <d v="2020-01-15T00:00:00"/>
    <s v="A"/>
    <n v="93"/>
    <s v="bob.figueroa@saltcorp.com"/>
    <m/>
    <s v="Full-Time"/>
    <x v="1"/>
    <m/>
    <x v="3"/>
    <m/>
    <m/>
    <d v="2024-08-12T00:00:00"/>
    <m/>
    <m/>
    <s v=""/>
    <x v="1"/>
    <x v="0"/>
    <x v="0"/>
  </r>
  <r>
    <s v="EMP-2019-0171"/>
    <s v="Charlie"/>
    <s v="Martin"/>
    <n v="40"/>
    <n v="40"/>
    <n v="1984"/>
    <s v="SIXTY THOUSAND"/>
    <n v="60000"/>
    <s v="Male"/>
    <s v="HR"/>
    <x v="0"/>
    <s v="Director"/>
    <d v="2019-12-01T00:00:00"/>
    <d v="2019-12-01T00:00:00"/>
    <s v="F"/>
    <n v="17"/>
    <s v="charlie.martin@saltcorp.com"/>
    <m/>
    <s v="Part-Time"/>
    <x v="2"/>
    <m/>
    <x v="2"/>
    <m/>
    <n v="4"/>
    <m/>
    <n v="52"/>
    <s v="YES"/>
    <s v="Yes"/>
    <x v="2"/>
    <x v="0"/>
    <x v="0"/>
  </r>
  <r>
    <s v="EMP-2019-0172"/>
    <s v="Alice"/>
    <s v="Hansen"/>
    <n v="40"/>
    <n v="40"/>
    <n v="1984"/>
    <n v="65000"/>
    <n v="65000"/>
    <s v="Female"/>
    <s v="Marketing"/>
    <x v="4"/>
    <s v="Manager"/>
    <d v="2019-12-01T00:00:00"/>
    <d v="2019-12-01T00:00:00"/>
    <s v="B"/>
    <n v="88"/>
    <s v="alice.hansen@saltcorp.com"/>
    <s v="555-555-5555"/>
    <s v="Full-Time"/>
    <x v="1"/>
    <s v="EMP-2018-0073"/>
    <x v="2"/>
    <m/>
    <m/>
    <m/>
    <m/>
    <s v="YES"/>
    <s v="Yes"/>
    <x v="2"/>
    <x v="0"/>
    <x v="0"/>
  </r>
  <r>
    <s v="EMP-2019-0173"/>
    <s v="Eve"/>
    <s v="Johnston"/>
    <n v="50"/>
    <n v="50"/>
    <n v="1974"/>
    <n v="65000"/>
    <n v="65000"/>
    <s v="Female"/>
    <s v="sales"/>
    <x v="2"/>
    <s v="Analyst"/>
    <d v="2019-12-01T00:00:00"/>
    <d v="2019-12-01T00:00:00"/>
    <s v="C"/>
    <n v="73"/>
    <s v="eve.johnston@saltcorp.com"/>
    <s v=" "/>
    <s v="Full-Time"/>
    <x v="1"/>
    <m/>
    <x v="6"/>
    <s v="N/A"/>
    <n v="15"/>
    <m/>
    <m/>
    <s v="no"/>
    <s v="No"/>
    <x v="1"/>
    <x v="1"/>
    <x v="1"/>
  </r>
  <r>
    <s v="EMP-2020-0174"/>
    <s v="Alice"/>
    <s v="Williams"/>
    <n v="50"/>
    <n v="50"/>
    <n v="1974"/>
    <n v="55000"/>
    <n v="55000"/>
    <s v="Male"/>
    <s v="HR"/>
    <x v="0"/>
    <s v="Clerk"/>
    <d v="2020-02-20T00:00:00"/>
    <d v="2020-02-20T00:00:00"/>
    <s v="C"/>
    <n v="78"/>
    <s v="alice.williams@saltcorp.com"/>
    <m/>
    <s v="Full-Time"/>
    <x v="1"/>
    <s v="EMP-2018-0043"/>
    <x v="5"/>
    <n v="4"/>
    <m/>
    <m/>
    <n v="30"/>
    <s v="YES"/>
    <s v="Yes"/>
    <x v="1"/>
    <x v="0"/>
    <x v="0"/>
  </r>
  <r>
    <s v="EMP-2020-0175"/>
    <s v="Hannah"/>
    <s v="Ward"/>
    <n v="25"/>
    <n v="25"/>
    <n v="1999"/>
    <n v="50000"/>
    <n v="50000"/>
    <s v="Female"/>
    <s v="it"/>
    <x v="3"/>
    <s v="Analyst"/>
    <d v="2020-01-15T00:00:00"/>
    <d v="2020-01-15T00:00:00"/>
    <s v="B"/>
    <n v="80"/>
    <s v="hannah.ward@saltcorp.com"/>
    <m/>
    <s v="Part-Time"/>
    <x v="2"/>
    <m/>
    <x v="5"/>
    <m/>
    <n v="2"/>
    <d v="2023-03-05T00:00:00"/>
    <m/>
    <s v="YES"/>
    <s v="Yes"/>
    <x v="1"/>
    <x v="1"/>
    <x v="1"/>
  </r>
  <r>
    <s v="EMP-2019-0176"/>
    <s v="Alice"/>
    <s v="Andrews"/>
    <s v="thirty"/>
    <n v="30"/>
    <n v="1994"/>
    <n v="55000"/>
    <n v="55000"/>
    <s v="Female"/>
    <s v="sales"/>
    <x v="2"/>
    <s v="Analyst"/>
    <d v="2019-03-25T00:00:00"/>
    <d v="2019-03-25T00:00:00"/>
    <s v="B"/>
    <n v="87"/>
    <s v="alice.andrews@saltcorp.com"/>
    <m/>
    <s v="Full-Time"/>
    <x v="1"/>
    <m/>
    <x v="7"/>
    <m/>
    <m/>
    <m/>
    <n v="78"/>
    <s v="YES"/>
    <s v="Yes"/>
    <x v="3"/>
    <x v="1"/>
    <x v="1"/>
  </r>
  <r>
    <s v="EMP-2020-0177"/>
    <s v="Alice"/>
    <s v="Rivera"/>
    <n v="40"/>
    <n v="40"/>
    <n v="1984"/>
    <s v="SIXTY THOUSAND"/>
    <n v="60000"/>
    <s v="Male"/>
    <s v="sales"/>
    <x v="2"/>
    <s v="Manager"/>
    <d v="2020-02-20T00:00:00"/>
    <d v="2020-02-20T00:00:00"/>
    <s v="C"/>
    <n v="77"/>
    <s v="alice.rivera@saltcorp.com"/>
    <m/>
    <s v="Part-Time"/>
    <x v="2"/>
    <m/>
    <x v="7"/>
    <m/>
    <m/>
    <m/>
    <n v="29"/>
    <s v="Y"/>
    <s v="Yes"/>
    <x v="1"/>
    <x v="0"/>
    <x v="0"/>
  </r>
  <r>
    <s v="EMP-2020-0178"/>
    <s v="Bob"/>
    <s v="Wilson"/>
    <m/>
    <n v="39"/>
    <n v="1985"/>
    <n v="65000"/>
    <n v="65000"/>
    <s v="Male"/>
    <s v="Marketing"/>
    <x v="4"/>
    <s v="Analyst"/>
    <d v="2020-02-20T00:00:00"/>
    <d v="2020-02-20T00:00:00"/>
    <s v="D"/>
    <n v="67"/>
    <s v="bob.wilson@saltcorp.com"/>
    <s v="555-555-5555"/>
    <s v="contract"/>
    <x v="0"/>
    <s v="EMP-2018-0085"/>
    <x v="4"/>
    <s v="N/A"/>
    <n v="11"/>
    <m/>
    <m/>
    <s v="YES"/>
    <s v="Yes"/>
    <x v="0"/>
    <x v="0"/>
    <x v="0"/>
  </r>
  <r>
    <s v="EMP-2020-0179"/>
    <s v="Bob"/>
    <s v="Garcia"/>
    <n v="35"/>
    <n v="35"/>
    <n v="1989"/>
    <n v="55000"/>
    <n v="55000"/>
    <s v="Female"/>
    <s v="finance"/>
    <x v="1"/>
    <s v="Assistant"/>
    <d v="2020-01-15T00:00:00"/>
    <d v="2020-01-15T00:00:00"/>
    <s v="A"/>
    <n v="91"/>
    <s v="bob.garcia@saltcorp.com"/>
    <s v=" "/>
    <s v="Part-Time"/>
    <x v="2"/>
    <m/>
    <x v="4"/>
    <n v="0"/>
    <m/>
    <m/>
    <m/>
    <s v="no"/>
    <s v="No"/>
    <x v="2"/>
    <x v="0"/>
    <x v="0"/>
  </r>
  <r>
    <s v="EMP-2018-0180"/>
    <s v="Frank"/>
    <s v="West"/>
    <m/>
    <n v="40"/>
    <n v="1984"/>
    <n v="50000"/>
    <n v="50000"/>
    <s v="Female"/>
    <s v="finance"/>
    <x v="1"/>
    <s v="Analyst"/>
    <d v="2018-04-05T00:00:00"/>
    <d v="2018-04-05T00:00:00"/>
    <s v="A"/>
    <n v="100"/>
    <s v="frank.west@saltcorp.com"/>
    <s v=" "/>
    <s v="Full-Time"/>
    <x v="1"/>
    <s v="EMP-2018-0034"/>
    <x v="2"/>
    <m/>
    <n v="5"/>
    <d v="2022-06-20T00:00:00"/>
    <m/>
    <s v="YES"/>
    <s v="Yes"/>
    <x v="4"/>
    <x v="1"/>
    <x v="1"/>
  </r>
  <r>
    <s v="EMP-2020-0181"/>
    <s v="Grace"/>
    <s v="Zhou"/>
    <s v="thirty"/>
    <n v="30"/>
    <n v="1994"/>
    <n v="55000"/>
    <n v="55000"/>
    <s v="Male"/>
    <s v="Marketing"/>
    <x v="4"/>
    <s v="Clerk"/>
    <d v="2020-02-20T00:00:00"/>
    <d v="2020-02-20T00:00:00"/>
    <s v="C"/>
    <n v="71"/>
    <s v="grace.zhou@saltcorp.com"/>
    <s v="123-456-7890"/>
    <s v="Full-Time"/>
    <x v="1"/>
    <s v="EMP-2019-0068"/>
    <x v="2"/>
    <m/>
    <n v="6"/>
    <m/>
    <m/>
    <m/>
    <s v=""/>
    <x v="0"/>
    <x v="1"/>
    <x v="1"/>
  </r>
  <r>
    <s v="EMP-2018-0182"/>
    <s v="Eve"/>
    <s v="Stevens"/>
    <n v="50"/>
    <n v="50"/>
    <n v="1974"/>
    <n v="70000"/>
    <n v="70000"/>
    <s v="Female"/>
    <s v="Marketing"/>
    <x v="4"/>
    <s v="Clerk"/>
    <d v="2018-04-05T00:00:00"/>
    <d v="2018-04-05T00:00:00"/>
    <s v="B"/>
    <n v="86"/>
    <s v="eve.stevens@saltcorp.com"/>
    <m/>
    <s v="contract"/>
    <x v="0"/>
    <m/>
    <x v="1"/>
    <m/>
    <m/>
    <d v="2023-01-15T00:00:00"/>
    <n v="75"/>
    <s v="no"/>
    <s v="No"/>
    <x v="2"/>
    <x v="0"/>
    <x v="0"/>
  </r>
  <r>
    <s v="EMP-2018-0183"/>
    <s v="Alice"/>
    <s v="Walker"/>
    <m/>
    <n v="54"/>
    <n v="1970"/>
    <n v="50000"/>
    <n v="50000"/>
    <s v="Female"/>
    <s v="Marketing"/>
    <x v="4"/>
    <s v="Director"/>
    <d v="2018-04-05T00:00:00"/>
    <d v="2018-04-05T00:00:00"/>
    <s v="D"/>
    <n v="66"/>
    <s v="alice.walker@saltcorp.com"/>
    <m/>
    <s v="contract"/>
    <x v="0"/>
    <m/>
    <x v="3"/>
    <m/>
    <m/>
    <d v="2022-06-20T00:00:00"/>
    <m/>
    <s v="Y"/>
    <s v="Yes"/>
    <x v="1"/>
    <x v="1"/>
    <x v="1"/>
  </r>
  <r>
    <s v="EMP-2019-0184"/>
    <s v="Alice"/>
    <s v="West"/>
    <n v="25"/>
    <n v="25"/>
    <n v="1999"/>
    <s v="SIXTY THOUSAND"/>
    <n v="60000"/>
    <s v="Female"/>
    <s v="finance"/>
    <x v="1"/>
    <s v="Clerk"/>
    <d v="2019-12-01T00:00:00"/>
    <d v="2019-12-01T00:00:00"/>
    <s v="C"/>
    <n v="79"/>
    <s v="alice.west@saltcorp.com"/>
    <s v="123-456-7890"/>
    <s v="Full-Time"/>
    <x v="1"/>
    <m/>
    <x v="5"/>
    <m/>
    <m/>
    <m/>
    <n v="71"/>
    <s v="no"/>
    <s v="No"/>
    <x v="0"/>
    <x v="0"/>
    <x v="0"/>
  </r>
  <r>
    <s v="EMP-2020-0185"/>
    <s v="Charlie"/>
    <s v="Clark"/>
    <s v="thirty"/>
    <n v="30"/>
    <n v="1994"/>
    <n v="65000"/>
    <n v="65000"/>
    <s v="Male"/>
    <s v="Marketing"/>
    <x v="4"/>
    <s v="Analyst"/>
    <d v="2020-01-15T00:00:00"/>
    <d v="2020-01-15T00:00:00"/>
    <s v="A"/>
    <n v="99"/>
    <s v="charlie.clark@saltcorp.com"/>
    <s v=" "/>
    <s v="contract"/>
    <x v="0"/>
    <m/>
    <x v="2"/>
    <m/>
    <n v="15"/>
    <d v="2022-06-20T00:00:00"/>
    <m/>
    <s v="no"/>
    <s v="No"/>
    <x v="4"/>
    <x v="0"/>
    <x v="0"/>
  </r>
  <r>
    <s v="EMP-2018-0186"/>
    <s v="Bob"/>
    <s v="Wilson"/>
    <n v="50"/>
    <n v="50"/>
    <n v="1974"/>
    <n v="55000"/>
    <n v="55000"/>
    <s v="Female"/>
    <s v="HR"/>
    <x v="0"/>
    <s v="Clerk"/>
    <d v="2018-04-05T00:00:00"/>
    <d v="2018-04-05T00:00:00"/>
    <s v="F"/>
    <n v="42"/>
    <s v="bob.wilson@saltcorp.com"/>
    <s v="098-765-4321"/>
    <s v="Part-Time"/>
    <x v="2"/>
    <m/>
    <x v="2"/>
    <n v="14"/>
    <n v="19"/>
    <m/>
    <m/>
    <s v="YES"/>
    <s v="Yes"/>
    <x v="2"/>
    <x v="0"/>
    <x v="0"/>
  </r>
  <r>
    <s v="EMP-2020-0187"/>
    <s v="Eve"/>
    <s v="Oliver"/>
    <n v="35"/>
    <n v="35"/>
    <n v="1989"/>
    <n v="50000"/>
    <n v="50000"/>
    <s v="Male"/>
    <s v="sales"/>
    <x v="2"/>
    <s v="Manager"/>
    <d v="2020-01-15T00:00:00"/>
    <d v="2020-01-15T00:00:00"/>
    <s v="B"/>
    <n v="82"/>
    <s v="eve.oliver@saltcorp.com"/>
    <s v="098-765-4321"/>
    <s v="Full-Time"/>
    <x v="1"/>
    <s v="EMP-2019-0088"/>
    <x v="4"/>
    <m/>
    <n v="20"/>
    <d v="2021-10-01T00:00:00"/>
    <n v="63"/>
    <s v="Y"/>
    <s v="Yes"/>
    <x v="2"/>
    <x v="0"/>
    <x v="0"/>
  </r>
  <r>
    <s v="EMP-2019-0188"/>
    <s v="Jack"/>
    <s v="Matthews"/>
    <n v="50"/>
    <n v="50"/>
    <n v="1974"/>
    <n v="70000"/>
    <n v="70000"/>
    <s v="Female"/>
    <s v="sales"/>
    <x v="2"/>
    <s v="Clerk"/>
    <d v="2019-12-01T00:00:00"/>
    <d v="2019-12-01T00:00:00"/>
    <s v="F"/>
    <n v="28"/>
    <s v="jack.matthews@saltcorp.com"/>
    <s v=" "/>
    <s v="contract"/>
    <x v="0"/>
    <s v="EMP-2019-0010"/>
    <x v="5"/>
    <n v="5"/>
    <m/>
    <d v="2023-01-15T00:00:00"/>
    <m/>
    <s v="Y"/>
    <s v="Yes"/>
    <x v="0"/>
    <x v="0"/>
    <x v="0"/>
  </r>
  <r>
    <s v="EMP-2020-0189"/>
    <s v="Frank"/>
    <s v="Sims"/>
    <n v="25"/>
    <n v="25"/>
    <n v="1999"/>
    <n v="50000"/>
    <n v="50000"/>
    <s v="Male"/>
    <s v="it"/>
    <x v="3"/>
    <s v="Assistant"/>
    <d v="2020-01-15T00:00:00"/>
    <d v="2020-01-15T00:00:00"/>
    <s v="C"/>
    <n v="74"/>
    <s v="frank.sims@saltcorp.com"/>
    <m/>
    <s v="Full-Time"/>
    <x v="1"/>
    <s v="EMP-2018-0009"/>
    <x v="6"/>
    <m/>
    <m/>
    <s v="N/A"/>
    <n v="60"/>
    <s v="no"/>
    <s v="No"/>
    <x v="3"/>
    <x v="0"/>
    <x v="0"/>
  </r>
  <r>
    <s v="EMP-2020-0190"/>
    <s v="Grace"/>
    <s v="Thomas"/>
    <s v="thirty"/>
    <n v="30"/>
    <n v="1994"/>
    <n v="60900"/>
    <n v="60900"/>
    <s v="Female"/>
    <s v="it"/>
    <x v="3"/>
    <s v="Manager"/>
    <d v="2020-02-20T00:00:00"/>
    <d v="2020-02-20T00:00:00"/>
    <s v="A"/>
    <n v="94"/>
    <s v="grace.thomas@saltcorp.com"/>
    <s v="098-765-4321"/>
    <s v="contract"/>
    <x v="0"/>
    <m/>
    <x v="6"/>
    <m/>
    <m/>
    <m/>
    <m/>
    <s v="YES"/>
    <s v="Yes"/>
    <x v="2"/>
    <x v="0"/>
    <x v="0"/>
  </r>
  <r>
    <s v="EMP-2018-0191"/>
    <s v="David"/>
    <s v="Mason"/>
    <n v="35"/>
    <n v="35"/>
    <n v="1989"/>
    <n v="70000"/>
    <n v="70000"/>
    <s v="Female"/>
    <s v="sales"/>
    <x v="2"/>
    <s v="Director"/>
    <d v="2018-04-05T00:00:00"/>
    <d v="2018-04-05T00:00:00"/>
    <s v="D"/>
    <n v="63"/>
    <s v="david.mason@saltcorp.com"/>
    <s v="555-555-5555"/>
    <s v="contract"/>
    <x v="0"/>
    <m/>
    <x v="1"/>
    <m/>
    <m/>
    <d v="2024-08-12T00:00:00"/>
    <m/>
    <s v="no"/>
    <s v="No"/>
    <x v="3"/>
    <x v="0"/>
    <x v="0"/>
  </r>
  <r>
    <s v="EMP-2020-0192"/>
    <s v="Grace"/>
    <s v="Li"/>
    <n v="25"/>
    <n v="25"/>
    <n v="1999"/>
    <s v="SIXTY THOUSAND"/>
    <n v="60000"/>
    <s v="Female"/>
    <s v="HR"/>
    <x v="0"/>
    <s v="Assistant"/>
    <d v="2020-01-15T00:00:00"/>
    <d v="2020-01-15T00:00:00"/>
    <s v="F"/>
    <n v="58"/>
    <s v="grace.li@saltcorp.com"/>
    <s v="555-555-5555"/>
    <s v="Full-Time"/>
    <x v="1"/>
    <m/>
    <x v="3"/>
    <n v="12"/>
    <m/>
    <m/>
    <m/>
    <s v="no"/>
    <s v="No"/>
    <x v="0"/>
    <x v="0"/>
    <x v="0"/>
  </r>
  <r>
    <s v="EMP-2019-0193"/>
    <s v="Hannah"/>
    <s v="Perry"/>
    <n v="50"/>
    <n v="50"/>
    <n v="1974"/>
    <n v="65000"/>
    <n v="65000"/>
    <s v="Male"/>
    <s v="finance"/>
    <x v="1"/>
    <s v="Analyst"/>
    <d v="2019-03-25T00:00:00"/>
    <d v="2019-03-25T00:00:00"/>
    <s v="D"/>
    <n v="60"/>
    <s v="hannah.perry@saltcorp.com"/>
    <s v="123-456-7890"/>
    <s v="contract"/>
    <x v="0"/>
    <m/>
    <x v="6"/>
    <m/>
    <m/>
    <m/>
    <m/>
    <s v="no"/>
    <s v="No"/>
    <x v="1"/>
    <x v="1"/>
    <x v="1"/>
  </r>
  <r>
    <s v="EMP-2020-0194"/>
    <s v="Alice"/>
    <s v="Martinez"/>
    <n v="25"/>
    <n v="25"/>
    <n v="1999"/>
    <s v="SIXTY THOUSAND"/>
    <n v="60000"/>
    <s v="Female"/>
    <s v="finance"/>
    <x v="1"/>
    <s v="Analyst"/>
    <d v="2020-01-15T00:00:00"/>
    <d v="2020-01-15T00:00:00"/>
    <s v="A"/>
    <n v="94"/>
    <s v="alice.martinez@saltcorp.com"/>
    <s v=" "/>
    <s v="Full-Time"/>
    <x v="1"/>
    <s v="EMP-2020-0093"/>
    <x v="1"/>
    <m/>
    <n v="0"/>
    <d v="2023-01-15T00:00:00"/>
    <m/>
    <s v="YES"/>
    <s v="Yes"/>
    <x v="3"/>
    <x v="1"/>
    <x v="1"/>
  </r>
  <r>
    <s v="EMP-2018-0195"/>
    <s v="Frank"/>
    <s v="Byrd"/>
    <s v="thirty"/>
    <n v="30"/>
    <n v="1994"/>
    <n v="55000"/>
    <n v="55000"/>
    <s v="Male"/>
    <s v="HR"/>
    <x v="0"/>
    <s v="Analyst"/>
    <d v="2018-04-05T00:00:00"/>
    <d v="2018-04-05T00:00:00"/>
    <s v="F"/>
    <n v="17"/>
    <s v="frank.byrd@saltcorp.com"/>
    <s v=" "/>
    <s v="Part-Time"/>
    <x v="2"/>
    <m/>
    <x v="6"/>
    <s v="N/A"/>
    <m/>
    <d v="2023-03-05T00:00:00"/>
    <n v="24"/>
    <s v="YES"/>
    <s v="Yes"/>
    <x v="2"/>
    <x v="0"/>
    <x v="0"/>
  </r>
  <r>
    <s v="EMP-2019-0196"/>
    <s v="Hannah"/>
    <s v="Long"/>
    <n v="40"/>
    <n v="40"/>
    <n v="1984"/>
    <n v="50000"/>
    <n v="50000"/>
    <s v="Male"/>
    <s v="finance"/>
    <x v="1"/>
    <s v="Assistant"/>
    <d v="2019-12-01T00:00:00"/>
    <d v="2019-12-01T00:00:00"/>
    <s v="D"/>
    <n v="67"/>
    <s v="hannah.long@saltcorp.com"/>
    <s v="098-765-4321"/>
    <s v="Full-Time"/>
    <x v="1"/>
    <m/>
    <x v="4"/>
    <s v="N/A"/>
    <n v="13"/>
    <m/>
    <m/>
    <s v="YES"/>
    <s v="Yes"/>
    <x v="1"/>
    <x v="1"/>
    <x v="1"/>
  </r>
  <r>
    <s v="EMP-2019-0197"/>
    <s v="Eve"/>
    <s v="Le"/>
    <n v="25"/>
    <n v="25"/>
    <n v="1999"/>
    <n v="61600"/>
    <n v="61600"/>
    <s v="Male"/>
    <s v="Marketing"/>
    <x v="4"/>
    <s v="Assistant"/>
    <d v="2019-12-01T00:00:00"/>
    <d v="2019-12-01T00:00:00"/>
    <s v="D"/>
    <n v="65"/>
    <s v="eve.le@saltcorp.com"/>
    <m/>
    <s v="Full-Time"/>
    <x v="1"/>
    <m/>
    <x v="5"/>
    <s v="N/A"/>
    <m/>
    <m/>
    <m/>
    <m/>
    <s v=""/>
    <x v="0"/>
    <x v="0"/>
    <x v="0"/>
  </r>
  <r>
    <s v="EMP-2018-0198"/>
    <s v="David"/>
    <s v="Kim"/>
    <n v="25"/>
    <n v="25"/>
    <n v="1999"/>
    <n v="70000"/>
    <n v="70000"/>
    <s v="Male"/>
    <s v="sales"/>
    <x v="2"/>
    <s v="Assistant"/>
    <d v="2018-04-05T00:00:00"/>
    <d v="2018-04-05T00:00:00"/>
    <s v="F"/>
    <n v="43"/>
    <s v="david.kim@saltcorp.com"/>
    <s v=" "/>
    <s v="contract"/>
    <x v="0"/>
    <m/>
    <x v="4"/>
    <s v="N/A"/>
    <n v="1"/>
    <m/>
    <m/>
    <m/>
    <s v=""/>
    <x v="1"/>
    <x v="1"/>
    <x v="1"/>
  </r>
  <r>
    <s v="EMP-2020-0199"/>
    <s v="Bob"/>
    <s v="Rodriguez"/>
    <n v="50"/>
    <n v="50"/>
    <n v="1974"/>
    <n v="70000"/>
    <n v="70000"/>
    <s v="Male"/>
    <s v="sales"/>
    <x v="2"/>
    <s v="Manager"/>
    <d v="2020-02-20T00:00:00"/>
    <d v="2020-02-20T00:00:00"/>
    <s v="A"/>
    <n v="99"/>
    <s v="bob.rodriguez@saltcorp.com"/>
    <s v="098-765-4321"/>
    <s v="contract"/>
    <x v="0"/>
    <m/>
    <x v="7"/>
    <m/>
    <n v="17"/>
    <d v="2023-01-15T00:00:00"/>
    <m/>
    <s v="no"/>
    <s v="No"/>
    <x v="0"/>
    <x v="0"/>
    <x v="0"/>
  </r>
  <r>
    <s v="EMP-2020-0200"/>
    <s v="Frank"/>
    <s v="Lopez"/>
    <n v="50"/>
    <n v="50"/>
    <n v="1974"/>
    <n v="50000"/>
    <n v="50000"/>
    <s v="Male"/>
    <s v="HR"/>
    <x v="0"/>
    <s v="Manager"/>
    <d v="2020-02-20T00:00:00"/>
    <d v="2020-02-20T00:00:00"/>
    <s v="D"/>
    <n v="68"/>
    <s v="frank.lopez@saltcorp.com"/>
    <s v="098-765-4321"/>
    <s v="contract"/>
    <x v="0"/>
    <s v="EMP-2020-0048"/>
    <x v="4"/>
    <m/>
    <m/>
    <m/>
    <m/>
    <m/>
    <s v=""/>
    <x v="2"/>
    <x v="0"/>
    <x v="0"/>
  </r>
  <r>
    <s v="EMP-2019-0201"/>
    <s v="Frank"/>
    <s v="Santos"/>
    <n v="35"/>
    <n v="35"/>
    <n v="1989"/>
    <n v="60800"/>
    <n v="60800"/>
    <s v="Male"/>
    <s v="finance"/>
    <x v="1"/>
    <s v="Analyst"/>
    <d v="2019-12-01T00:00:00"/>
    <d v="2019-12-01T00:00:00"/>
    <s v="C"/>
    <n v="72"/>
    <s v="frank.santos@saltcorp.com"/>
    <s v=" "/>
    <s v="Part-Time"/>
    <x v="2"/>
    <m/>
    <x v="5"/>
    <m/>
    <m/>
    <m/>
    <m/>
    <m/>
    <s v=""/>
    <x v="4"/>
    <x v="0"/>
    <x v="0"/>
  </r>
  <r>
    <s v="EMP-2019-0202"/>
    <s v="Alice"/>
    <s v="Armstrong"/>
    <n v="50"/>
    <n v="50"/>
    <n v="1974"/>
    <n v="50000"/>
    <n v="50000"/>
    <s v="Male"/>
    <s v="it"/>
    <x v="3"/>
    <s v="Clerk"/>
    <d v="2019-12-01T00:00:00"/>
    <d v="2019-12-01T00:00:00"/>
    <s v="F"/>
    <n v="22"/>
    <s v="alice.armstrong@saltcorp.com"/>
    <s v="098-765-4321"/>
    <s v="Full-Time"/>
    <x v="1"/>
    <m/>
    <x v="6"/>
    <m/>
    <m/>
    <m/>
    <n v="42"/>
    <s v="YES"/>
    <s v="Yes"/>
    <x v="1"/>
    <x v="0"/>
    <x v="0"/>
  </r>
  <r>
    <s v="EMP-2018-0203"/>
    <s v="Ivy"/>
    <s v="Walker"/>
    <m/>
    <n v="38"/>
    <n v="1986"/>
    <n v="55000"/>
    <n v="55000"/>
    <s v="Male"/>
    <s v="it"/>
    <x v="3"/>
    <s v="Analyst"/>
    <d v="2018-04-05T00:00:00"/>
    <d v="2018-04-05T00:00:00"/>
    <s v="B"/>
    <n v="85"/>
    <s v="ivy.walker@saltcorp.com"/>
    <s v="123-456-7890"/>
    <s v="Part-Time"/>
    <x v="2"/>
    <m/>
    <x v="1"/>
    <s v="N/A"/>
    <m/>
    <d v="2022-06-20T00:00:00"/>
    <m/>
    <m/>
    <s v=""/>
    <x v="0"/>
    <x v="1"/>
    <x v="1"/>
  </r>
  <r>
    <s v="EMP-2020-0204"/>
    <s v="Frank"/>
    <s v="Knight"/>
    <s v="thirty"/>
    <n v="30"/>
    <n v="1994"/>
    <s v="SIXTY THOUSAND"/>
    <n v="60000"/>
    <s v="Male"/>
    <s v="finance"/>
    <x v="1"/>
    <s v="Director"/>
    <d v="2020-02-20T00:00:00"/>
    <d v="2020-02-20T00:00:00"/>
    <s v="B"/>
    <n v="85"/>
    <s v="frank.knight@saltcorp.com"/>
    <s v="123-456-7890"/>
    <s v="Part-Time"/>
    <x v="2"/>
    <m/>
    <x v="1"/>
    <m/>
    <n v="9"/>
    <m/>
    <m/>
    <s v="YES"/>
    <s v="Yes"/>
    <x v="1"/>
    <x v="1"/>
    <x v="1"/>
  </r>
  <r>
    <s v="EMP-2019-0205"/>
    <s v="Charlie"/>
    <s v="Jackson"/>
    <s v="thirty"/>
    <n v="30"/>
    <n v="1994"/>
    <n v="70000"/>
    <n v="70000"/>
    <s v="Male"/>
    <s v="it"/>
    <x v="3"/>
    <s v="Manager"/>
    <d v="2019-12-01T00:00:00"/>
    <d v="2019-12-01T00:00:00"/>
    <s v="A"/>
    <n v="100"/>
    <s v="charlie.jackson@saltcorp.com"/>
    <s v=" "/>
    <s v="Full-Time"/>
    <x v="1"/>
    <m/>
    <x v="4"/>
    <m/>
    <m/>
    <m/>
    <m/>
    <s v="no"/>
    <s v="No"/>
    <x v="3"/>
    <x v="1"/>
    <x v="1"/>
  </r>
  <r>
    <s v="EMP-2020-0206"/>
    <s v="David"/>
    <s v="O'Brien"/>
    <n v="40"/>
    <n v="40"/>
    <n v="1984"/>
    <n v="55000"/>
    <n v="55000"/>
    <s v="Male"/>
    <s v="HR"/>
    <x v="0"/>
    <s v="Assistant"/>
    <d v="2020-02-20T00:00:00"/>
    <d v="2020-02-20T00:00:00"/>
    <s v="C"/>
    <n v="74"/>
    <s v="david.o'brien@saltcorp.com"/>
    <m/>
    <s v="Full-Time"/>
    <x v="1"/>
    <m/>
    <x v="6"/>
    <m/>
    <m/>
    <d v="2023-01-15T00:00:00"/>
    <n v="22"/>
    <s v="no"/>
    <s v="No"/>
    <x v="0"/>
    <x v="0"/>
    <x v="0"/>
  </r>
  <r>
    <s v="EMP-2019-0207"/>
    <s v="David"/>
    <s v="Vega"/>
    <n v="40"/>
    <n v="40"/>
    <n v="1984"/>
    <s v="SIXTY THOUSAND"/>
    <n v="60000"/>
    <s v="Female"/>
    <s v="HR"/>
    <x v="0"/>
    <s v="Manager"/>
    <d v="2019-12-01T00:00:00"/>
    <d v="2019-12-01T00:00:00"/>
    <s v="D"/>
    <n v="68"/>
    <s v="david.vega@saltcorp.com"/>
    <s v="123-456-7890"/>
    <s v="contract"/>
    <x v="0"/>
    <m/>
    <x v="2"/>
    <m/>
    <m/>
    <d v="2022-06-20T00:00:00"/>
    <m/>
    <s v="YES"/>
    <s v="Yes"/>
    <x v="4"/>
    <x v="0"/>
    <x v="0"/>
  </r>
  <r>
    <s v="EMP-2020-0208"/>
    <s v="Charlie"/>
    <s v="Riley"/>
    <s v="thirty"/>
    <n v="30"/>
    <n v="1994"/>
    <n v="55000"/>
    <n v="55000"/>
    <s v="Male"/>
    <s v="finance"/>
    <x v="1"/>
    <s v="Assistant"/>
    <d v="2020-01-15T00:00:00"/>
    <d v="2020-01-15T00:00:00"/>
    <s v="B"/>
    <n v="80"/>
    <s v="charlie.riley@saltcorp.com"/>
    <s v="123-456-7890"/>
    <s v="contract"/>
    <x v="0"/>
    <m/>
    <x v="7"/>
    <n v="4"/>
    <m/>
    <d v="2023-03-05T00:00:00"/>
    <m/>
    <s v="YES"/>
    <s v="Yes"/>
    <x v="4"/>
    <x v="0"/>
    <x v="0"/>
  </r>
  <r>
    <s v="EMP-2019-0209"/>
    <s v="Jack"/>
    <s v="O'Connor"/>
    <n v="40"/>
    <n v="40"/>
    <n v="1984"/>
    <n v="60100"/>
    <n v="60100"/>
    <s v="Male"/>
    <s v="it"/>
    <x v="3"/>
    <s v="Director"/>
    <d v="2019-03-25T00:00:00"/>
    <d v="2019-03-25T00:00:00"/>
    <s v="A"/>
    <n v="99"/>
    <s v="jack.o'connor@saltcorp.com"/>
    <s v=" "/>
    <s v="Full-Time"/>
    <x v="1"/>
    <s v="EMP-2019-0074"/>
    <x v="4"/>
    <m/>
    <m/>
    <d v="2023-01-15T00:00:00"/>
    <n v="12"/>
    <s v="no"/>
    <s v="No"/>
    <x v="1"/>
    <x v="0"/>
    <x v="0"/>
  </r>
  <r>
    <s v="EMP-2020-0210"/>
    <s v="Charlie"/>
    <s v="Powers"/>
    <n v="35"/>
    <n v="35"/>
    <n v="1989"/>
    <n v="70000"/>
    <n v="70000"/>
    <s v="Male"/>
    <s v="HR"/>
    <x v="0"/>
    <s v="Director"/>
    <d v="2020-01-15T00:00:00"/>
    <d v="2020-01-15T00:00:00"/>
    <s v="C"/>
    <n v="72"/>
    <s v="charlie.powers@saltcorp.com"/>
    <s v="555-555-5555"/>
    <s v="contract"/>
    <x v="0"/>
    <m/>
    <x v="1"/>
    <m/>
    <n v="2"/>
    <m/>
    <m/>
    <s v="no"/>
    <s v="No"/>
    <x v="2"/>
    <x v="0"/>
    <x v="0"/>
  </r>
  <r>
    <s v="EMP-2019-0211"/>
    <s v="Charlie"/>
    <s v="Johnston"/>
    <n v="50"/>
    <n v="50"/>
    <n v="1974"/>
    <n v="50000"/>
    <n v="50000"/>
    <s v="Male"/>
    <s v="HR"/>
    <x v="0"/>
    <s v="Manager"/>
    <d v="2019-12-01T00:00:00"/>
    <d v="2019-12-01T00:00:00"/>
    <s v="C"/>
    <n v="70"/>
    <s v="charlie.johnston@saltcorp.com"/>
    <s v="098-765-4321"/>
    <s v="Part-Time"/>
    <x v="2"/>
    <s v="EMP-2020-0072"/>
    <x v="1"/>
    <m/>
    <m/>
    <d v="2023-03-05T00:00:00"/>
    <n v="58"/>
    <s v="Y"/>
    <s v="Yes"/>
    <x v="1"/>
    <x v="0"/>
    <x v="0"/>
  </r>
  <r>
    <s v="EMP-2019-0212"/>
    <s v="David"/>
    <s v="Patel"/>
    <s v="thirty"/>
    <n v="30"/>
    <n v="1994"/>
    <n v="50000"/>
    <n v="50000"/>
    <s v="Female"/>
    <s v="Marketing"/>
    <x v="4"/>
    <s v="Assistant"/>
    <d v="2019-03-25T00:00:00"/>
    <d v="2019-03-25T00:00:00"/>
    <s v="A"/>
    <n v="93"/>
    <s v="david.patel@saltcorp.com"/>
    <s v="123-456-7890"/>
    <s v="Part-Time"/>
    <x v="2"/>
    <m/>
    <x v="5"/>
    <m/>
    <n v="18"/>
    <m/>
    <n v="36"/>
    <s v="YES"/>
    <s v="Yes"/>
    <x v="0"/>
    <x v="0"/>
    <x v="0"/>
  </r>
  <r>
    <s v="EMP-2019-0213"/>
    <s v="Grace"/>
    <s v="Wu"/>
    <n v="40"/>
    <n v="40"/>
    <n v="1984"/>
    <s v="SIXTY THOUSAND"/>
    <n v="60000"/>
    <s v="Female"/>
    <s v="Marketing"/>
    <x v="4"/>
    <s v="Director"/>
    <d v="2019-03-25T00:00:00"/>
    <d v="2019-03-25T00:00:00"/>
    <s v="A"/>
    <n v="98"/>
    <s v="grace.wu@saltcorp.com"/>
    <s v="555-555-5555"/>
    <s v="Part-Time"/>
    <x v="2"/>
    <m/>
    <x v="6"/>
    <m/>
    <m/>
    <d v="2021-10-01T00:00:00"/>
    <n v="22"/>
    <s v="YES"/>
    <s v="Yes"/>
    <x v="1"/>
    <x v="0"/>
    <x v="0"/>
  </r>
  <r>
    <s v="EMP-2019-0214"/>
    <s v="David"/>
    <s v="Santos"/>
    <s v="thirty"/>
    <n v="30"/>
    <n v="1994"/>
    <n v="65000"/>
    <n v="65000"/>
    <s v="Male"/>
    <s v="HR"/>
    <x v="0"/>
    <s v="Analyst"/>
    <d v="2019-12-01T00:00:00"/>
    <d v="2019-12-01T00:00:00"/>
    <s v="D"/>
    <n v="62"/>
    <s v="david.santos@saltcorp.com"/>
    <m/>
    <s v="Part-Time"/>
    <x v="2"/>
    <m/>
    <x v="1"/>
    <n v="5"/>
    <m/>
    <d v="2024-08-12T00:00:00"/>
    <m/>
    <s v="YES"/>
    <s v="Yes"/>
    <x v="1"/>
    <x v="0"/>
    <x v="0"/>
  </r>
  <r>
    <s v="EMP-2019-0215"/>
    <s v="Ivy"/>
    <s v="Gutierrez"/>
    <m/>
    <n v="30"/>
    <n v="1994"/>
    <n v="60800"/>
    <n v="60800"/>
    <s v="Female"/>
    <s v="finance"/>
    <x v="1"/>
    <s v="Analyst"/>
    <d v="2019-12-01T00:00:00"/>
    <d v="2019-12-01T00:00:00"/>
    <s v="A"/>
    <n v="94"/>
    <s v="ivy.gutierrez@saltcorp.com"/>
    <s v="555-555-5555"/>
    <s v="contract"/>
    <x v="0"/>
    <m/>
    <x v="7"/>
    <m/>
    <n v="2"/>
    <m/>
    <n v="40"/>
    <s v="no"/>
    <s v="No"/>
    <x v="3"/>
    <x v="0"/>
    <x v="0"/>
  </r>
  <r>
    <s v="EMP-2020-0216"/>
    <s v="Alice"/>
    <s v="Jordan"/>
    <n v="25"/>
    <n v="25"/>
    <n v="1999"/>
    <s v="SIXTY THOUSAND"/>
    <n v="60000"/>
    <s v="Male"/>
    <s v="sales"/>
    <x v="2"/>
    <s v="Assistant"/>
    <d v="2020-02-20T00:00:00"/>
    <d v="2020-02-20T00:00:00"/>
    <s v="D"/>
    <n v="67"/>
    <s v="alice.jordan@saltcorp.com"/>
    <s v=" "/>
    <s v="Full-Time"/>
    <x v="1"/>
    <m/>
    <x v="5"/>
    <m/>
    <m/>
    <m/>
    <n v="71"/>
    <s v="no"/>
    <s v="No"/>
    <x v="0"/>
    <x v="0"/>
    <x v="0"/>
  </r>
  <r>
    <s v="EMP-2019-0217"/>
    <s v="Hannah"/>
    <s v="Oliver"/>
    <n v="50"/>
    <n v="50"/>
    <n v="1974"/>
    <n v="65000"/>
    <n v="65000"/>
    <s v="Female"/>
    <s v="sales"/>
    <x v="2"/>
    <s v="Manager"/>
    <d v="2019-12-01T00:00:00"/>
    <d v="2019-12-01T00:00:00"/>
    <s v="D"/>
    <n v="69"/>
    <s v="hannah.oliver@saltcorp.com"/>
    <m/>
    <s v="Part-Time"/>
    <x v="2"/>
    <m/>
    <x v="3"/>
    <n v="7"/>
    <n v="19"/>
    <m/>
    <m/>
    <s v="YES"/>
    <s v="Yes"/>
    <x v="0"/>
    <x v="0"/>
    <x v="0"/>
  </r>
  <r>
    <s v="EMP-2018-0218"/>
    <s v="Grace"/>
    <s v="Yang"/>
    <s v="thirty"/>
    <n v="30"/>
    <n v="1994"/>
    <n v="55000"/>
    <n v="55000"/>
    <s v="Female"/>
    <s v="HR"/>
    <x v="0"/>
    <s v="Director"/>
    <d v="2018-04-05T00:00:00"/>
    <d v="2018-04-05T00:00:00"/>
    <s v="F"/>
    <n v="21"/>
    <s v="grace.yang@saltcorp.com"/>
    <m/>
    <s v="Part-Time"/>
    <x v="2"/>
    <m/>
    <x v="2"/>
    <m/>
    <n v="1"/>
    <m/>
    <m/>
    <s v="no"/>
    <s v="No"/>
    <x v="0"/>
    <x v="0"/>
    <x v="0"/>
  </r>
  <r>
    <s v="EMP-2019-0219"/>
    <s v="Bob"/>
    <s v="Rivera"/>
    <n v="25"/>
    <n v="25"/>
    <n v="1999"/>
    <n v="59000"/>
    <n v="59000"/>
    <s v="Male"/>
    <s v="HR"/>
    <x v="0"/>
    <s v="Manager"/>
    <d v="2019-12-01T00:00:00"/>
    <d v="2019-12-01T00:00:00"/>
    <s v="C"/>
    <n v="70"/>
    <s v="bob.rivera@saltcorp.com"/>
    <s v="555-555-5555"/>
    <s v="Full-Time"/>
    <x v="1"/>
    <m/>
    <x v="7"/>
    <m/>
    <n v="12"/>
    <m/>
    <m/>
    <m/>
    <s v=""/>
    <x v="2"/>
    <x v="1"/>
    <x v="1"/>
  </r>
  <r>
    <s v="EMP-2018-0220"/>
    <s v="Hannah"/>
    <s v="Long"/>
    <n v="40"/>
    <n v="40"/>
    <n v="1984"/>
    <n v="55000"/>
    <n v="55000"/>
    <s v="Female"/>
    <s v="HR"/>
    <x v="0"/>
    <s v="Analyst"/>
    <d v="2018-04-05T00:00:00"/>
    <d v="2018-04-05T00:00:00"/>
    <s v="C"/>
    <n v="79"/>
    <s v="hannah.long@saltcorp.com"/>
    <s v=" "/>
    <s v="Part-Time"/>
    <x v="2"/>
    <s v="EMP-2020-0077"/>
    <x v="0"/>
    <s v="N/A"/>
    <n v="13"/>
    <d v="2022-06-20T00:00:00"/>
    <n v="63"/>
    <s v="YES"/>
    <s v="Yes"/>
    <x v="1"/>
    <x v="1"/>
    <x v="1"/>
  </r>
  <r>
    <s v="EMP-2019-0221"/>
    <s v="Alice"/>
    <s v="Vega"/>
    <n v="25"/>
    <n v="25"/>
    <n v="1999"/>
    <n v="70000"/>
    <n v="70000"/>
    <s v="Male"/>
    <s v="finance"/>
    <x v="1"/>
    <s v="Director"/>
    <d v="2019-12-01T00:00:00"/>
    <d v="2019-12-01T00:00:00"/>
    <s v="C"/>
    <n v="78"/>
    <s v="alice.vega@saltcorp.com"/>
    <s v="123-456-7890"/>
    <s v="Full-Time"/>
    <x v="1"/>
    <m/>
    <x v="2"/>
    <m/>
    <n v="14"/>
    <m/>
    <m/>
    <m/>
    <s v=""/>
    <x v="0"/>
    <x v="0"/>
    <x v="0"/>
  </r>
  <r>
    <s v="EMP-2020-0222"/>
    <s v="Ivy"/>
    <s v="Rivera"/>
    <n v="50"/>
    <n v="50"/>
    <n v="1974"/>
    <n v="60000"/>
    <n v="60000"/>
    <s v="Female"/>
    <s v="Marketing"/>
    <x v="4"/>
    <s v="Manager"/>
    <d v="2020-02-20T00:00:00"/>
    <d v="2020-02-20T00:00:00"/>
    <s v="F"/>
    <n v="29"/>
    <s v="ivy.rivera@saltcorp.com"/>
    <s v="555-555-5555"/>
    <s v="Part-Time"/>
    <x v="2"/>
    <m/>
    <x v="5"/>
    <n v="13"/>
    <m/>
    <d v="2023-03-05T00:00:00"/>
    <m/>
    <s v="Y"/>
    <s v="Yes"/>
    <x v="2"/>
    <x v="1"/>
    <x v="1"/>
  </r>
  <r>
    <s v="EMP-2018-0223"/>
    <s v="Ivy"/>
    <s v="Singh"/>
    <s v="thirty"/>
    <n v="30"/>
    <n v="1994"/>
    <n v="65000"/>
    <n v="65000"/>
    <s v="Female"/>
    <s v="HR"/>
    <x v="0"/>
    <s v="Clerk"/>
    <d v="2018-04-05T00:00:00"/>
    <d v="2018-04-05T00:00:00"/>
    <s v="D"/>
    <n v="69"/>
    <s v="ivy.singh@saltcorp.com"/>
    <s v="123-456-7890"/>
    <s v="contract"/>
    <x v="0"/>
    <m/>
    <x v="6"/>
    <m/>
    <n v="3"/>
    <m/>
    <m/>
    <s v="no"/>
    <s v="No"/>
    <x v="2"/>
    <x v="0"/>
    <x v="0"/>
  </r>
  <r>
    <s v="EMP-2020-0224"/>
    <s v="Bob"/>
    <s v="Davis"/>
    <m/>
    <n v="33"/>
    <n v="1991"/>
    <n v="70000"/>
    <n v="70000"/>
    <s v="Male"/>
    <s v="HR"/>
    <x v="0"/>
    <s v="Assistant"/>
    <d v="2020-01-15T00:00:00"/>
    <d v="2020-01-15T00:00:00"/>
    <s v="D"/>
    <n v="65"/>
    <s v="bob.davis@saltcorp.com"/>
    <s v="555-555-5555"/>
    <s v="Full-Time"/>
    <x v="1"/>
    <m/>
    <x v="0"/>
    <m/>
    <m/>
    <m/>
    <m/>
    <m/>
    <s v=""/>
    <x v="3"/>
    <x v="1"/>
    <x v="1"/>
  </r>
  <r>
    <s v="EMP-2018-0225"/>
    <s v="Grace"/>
    <s v="Zhang"/>
    <n v="40"/>
    <n v="40"/>
    <n v="1984"/>
    <n v="50000"/>
    <n v="50000"/>
    <s v="Male"/>
    <s v="it"/>
    <x v="3"/>
    <s v="Assistant"/>
    <d v="2018-04-05T00:00:00"/>
    <d v="2018-04-05T00:00:00"/>
    <s v="A"/>
    <n v="97"/>
    <s v="grace.zhang@saltcorp.com"/>
    <s v="123-456-7890"/>
    <s v="Full-Time"/>
    <x v="1"/>
    <m/>
    <x v="1"/>
    <m/>
    <m/>
    <m/>
    <m/>
    <s v="no"/>
    <s v="No"/>
    <x v="2"/>
    <x v="0"/>
    <x v="0"/>
  </r>
  <r>
    <s v="EMP-2020-0226"/>
    <s v="Jack"/>
    <s v="Murphy"/>
    <s v="thirty"/>
    <n v="30"/>
    <n v="1994"/>
    <n v="65000"/>
    <n v="65000"/>
    <s v="Male"/>
    <s v="finance"/>
    <x v="1"/>
    <s v="Clerk"/>
    <d v="2020-02-20T00:00:00"/>
    <d v="2020-02-20T00:00:00"/>
    <s v="F"/>
    <n v="21"/>
    <s v="jack.murphy@saltcorp.com"/>
    <s v="555-555-5555"/>
    <s v="Full-Time"/>
    <x v="1"/>
    <m/>
    <x v="2"/>
    <s v="N/A"/>
    <m/>
    <d v="2024-08-12T00:00:00"/>
    <n v="19"/>
    <s v="YES"/>
    <s v="Yes"/>
    <x v="1"/>
    <x v="1"/>
    <x v="1"/>
  </r>
  <r>
    <s v="EMP-2018-0227"/>
    <s v="Charlie"/>
    <s v="Sims"/>
    <n v="50"/>
    <n v="50"/>
    <n v="1974"/>
    <s v="SIXTY THOUSAND"/>
    <n v="60000"/>
    <s v="Male"/>
    <s v="HR"/>
    <x v="0"/>
    <s v="Analyst"/>
    <d v="2018-04-05T00:00:00"/>
    <d v="2018-04-05T00:00:00"/>
    <s v="A"/>
    <n v="91"/>
    <s v="charlie.sims@saltcorp.com"/>
    <m/>
    <s v="contract"/>
    <x v="0"/>
    <m/>
    <x v="6"/>
    <m/>
    <m/>
    <m/>
    <m/>
    <s v="YES"/>
    <s v="Yes"/>
    <x v="2"/>
    <x v="0"/>
    <x v="0"/>
  </r>
  <r>
    <s v="EMP-2019-0228"/>
    <s v="Grace"/>
    <s v="Zhang"/>
    <n v="40"/>
    <n v="40"/>
    <n v="1984"/>
    <n v="50000"/>
    <n v="50000"/>
    <s v="Female"/>
    <s v="it"/>
    <x v="3"/>
    <s v="Director"/>
    <d v="2019-12-01T00:00:00"/>
    <d v="2019-12-01T00:00:00"/>
    <s v="F"/>
    <n v="55"/>
    <s v="grace.zhang@saltcorp.com"/>
    <s v="098-765-4321"/>
    <s v="Full-Time"/>
    <x v="1"/>
    <s v="EMP-2019-0077"/>
    <x v="4"/>
    <s v="N/A"/>
    <m/>
    <m/>
    <m/>
    <m/>
    <s v=""/>
    <x v="3"/>
    <x v="0"/>
    <x v="0"/>
  </r>
  <r>
    <s v="EMP-2019-0229"/>
    <s v="Jack"/>
    <s v="Murphy"/>
    <n v="35"/>
    <n v="35"/>
    <n v="1989"/>
    <n v="50000"/>
    <n v="50000"/>
    <s v="Female"/>
    <s v="sales"/>
    <x v="2"/>
    <s v="Assistant"/>
    <d v="2019-12-01T00:00:00"/>
    <d v="2019-12-01T00:00:00"/>
    <s v="A"/>
    <n v="100"/>
    <s v="jack.murphy@saltcorp.com"/>
    <m/>
    <s v="Full-Time"/>
    <x v="1"/>
    <s v="EMP-2019-0028"/>
    <x v="7"/>
    <m/>
    <m/>
    <d v="2023-03-05T00:00:00"/>
    <n v="60"/>
    <s v="no"/>
    <s v="No"/>
    <x v="2"/>
    <x v="0"/>
    <x v="0"/>
  </r>
  <r>
    <s v="EMP-2020-0230"/>
    <s v="Ivy"/>
    <s v="Desai"/>
    <n v="25"/>
    <n v="25"/>
    <n v="1999"/>
    <s v="SIXTY THOUSAND"/>
    <n v="60000"/>
    <s v="Male"/>
    <s v="HR"/>
    <x v="0"/>
    <s v="Clerk"/>
    <d v="2020-02-20T00:00:00"/>
    <d v="2020-02-20T00:00:00"/>
    <s v="B"/>
    <n v="85"/>
    <s v="ivy.desai@saltcorp.com"/>
    <s v="123-456-7890"/>
    <s v="contract"/>
    <x v="0"/>
    <s v="EMP-2019-0042"/>
    <x v="7"/>
    <n v="1"/>
    <m/>
    <d v="2024-08-12T00:00:00"/>
    <m/>
    <s v="no"/>
    <s v="No"/>
    <x v="2"/>
    <x v="0"/>
    <x v="0"/>
  </r>
  <r>
    <s v="EMP-2019-0231"/>
    <s v="David"/>
    <s v="Sims"/>
    <n v="50"/>
    <n v="50"/>
    <n v="1974"/>
    <n v="58800"/>
    <n v="58800"/>
    <s v="Male"/>
    <s v="HR"/>
    <x v="0"/>
    <s v="Clerk"/>
    <d v="2019-03-25T00:00:00"/>
    <d v="2019-03-25T00:00:00"/>
    <s v="C"/>
    <n v="78"/>
    <s v="david.sims@saltcorp.com"/>
    <s v=" "/>
    <s v="Part-Time"/>
    <x v="2"/>
    <s v="EMP-2020-0056"/>
    <x v="4"/>
    <m/>
    <m/>
    <d v="2022-06-20T00:00:00"/>
    <m/>
    <s v="Y"/>
    <s v="Yes"/>
    <x v="2"/>
    <x v="0"/>
    <x v="0"/>
  </r>
  <r>
    <s v="EMP-2019-0232"/>
    <s v="Alice"/>
    <s v="Figueroa"/>
    <n v="35"/>
    <n v="35"/>
    <n v="1989"/>
    <n v="50000"/>
    <n v="50000"/>
    <s v="Female"/>
    <s v="it"/>
    <x v="3"/>
    <s v="Analyst"/>
    <d v="2019-12-01T00:00:00"/>
    <d v="2019-12-01T00:00:00"/>
    <s v="C"/>
    <n v="78"/>
    <s v="alice.figueroa@saltcorp.com"/>
    <m/>
    <s v="Full-Time"/>
    <x v="1"/>
    <s v="EMP-2020-0091"/>
    <x v="1"/>
    <n v="12"/>
    <m/>
    <m/>
    <m/>
    <s v="YES"/>
    <s v="Yes"/>
    <x v="3"/>
    <x v="1"/>
    <x v="1"/>
  </r>
  <r>
    <s v="EMP-2020-0233"/>
    <s v="Bob"/>
    <s v="Smith"/>
    <s v="thirty"/>
    <n v="30"/>
    <n v="1994"/>
    <n v="65000"/>
    <n v="65000"/>
    <s v="Female"/>
    <s v="finance"/>
    <x v="1"/>
    <s v="Analyst"/>
    <d v="2020-01-15T00:00:00"/>
    <d v="2020-01-15T00:00:00"/>
    <s v="D"/>
    <n v="63"/>
    <s v="bob.smith@saltcorp.com"/>
    <s v="098-765-4321"/>
    <s v="Part-Time"/>
    <x v="2"/>
    <s v="EMP-2020-0046"/>
    <x v="1"/>
    <m/>
    <n v="16"/>
    <m/>
    <m/>
    <s v="YES"/>
    <s v="Yes"/>
    <x v="1"/>
    <x v="1"/>
    <x v="1"/>
  </r>
  <r>
    <s v="EMP-2020-0234"/>
    <s v="Alice"/>
    <s v="Martinez"/>
    <m/>
    <n v="46"/>
    <n v="1978"/>
    <n v="70000"/>
    <n v="70000"/>
    <s v="Female"/>
    <s v="HR"/>
    <x v="0"/>
    <s v="Manager"/>
    <d v="2020-02-20T00:00:00"/>
    <d v="2020-02-20T00:00:00"/>
    <s v="B"/>
    <n v="86"/>
    <s v="alice.martinez@saltcorp.com"/>
    <s v="123-456-7890"/>
    <s v="Part-Time"/>
    <x v="2"/>
    <m/>
    <x v="4"/>
    <m/>
    <m/>
    <m/>
    <m/>
    <s v="no"/>
    <s v="No"/>
    <x v="3"/>
    <x v="1"/>
    <x v="1"/>
  </r>
  <r>
    <s v="EMP-2018-0235"/>
    <s v="Eve"/>
    <s v="Carter"/>
    <n v="40"/>
    <n v="40"/>
    <n v="1984"/>
    <n v="50000"/>
    <n v="50000"/>
    <s v="Female"/>
    <s v="sales"/>
    <x v="2"/>
    <s v="Assistant"/>
    <d v="2018-04-05T00:00:00"/>
    <d v="2018-04-05T00:00:00"/>
    <s v="C"/>
    <n v="70"/>
    <s v="eve.carter@saltcorp.com"/>
    <m/>
    <s v="Full-Time"/>
    <x v="1"/>
    <m/>
    <x v="5"/>
    <m/>
    <m/>
    <d v="2023-03-05T00:00:00"/>
    <n v="80"/>
    <s v="YES"/>
    <s v="Yes"/>
    <x v="4"/>
    <x v="0"/>
    <x v="0"/>
  </r>
  <r>
    <s v="EMP-2018-0236"/>
    <s v="Eve"/>
    <s v="Wallace"/>
    <n v="25"/>
    <n v="25"/>
    <n v="1999"/>
    <n v="65000"/>
    <n v="65000"/>
    <s v="Female"/>
    <s v="HR"/>
    <x v="0"/>
    <s v="Manager"/>
    <d v="2018-04-05T00:00:00"/>
    <d v="2018-04-05T00:00:00"/>
    <s v="D"/>
    <n v="65"/>
    <s v="eve.wallace@saltcorp.com"/>
    <s v="555-555-5555"/>
    <s v="Full-Time"/>
    <x v="1"/>
    <m/>
    <x v="1"/>
    <s v="N/A"/>
    <m/>
    <m/>
    <m/>
    <m/>
    <s v=""/>
    <x v="2"/>
    <x v="0"/>
    <x v="0"/>
  </r>
  <r>
    <s v="EMP-2020-0237"/>
    <s v="Grace"/>
    <s v="McCoy"/>
    <n v="40"/>
    <n v="40"/>
    <n v="1984"/>
    <n v="55000"/>
    <n v="55000"/>
    <s v="Male"/>
    <s v="sales"/>
    <x v="2"/>
    <s v="Clerk"/>
    <d v="2020-01-15T00:00:00"/>
    <d v="2020-01-15T00:00:00"/>
    <s v="B"/>
    <n v="83"/>
    <s v="grace.mccoy@saltcorp.com"/>
    <s v=" "/>
    <s v="contract"/>
    <x v="0"/>
    <s v="EMP-2018-0052"/>
    <x v="2"/>
    <m/>
    <m/>
    <m/>
    <n v="76"/>
    <s v="no"/>
    <s v="No"/>
    <x v="1"/>
    <x v="1"/>
    <x v="1"/>
  </r>
  <r>
    <s v="EMP-2019-0238"/>
    <s v="Ivy"/>
    <s v="Gupta"/>
    <s v="thirty"/>
    <n v="30"/>
    <n v="1994"/>
    <n v="65000"/>
    <n v="65000"/>
    <s v="Male"/>
    <s v="Marketing"/>
    <x v="4"/>
    <s v="Director"/>
    <d v="2019-12-01T00:00:00"/>
    <d v="2019-12-01T00:00:00"/>
    <s v="C"/>
    <n v="72"/>
    <s v="ivy.gupta@saltcorp.com"/>
    <s v="123-456-7890"/>
    <s v="Full-Time"/>
    <x v="1"/>
    <m/>
    <x v="0"/>
    <n v="14"/>
    <m/>
    <d v="2024-08-12T00:00:00"/>
    <n v="53"/>
    <s v="YES"/>
    <s v="Yes"/>
    <x v="2"/>
    <x v="0"/>
    <x v="0"/>
  </r>
  <r>
    <s v="EMP-2020-0239"/>
    <s v="Ivy"/>
    <s v="Shah"/>
    <n v="40"/>
    <n v="40"/>
    <n v="1984"/>
    <n v="70000"/>
    <n v="70000"/>
    <s v="Female"/>
    <s v="Marketing"/>
    <x v="4"/>
    <s v="Director"/>
    <d v="2020-02-20T00:00:00"/>
    <d v="2020-02-20T00:00:00"/>
    <s v="A"/>
    <n v="99"/>
    <s v="ivy.shah@saltcorp.com"/>
    <m/>
    <s v="Full-Time"/>
    <x v="1"/>
    <m/>
    <x v="2"/>
    <m/>
    <n v="3"/>
    <m/>
    <n v="17"/>
    <s v="YES"/>
    <s v="Yes"/>
    <x v="0"/>
    <x v="0"/>
    <x v="0"/>
  </r>
  <r>
    <s v="EMP-2020-0240"/>
    <s v="Charlie"/>
    <s v="Martin"/>
    <n v="25"/>
    <n v="25"/>
    <n v="1999"/>
    <n v="65000"/>
    <n v="65000"/>
    <s v="Female"/>
    <s v="sales"/>
    <x v="2"/>
    <s v="Analyst"/>
    <d v="2020-01-15T00:00:00"/>
    <d v="2020-01-15T00:00:00"/>
    <s v="F"/>
    <n v="40"/>
    <s v="charlie.martin@saltcorp.com"/>
    <s v="123-456-7890"/>
    <s v="Full-Time"/>
    <x v="1"/>
    <m/>
    <x v="3"/>
    <s v="N/A"/>
    <m/>
    <m/>
    <n v="51"/>
    <m/>
    <s v=""/>
    <x v="0"/>
    <x v="0"/>
    <x v="0"/>
  </r>
  <r>
    <s v="EMP-2019-0241"/>
    <s v="Charlie"/>
    <s v="Taylor"/>
    <s v="thirty"/>
    <n v="30"/>
    <n v="1994"/>
    <s v="SIXTY THOUSAND"/>
    <n v="60000"/>
    <s v="Female"/>
    <s v="finance"/>
    <x v="1"/>
    <s v="Director"/>
    <d v="2019-12-01T00:00:00"/>
    <d v="2019-12-01T00:00:00"/>
    <s v="B"/>
    <n v="87"/>
    <s v="charlie.taylor@saltcorp.com"/>
    <s v="555-555-5555"/>
    <s v="Full-Time"/>
    <x v="1"/>
    <m/>
    <x v="7"/>
    <n v="14"/>
    <m/>
    <m/>
    <m/>
    <s v="no"/>
    <s v="No"/>
    <x v="2"/>
    <x v="0"/>
    <x v="0"/>
  </r>
  <r>
    <s v="EMP-2020-0242"/>
    <s v="Charlie"/>
    <s v="Olson"/>
    <n v="40"/>
    <n v="40"/>
    <n v="1984"/>
    <n v="70000"/>
    <n v="70000"/>
    <s v="Female"/>
    <s v="HR"/>
    <x v="0"/>
    <s v="Director"/>
    <d v="2020-02-20T00:00:00"/>
    <d v="2020-02-20T00:00:00"/>
    <s v="D"/>
    <n v="62"/>
    <s v="charlie.olson@saltcorp.com"/>
    <s v="098-765-4321"/>
    <s v="Part-Time"/>
    <x v="2"/>
    <m/>
    <x v="0"/>
    <s v="N/A"/>
    <m/>
    <m/>
    <m/>
    <s v="no"/>
    <s v="No"/>
    <x v="4"/>
    <x v="1"/>
    <x v="1"/>
  </r>
  <r>
    <s v="EMP-2018-0243"/>
    <s v="David"/>
    <s v="O'Brien"/>
    <m/>
    <n v="56"/>
    <n v="1968"/>
    <n v="60900"/>
    <n v="60900"/>
    <s v="Male"/>
    <s v="HR"/>
    <x v="0"/>
    <s v="Director"/>
    <d v="2018-04-05T00:00:00"/>
    <d v="2018-04-05T00:00:00"/>
    <s v="B"/>
    <n v="85"/>
    <s v="david.o'brien@saltcorp.com"/>
    <m/>
    <s v="Full-Time"/>
    <x v="1"/>
    <m/>
    <x v="6"/>
    <m/>
    <m/>
    <d v="2023-03-05T00:00:00"/>
    <n v="61"/>
    <s v="YES"/>
    <s v="Yes"/>
    <x v="0"/>
    <x v="0"/>
    <x v="0"/>
  </r>
  <r>
    <s v="EMP-2020-0244"/>
    <s v="Hannah"/>
    <s v="Dominguez"/>
    <n v="50"/>
    <n v="50"/>
    <n v="1974"/>
    <n v="55000"/>
    <n v="55000"/>
    <s v="Female"/>
    <s v="Marketing"/>
    <x v="4"/>
    <s v="Clerk"/>
    <d v="2020-02-20T00:00:00"/>
    <d v="2020-02-20T00:00:00"/>
    <s v="D"/>
    <n v="64"/>
    <s v="hannah.dominguez@saltcorp.com"/>
    <s v="123-456-7890"/>
    <s v="Part-Time"/>
    <x v="2"/>
    <s v="EMP-2018-0043"/>
    <x v="6"/>
    <m/>
    <m/>
    <m/>
    <m/>
    <m/>
    <s v=""/>
    <x v="1"/>
    <x v="1"/>
    <x v="1"/>
  </r>
  <r>
    <s v="EMP-2019-0245"/>
    <s v="Frank"/>
    <s v="Sanchez"/>
    <s v="thirty"/>
    <n v="30"/>
    <n v="1994"/>
    <s v="SIXTY THOUSAND"/>
    <n v="60000"/>
    <s v="Male"/>
    <s v="sales"/>
    <x v="2"/>
    <s v="Director"/>
    <d v="2019-03-25T00:00:00"/>
    <d v="2019-03-25T00:00:00"/>
    <s v="B"/>
    <n v="87"/>
    <s v="frank.sanchez@saltcorp.com"/>
    <s v="123-456-7890"/>
    <s v="Part-Time"/>
    <x v="2"/>
    <m/>
    <x v="0"/>
    <s v="N/A"/>
    <n v="0"/>
    <m/>
    <m/>
    <s v="YES"/>
    <s v="Yes"/>
    <x v="1"/>
    <x v="0"/>
    <x v="0"/>
  </r>
  <r>
    <s v="EMP-2020-0246"/>
    <s v="Hannah"/>
    <s v="Foster"/>
    <n v="50"/>
    <n v="50"/>
    <n v="1974"/>
    <n v="60900"/>
    <n v="60900"/>
    <s v="Male"/>
    <s v="HR"/>
    <x v="0"/>
    <s v="Director"/>
    <d v="2020-02-20T00:00:00"/>
    <d v="2020-02-20T00:00:00"/>
    <s v="D"/>
    <n v="64"/>
    <s v="hannah.foster@saltcorp.com"/>
    <s v="123-456-7890"/>
    <s v="contract"/>
    <x v="0"/>
    <m/>
    <x v="5"/>
    <s v="N/A"/>
    <n v="0"/>
    <d v="2022-06-20T00:00:00"/>
    <m/>
    <s v="no"/>
    <s v="No"/>
    <x v="1"/>
    <x v="0"/>
    <x v="0"/>
  </r>
  <r>
    <s v="EMP-2019-0247"/>
    <s v="Alice"/>
    <s v="Baker"/>
    <s v="thirty"/>
    <n v="30"/>
    <n v="1994"/>
    <n v="65000"/>
    <n v="65000"/>
    <s v="Female"/>
    <s v="HR"/>
    <x v="0"/>
    <s v="Director"/>
    <d v="2019-03-25T00:00:00"/>
    <d v="2019-03-25T00:00:00"/>
    <s v="C"/>
    <n v="76"/>
    <s v="alice.baker@saltcorp.com"/>
    <s v="098-765-4321"/>
    <s v="Full-Time"/>
    <x v="1"/>
    <m/>
    <x v="1"/>
    <m/>
    <m/>
    <d v="2023-01-15T00:00:00"/>
    <n v="8"/>
    <m/>
    <s v=""/>
    <x v="0"/>
    <x v="0"/>
    <x v="0"/>
  </r>
  <r>
    <s v="EMP-2020-0248"/>
    <s v="Hannah"/>
    <s v="Foster"/>
    <m/>
    <n v="43"/>
    <n v="1981"/>
    <n v="70000"/>
    <n v="70000"/>
    <s v="Female"/>
    <s v="finance"/>
    <x v="1"/>
    <s v="Manager"/>
    <d v="2020-02-20T00:00:00"/>
    <d v="2020-02-20T00:00:00"/>
    <s v="A"/>
    <n v="99"/>
    <s v="hannah.foster@saltcorp.com"/>
    <s v="123-456-7890"/>
    <s v="Part-Time"/>
    <x v="2"/>
    <s v="EMP-2018-0031"/>
    <x v="1"/>
    <m/>
    <m/>
    <m/>
    <n v="8"/>
    <m/>
    <s v=""/>
    <x v="2"/>
    <x v="1"/>
    <x v="1"/>
  </r>
  <r>
    <s v="EMP-2019-0249"/>
    <s v="David"/>
    <s v="Murphy"/>
    <n v="50"/>
    <n v="50"/>
    <n v="1974"/>
    <n v="55000"/>
    <n v="55000"/>
    <s v="Male"/>
    <s v="it"/>
    <x v="3"/>
    <s v="Clerk"/>
    <d v="2019-03-25T00:00:00"/>
    <d v="2019-03-25T00:00:00"/>
    <s v="C"/>
    <n v="79"/>
    <s v="david.murphy@saltcorp.com"/>
    <s v=" "/>
    <s v="Part-Time"/>
    <x v="2"/>
    <m/>
    <x v="1"/>
    <s v="N/A"/>
    <m/>
    <d v="2022-06-20T00:00:00"/>
    <m/>
    <s v="no"/>
    <s v="No"/>
    <x v="3"/>
    <x v="1"/>
    <x v="1"/>
  </r>
  <r>
    <s v="EMP-2018-0250"/>
    <s v="Alice"/>
    <s v="Rivera"/>
    <n v="35"/>
    <n v="35"/>
    <n v="1989"/>
    <s v="SIXTY THOUSAND"/>
    <n v="60000"/>
    <s v="Female"/>
    <s v="Marketing"/>
    <x v="4"/>
    <s v="Analyst"/>
    <d v="2018-04-05T00:00:00"/>
    <d v="2018-04-05T00:00:00"/>
    <s v="A"/>
    <n v="100"/>
    <s v="alice.rivera@saltcorp.com"/>
    <s v=" "/>
    <s v="contract"/>
    <x v="0"/>
    <s v="EMP-2020-0010"/>
    <x v="5"/>
    <m/>
    <m/>
    <m/>
    <m/>
    <s v="YES"/>
    <s v="Yes"/>
    <x v="3"/>
    <x v="1"/>
    <x v="1"/>
  </r>
  <r>
    <s v="EMP-2019-0251"/>
    <s v="Hannah"/>
    <s v="Gray"/>
    <n v="25"/>
    <n v="25"/>
    <n v="1999"/>
    <n v="60000"/>
    <n v="60000"/>
    <s v="Female"/>
    <s v="Marketing"/>
    <x v="4"/>
    <s v="Manager"/>
    <d v="2019-12-01T00:00:00"/>
    <d v="2019-12-01T00:00:00"/>
    <s v="C"/>
    <n v="71"/>
    <s v="hannah.gray@saltcorp.com"/>
    <s v="123-456-7890"/>
    <s v="Part-Time"/>
    <x v="2"/>
    <m/>
    <x v="1"/>
    <m/>
    <n v="5"/>
    <m/>
    <n v="46"/>
    <s v="no"/>
    <s v="No"/>
    <x v="4"/>
    <x v="0"/>
    <x v="0"/>
  </r>
  <r>
    <s v="EMP-2019-0252"/>
    <s v="David"/>
    <s v="Schmidt"/>
    <n v="35"/>
    <n v="35"/>
    <n v="1989"/>
    <n v="59800"/>
    <n v="59800"/>
    <s v="Male"/>
    <s v="it"/>
    <x v="3"/>
    <s v="Assistant"/>
    <d v="2019-03-25T00:00:00"/>
    <d v="2019-03-25T00:00:00"/>
    <s v="C"/>
    <n v="79"/>
    <s v="david.schmidt@saltcorp.com"/>
    <s v=" "/>
    <s v="Full-Time"/>
    <x v="1"/>
    <m/>
    <x v="1"/>
    <m/>
    <n v="4"/>
    <d v="2023-01-15T00:00:00"/>
    <m/>
    <s v="no"/>
    <s v="No"/>
    <x v="3"/>
    <x v="0"/>
    <x v="0"/>
  </r>
  <r>
    <s v="EMP-2019-0253"/>
    <s v="Frank"/>
    <s v="Flores"/>
    <n v="40"/>
    <n v="40"/>
    <n v="1984"/>
    <n v="55000"/>
    <n v="55000"/>
    <s v="Male"/>
    <s v="HR"/>
    <x v="0"/>
    <s v="Clerk"/>
    <d v="2019-03-25T00:00:00"/>
    <d v="2019-03-25T00:00:00"/>
    <s v="B"/>
    <n v="81"/>
    <s v="frank.flores@saltcorp.com"/>
    <m/>
    <s v="Part-Time"/>
    <x v="2"/>
    <m/>
    <x v="2"/>
    <m/>
    <n v="9"/>
    <m/>
    <m/>
    <s v="no"/>
    <s v="No"/>
    <x v="0"/>
    <x v="1"/>
    <x v="1"/>
  </r>
  <r>
    <s v="EMP-2018-0254"/>
    <s v="Hannah"/>
    <s v="Schmidt"/>
    <m/>
    <n v="26"/>
    <n v="1998"/>
    <n v="65000"/>
    <n v="65000"/>
    <s v="Male"/>
    <s v="finance"/>
    <x v="1"/>
    <s v="Clerk"/>
    <d v="2018-04-05T00:00:00"/>
    <d v="2018-04-05T00:00:00"/>
    <s v="F"/>
    <n v="50"/>
    <s v="hannah.schmidt@saltcorp.com"/>
    <s v=" "/>
    <s v="Full-Time"/>
    <x v="1"/>
    <m/>
    <x v="5"/>
    <s v="N/A"/>
    <n v="5"/>
    <m/>
    <m/>
    <s v="no"/>
    <s v="No"/>
    <x v="4"/>
    <x v="1"/>
    <x v="1"/>
  </r>
  <r>
    <s v="EMP-2019-0255"/>
    <s v="David"/>
    <s v="Thomas"/>
    <n v="35"/>
    <n v="35"/>
    <n v="1989"/>
    <n v="55000"/>
    <n v="55000"/>
    <s v="Male"/>
    <s v="finance"/>
    <x v="1"/>
    <s v="Assistant"/>
    <d v="2019-03-25T00:00:00"/>
    <d v="2019-03-25T00:00:00"/>
    <s v="D"/>
    <n v="68"/>
    <s v="david.thomas@saltcorp.com"/>
    <s v="123-456-7890"/>
    <s v="Part-Time"/>
    <x v="2"/>
    <m/>
    <x v="1"/>
    <m/>
    <m/>
    <d v="2024-08-12T00:00:00"/>
    <m/>
    <m/>
    <s v=""/>
    <x v="4"/>
    <x v="0"/>
    <x v="0"/>
  </r>
  <r>
    <s v="EMP-2020-0256"/>
    <s v="Charlie"/>
    <s v="Taylor"/>
    <s v="thirty"/>
    <n v="30"/>
    <n v="1994"/>
    <n v="61600"/>
    <n v="61600"/>
    <s v="Male"/>
    <s v="Marketing"/>
    <x v="4"/>
    <s v="Assistant"/>
    <d v="2020-01-15T00:00:00"/>
    <d v="2020-01-15T00:00:00"/>
    <s v="D"/>
    <n v="67"/>
    <s v="charlie.taylor@saltcorp.com"/>
    <s v="555-555-5555"/>
    <s v="Part-Time"/>
    <x v="2"/>
    <m/>
    <x v="7"/>
    <m/>
    <m/>
    <m/>
    <m/>
    <s v="YES"/>
    <s v="Yes"/>
    <x v="4"/>
    <x v="1"/>
    <x v="1"/>
  </r>
  <r>
    <s v="EMP-2018-0257"/>
    <s v="Ivy"/>
    <s v="Pearson"/>
    <n v="40"/>
    <n v="40"/>
    <n v="1984"/>
    <n v="50000"/>
    <n v="50000"/>
    <s v="Female"/>
    <s v="finance"/>
    <x v="1"/>
    <s v="Assistant"/>
    <d v="2018-04-05T00:00:00"/>
    <d v="2018-04-05T00:00:00"/>
    <s v="D"/>
    <n v="67"/>
    <s v="ivy.pearson@saltcorp.com"/>
    <m/>
    <s v="Full-Time"/>
    <x v="1"/>
    <m/>
    <x v="5"/>
    <m/>
    <m/>
    <m/>
    <m/>
    <s v="Y"/>
    <s v="Yes"/>
    <x v="3"/>
    <x v="1"/>
    <x v="1"/>
  </r>
  <r>
    <s v="EMP-2020-0258"/>
    <s v="Charlie"/>
    <s v="Moore"/>
    <n v="40"/>
    <n v="40"/>
    <n v="1984"/>
    <s v="SIXTY THOUSAND"/>
    <n v="60000"/>
    <s v="Female"/>
    <s v="it"/>
    <x v="3"/>
    <s v="Analyst"/>
    <d v="2020-01-15T00:00:00"/>
    <d v="2020-01-15T00:00:00"/>
    <s v="A"/>
    <n v="92"/>
    <s v="charlie.moore@saltcorp.com"/>
    <s v="098-765-4321"/>
    <s v="contract"/>
    <x v="0"/>
    <m/>
    <x v="6"/>
    <n v="8"/>
    <n v="20"/>
    <m/>
    <m/>
    <s v="YES"/>
    <s v="Yes"/>
    <x v="1"/>
    <x v="0"/>
    <x v="0"/>
  </r>
  <r>
    <s v="EMP-2018-0259"/>
    <s v="Ivy"/>
    <s v="Sims"/>
    <n v="35"/>
    <n v="35"/>
    <n v="1989"/>
    <n v="55000"/>
    <n v="55000"/>
    <s v="Female"/>
    <s v="HR"/>
    <x v="0"/>
    <s v="Director"/>
    <d v="2018-04-05T00:00:00"/>
    <d v="2018-04-05T00:00:00"/>
    <s v="D"/>
    <n v="64"/>
    <s v="ivy.sims@saltcorp.com"/>
    <s v="123-456-7890"/>
    <s v="contract"/>
    <x v="0"/>
    <s v="EMP-2018-0083"/>
    <x v="6"/>
    <n v="15"/>
    <m/>
    <m/>
    <m/>
    <s v="no"/>
    <s v="No"/>
    <x v="3"/>
    <x v="1"/>
    <x v="1"/>
  </r>
  <r>
    <s v="EMP-2019-0260"/>
    <s v="Bob"/>
    <s v="Mason"/>
    <n v="35"/>
    <n v="35"/>
    <n v="1989"/>
    <n v="58600"/>
    <n v="58600"/>
    <s v="Male"/>
    <s v="it"/>
    <x v="3"/>
    <s v="Clerk"/>
    <d v="2019-03-25T00:00:00"/>
    <d v="2019-03-25T00:00:00"/>
    <s v="D"/>
    <n v="64"/>
    <s v="bob.mason@saltcorp.com"/>
    <s v="098-765-4321"/>
    <s v="Part-Time"/>
    <x v="2"/>
    <m/>
    <x v="7"/>
    <m/>
    <m/>
    <d v="2024-08-12T00:00:00"/>
    <m/>
    <s v="no"/>
    <s v="No"/>
    <x v="0"/>
    <x v="0"/>
    <x v="0"/>
  </r>
  <r>
    <s v="EMP-2020-0261"/>
    <s v="Bob"/>
    <s v="Thomas"/>
    <m/>
    <n v="51"/>
    <n v="1973"/>
    <n v="65000"/>
    <n v="65000"/>
    <s v="Male"/>
    <s v="sales"/>
    <x v="2"/>
    <s v="Director"/>
    <d v="2020-01-15T00:00:00"/>
    <d v="2020-01-15T00:00:00"/>
    <s v="B"/>
    <n v="85"/>
    <s v="bob.thomas@saltcorp.com"/>
    <s v="555-555-5555"/>
    <s v="contract"/>
    <x v="0"/>
    <m/>
    <x v="7"/>
    <s v="N/A"/>
    <m/>
    <m/>
    <m/>
    <s v="YES"/>
    <s v="Yes"/>
    <x v="4"/>
    <x v="0"/>
    <x v="0"/>
  </r>
  <r>
    <s v="EMP-2019-0262"/>
    <s v="Bob"/>
    <s v="Brown"/>
    <n v="25"/>
    <n v="25"/>
    <n v="1999"/>
    <n v="60500"/>
    <n v="60500"/>
    <s v="Male"/>
    <s v="Marketing"/>
    <x v="4"/>
    <s v="Director"/>
    <d v="2019-03-25T00:00:00"/>
    <d v="2019-03-25T00:00:00"/>
    <s v="C"/>
    <n v="78"/>
    <s v="bob.brown@saltcorp.com"/>
    <s v="098-765-4321"/>
    <s v="contract"/>
    <x v="0"/>
    <m/>
    <x v="5"/>
    <n v="2"/>
    <m/>
    <d v="2023-01-15T00:00:00"/>
    <m/>
    <s v="YES"/>
    <s v="Yes"/>
    <x v="3"/>
    <x v="1"/>
    <x v="1"/>
  </r>
  <r>
    <s v="EMP-2018-0263"/>
    <s v="Frank"/>
    <s v="Williamson"/>
    <n v="35"/>
    <n v="35"/>
    <n v="1989"/>
    <n v="65000"/>
    <n v="65000"/>
    <s v="Male"/>
    <s v="finance"/>
    <x v="1"/>
    <s v="Assistant"/>
    <d v="2018-04-05T00:00:00"/>
    <d v="2018-04-05T00:00:00"/>
    <s v="D"/>
    <n v="67"/>
    <s v="frank.williamson@saltcorp.com"/>
    <s v="123-456-7890"/>
    <s v="Full-Time"/>
    <x v="1"/>
    <m/>
    <x v="3"/>
    <m/>
    <m/>
    <m/>
    <m/>
    <s v="no"/>
    <s v="No"/>
    <x v="1"/>
    <x v="0"/>
    <x v="0"/>
  </r>
  <r>
    <s v="EMP-2019-0264"/>
    <s v="Charlie"/>
    <s v="Moore"/>
    <n v="35"/>
    <n v="35"/>
    <n v="1989"/>
    <n v="55000"/>
    <n v="55000"/>
    <s v="Female"/>
    <s v="sales"/>
    <x v="2"/>
    <s v="Analyst"/>
    <d v="2019-03-25T00:00:00"/>
    <d v="2019-03-25T00:00:00"/>
    <s v="F"/>
    <n v="2"/>
    <s v="charlie.moore@saltcorp.com"/>
    <s v="123-456-7890"/>
    <s v="contract"/>
    <x v="0"/>
    <m/>
    <x v="0"/>
    <n v="4"/>
    <m/>
    <m/>
    <m/>
    <s v="no"/>
    <s v="No"/>
    <x v="3"/>
    <x v="0"/>
    <x v="0"/>
  </r>
  <r>
    <s v="EMP-2020-0265"/>
    <s v="Ivy"/>
    <s v="Kumar"/>
    <n v="50"/>
    <n v="50"/>
    <n v="1974"/>
    <n v="65000"/>
    <n v="65000"/>
    <s v="Male"/>
    <s v="finance"/>
    <x v="1"/>
    <s v="Manager"/>
    <d v="2020-01-15T00:00:00"/>
    <d v="2020-01-15T00:00:00"/>
    <s v="D"/>
    <n v="61"/>
    <s v="ivy.kumar@saltcorp.com"/>
    <s v="555-555-5555"/>
    <s v="contract"/>
    <x v="0"/>
    <s v="EMP-2019-0092"/>
    <x v="1"/>
    <m/>
    <m/>
    <m/>
    <m/>
    <s v="no"/>
    <s v="No"/>
    <x v="0"/>
    <x v="0"/>
    <x v="0"/>
  </r>
  <r>
    <s v="EMP-2020-0266"/>
    <s v="David"/>
    <s v="Sullivan"/>
    <s v="thirty"/>
    <n v="30"/>
    <n v="1994"/>
    <n v="70000"/>
    <n v="70000"/>
    <s v="Female"/>
    <s v="HR"/>
    <x v="0"/>
    <s v="Analyst"/>
    <d v="2020-01-15T00:00:00"/>
    <d v="2020-01-15T00:00:00"/>
    <s v="A"/>
    <n v="93"/>
    <s v="david.sullivan@saltcorp.com"/>
    <s v="123-456-7890"/>
    <s v="contract"/>
    <x v="0"/>
    <s v="EMP-2018-0006"/>
    <x v="2"/>
    <m/>
    <n v="2"/>
    <m/>
    <m/>
    <s v="YES"/>
    <s v="Yes"/>
    <x v="3"/>
    <x v="1"/>
    <x v="1"/>
  </r>
  <r>
    <s v="EMP-2019-0267"/>
    <s v="Alice"/>
    <s v="Garrett"/>
    <n v="50"/>
    <n v="50"/>
    <n v="1974"/>
    <n v="70000"/>
    <n v="70000"/>
    <s v="Male"/>
    <s v="HR"/>
    <x v="0"/>
    <s v="Director"/>
    <d v="2019-03-25T00:00:00"/>
    <d v="2019-03-25T00:00:00"/>
    <s v="A"/>
    <n v="95"/>
    <s v="alice.garrett@saltcorp.com"/>
    <s v="555-555-5555"/>
    <s v="Full-Time"/>
    <x v="1"/>
    <m/>
    <x v="2"/>
    <m/>
    <m/>
    <m/>
    <m/>
    <m/>
    <s v=""/>
    <x v="1"/>
    <x v="1"/>
    <x v="1"/>
  </r>
  <r>
    <s v="EMP-2020-0268"/>
    <s v="David"/>
    <s v="Patel"/>
    <n v="50"/>
    <n v="50"/>
    <n v="1974"/>
    <n v="70000"/>
    <n v="70000"/>
    <s v="Female"/>
    <s v="HR"/>
    <x v="0"/>
    <s v="Analyst"/>
    <d v="2020-02-20T00:00:00"/>
    <d v="2020-02-20T00:00:00"/>
    <s v="A"/>
    <n v="92"/>
    <s v="david.patel@saltcorp.com"/>
    <s v="555-555-5555"/>
    <s v="Part-Time"/>
    <x v="2"/>
    <m/>
    <x v="7"/>
    <m/>
    <m/>
    <m/>
    <m/>
    <s v="YES"/>
    <s v="Yes"/>
    <x v="0"/>
    <x v="0"/>
    <x v="0"/>
  </r>
  <r>
    <s v="EMP-2018-0269"/>
    <s v="Alice"/>
    <s v="Lee"/>
    <n v="40"/>
    <n v="40"/>
    <n v="1984"/>
    <n v="50000"/>
    <n v="50000"/>
    <s v="Female"/>
    <s v="finance"/>
    <x v="1"/>
    <s v="Assistant"/>
    <d v="2018-04-05T00:00:00"/>
    <d v="2018-04-05T00:00:00"/>
    <s v="D"/>
    <n v="65"/>
    <s v="alice.lee@saltcorp.com"/>
    <s v="123-456-7890"/>
    <s v="Full-Time"/>
    <x v="1"/>
    <m/>
    <x v="0"/>
    <m/>
    <n v="15"/>
    <d v="2024-08-12T00:00:00"/>
    <m/>
    <s v="no"/>
    <s v="No"/>
    <x v="3"/>
    <x v="1"/>
    <x v="1"/>
  </r>
  <r>
    <s v="EMP-2018-0270"/>
    <s v="Eve"/>
    <s v="Turner"/>
    <n v="25"/>
    <n v="25"/>
    <n v="1999"/>
    <n v="55000"/>
    <n v="55000"/>
    <s v="Male"/>
    <s v="sales"/>
    <x v="2"/>
    <s v="Manager"/>
    <d v="2018-04-05T00:00:00"/>
    <d v="2018-04-05T00:00:00"/>
    <s v="B"/>
    <n v="87"/>
    <s v="eve.turner@saltcorp.com"/>
    <s v=" "/>
    <s v="Full-Time"/>
    <x v="1"/>
    <m/>
    <x v="1"/>
    <m/>
    <n v="18"/>
    <m/>
    <m/>
    <s v="no"/>
    <s v="No"/>
    <x v="1"/>
    <x v="1"/>
    <x v="1"/>
  </r>
  <r>
    <s v="EMP-2019-0271"/>
    <s v="David"/>
    <s v="Barnett"/>
    <s v="thirty"/>
    <n v="30"/>
    <n v="1994"/>
    <n v="61500"/>
    <n v="61500"/>
    <s v="Female"/>
    <s v="HR"/>
    <x v="0"/>
    <s v="Assistant"/>
    <d v="2019-03-25T00:00:00"/>
    <d v="2019-03-25T00:00:00"/>
    <s v="F"/>
    <n v="3"/>
    <s v="david.barnett@saltcorp.com"/>
    <s v="555-555-5555"/>
    <s v="Part-Time"/>
    <x v="2"/>
    <m/>
    <x v="2"/>
    <m/>
    <m/>
    <m/>
    <n v="14"/>
    <s v="no"/>
    <s v="No"/>
    <x v="4"/>
    <x v="1"/>
    <x v="1"/>
  </r>
  <r>
    <s v="EMP-2020-0272"/>
    <s v="Hannah"/>
    <s v="Hughes"/>
    <m/>
    <n v="50"/>
    <n v="1974"/>
    <n v="61500"/>
    <n v="61500"/>
    <s v="Female"/>
    <s v="sales"/>
    <x v="2"/>
    <s v="Manager"/>
    <d v="2020-02-20T00:00:00"/>
    <d v="2020-02-20T00:00:00"/>
    <s v="D"/>
    <n v="61"/>
    <s v="hannah.hughes@saltcorp.com"/>
    <s v="123-456-7890"/>
    <s v="Part-Time"/>
    <x v="2"/>
    <m/>
    <x v="1"/>
    <m/>
    <n v="13"/>
    <d v="2024-08-12T00:00:00"/>
    <m/>
    <s v="YES"/>
    <s v="Yes"/>
    <x v="3"/>
    <x v="0"/>
    <x v="0"/>
  </r>
  <r>
    <s v="EMP-2020-0273"/>
    <s v="Hannah"/>
    <s v="Barnett"/>
    <m/>
    <n v="51"/>
    <n v="1973"/>
    <n v="50000"/>
    <n v="50000"/>
    <s v="Male"/>
    <s v="finance"/>
    <x v="1"/>
    <s v="Director"/>
    <d v="2020-01-15T00:00:00"/>
    <d v="2020-01-15T00:00:00"/>
    <s v="B"/>
    <n v="81"/>
    <s v="hannah.barnett@saltcorp.com"/>
    <s v=" "/>
    <s v="Full-Time"/>
    <x v="1"/>
    <m/>
    <x v="2"/>
    <n v="1"/>
    <n v="11"/>
    <m/>
    <m/>
    <s v="YES"/>
    <s v="Yes"/>
    <x v="0"/>
    <x v="0"/>
    <x v="0"/>
  </r>
  <r>
    <s v="EMP-2019-0274"/>
    <s v="Grace"/>
    <s v="Li"/>
    <n v="35"/>
    <n v="35"/>
    <n v="1989"/>
    <n v="65000"/>
    <n v="65000"/>
    <s v="Male"/>
    <s v="sales"/>
    <x v="2"/>
    <s v="Manager"/>
    <d v="2019-12-01T00:00:00"/>
    <d v="2019-12-01T00:00:00"/>
    <s v="B"/>
    <n v="85"/>
    <s v="grace.li@saltcorp.com"/>
    <s v="555-555-5555"/>
    <s v="contract"/>
    <x v="0"/>
    <s v="EMP-2018-0043"/>
    <x v="1"/>
    <m/>
    <n v="9"/>
    <d v="2023-03-05T00:00:00"/>
    <n v="22"/>
    <s v="YES"/>
    <s v="Yes"/>
    <x v="3"/>
    <x v="1"/>
    <x v="1"/>
  </r>
  <r>
    <s v="EMP-2019-0275"/>
    <s v="Charlie"/>
    <s v="Hoffman"/>
    <n v="35"/>
    <n v="35"/>
    <n v="1989"/>
    <n v="50000"/>
    <n v="50000"/>
    <s v="Male"/>
    <s v="finance"/>
    <x v="1"/>
    <s v="Manager"/>
    <d v="2019-12-01T00:00:00"/>
    <d v="2019-12-01T00:00:00"/>
    <s v="D"/>
    <n v="68"/>
    <s v="charlie.hoffman@saltcorp.com"/>
    <s v=" "/>
    <s v="Full-Time"/>
    <x v="1"/>
    <m/>
    <x v="5"/>
    <n v="12"/>
    <n v="7"/>
    <d v="2023-01-15T00:00:00"/>
    <n v="42"/>
    <s v="no"/>
    <s v="No"/>
    <x v="4"/>
    <x v="0"/>
    <x v="0"/>
  </r>
  <r>
    <s v="EMP-2019-0276"/>
    <s v="Alice"/>
    <s v="Welch"/>
    <m/>
    <n v="39"/>
    <n v="1985"/>
    <n v="65000"/>
    <n v="65000"/>
    <s v="Female"/>
    <s v="finance"/>
    <x v="1"/>
    <s v="Manager"/>
    <d v="2019-03-25T00:00:00"/>
    <d v="2019-03-25T00:00:00"/>
    <s v="D"/>
    <n v="65"/>
    <s v="alice.welch@saltcorp.com"/>
    <m/>
    <s v="Part-Time"/>
    <x v="2"/>
    <m/>
    <x v="5"/>
    <m/>
    <n v="10"/>
    <d v="2024-08-12T00:00:00"/>
    <n v="33"/>
    <s v="no"/>
    <s v="No"/>
    <x v="4"/>
    <x v="0"/>
    <x v="0"/>
  </r>
  <r>
    <s v="EMP-2020-0277"/>
    <s v="Alice"/>
    <s v="Thompson"/>
    <n v="35"/>
    <n v="35"/>
    <n v="1989"/>
    <n v="65000"/>
    <n v="65000"/>
    <s v="Female"/>
    <s v="Marketing"/>
    <x v="4"/>
    <s v="Analyst"/>
    <d v="2020-02-20T00:00:00"/>
    <d v="2020-02-20T00:00:00"/>
    <s v="B"/>
    <n v="89"/>
    <s v="alice.thompson@saltcorp.com"/>
    <m/>
    <s v="Part-Time"/>
    <x v="2"/>
    <m/>
    <x v="0"/>
    <m/>
    <m/>
    <d v="2023-03-05T00:00:00"/>
    <n v="24"/>
    <s v="YES"/>
    <s v="Yes"/>
    <x v="1"/>
    <x v="1"/>
    <x v="1"/>
  </r>
  <r>
    <s v="EMP-2020-0278"/>
    <s v="Charlie"/>
    <s v="Jackson"/>
    <n v="25"/>
    <n v="25"/>
    <n v="1999"/>
    <s v="SIXTY THOUSAND"/>
    <n v="60000"/>
    <s v="Male"/>
    <s v="finance"/>
    <x v="1"/>
    <s v="Analyst"/>
    <d v="2020-02-20T00:00:00"/>
    <d v="2020-02-20T00:00:00"/>
    <s v="B"/>
    <n v="82"/>
    <s v="charlie.jackson@saltcorp.com"/>
    <s v=" "/>
    <s v="Part-Time"/>
    <x v="2"/>
    <m/>
    <x v="7"/>
    <m/>
    <m/>
    <m/>
    <m/>
    <s v="YES"/>
    <s v="Yes"/>
    <x v="0"/>
    <x v="0"/>
    <x v="0"/>
  </r>
  <r>
    <s v="EMP-2018-0279"/>
    <s v="Frank"/>
    <s v="Sanchez"/>
    <n v="50"/>
    <n v="50"/>
    <n v="1974"/>
    <n v="60300"/>
    <n v="60300"/>
    <s v="Female"/>
    <s v="finance"/>
    <x v="1"/>
    <s v="Director"/>
    <d v="2018-04-05T00:00:00"/>
    <d v="2018-04-05T00:00:00"/>
    <s v="B"/>
    <n v="81"/>
    <s v="frank.sanchez@saltcorp.com"/>
    <s v="555-555-5555"/>
    <s v="Part-Time"/>
    <x v="2"/>
    <m/>
    <x v="2"/>
    <m/>
    <m/>
    <m/>
    <n v="32"/>
    <s v="no"/>
    <s v="No"/>
    <x v="1"/>
    <x v="1"/>
    <x v="1"/>
  </r>
  <r>
    <s v="EMP-2020-0280"/>
    <s v="Grace"/>
    <s v="Yang"/>
    <n v="35"/>
    <n v="35"/>
    <n v="1989"/>
    <n v="70000"/>
    <n v="70000"/>
    <s v="Female"/>
    <s v="it"/>
    <x v="3"/>
    <s v="Manager"/>
    <d v="2020-01-15T00:00:00"/>
    <d v="2020-01-15T00:00:00"/>
    <s v="D"/>
    <n v="65"/>
    <s v="grace.yang@saltcorp.com"/>
    <s v="123-456-7890"/>
    <s v="Part-Time"/>
    <x v="2"/>
    <m/>
    <x v="2"/>
    <m/>
    <n v="8"/>
    <d v="2024-08-12T00:00:00"/>
    <n v="66"/>
    <s v="no"/>
    <s v="No"/>
    <x v="3"/>
    <x v="1"/>
    <x v="1"/>
  </r>
  <r>
    <s v="EMP-2020-0281"/>
    <s v="Frank"/>
    <s v="Gomez"/>
    <n v="40"/>
    <n v="40"/>
    <n v="1984"/>
    <n v="65000"/>
    <n v="65000"/>
    <s v="Male"/>
    <s v="HR"/>
    <x v="0"/>
    <s v="Clerk"/>
    <d v="2020-02-20T00:00:00"/>
    <d v="2020-02-20T00:00:00"/>
    <s v="B"/>
    <n v="84"/>
    <s v="frank.gomez@saltcorp.com"/>
    <s v="098-765-4321"/>
    <s v="Full-Time"/>
    <x v="1"/>
    <m/>
    <x v="3"/>
    <n v="3"/>
    <n v="2"/>
    <d v="2024-08-12T00:00:00"/>
    <m/>
    <s v="YES"/>
    <s v="Yes"/>
    <x v="3"/>
    <x v="1"/>
    <x v="1"/>
  </r>
  <r>
    <s v="EMP-2019-0282"/>
    <s v="Frank"/>
    <s v="Gutierrez"/>
    <n v="35"/>
    <n v="35"/>
    <n v="1989"/>
    <s v="SIXTY THOUSAND"/>
    <n v="60000"/>
    <s v="Male"/>
    <s v="Marketing"/>
    <x v="4"/>
    <s v="Director"/>
    <d v="2019-12-01T00:00:00"/>
    <d v="2019-12-01T00:00:00"/>
    <s v="A"/>
    <n v="96"/>
    <s v="frank.gutierrez@saltcorp.com"/>
    <s v="123-456-7890"/>
    <s v="Full-Time"/>
    <x v="1"/>
    <s v="EMP-2019-0040"/>
    <x v="2"/>
    <s v="N/A"/>
    <m/>
    <m/>
    <n v="79"/>
    <s v="no"/>
    <s v="No"/>
    <x v="4"/>
    <x v="0"/>
    <x v="0"/>
  </r>
  <r>
    <s v="EMP-2020-0283"/>
    <s v="Frank"/>
    <s v="Perez"/>
    <s v="thirty"/>
    <n v="30"/>
    <n v="1994"/>
    <n v="60000"/>
    <n v="60000"/>
    <s v="Male"/>
    <s v="Marketing"/>
    <x v="4"/>
    <s v="Manager"/>
    <d v="2020-01-15T00:00:00"/>
    <d v="2020-01-15T00:00:00"/>
    <s v="D"/>
    <n v="69"/>
    <s v="frank.perez@saltcorp.com"/>
    <s v="098-765-4321"/>
    <s v="contract"/>
    <x v="0"/>
    <m/>
    <x v="5"/>
    <m/>
    <m/>
    <m/>
    <m/>
    <s v="no"/>
    <s v="No"/>
    <x v="2"/>
    <x v="0"/>
    <x v="0"/>
  </r>
  <r>
    <s v="EMP-2020-0284"/>
    <s v="Charlie"/>
    <s v="Thomas"/>
    <n v="25"/>
    <n v="25"/>
    <n v="1999"/>
    <n v="70000"/>
    <n v="70000"/>
    <s v="Male"/>
    <s v="Marketing"/>
    <x v="4"/>
    <s v="Manager"/>
    <d v="2020-01-15T00:00:00"/>
    <d v="2020-01-15T00:00:00"/>
    <s v="A"/>
    <n v="97"/>
    <s v="charlie.thomas@saltcorp.com"/>
    <s v="098-765-4321"/>
    <s v="contract"/>
    <x v="0"/>
    <s v="EMP-2019-0025"/>
    <x v="7"/>
    <m/>
    <n v="2"/>
    <m/>
    <m/>
    <s v="YES"/>
    <s v="Yes"/>
    <x v="2"/>
    <x v="1"/>
    <x v="1"/>
  </r>
  <r>
    <s v="EMP-2019-0285"/>
    <s v="Frank"/>
    <s v="Rogers"/>
    <s v="thirty"/>
    <n v="30"/>
    <n v="1994"/>
    <n v="65000"/>
    <n v="65000"/>
    <s v="Male"/>
    <s v="it"/>
    <x v="3"/>
    <s v="Analyst"/>
    <d v="2019-03-25T00:00:00"/>
    <d v="2019-03-25T00:00:00"/>
    <s v="C"/>
    <n v="74"/>
    <s v="frank.rogers@saltcorp.com"/>
    <s v="555-555-5555"/>
    <s v="Full-Time"/>
    <x v="1"/>
    <m/>
    <x v="4"/>
    <s v="N/A"/>
    <m/>
    <m/>
    <m/>
    <s v="no"/>
    <s v="No"/>
    <x v="1"/>
    <x v="0"/>
    <x v="0"/>
  </r>
  <r>
    <s v="EMP-2020-0286"/>
    <s v="Hannah"/>
    <s v="Hughes"/>
    <s v="thirty"/>
    <n v="30"/>
    <n v="1994"/>
    <n v="65000"/>
    <n v="65000"/>
    <s v="Male"/>
    <s v="finance"/>
    <x v="1"/>
    <s v="Director"/>
    <d v="2020-02-20T00:00:00"/>
    <d v="2020-02-20T00:00:00"/>
    <s v="D"/>
    <n v="66"/>
    <s v="hannah.hughes@saltcorp.com"/>
    <s v=" "/>
    <s v="Part-Time"/>
    <x v="2"/>
    <m/>
    <x v="1"/>
    <m/>
    <m/>
    <m/>
    <m/>
    <s v="YES"/>
    <s v="Yes"/>
    <x v="4"/>
    <x v="0"/>
    <x v="0"/>
  </r>
  <r>
    <s v="EMP-2019-0287"/>
    <s v="Bob"/>
    <s v="Johnson"/>
    <n v="40"/>
    <n v="40"/>
    <n v="1984"/>
    <n v="50000"/>
    <n v="50000"/>
    <s v="Male"/>
    <s v="HR"/>
    <x v="0"/>
    <s v="Manager"/>
    <d v="2019-03-25T00:00:00"/>
    <d v="2019-03-25T00:00:00"/>
    <s v="C"/>
    <n v="77"/>
    <s v="bob.johnson@saltcorp.com"/>
    <s v="123-456-7890"/>
    <s v="Full-Time"/>
    <x v="1"/>
    <s v="EMP-2020-0068"/>
    <x v="4"/>
    <m/>
    <m/>
    <m/>
    <m/>
    <s v="no"/>
    <s v="No"/>
    <x v="1"/>
    <x v="1"/>
    <x v="1"/>
  </r>
  <r>
    <s v="EMP-2020-0288"/>
    <s v="Eve"/>
    <s v="Figueroa"/>
    <n v="25"/>
    <n v="25"/>
    <n v="1999"/>
    <n v="50000"/>
    <n v="50000"/>
    <s v="Female"/>
    <s v="sales"/>
    <x v="2"/>
    <s v="Manager"/>
    <d v="2020-02-20T00:00:00"/>
    <d v="2020-02-20T00:00:00"/>
    <s v="B"/>
    <n v="85"/>
    <s v="eve.figueroa@saltcorp.com"/>
    <s v=" "/>
    <s v="Full-Time"/>
    <x v="1"/>
    <m/>
    <x v="6"/>
    <m/>
    <m/>
    <d v="2023-01-15T00:00:00"/>
    <m/>
    <s v="YES"/>
    <s v="Yes"/>
    <x v="1"/>
    <x v="1"/>
    <x v="1"/>
  </r>
  <r>
    <s v="EMP-2018-0289"/>
    <s v="Alice"/>
    <s v="Rivera"/>
    <n v="25"/>
    <n v="25"/>
    <n v="1999"/>
    <n v="60300"/>
    <n v="60300"/>
    <s v="Female"/>
    <s v="finance"/>
    <x v="1"/>
    <s v="Director"/>
    <d v="2018-04-05T00:00:00"/>
    <d v="2018-04-05T00:00:00"/>
    <s v="B"/>
    <n v="84"/>
    <s v="alice.rivera@saltcorp.com"/>
    <m/>
    <s v="Full-Time"/>
    <x v="1"/>
    <m/>
    <x v="5"/>
    <s v="N/A"/>
    <m/>
    <s v="N/A"/>
    <m/>
    <s v="no"/>
    <s v="No"/>
    <x v="0"/>
    <x v="0"/>
    <x v="0"/>
  </r>
  <r>
    <s v="EMP-2019-0290"/>
    <s v="Alice"/>
    <s v="Chen"/>
    <n v="25"/>
    <n v="25"/>
    <n v="1999"/>
    <n v="70000"/>
    <n v="70000"/>
    <s v="Female"/>
    <s v="it"/>
    <x v="3"/>
    <s v="Clerk"/>
    <d v="2019-03-25T00:00:00"/>
    <d v="2019-03-25T00:00:00"/>
    <s v="F"/>
    <n v="18"/>
    <s v="alice.chen@saltcorp.com"/>
    <s v="555-555-5555"/>
    <s v="contract"/>
    <x v="0"/>
    <m/>
    <x v="3"/>
    <m/>
    <n v="12"/>
    <m/>
    <n v="11"/>
    <s v="no"/>
    <s v="No"/>
    <x v="2"/>
    <x v="1"/>
    <x v="1"/>
  </r>
  <r>
    <s v="EMP-2019-0291"/>
    <s v="Eve"/>
    <s v="Powers"/>
    <n v="25"/>
    <n v="25"/>
    <n v="1999"/>
    <n v="65000"/>
    <n v="65000"/>
    <s v="Female"/>
    <s v="finance"/>
    <x v="1"/>
    <s v="Director"/>
    <d v="2019-03-25T00:00:00"/>
    <d v="2019-03-25T00:00:00"/>
    <s v="B"/>
    <n v="88"/>
    <s v="eve.powers@saltcorp.com"/>
    <s v="555-555-5555"/>
    <s v="Full-Time"/>
    <x v="1"/>
    <m/>
    <x v="0"/>
    <m/>
    <m/>
    <d v="2023-03-05T00:00:00"/>
    <n v="80"/>
    <s v="YES"/>
    <s v="Yes"/>
    <x v="4"/>
    <x v="0"/>
    <x v="0"/>
  </r>
  <r>
    <s v="EMP-2019-0292"/>
    <s v="Charlie"/>
    <s v="Evans"/>
    <n v="25"/>
    <n v="25"/>
    <n v="1999"/>
    <n v="60300"/>
    <n v="60300"/>
    <s v="Male"/>
    <s v="finance"/>
    <x v="1"/>
    <s v="Director"/>
    <d v="2019-12-01T00:00:00"/>
    <d v="2019-12-01T00:00:00"/>
    <s v="C"/>
    <n v="73"/>
    <s v="charlie.evans@saltcorp.com"/>
    <m/>
    <s v="Part-Time"/>
    <x v="2"/>
    <m/>
    <x v="0"/>
    <m/>
    <m/>
    <d v="2022-06-20T00:00:00"/>
    <n v="7"/>
    <s v="no"/>
    <s v="No"/>
    <x v="4"/>
    <x v="0"/>
    <x v="0"/>
  </r>
  <r>
    <s v="EMP-2019-0293"/>
    <s v="David"/>
    <s v="Hansen"/>
    <n v="40"/>
    <n v="40"/>
    <n v="1984"/>
    <n v="58600"/>
    <n v="58600"/>
    <s v="Male"/>
    <s v="it"/>
    <x v="3"/>
    <s v="Clerk"/>
    <d v="2019-03-25T00:00:00"/>
    <d v="2019-03-25T00:00:00"/>
    <s v="B"/>
    <n v="86"/>
    <s v="david.hansen@saltcorp.com"/>
    <s v="123-456-7890"/>
    <s v="Part-Time"/>
    <x v="2"/>
    <m/>
    <x v="5"/>
    <m/>
    <m/>
    <m/>
    <n v="49"/>
    <s v="no"/>
    <s v="No"/>
    <x v="2"/>
    <x v="0"/>
    <x v="0"/>
  </r>
  <r>
    <s v="EMP-2020-0294"/>
    <s v="Charlie"/>
    <s v="Jackson"/>
    <n v="35"/>
    <n v="35"/>
    <n v="1989"/>
    <n v="55000"/>
    <n v="55000"/>
    <s v="Male"/>
    <s v="Marketing"/>
    <x v="4"/>
    <s v="Director"/>
    <d v="2020-02-20T00:00:00"/>
    <d v="2020-02-20T00:00:00"/>
    <s v="D"/>
    <n v="66"/>
    <s v="charlie.jackson@saltcorp.com"/>
    <m/>
    <s v="contract"/>
    <x v="0"/>
    <m/>
    <x v="6"/>
    <n v="6"/>
    <m/>
    <m/>
    <m/>
    <s v="Y"/>
    <s v="Yes"/>
    <x v="2"/>
    <x v="0"/>
    <x v="0"/>
  </r>
  <r>
    <s v="EMP-2019-0295"/>
    <s v="Alice"/>
    <s v="Chen"/>
    <s v="thirty"/>
    <n v="30"/>
    <n v="1994"/>
    <n v="50000"/>
    <n v="50000"/>
    <s v="Female"/>
    <s v="Marketing"/>
    <x v="4"/>
    <s v="Manager"/>
    <d v="2019-12-01T00:00:00"/>
    <d v="2019-12-01T00:00:00"/>
    <s v="B"/>
    <n v="84"/>
    <s v="alice.chen@saltcorp.com"/>
    <s v="123-456-7890"/>
    <s v="contract"/>
    <x v="0"/>
    <m/>
    <x v="0"/>
    <m/>
    <m/>
    <d v="2024-08-12T00:00:00"/>
    <m/>
    <s v="no"/>
    <s v="No"/>
    <x v="2"/>
    <x v="1"/>
    <x v="1"/>
  </r>
  <r>
    <s v="EMP-2019-0296"/>
    <s v="Alice"/>
    <s v="Martinez"/>
    <n v="25"/>
    <n v="25"/>
    <n v="1999"/>
    <n v="70000"/>
    <n v="70000"/>
    <s v="Female"/>
    <s v="HR"/>
    <x v="0"/>
    <s v="Director"/>
    <d v="2019-03-25T00:00:00"/>
    <d v="2019-03-25T00:00:00"/>
    <s v="F"/>
    <n v="5"/>
    <s v="alice.martinez@saltcorp.com"/>
    <s v="098-765-4321"/>
    <s v="Full-Time"/>
    <x v="1"/>
    <m/>
    <x v="1"/>
    <m/>
    <n v="14"/>
    <m/>
    <n v="67"/>
    <m/>
    <s v=""/>
    <x v="4"/>
    <x v="0"/>
    <x v="0"/>
  </r>
  <r>
    <s v="EMP-2019-0297"/>
    <s v="Eve"/>
    <s v="Dixon"/>
    <n v="35"/>
    <n v="35"/>
    <n v="1989"/>
    <n v="65000"/>
    <n v="65000"/>
    <s v="Female"/>
    <s v="HR"/>
    <x v="0"/>
    <s v="Clerk"/>
    <d v="2019-03-25T00:00:00"/>
    <d v="2019-03-25T00:00:00"/>
    <s v="B"/>
    <n v="81"/>
    <s v="eve.dixon@saltcorp.com"/>
    <s v="555-555-5555"/>
    <s v="Part-Time"/>
    <x v="2"/>
    <m/>
    <x v="0"/>
    <n v="10"/>
    <m/>
    <s v="N/A"/>
    <m/>
    <s v="YES"/>
    <s v="Yes"/>
    <x v="2"/>
    <x v="0"/>
    <x v="0"/>
  </r>
  <r>
    <s v="EMP-2018-0298"/>
    <s v="Frank"/>
    <s v="Torres"/>
    <n v="35"/>
    <n v="35"/>
    <n v="1989"/>
    <n v="61600"/>
    <n v="61600"/>
    <s v="Male"/>
    <s v="Marketing"/>
    <x v="4"/>
    <s v="Assistant"/>
    <d v="2018-04-05T00:00:00"/>
    <d v="2018-04-05T00:00:00"/>
    <s v="C"/>
    <n v="78"/>
    <s v="frank.torres@saltcorp.com"/>
    <s v="123-456-7890"/>
    <s v="Part-Time"/>
    <x v="2"/>
    <m/>
    <x v="2"/>
    <m/>
    <n v="6"/>
    <d v="2021-10-01T00:00:00"/>
    <m/>
    <s v="YES"/>
    <s v="Yes"/>
    <x v="4"/>
    <x v="0"/>
    <x v="0"/>
  </r>
  <r>
    <s v="EMP-2019-0299"/>
    <s v="Charlie"/>
    <s v="Wells"/>
    <s v="thirty"/>
    <n v="30"/>
    <n v="1994"/>
    <n v="65000"/>
    <n v="65000"/>
    <s v="Male"/>
    <s v="sales"/>
    <x v="2"/>
    <s v="Director"/>
    <d v="2019-03-25T00:00:00"/>
    <d v="2019-03-25T00:00:00"/>
    <s v="C"/>
    <n v="76"/>
    <s v="charlie.wells@saltcorp.com"/>
    <s v=" "/>
    <s v="Part-Time"/>
    <x v="2"/>
    <s v="EMP-2019-0071"/>
    <x v="5"/>
    <m/>
    <m/>
    <d v="2023-01-15T00:00:00"/>
    <m/>
    <s v="no"/>
    <s v="No"/>
    <x v="1"/>
    <x v="1"/>
    <x v="1"/>
  </r>
  <r>
    <s v="EMP-2020-0300"/>
    <s v="Ivy"/>
    <s v="Andrews"/>
    <n v="40"/>
    <n v="40"/>
    <n v="1984"/>
    <n v="55000"/>
    <n v="55000"/>
    <s v="Female"/>
    <s v="finance"/>
    <x v="1"/>
    <s v="Analyst"/>
    <d v="2020-01-15T00:00:00"/>
    <d v="2020-01-15T00:00:00"/>
    <s v="B"/>
    <n v="86"/>
    <s v="ivy.andrews@saltcorp.com"/>
    <s v=" "/>
    <s v="contract"/>
    <x v="0"/>
    <m/>
    <x v="6"/>
    <s v="N/A"/>
    <n v="4"/>
    <d v="2023-01-15T00:00:00"/>
    <m/>
    <s v="Y"/>
    <s v="Yes"/>
    <x v="0"/>
    <x v="0"/>
    <x v="0"/>
  </r>
  <r>
    <s v="EMP-2019-0301"/>
    <s v="Eve"/>
    <s v="Carter"/>
    <m/>
    <n v="36"/>
    <n v="1988"/>
    <n v="70000"/>
    <n v="70000"/>
    <s v="Female"/>
    <s v="sales"/>
    <x v="2"/>
    <s v="Manager"/>
    <d v="2019-12-01T00:00:00"/>
    <d v="2019-12-01T00:00:00"/>
    <s v="C"/>
    <n v="71"/>
    <s v="eve.carter@saltcorp.com"/>
    <s v="555-555-5555"/>
    <s v="Part-Time"/>
    <x v="2"/>
    <m/>
    <x v="7"/>
    <m/>
    <m/>
    <s v="N/A"/>
    <n v="70"/>
    <s v="Y"/>
    <s v="Yes"/>
    <x v="4"/>
    <x v="1"/>
    <x v="1"/>
  </r>
  <r>
    <s v="EMP-2020-0302"/>
    <s v="Hannah"/>
    <s v="Gray"/>
    <m/>
    <n v="39"/>
    <n v="1985"/>
    <n v="59500"/>
    <n v="59500"/>
    <s v="Male"/>
    <s v="finance"/>
    <x v="1"/>
    <s v="Manager"/>
    <d v="2020-01-15T00:00:00"/>
    <d v="2020-01-15T00:00:00"/>
    <s v="C"/>
    <n v="77"/>
    <s v="hannah.gray@saltcorp.com"/>
    <m/>
    <s v="Part-Time"/>
    <x v="2"/>
    <m/>
    <x v="5"/>
    <m/>
    <m/>
    <d v="2023-01-15T00:00:00"/>
    <m/>
    <s v="no"/>
    <s v="No"/>
    <x v="0"/>
    <x v="0"/>
    <x v="0"/>
  </r>
  <r>
    <s v="EMP-2019-0303"/>
    <s v="Alice"/>
    <s v="Anderson"/>
    <n v="35"/>
    <n v="35"/>
    <n v="1989"/>
    <n v="65000"/>
    <n v="65000"/>
    <s v="Male"/>
    <s v="Marketing"/>
    <x v="4"/>
    <s v="Analyst"/>
    <d v="2019-12-01T00:00:00"/>
    <d v="2019-12-01T00:00:00"/>
    <s v="F"/>
    <n v="7"/>
    <s v="alice.anderson@saltcorp.com"/>
    <m/>
    <s v="Full-Time"/>
    <x v="1"/>
    <s v="EMP-2019-0012"/>
    <x v="1"/>
    <m/>
    <n v="0"/>
    <d v="2023-03-05T00:00:00"/>
    <m/>
    <s v="no"/>
    <s v="No"/>
    <x v="1"/>
    <x v="1"/>
    <x v="1"/>
  </r>
  <r>
    <s v="EMP-2018-0304"/>
    <s v="Eve"/>
    <s v="Santos"/>
    <n v="50"/>
    <n v="50"/>
    <n v="1974"/>
    <n v="50000"/>
    <n v="50000"/>
    <s v="Female"/>
    <s v="HR"/>
    <x v="0"/>
    <s v="Analyst"/>
    <d v="2018-04-05T00:00:00"/>
    <d v="2018-04-05T00:00:00"/>
    <s v="D"/>
    <n v="66"/>
    <s v="eve.santos@saltcorp.com"/>
    <s v="123-456-7890"/>
    <s v="Part-Time"/>
    <x v="2"/>
    <m/>
    <x v="1"/>
    <s v="N/A"/>
    <m/>
    <d v="2024-08-12T00:00:00"/>
    <m/>
    <m/>
    <s v=""/>
    <x v="0"/>
    <x v="0"/>
    <x v="0"/>
  </r>
  <r>
    <s v="EMP-2019-0305"/>
    <s v="Charlie"/>
    <s v="Young"/>
    <n v="50"/>
    <n v="50"/>
    <n v="1974"/>
    <n v="55000"/>
    <n v="55000"/>
    <s v="Male"/>
    <s v="HR"/>
    <x v="0"/>
    <s v="Director"/>
    <d v="2019-03-25T00:00:00"/>
    <d v="2019-03-25T00:00:00"/>
    <s v="F"/>
    <n v="1"/>
    <s v="charlie.young@saltcorp.com"/>
    <m/>
    <s v="Full-Time"/>
    <x v="1"/>
    <s v="EMP-2020-0048"/>
    <x v="4"/>
    <n v="5"/>
    <n v="18"/>
    <m/>
    <n v="50"/>
    <s v="YES"/>
    <s v="Yes"/>
    <x v="4"/>
    <x v="0"/>
    <x v="0"/>
  </r>
  <r>
    <s v="EMP-2019-0306"/>
    <s v="Alice"/>
    <s v="Graham"/>
    <s v="thirty"/>
    <n v="30"/>
    <n v="1994"/>
    <n v="70000"/>
    <n v="70000"/>
    <s v="Male"/>
    <s v="sales"/>
    <x v="2"/>
    <s v="Analyst"/>
    <d v="2019-03-25T00:00:00"/>
    <d v="2019-03-25T00:00:00"/>
    <s v="A"/>
    <n v="99"/>
    <s v="alice.graham@saltcorp.com"/>
    <s v="555-555-5555"/>
    <s v="Full-Time"/>
    <x v="1"/>
    <s v="EMP-2018-0048"/>
    <x v="1"/>
    <m/>
    <m/>
    <m/>
    <m/>
    <m/>
    <s v=""/>
    <x v="0"/>
    <x v="0"/>
    <x v="0"/>
  </r>
  <r>
    <s v="EMP-2019-0307"/>
    <s v="David"/>
    <s v="Patel"/>
    <m/>
    <n v="37"/>
    <n v="1987"/>
    <n v="55000"/>
    <n v="55000"/>
    <s v="Male"/>
    <s v="HR"/>
    <x v="0"/>
    <s v="Assistant"/>
    <d v="2019-03-25T00:00:00"/>
    <d v="2019-03-25T00:00:00"/>
    <s v="F"/>
    <n v="11"/>
    <s v="david.patel@saltcorp.com"/>
    <s v="123-456-7890"/>
    <s v="Full-Time"/>
    <x v="1"/>
    <m/>
    <x v="7"/>
    <n v="10"/>
    <n v="2"/>
    <d v="2023-01-15T00:00:00"/>
    <n v="72"/>
    <s v="no"/>
    <s v="No"/>
    <x v="0"/>
    <x v="0"/>
    <x v="0"/>
  </r>
  <r>
    <s v="EMP-2019-0308"/>
    <s v="Eve"/>
    <s v="Rivera"/>
    <n v="35"/>
    <n v="35"/>
    <n v="1989"/>
    <n v="50000"/>
    <n v="50000"/>
    <s v="Male"/>
    <s v="Marketing"/>
    <x v="4"/>
    <s v="Clerk"/>
    <d v="2019-12-01T00:00:00"/>
    <d v="2019-12-01T00:00:00"/>
    <s v="B"/>
    <n v="89"/>
    <s v="eve.rivera@saltcorp.com"/>
    <s v="098-765-4321"/>
    <s v="Full-Time"/>
    <x v="1"/>
    <s v="EMP-2018-0018"/>
    <x v="7"/>
    <n v="3"/>
    <n v="10"/>
    <m/>
    <m/>
    <s v="YES"/>
    <s v="Yes"/>
    <x v="0"/>
    <x v="0"/>
    <x v="0"/>
  </r>
  <r>
    <s v="EMP-2019-0309"/>
    <s v="Grace"/>
    <s v="Bennett"/>
    <n v="40"/>
    <n v="40"/>
    <n v="1984"/>
    <n v="70000"/>
    <n v="70000"/>
    <s v="Male"/>
    <s v="sales"/>
    <x v="2"/>
    <s v="Analyst"/>
    <d v="2019-03-25T00:00:00"/>
    <d v="2019-03-25T00:00:00"/>
    <s v="D"/>
    <n v="68"/>
    <s v="grace.bennett@saltcorp.com"/>
    <m/>
    <s v="Part-Time"/>
    <x v="2"/>
    <s v="EMP-2019-0090"/>
    <x v="6"/>
    <m/>
    <m/>
    <d v="2022-06-20T00:00:00"/>
    <m/>
    <s v="no"/>
    <s v="No"/>
    <x v="4"/>
    <x v="0"/>
    <x v="0"/>
  </r>
  <r>
    <s v="EMP-2020-0310"/>
    <s v="Alice"/>
    <s v="Garza"/>
    <m/>
    <n v="33"/>
    <n v="1991"/>
    <n v="55000"/>
    <n v="55000"/>
    <s v="Male"/>
    <s v="finance"/>
    <x v="1"/>
    <s v="Analyst"/>
    <d v="2020-01-15T00:00:00"/>
    <d v="2020-01-15T00:00:00"/>
    <s v="B"/>
    <n v="86"/>
    <s v="alice.garza@saltcorp.com"/>
    <m/>
    <s v="Full-Time"/>
    <x v="1"/>
    <m/>
    <x v="1"/>
    <m/>
    <n v="17"/>
    <d v="2022-06-20T00:00:00"/>
    <n v="27"/>
    <s v="no"/>
    <s v="No"/>
    <x v="4"/>
    <x v="1"/>
    <x v="1"/>
  </r>
  <r>
    <s v="EMP-2019-0311"/>
    <s v="Charlie"/>
    <s v="Taylor"/>
    <n v="35"/>
    <n v="35"/>
    <n v="1989"/>
    <s v="SIXTY THOUSAND"/>
    <n v="60000"/>
    <s v="Female"/>
    <s v="HR"/>
    <x v="0"/>
    <s v="Assistant"/>
    <d v="2019-03-25T00:00:00"/>
    <d v="2019-03-25T00:00:00"/>
    <s v="A"/>
    <n v="95"/>
    <s v="charlie.taylor@saltcorp.com"/>
    <s v="123-456-7890"/>
    <s v="Full-Time"/>
    <x v="1"/>
    <m/>
    <x v="4"/>
    <m/>
    <m/>
    <d v="2023-03-05T00:00:00"/>
    <m/>
    <s v="Y"/>
    <s v="Yes"/>
    <x v="3"/>
    <x v="1"/>
    <x v="1"/>
  </r>
  <r>
    <s v="EMP-2018-0312"/>
    <s v="Bob"/>
    <s v="Wilson"/>
    <n v="35"/>
    <n v="35"/>
    <n v="1989"/>
    <n v="50000"/>
    <n v="50000"/>
    <s v="Male"/>
    <s v="it"/>
    <x v="3"/>
    <s v="Manager"/>
    <d v="2018-04-05T00:00:00"/>
    <d v="2018-04-05T00:00:00"/>
    <s v="D"/>
    <n v="62"/>
    <s v="bob.wilson@saltcorp.com"/>
    <s v=" "/>
    <s v="contract"/>
    <x v="0"/>
    <m/>
    <x v="4"/>
    <m/>
    <m/>
    <m/>
    <n v="78"/>
    <s v="no"/>
    <s v="No"/>
    <x v="0"/>
    <x v="1"/>
    <x v="1"/>
  </r>
  <r>
    <s v="EMP-2020-0313"/>
    <s v="Ivy"/>
    <s v="Kumar"/>
    <n v="25"/>
    <n v="25"/>
    <n v="1999"/>
    <n v="50000"/>
    <n v="50000"/>
    <s v="Female"/>
    <s v="HR"/>
    <x v="0"/>
    <s v="Manager"/>
    <d v="2020-01-15T00:00:00"/>
    <d v="2020-01-15T00:00:00"/>
    <s v="C"/>
    <n v="71"/>
    <s v="ivy.kumar@saltcorp.com"/>
    <m/>
    <s v="Full-Time"/>
    <x v="1"/>
    <m/>
    <x v="4"/>
    <m/>
    <m/>
    <m/>
    <m/>
    <s v="no"/>
    <s v="No"/>
    <x v="4"/>
    <x v="1"/>
    <x v="1"/>
  </r>
  <r>
    <s v="EMP-2019-0314"/>
    <s v="Jack"/>
    <s v="Thomas"/>
    <n v="40"/>
    <n v="40"/>
    <n v="1984"/>
    <n v="50000"/>
    <n v="50000"/>
    <s v="Male"/>
    <s v="finance"/>
    <x v="1"/>
    <s v="Director"/>
    <d v="2019-03-25T00:00:00"/>
    <d v="2019-03-25T00:00:00"/>
    <s v="F"/>
    <n v="28"/>
    <s v="jack.thomas@saltcorp.com"/>
    <s v="555-555-5555"/>
    <s v="contract"/>
    <x v="0"/>
    <s v="EMP-2018-0007"/>
    <x v="5"/>
    <m/>
    <n v="2"/>
    <m/>
    <m/>
    <m/>
    <s v=""/>
    <x v="2"/>
    <x v="0"/>
    <x v="0"/>
  </r>
  <r>
    <s v="EMP-2019-0315"/>
    <s v="Frank"/>
    <s v="Walker"/>
    <n v="25"/>
    <n v="25"/>
    <n v="1999"/>
    <s v="SIXTY THOUSAND"/>
    <n v="60000"/>
    <s v="Male"/>
    <s v="sales"/>
    <x v="2"/>
    <s v="Assistant"/>
    <d v="2019-03-25T00:00:00"/>
    <d v="2019-03-25T00:00:00"/>
    <s v="B"/>
    <n v="84"/>
    <s v="frank.walker@saltcorp.com"/>
    <m/>
    <s v="Full-Time"/>
    <x v="1"/>
    <s v="EMP-2020-0059"/>
    <x v="6"/>
    <s v="N/A"/>
    <m/>
    <m/>
    <m/>
    <m/>
    <s v=""/>
    <x v="2"/>
    <x v="0"/>
    <x v="0"/>
  </r>
  <r>
    <s v="EMP-2020-0316"/>
    <s v="Jack"/>
    <s v="Walsh"/>
    <s v="thirty"/>
    <n v="30"/>
    <n v="1994"/>
    <s v="SIXTY THOUSAND"/>
    <n v="60000"/>
    <s v="Male"/>
    <s v="finance"/>
    <x v="1"/>
    <s v="Clerk"/>
    <d v="2020-02-20T00:00:00"/>
    <d v="2020-02-20T00:00:00"/>
    <s v="A"/>
    <n v="95"/>
    <s v="jack.walsh@saltcorp.com"/>
    <s v="098-765-4321"/>
    <s v="Full-Time"/>
    <x v="1"/>
    <m/>
    <x v="2"/>
    <m/>
    <m/>
    <m/>
    <m/>
    <s v="YES"/>
    <s v="Yes"/>
    <x v="1"/>
    <x v="0"/>
    <x v="0"/>
  </r>
  <r>
    <s v="EMP-2019-0317"/>
    <s v="Charlie"/>
    <s v="Clark"/>
    <n v="25"/>
    <n v="25"/>
    <n v="1999"/>
    <n v="65000"/>
    <n v="65000"/>
    <s v="Female"/>
    <s v="it"/>
    <x v="3"/>
    <s v="Clerk"/>
    <d v="2019-12-01T00:00:00"/>
    <d v="2019-12-01T00:00:00"/>
    <s v="C"/>
    <n v="77"/>
    <s v="charlie.clark@saltcorp.com"/>
    <m/>
    <s v="Full-Time"/>
    <x v="1"/>
    <s v="EMP-2020-0074"/>
    <x v="6"/>
    <m/>
    <m/>
    <m/>
    <m/>
    <s v="no"/>
    <s v="No"/>
    <x v="1"/>
    <x v="1"/>
    <x v="1"/>
  </r>
  <r>
    <s v="EMP-2020-0318"/>
    <s v="Hannah"/>
    <s v="Vega"/>
    <n v="25"/>
    <n v="25"/>
    <n v="1999"/>
    <n v="61600"/>
    <n v="61600"/>
    <s v="Female"/>
    <s v="Marketing"/>
    <x v="4"/>
    <s v="Assistant"/>
    <d v="2020-01-15T00:00:00"/>
    <d v="2020-01-15T00:00:00"/>
    <s v="F"/>
    <n v="38"/>
    <s v="hannah.vega@saltcorp.com"/>
    <s v=" "/>
    <s v="Full-Time"/>
    <x v="1"/>
    <s v="EMP-2019-0055"/>
    <x v="6"/>
    <n v="5"/>
    <n v="13"/>
    <m/>
    <n v="38"/>
    <s v="YES"/>
    <s v="Yes"/>
    <x v="4"/>
    <x v="0"/>
    <x v="0"/>
  </r>
  <r>
    <s v="EMP-2020-0319"/>
    <s v="Hannah"/>
    <s v="Foster"/>
    <m/>
    <n v="33"/>
    <n v="1991"/>
    <n v="55000"/>
    <n v="55000"/>
    <s v="Female"/>
    <s v="HR"/>
    <x v="0"/>
    <s v="Clerk"/>
    <d v="2020-02-20T00:00:00"/>
    <d v="2020-02-20T00:00:00"/>
    <s v="C"/>
    <n v="73"/>
    <s v="hannah.foster@saltcorp.com"/>
    <m/>
    <s v="contract"/>
    <x v="0"/>
    <m/>
    <x v="0"/>
    <m/>
    <m/>
    <m/>
    <m/>
    <s v="YES"/>
    <s v="Yes"/>
    <x v="1"/>
    <x v="1"/>
    <x v="1"/>
  </r>
  <r>
    <s v="EMP-2018-0320"/>
    <s v="Bob"/>
    <s v="Ross"/>
    <n v="50"/>
    <n v="50"/>
    <n v="1974"/>
    <n v="65000"/>
    <n v="65000"/>
    <s v="Male"/>
    <s v="sales"/>
    <x v="2"/>
    <s v="Manager"/>
    <d v="2018-04-05T00:00:00"/>
    <d v="2018-04-05T00:00:00"/>
    <s v="F"/>
    <n v="7"/>
    <s v="bob.ross@saltcorp.com"/>
    <s v="123-456-7890"/>
    <s v="Full-Time"/>
    <x v="1"/>
    <m/>
    <x v="3"/>
    <m/>
    <m/>
    <m/>
    <m/>
    <s v="YES"/>
    <s v="Yes"/>
    <x v="2"/>
    <x v="0"/>
    <x v="0"/>
  </r>
  <r>
    <s v="EMP-2019-0321"/>
    <s v="Frank"/>
    <s v="Gonzalez"/>
    <n v="35"/>
    <n v="35"/>
    <n v="1989"/>
    <n v="55000"/>
    <n v="55000"/>
    <s v="Male"/>
    <s v="Marketing"/>
    <x v="4"/>
    <s v="Clerk"/>
    <d v="2019-12-01T00:00:00"/>
    <d v="2019-12-01T00:00:00"/>
    <s v="D"/>
    <n v="62"/>
    <s v="frank.gonzalez@saltcorp.com"/>
    <m/>
    <s v="contract"/>
    <x v="0"/>
    <m/>
    <x v="6"/>
    <s v="N/A"/>
    <m/>
    <d v="2024-08-12T00:00:00"/>
    <n v="12"/>
    <s v="no"/>
    <s v="No"/>
    <x v="4"/>
    <x v="1"/>
    <x v="1"/>
  </r>
  <r>
    <s v="EMP-2020-0322"/>
    <s v="Grace"/>
    <s v="Jordan"/>
    <n v="40"/>
    <n v="40"/>
    <n v="1984"/>
    <n v="61300"/>
    <n v="61300"/>
    <s v="Female"/>
    <s v="finance"/>
    <x v="1"/>
    <s v="Clerk"/>
    <d v="2020-01-15T00:00:00"/>
    <d v="2020-01-15T00:00:00"/>
    <s v="C"/>
    <n v="73"/>
    <s v="grace.jordan@saltcorp.com"/>
    <s v=" "/>
    <s v="contract"/>
    <x v="0"/>
    <m/>
    <x v="2"/>
    <m/>
    <n v="4"/>
    <m/>
    <m/>
    <m/>
    <s v=""/>
    <x v="1"/>
    <x v="0"/>
    <x v="0"/>
  </r>
  <r>
    <s v="EMP-2019-0323"/>
    <s v="Bob"/>
    <s v="Johnson"/>
    <n v="25"/>
    <n v="25"/>
    <n v="1999"/>
    <s v="SIXTY THOUSAND"/>
    <n v="60000"/>
    <s v="Male"/>
    <s v="sales"/>
    <x v="2"/>
    <s v="Assistant"/>
    <d v="2019-03-25T00:00:00"/>
    <d v="2019-03-25T00:00:00"/>
    <s v="C"/>
    <n v="71"/>
    <s v="bob.johnson@saltcorp.com"/>
    <s v="123-456-7890"/>
    <s v="contract"/>
    <x v="0"/>
    <s v="EMP-2020-0071"/>
    <x v="3"/>
    <s v="N/A"/>
    <m/>
    <d v="2023-01-15T00:00:00"/>
    <n v="5"/>
    <s v="YES"/>
    <s v="Yes"/>
    <x v="1"/>
    <x v="1"/>
    <x v="1"/>
  </r>
  <r>
    <s v="EMP-2020-0324"/>
    <s v="Jack"/>
    <s v="Castillo"/>
    <n v="40"/>
    <n v="40"/>
    <n v="1984"/>
    <n v="61600"/>
    <n v="61600"/>
    <s v="Male"/>
    <s v="Marketing"/>
    <x v="4"/>
    <s v="Assistant"/>
    <d v="2020-01-15T00:00:00"/>
    <d v="2020-01-15T00:00:00"/>
    <s v="C"/>
    <n v="70"/>
    <s v="jack.castillo@saltcorp.com"/>
    <s v="555-555-5555"/>
    <s v="Full-Time"/>
    <x v="1"/>
    <m/>
    <x v="1"/>
    <m/>
    <m/>
    <d v="2021-10-01T00:00:00"/>
    <n v="54"/>
    <s v="YES"/>
    <s v="Yes"/>
    <x v="3"/>
    <x v="1"/>
    <x v="1"/>
  </r>
  <r>
    <s v="EMP-2019-0325"/>
    <s v="Bob"/>
    <s v="Schmidt"/>
    <n v="50"/>
    <n v="50"/>
    <n v="1974"/>
    <s v="SIXTY THOUSAND"/>
    <n v="60000"/>
    <s v="Female"/>
    <s v="sales"/>
    <x v="2"/>
    <s v="Clerk"/>
    <d v="2019-03-25T00:00:00"/>
    <d v="2019-03-25T00:00:00"/>
    <s v="D"/>
    <n v="66"/>
    <s v="bob.schmidt@saltcorp.com"/>
    <s v="123-456-7890"/>
    <s v="Full-Time"/>
    <x v="1"/>
    <m/>
    <x v="4"/>
    <m/>
    <m/>
    <m/>
    <m/>
    <s v="YES"/>
    <s v="Yes"/>
    <x v="0"/>
    <x v="0"/>
    <x v="0"/>
  </r>
  <r>
    <s v="EMP-2019-0326"/>
    <s v="Jack"/>
    <s v="McCarthy"/>
    <n v="50"/>
    <n v="50"/>
    <n v="1974"/>
    <n v="59300"/>
    <n v="59300"/>
    <s v="Female"/>
    <s v="it"/>
    <x v="3"/>
    <s v="Analyst"/>
    <d v="2019-12-01T00:00:00"/>
    <d v="2019-12-01T00:00:00"/>
    <s v="A"/>
    <n v="96"/>
    <s v="jack.mccarthy@saltcorp.com"/>
    <s v="098-765-4321"/>
    <s v="Full-Time"/>
    <x v="1"/>
    <s v="EMP-2018-0045"/>
    <x v="4"/>
    <m/>
    <m/>
    <d v="2023-03-05T00:00:00"/>
    <m/>
    <m/>
    <s v=""/>
    <x v="0"/>
    <x v="0"/>
    <x v="0"/>
  </r>
  <r>
    <s v="EMP-2019-0327"/>
    <s v="Alice"/>
    <s v="Williams"/>
    <n v="25"/>
    <n v="25"/>
    <n v="1999"/>
    <n v="65000"/>
    <n v="65000"/>
    <s v="Female"/>
    <s v="it"/>
    <x v="3"/>
    <s v="Assistant"/>
    <d v="2019-03-25T00:00:00"/>
    <d v="2019-03-25T00:00:00"/>
    <s v="F"/>
    <n v="29"/>
    <s v="alice.williams@saltcorp.com"/>
    <s v="123-456-7890"/>
    <s v="contract"/>
    <x v="0"/>
    <m/>
    <x v="6"/>
    <n v="3"/>
    <n v="18"/>
    <m/>
    <m/>
    <m/>
    <s v=""/>
    <x v="3"/>
    <x v="1"/>
    <x v="1"/>
  </r>
  <r>
    <s v="EMP-2018-0328"/>
    <s v="Hannah"/>
    <s v="Hughes"/>
    <s v="thirty"/>
    <n v="30"/>
    <n v="1994"/>
    <n v="70000"/>
    <n v="70000"/>
    <s v="Female"/>
    <s v="HR"/>
    <x v="0"/>
    <s v="Director"/>
    <d v="2018-04-05T00:00:00"/>
    <d v="2018-04-05T00:00:00"/>
    <s v="C"/>
    <n v="76"/>
    <s v="hannah.hughes@saltcorp.com"/>
    <s v="555-555-5555"/>
    <s v="contract"/>
    <x v="0"/>
    <s v="EMP-2019-0018"/>
    <x v="3"/>
    <m/>
    <m/>
    <m/>
    <m/>
    <s v="YES"/>
    <s v="Yes"/>
    <x v="2"/>
    <x v="0"/>
    <x v="0"/>
  </r>
  <r>
    <s v="EMP-2019-0329"/>
    <s v="Alice"/>
    <s v="Martinez"/>
    <n v="25"/>
    <n v="25"/>
    <n v="1999"/>
    <n v="65000"/>
    <n v="65000"/>
    <s v="Male"/>
    <s v="HR"/>
    <x v="0"/>
    <s v="Director"/>
    <d v="2019-03-25T00:00:00"/>
    <d v="2019-03-25T00:00:00"/>
    <s v="D"/>
    <n v="68"/>
    <s v="alice.martinez@saltcorp.com"/>
    <m/>
    <s v="Full-Time"/>
    <x v="1"/>
    <s v="EMP-2019-0083"/>
    <x v="2"/>
    <n v="3"/>
    <m/>
    <m/>
    <m/>
    <s v="no"/>
    <s v="No"/>
    <x v="2"/>
    <x v="1"/>
    <x v="1"/>
  </r>
  <r>
    <s v="EMP-2018-0330"/>
    <s v="Ivy"/>
    <s v="Shah"/>
    <m/>
    <n v="43"/>
    <n v="1981"/>
    <n v="55000"/>
    <n v="55000"/>
    <s v="Female"/>
    <s v="it"/>
    <x v="3"/>
    <s v="Manager"/>
    <d v="2018-04-05T00:00:00"/>
    <d v="2018-04-05T00:00:00"/>
    <s v="A"/>
    <n v="96"/>
    <s v="ivy.shah@saltcorp.com"/>
    <s v="123-456-7890"/>
    <s v="Full-Time"/>
    <x v="1"/>
    <m/>
    <x v="0"/>
    <n v="1"/>
    <n v="13"/>
    <d v="2023-01-15T00:00:00"/>
    <m/>
    <s v="no"/>
    <s v="No"/>
    <x v="4"/>
    <x v="0"/>
    <x v="0"/>
  </r>
  <r>
    <s v="EMP-2019-0331"/>
    <s v="Frank"/>
    <s v="Davidson"/>
    <n v="35"/>
    <n v="35"/>
    <n v="1989"/>
    <n v="65000"/>
    <n v="65000"/>
    <s v="Female"/>
    <s v="sales"/>
    <x v="2"/>
    <s v="Clerk"/>
    <d v="2019-12-01T00:00:00"/>
    <d v="2019-12-01T00:00:00"/>
    <s v="F"/>
    <n v="33"/>
    <s v="frank.davidson@saltcorp.com"/>
    <s v="123-456-7890"/>
    <s v="Full-Time"/>
    <x v="1"/>
    <s v="EMP-2018-0018"/>
    <x v="0"/>
    <n v="1"/>
    <n v="5"/>
    <m/>
    <m/>
    <s v="no"/>
    <s v="No"/>
    <x v="4"/>
    <x v="0"/>
    <x v="0"/>
  </r>
  <r>
    <s v="EMP-2019-0332"/>
    <s v="Grace"/>
    <s v="Dixon"/>
    <s v="thirty"/>
    <n v="30"/>
    <n v="1994"/>
    <n v="50000"/>
    <n v="50000"/>
    <s v="Male"/>
    <s v="it"/>
    <x v="3"/>
    <s v="Analyst"/>
    <d v="2019-12-01T00:00:00"/>
    <d v="2019-12-01T00:00:00"/>
    <s v="D"/>
    <n v="65"/>
    <s v="grace.dixon@saltcorp.com"/>
    <s v="123-456-7890"/>
    <s v="Part-Time"/>
    <x v="2"/>
    <m/>
    <x v="0"/>
    <n v="9"/>
    <m/>
    <d v="2022-06-20T00:00:00"/>
    <m/>
    <s v="YES"/>
    <s v="Yes"/>
    <x v="4"/>
    <x v="1"/>
    <x v="1"/>
  </r>
  <r>
    <s v="EMP-2020-0333"/>
    <s v="Jack"/>
    <s v="Vega"/>
    <n v="25"/>
    <n v="25"/>
    <n v="1999"/>
    <n v="55000"/>
    <n v="55000"/>
    <s v="Male"/>
    <s v="HR"/>
    <x v="0"/>
    <s v="Manager"/>
    <d v="2020-01-15T00:00:00"/>
    <d v="2020-01-15T00:00:00"/>
    <s v="F"/>
    <n v="9"/>
    <s v="jack.vega@saltcorp.com"/>
    <s v="123-456-7890"/>
    <s v="Part-Time"/>
    <x v="2"/>
    <m/>
    <x v="3"/>
    <m/>
    <m/>
    <m/>
    <n v="24"/>
    <s v="YES"/>
    <s v="Yes"/>
    <x v="2"/>
    <x v="1"/>
    <x v="1"/>
  </r>
  <r>
    <s v="EMP-2018-0334"/>
    <s v="Grace"/>
    <s v="Matthews"/>
    <n v="40"/>
    <n v="40"/>
    <n v="1984"/>
    <n v="58600"/>
    <n v="58600"/>
    <s v="Female"/>
    <s v="it"/>
    <x v="3"/>
    <s v="Clerk"/>
    <d v="2018-04-05T00:00:00"/>
    <d v="2018-04-05T00:00:00"/>
    <s v="C"/>
    <n v="72"/>
    <s v="grace.matthews@saltcorp.com"/>
    <s v="555-555-5555"/>
    <s v="Part-Time"/>
    <x v="2"/>
    <m/>
    <x v="2"/>
    <m/>
    <n v="6"/>
    <m/>
    <m/>
    <s v="YES"/>
    <s v="Yes"/>
    <x v="2"/>
    <x v="0"/>
    <x v="0"/>
  </r>
  <r>
    <s v="EMP-2018-0335"/>
    <s v="Jack"/>
    <s v="O'Connor"/>
    <s v="thirty"/>
    <n v="30"/>
    <n v="1994"/>
    <n v="55000"/>
    <n v="55000"/>
    <s v="Male"/>
    <s v="it"/>
    <x v="3"/>
    <s v="Assistant"/>
    <d v="2018-04-05T00:00:00"/>
    <d v="2018-04-05T00:00:00"/>
    <s v="A"/>
    <n v="100"/>
    <s v="jack.o'connor@saltcorp.com"/>
    <s v=" "/>
    <s v="Part-Time"/>
    <x v="2"/>
    <m/>
    <x v="4"/>
    <s v="N/A"/>
    <m/>
    <m/>
    <m/>
    <s v="YES"/>
    <s v="Yes"/>
    <x v="2"/>
    <x v="1"/>
    <x v="1"/>
  </r>
  <r>
    <s v="EMP-2020-0336"/>
    <s v="Charlie"/>
    <s v="Lewis"/>
    <s v="thirty"/>
    <n v="30"/>
    <n v="1994"/>
    <n v="70000"/>
    <n v="70000"/>
    <s v="Male"/>
    <s v="sales"/>
    <x v="2"/>
    <s v="Director"/>
    <d v="2020-02-20T00:00:00"/>
    <d v="2020-02-20T00:00:00"/>
    <s v="D"/>
    <n v="69"/>
    <s v="charlie.lewis@saltcorp.com"/>
    <s v=" "/>
    <s v="Full-Time"/>
    <x v="1"/>
    <m/>
    <x v="4"/>
    <m/>
    <m/>
    <m/>
    <m/>
    <s v="YES"/>
    <s v="Yes"/>
    <x v="0"/>
    <x v="0"/>
    <x v="0"/>
  </r>
  <r>
    <s v="EMP-2020-0337"/>
    <s v="Bob"/>
    <s v="Wilson"/>
    <n v="25"/>
    <n v="25"/>
    <n v="1999"/>
    <s v="SIXTY THOUSAND"/>
    <n v="60000"/>
    <s v="Female"/>
    <s v="Marketing"/>
    <x v="4"/>
    <s v="Analyst"/>
    <d v="2020-02-20T00:00:00"/>
    <d v="2020-02-20T00:00:00"/>
    <s v="A"/>
    <n v="100"/>
    <s v="bob.wilson@saltcorp.com"/>
    <s v="123-456-7890"/>
    <s v="Part-Time"/>
    <x v="2"/>
    <m/>
    <x v="2"/>
    <n v="3"/>
    <m/>
    <d v="2022-06-20T00:00:00"/>
    <m/>
    <s v="no"/>
    <s v="No"/>
    <x v="2"/>
    <x v="0"/>
    <x v="0"/>
  </r>
  <r>
    <s v="EMP-2020-0338"/>
    <s v="Ivy"/>
    <s v="Medina"/>
    <s v="thirty"/>
    <n v="30"/>
    <n v="1994"/>
    <n v="60900"/>
    <n v="60900"/>
    <s v="Female"/>
    <s v="HR"/>
    <x v="0"/>
    <s v="Director"/>
    <d v="2020-02-20T00:00:00"/>
    <d v="2020-02-20T00:00:00"/>
    <s v="C"/>
    <n v="77"/>
    <s v="ivy.medina@saltcorp.com"/>
    <s v="555-555-5555"/>
    <s v="Full-Time"/>
    <x v="1"/>
    <m/>
    <x v="5"/>
    <m/>
    <n v="14"/>
    <m/>
    <n v="48"/>
    <s v="YES"/>
    <s v="Yes"/>
    <x v="4"/>
    <x v="1"/>
    <x v="1"/>
  </r>
  <r>
    <s v="EMP-2019-0339"/>
    <s v="Hannah"/>
    <s v="Foster"/>
    <n v="40"/>
    <n v="40"/>
    <n v="1984"/>
    <n v="55000"/>
    <n v="55000"/>
    <s v="Female"/>
    <s v="sales"/>
    <x v="2"/>
    <s v="Assistant"/>
    <d v="2019-03-25T00:00:00"/>
    <d v="2019-03-25T00:00:00"/>
    <s v="A"/>
    <n v="94"/>
    <s v="hannah.foster@saltcorp.com"/>
    <s v="555-555-5555"/>
    <s v="Part-Time"/>
    <x v="2"/>
    <s v="EMP-2019-0044"/>
    <x v="2"/>
    <m/>
    <m/>
    <d v="2023-01-15T00:00:00"/>
    <m/>
    <m/>
    <s v=""/>
    <x v="3"/>
    <x v="0"/>
    <x v="0"/>
  </r>
  <r>
    <s v="EMP-2020-0340"/>
    <s v="Jack"/>
    <s v="O'Connor"/>
    <n v="50"/>
    <n v="50"/>
    <n v="1974"/>
    <n v="58600"/>
    <n v="58600"/>
    <s v="Male"/>
    <s v="it"/>
    <x v="3"/>
    <s v="Clerk"/>
    <d v="2020-02-20T00:00:00"/>
    <d v="2020-02-20T00:00:00"/>
    <s v="A"/>
    <n v="98"/>
    <s v="jack.o'connor@saltcorp.com"/>
    <s v="123-456-7890"/>
    <s v="contract"/>
    <x v="0"/>
    <m/>
    <x v="1"/>
    <n v="7"/>
    <n v="6"/>
    <m/>
    <n v="54"/>
    <m/>
    <s v=""/>
    <x v="0"/>
    <x v="1"/>
    <x v="1"/>
  </r>
  <r>
    <s v="EMP-2018-0341"/>
    <s v="Grace"/>
    <s v="Medina"/>
    <s v="thirty"/>
    <n v="30"/>
    <n v="1994"/>
    <n v="59800"/>
    <n v="59800"/>
    <s v="Female"/>
    <s v="it"/>
    <x v="3"/>
    <s v="Assistant"/>
    <d v="2018-04-05T00:00:00"/>
    <d v="2018-04-05T00:00:00"/>
    <s v="B"/>
    <n v="80"/>
    <s v="grace.medina@saltcorp.com"/>
    <s v="098-765-4321"/>
    <s v="Full-Time"/>
    <x v="1"/>
    <m/>
    <x v="6"/>
    <m/>
    <m/>
    <m/>
    <m/>
    <s v="no"/>
    <s v="No"/>
    <x v="4"/>
    <x v="0"/>
    <x v="0"/>
  </r>
  <r>
    <s v="EMP-2019-0342"/>
    <s v="Ivy"/>
    <s v="Kumar"/>
    <n v="50"/>
    <n v="50"/>
    <n v="1974"/>
    <n v="61600"/>
    <n v="61600"/>
    <s v="Female"/>
    <s v="Marketing"/>
    <x v="4"/>
    <s v="Assistant"/>
    <d v="2019-03-25T00:00:00"/>
    <d v="2019-03-25T00:00:00"/>
    <s v="A"/>
    <n v="100"/>
    <s v="ivy.kumar@saltcorp.com"/>
    <s v="123-456-7890"/>
    <s v="Part-Time"/>
    <x v="2"/>
    <m/>
    <x v="3"/>
    <m/>
    <n v="15"/>
    <m/>
    <m/>
    <m/>
    <s v=""/>
    <x v="3"/>
    <x v="1"/>
    <x v="1"/>
  </r>
  <r>
    <s v="EMP-2019-0343"/>
    <s v="David"/>
    <s v="Wallace"/>
    <n v="40"/>
    <n v="40"/>
    <n v="1984"/>
    <s v="SIXTY THOUSAND"/>
    <n v="60000"/>
    <s v="Male"/>
    <s v="HR"/>
    <x v="0"/>
    <s v="Director"/>
    <d v="2019-12-01T00:00:00"/>
    <d v="2019-12-01T00:00:00"/>
    <s v="F"/>
    <n v="50"/>
    <s v="david.wallace@saltcorp.com"/>
    <s v="098-765-4321"/>
    <s v="Full-Time"/>
    <x v="1"/>
    <m/>
    <x v="6"/>
    <m/>
    <n v="7"/>
    <d v="2024-08-12T00:00:00"/>
    <n v="29"/>
    <s v="Y"/>
    <s v="Yes"/>
    <x v="3"/>
    <x v="0"/>
    <x v="0"/>
  </r>
  <r>
    <s v="EMP-2020-0344"/>
    <s v="David"/>
    <s v="Sullivan"/>
    <n v="25"/>
    <n v="25"/>
    <n v="1999"/>
    <n v="65000"/>
    <n v="65000"/>
    <s v="Male"/>
    <s v="HR"/>
    <x v="0"/>
    <s v="Analyst"/>
    <d v="2020-01-15T00:00:00"/>
    <d v="2020-01-15T00:00:00"/>
    <s v="D"/>
    <n v="63"/>
    <s v="david.sullivan@saltcorp.com"/>
    <s v="123-456-7890"/>
    <s v="Full-Time"/>
    <x v="1"/>
    <m/>
    <x v="7"/>
    <n v="1"/>
    <m/>
    <m/>
    <n v="12"/>
    <s v="YES"/>
    <s v="Yes"/>
    <x v="4"/>
    <x v="0"/>
    <x v="0"/>
  </r>
  <r>
    <s v="EMP-2020-0345"/>
    <s v="Alice"/>
    <s v="Chen"/>
    <n v="35"/>
    <n v="35"/>
    <n v="1989"/>
    <n v="58500"/>
    <n v="58500"/>
    <s v="Male"/>
    <s v="finance"/>
    <x v="1"/>
    <s v="Assistant"/>
    <d v="2020-02-20T00:00:00"/>
    <d v="2020-02-20T00:00:00"/>
    <s v="B"/>
    <n v="87"/>
    <s v="alice.chen@saltcorp.com"/>
    <s v="098-765-4321"/>
    <s v="Full-Time"/>
    <x v="1"/>
    <m/>
    <x v="5"/>
    <s v="N/A"/>
    <m/>
    <m/>
    <m/>
    <s v="no"/>
    <s v="No"/>
    <x v="1"/>
    <x v="0"/>
    <x v="0"/>
  </r>
  <r>
    <s v="EMP-2019-0346"/>
    <s v="Hannah"/>
    <s v="Brooks"/>
    <s v="thirty"/>
    <n v="30"/>
    <n v="1994"/>
    <n v="50000"/>
    <n v="50000"/>
    <s v="Female"/>
    <s v="HR"/>
    <x v="0"/>
    <s v="Director"/>
    <d v="2019-12-01T00:00:00"/>
    <d v="2019-12-01T00:00:00"/>
    <s v="D"/>
    <n v="61"/>
    <s v="hannah.brooks@saltcorp.com"/>
    <s v="098-765-4321"/>
    <s v="Full-Time"/>
    <x v="1"/>
    <m/>
    <x v="7"/>
    <m/>
    <n v="5"/>
    <m/>
    <n v="72"/>
    <m/>
    <s v=""/>
    <x v="1"/>
    <x v="1"/>
    <x v="1"/>
  </r>
  <r>
    <s v="EMP-2018-0347"/>
    <s v="Charlie"/>
    <s v="White"/>
    <n v="35"/>
    <n v="35"/>
    <n v="1989"/>
    <n v="70000"/>
    <n v="70000"/>
    <s v="Female"/>
    <s v="Marketing"/>
    <x v="4"/>
    <s v="Analyst"/>
    <d v="2018-04-05T00:00:00"/>
    <d v="2018-04-05T00:00:00"/>
    <s v="D"/>
    <n v="63"/>
    <s v="charlie.white@saltcorp.com"/>
    <s v="123-456-7890"/>
    <s v="Full-Time"/>
    <x v="1"/>
    <m/>
    <x v="6"/>
    <n v="6"/>
    <n v="12"/>
    <m/>
    <m/>
    <s v="no"/>
    <s v="No"/>
    <x v="1"/>
    <x v="1"/>
    <x v="1"/>
  </r>
  <r>
    <s v="EMP-2020-0348"/>
    <s v="Grace"/>
    <s v="Santos"/>
    <n v="40"/>
    <n v="40"/>
    <n v="1984"/>
    <s v="SIXTY THOUSAND"/>
    <n v="60000"/>
    <s v="Female"/>
    <s v="finance"/>
    <x v="1"/>
    <s v="Clerk"/>
    <d v="2020-01-15T00:00:00"/>
    <d v="2020-01-15T00:00:00"/>
    <s v="C"/>
    <n v="78"/>
    <s v="grace.santos@saltcorp.com"/>
    <s v="098-765-4321"/>
    <s v="Full-Time"/>
    <x v="1"/>
    <m/>
    <x v="4"/>
    <m/>
    <m/>
    <d v="2023-03-05T00:00:00"/>
    <m/>
    <s v="YES"/>
    <s v="Yes"/>
    <x v="3"/>
    <x v="1"/>
    <x v="1"/>
  </r>
  <r>
    <s v="EMP-2019-0349"/>
    <s v="Bob"/>
    <s v="Weber"/>
    <s v="thirty"/>
    <n v="30"/>
    <n v="1994"/>
    <n v="55000"/>
    <n v="55000"/>
    <s v="Male"/>
    <s v="finance"/>
    <x v="1"/>
    <s v="Clerk"/>
    <d v="2019-12-01T00:00:00"/>
    <d v="2019-12-01T00:00:00"/>
    <s v="C"/>
    <n v="75"/>
    <s v="bob.weber@saltcorp.com"/>
    <m/>
    <s v="Part-Time"/>
    <x v="2"/>
    <m/>
    <x v="7"/>
    <m/>
    <n v="5"/>
    <m/>
    <n v="42"/>
    <m/>
    <s v=""/>
    <x v="4"/>
    <x v="1"/>
    <x v="1"/>
  </r>
  <r>
    <s v="EMP-2020-0350"/>
    <s v="Bob"/>
    <s v="Hudson"/>
    <n v="50"/>
    <n v="50"/>
    <n v="1974"/>
    <s v="SIXTY THOUSAND"/>
    <n v="60000"/>
    <s v="Male"/>
    <s v="it"/>
    <x v="3"/>
    <s v="Manager"/>
    <d v="2020-01-15T00:00:00"/>
    <d v="2020-01-15T00:00:00"/>
    <s v="B"/>
    <n v="85"/>
    <s v="bob.hudson@saltcorp.com"/>
    <s v=" "/>
    <s v="Full-Time"/>
    <x v="1"/>
    <m/>
    <x v="7"/>
    <n v="4"/>
    <m/>
    <m/>
    <n v="15"/>
    <s v="no"/>
    <s v="No"/>
    <x v="3"/>
    <x v="1"/>
    <x v="1"/>
  </r>
  <r>
    <s v="EMP-2020-0351"/>
    <s v="Grace"/>
    <s v="Zhang"/>
    <m/>
    <n v="59"/>
    <n v="1965"/>
    <n v="55000"/>
    <n v="55000"/>
    <s v="Female"/>
    <s v="it"/>
    <x v="3"/>
    <s v="Director"/>
    <d v="2020-02-20T00:00:00"/>
    <d v="2020-02-20T00:00:00"/>
    <s v="C"/>
    <n v="71"/>
    <s v="grace.zhang@saltcorp.com"/>
    <s v="555-555-5555"/>
    <s v="Full-Time"/>
    <x v="1"/>
    <s v="EMP-2020-0087"/>
    <x v="0"/>
    <m/>
    <n v="14"/>
    <d v="2022-06-20T00:00:00"/>
    <n v="46"/>
    <s v="YES"/>
    <s v="Yes"/>
    <x v="0"/>
    <x v="0"/>
    <x v="0"/>
  </r>
  <r>
    <s v="EMP-2018-0352"/>
    <s v="Frank"/>
    <s v="Lopez"/>
    <n v="35"/>
    <n v="35"/>
    <n v="1989"/>
    <s v="SIXTY THOUSAND"/>
    <n v="60000"/>
    <s v="Female"/>
    <s v="HR"/>
    <x v="0"/>
    <s v="Analyst"/>
    <d v="2018-04-05T00:00:00"/>
    <d v="2018-04-05T00:00:00"/>
    <s v="C"/>
    <n v="74"/>
    <s v="frank.lopez@saltcorp.com"/>
    <s v="098-765-4321"/>
    <s v="contract"/>
    <x v="0"/>
    <m/>
    <x v="3"/>
    <m/>
    <n v="9"/>
    <m/>
    <m/>
    <s v="YES"/>
    <s v="Yes"/>
    <x v="4"/>
    <x v="0"/>
    <x v="0"/>
  </r>
  <r>
    <s v="EMP-2020-0353"/>
    <s v="Charlie"/>
    <s v="Le"/>
    <s v="thirty"/>
    <n v="30"/>
    <n v="1994"/>
    <n v="55000"/>
    <n v="55000"/>
    <s v="Female"/>
    <s v="finance"/>
    <x v="1"/>
    <s v="Assistant"/>
    <d v="2020-01-15T00:00:00"/>
    <d v="2020-01-15T00:00:00"/>
    <s v="C"/>
    <n v="72"/>
    <s v="charlie.le@saltcorp.com"/>
    <s v="098-765-4321"/>
    <s v="Part-Time"/>
    <x v="2"/>
    <m/>
    <x v="4"/>
    <m/>
    <m/>
    <m/>
    <m/>
    <m/>
    <s v=""/>
    <x v="1"/>
    <x v="0"/>
    <x v="0"/>
  </r>
  <r>
    <s v="EMP-2019-0354"/>
    <s v="Ivy"/>
    <s v="West"/>
    <n v="35"/>
    <n v="35"/>
    <n v="1989"/>
    <n v="58600"/>
    <n v="58600"/>
    <s v="Female"/>
    <s v="it"/>
    <x v="3"/>
    <s v="Clerk"/>
    <d v="2019-12-01T00:00:00"/>
    <d v="2019-12-01T00:00:00"/>
    <s v="D"/>
    <n v="64"/>
    <s v="ivy.west@saltcorp.com"/>
    <s v="555-555-5555"/>
    <s v="Full-Time"/>
    <x v="1"/>
    <m/>
    <x v="3"/>
    <s v="N/A"/>
    <m/>
    <m/>
    <m/>
    <s v="no"/>
    <s v="No"/>
    <x v="1"/>
    <x v="0"/>
    <x v="0"/>
  </r>
  <r>
    <s v="EMP-2020-0355"/>
    <s v="Jack"/>
    <s v="Gomez"/>
    <s v="thirty"/>
    <n v="30"/>
    <n v="1994"/>
    <n v="65000"/>
    <n v="65000"/>
    <s v="Female"/>
    <s v="Marketing"/>
    <x v="4"/>
    <s v="Analyst"/>
    <d v="2020-02-20T00:00:00"/>
    <d v="2020-02-20T00:00:00"/>
    <s v="B"/>
    <n v="86"/>
    <s v="jack.gomez@saltcorp.com"/>
    <s v="098-765-4321"/>
    <s v="Full-Time"/>
    <x v="1"/>
    <s v="EMP-2019-0073"/>
    <x v="3"/>
    <m/>
    <n v="7"/>
    <m/>
    <n v="10"/>
    <m/>
    <s v=""/>
    <x v="4"/>
    <x v="1"/>
    <x v="1"/>
  </r>
  <r>
    <s v="EMP-2020-0356"/>
    <s v="Frank"/>
    <s v="Hernandez"/>
    <n v="25"/>
    <n v="25"/>
    <n v="1999"/>
    <n v="55000"/>
    <n v="55000"/>
    <s v="Male"/>
    <s v="it"/>
    <x v="3"/>
    <s v="Director"/>
    <d v="2020-02-20T00:00:00"/>
    <d v="2020-02-20T00:00:00"/>
    <s v="D"/>
    <n v="66"/>
    <s v="frank.hernandez@saltcorp.com"/>
    <s v="555-555-5555"/>
    <s v="Full-Time"/>
    <x v="1"/>
    <m/>
    <x v="4"/>
    <m/>
    <m/>
    <d v="2021-10-01T00:00:00"/>
    <m/>
    <s v="YES"/>
    <s v="Yes"/>
    <x v="0"/>
    <x v="0"/>
    <x v="0"/>
  </r>
  <r>
    <s v="EMP-2019-0357"/>
    <s v="Jack"/>
    <s v="Bishop"/>
    <n v="50"/>
    <n v="50"/>
    <n v="1974"/>
    <n v="55000"/>
    <n v="55000"/>
    <s v="Male"/>
    <s v="it"/>
    <x v="3"/>
    <s v="Manager"/>
    <d v="2019-12-01T00:00:00"/>
    <d v="2019-12-01T00:00:00"/>
    <s v="F"/>
    <n v="41"/>
    <s v="jack.bishop@saltcorp.com"/>
    <s v="123-456-7890"/>
    <s v="Full-Time"/>
    <x v="1"/>
    <s v="EMP-2018-0074"/>
    <x v="7"/>
    <s v="N/A"/>
    <m/>
    <m/>
    <n v="11"/>
    <s v="YES"/>
    <s v="Yes"/>
    <x v="0"/>
    <x v="0"/>
    <x v="0"/>
  </r>
  <r>
    <s v="EMP-2019-0358"/>
    <s v="Jack"/>
    <s v="Davidson"/>
    <n v="35"/>
    <n v="35"/>
    <n v="1989"/>
    <n v="50000"/>
    <n v="50000"/>
    <s v="Male"/>
    <s v="finance"/>
    <x v="1"/>
    <s v="Clerk"/>
    <d v="2019-12-01T00:00:00"/>
    <d v="2019-12-01T00:00:00"/>
    <s v="D"/>
    <n v="65"/>
    <s v="jack.davidson@saltcorp.com"/>
    <m/>
    <s v="Full-Time"/>
    <x v="1"/>
    <m/>
    <x v="3"/>
    <m/>
    <n v="2"/>
    <m/>
    <m/>
    <s v="no"/>
    <s v="No"/>
    <x v="0"/>
    <x v="0"/>
    <x v="0"/>
  </r>
  <r>
    <s v="EMP-2020-0359"/>
    <s v="Frank"/>
    <s v="Ramirez"/>
    <m/>
    <n v="37"/>
    <n v="1987"/>
    <n v="55000"/>
    <n v="55000"/>
    <s v="Male"/>
    <s v="finance"/>
    <x v="1"/>
    <s v="Analyst"/>
    <d v="2020-01-15T00:00:00"/>
    <d v="2020-01-15T00:00:00"/>
    <s v="F"/>
    <n v="21"/>
    <s v="frank.ramirez@saltcorp.com"/>
    <m/>
    <s v="Part-Time"/>
    <x v="2"/>
    <m/>
    <x v="0"/>
    <n v="0"/>
    <m/>
    <m/>
    <n v="11"/>
    <m/>
    <s v=""/>
    <x v="4"/>
    <x v="0"/>
    <x v="0"/>
  </r>
  <r>
    <s v="EMP-2019-0360"/>
    <s v="Alice"/>
    <s v="Baker"/>
    <m/>
    <n v="36"/>
    <n v="1988"/>
    <n v="50000"/>
    <n v="50000"/>
    <s v="Female"/>
    <s v="sales"/>
    <x v="2"/>
    <s v="Analyst"/>
    <d v="2019-03-25T00:00:00"/>
    <d v="2019-03-25T00:00:00"/>
    <s v="A"/>
    <n v="97"/>
    <s v="alice.baker@saltcorp.com"/>
    <s v=" "/>
    <s v="Part-Time"/>
    <x v="2"/>
    <m/>
    <x v="7"/>
    <s v="N/A"/>
    <m/>
    <m/>
    <m/>
    <s v="N"/>
    <s v="No"/>
    <x v="1"/>
    <x v="1"/>
    <x v="1"/>
  </r>
  <r>
    <s v="EMP-2020-0361"/>
    <s v="David"/>
    <s v="O'Brien"/>
    <n v="40"/>
    <n v="40"/>
    <n v="1984"/>
    <n v="70000"/>
    <n v="70000"/>
    <s v="Male"/>
    <s v="Marketing"/>
    <x v="4"/>
    <s v="Analyst"/>
    <d v="2020-02-20T00:00:00"/>
    <d v="2020-02-20T00:00:00"/>
    <s v="A"/>
    <n v="91"/>
    <s v="david.o'brien@saltcorp.com"/>
    <s v="098-765-4321"/>
    <s v="Full-Time"/>
    <x v="1"/>
    <m/>
    <x v="2"/>
    <m/>
    <n v="1"/>
    <m/>
    <m/>
    <s v="no"/>
    <s v="No"/>
    <x v="1"/>
    <x v="0"/>
    <x v="0"/>
  </r>
  <r>
    <s v="EMP-2020-0362"/>
    <s v="Jack"/>
    <s v="Kelly"/>
    <s v="thirty"/>
    <n v="30"/>
    <n v="1994"/>
    <n v="60300"/>
    <n v="60300"/>
    <s v="Male"/>
    <s v="finance"/>
    <x v="1"/>
    <s v="Director"/>
    <d v="2020-01-15T00:00:00"/>
    <d v="2020-01-15T00:00:00"/>
    <s v="F"/>
    <n v="56"/>
    <s v="jack.kelly@saltcorp.com"/>
    <s v=" "/>
    <s v="Full-Time"/>
    <x v="1"/>
    <m/>
    <x v="1"/>
    <m/>
    <m/>
    <m/>
    <m/>
    <m/>
    <s v=""/>
    <x v="4"/>
    <x v="1"/>
    <x v="1"/>
  </r>
  <r>
    <s v="EMP-2019-0363"/>
    <s v="Frank"/>
    <s v="Armstrong"/>
    <n v="35"/>
    <n v="35"/>
    <n v="1989"/>
    <n v="50000"/>
    <n v="50000"/>
    <s v="Female"/>
    <s v="HR"/>
    <x v="0"/>
    <s v="Director"/>
    <d v="2019-12-01T00:00:00"/>
    <d v="2019-12-01T00:00:00"/>
    <s v="F"/>
    <n v="9"/>
    <s v="frank.armstrong@saltcorp.com"/>
    <s v="123-456-7890"/>
    <s v="Full-Time"/>
    <x v="1"/>
    <m/>
    <x v="5"/>
    <n v="4"/>
    <n v="12"/>
    <d v="2022-06-20T00:00:00"/>
    <n v="17"/>
    <m/>
    <s v=""/>
    <x v="1"/>
    <x v="1"/>
    <x v="1"/>
  </r>
  <r>
    <s v="EMP-2020-0364"/>
    <s v="Frank"/>
    <s v="Perez"/>
    <n v="40"/>
    <n v="40"/>
    <n v="1984"/>
    <n v="65000"/>
    <n v="65000"/>
    <s v="Male"/>
    <s v="Marketing"/>
    <x v="4"/>
    <s v="Director"/>
    <d v="2020-01-15T00:00:00"/>
    <d v="2020-01-15T00:00:00"/>
    <s v="D"/>
    <n v="62"/>
    <s v="frank.perez@saltcorp.com"/>
    <m/>
    <s v="Part-Time"/>
    <x v="2"/>
    <s v="EMP-2018-0018"/>
    <x v="0"/>
    <m/>
    <m/>
    <m/>
    <m/>
    <s v="YES"/>
    <s v="Yes"/>
    <x v="0"/>
    <x v="1"/>
    <x v="1"/>
  </r>
  <r>
    <s v="EMP-2019-0365"/>
    <s v="Eve"/>
    <s v="Turner"/>
    <n v="35"/>
    <n v="35"/>
    <n v="1989"/>
    <n v="61600"/>
    <n v="61600"/>
    <s v="Female"/>
    <s v="Marketing"/>
    <x v="4"/>
    <s v="Assistant"/>
    <d v="2019-12-01T00:00:00"/>
    <d v="2019-12-01T00:00:00"/>
    <s v="F"/>
    <n v="43"/>
    <s v="eve.turner@saltcorp.com"/>
    <s v="123-456-7890"/>
    <s v="Full-Time"/>
    <x v="1"/>
    <s v="EMP-2020-0057"/>
    <x v="6"/>
    <m/>
    <m/>
    <d v="2021-10-01T00:00:00"/>
    <m/>
    <s v="no"/>
    <s v="No"/>
    <x v="3"/>
    <x v="1"/>
    <x v="1"/>
  </r>
  <r>
    <s v="EMP-2018-0366"/>
    <s v="Alice"/>
    <s v="Anderson"/>
    <s v="thirty"/>
    <n v="30"/>
    <n v="1994"/>
    <n v="50000"/>
    <n v="50000"/>
    <s v="Female"/>
    <s v="finance"/>
    <x v="1"/>
    <s v="Analyst"/>
    <d v="2018-04-05T00:00:00"/>
    <d v="2018-04-05T00:00:00"/>
    <s v="B"/>
    <n v="87"/>
    <s v="alice.anderson@saltcorp.com"/>
    <s v="123-456-7890"/>
    <s v="Full-Time"/>
    <x v="1"/>
    <m/>
    <x v="0"/>
    <s v="N/A"/>
    <m/>
    <d v="2023-03-05T00:00:00"/>
    <m/>
    <s v="YES"/>
    <s v="Yes"/>
    <x v="3"/>
    <x v="0"/>
    <x v="0"/>
  </r>
  <r>
    <s v="EMP-2019-0367"/>
    <s v="Hannah"/>
    <s v="Perry"/>
    <m/>
    <n v="30"/>
    <n v="1994"/>
    <n v="58600"/>
    <n v="58600"/>
    <s v="Female"/>
    <s v="Marketing"/>
    <x v="4"/>
    <s v="Clerk"/>
    <d v="2019-12-01T00:00:00"/>
    <d v="2019-12-01T00:00:00"/>
    <s v="A"/>
    <n v="97"/>
    <s v="hannah.perry@saltcorp.com"/>
    <s v="098-765-4321"/>
    <s v="Full-Time"/>
    <x v="1"/>
    <m/>
    <x v="3"/>
    <m/>
    <m/>
    <m/>
    <m/>
    <s v="Y"/>
    <s v="Yes"/>
    <x v="1"/>
    <x v="1"/>
    <x v="1"/>
  </r>
  <r>
    <s v="EMP-2019-0368"/>
    <s v="Eve"/>
    <s v="Stevens"/>
    <n v="25"/>
    <n v="25"/>
    <n v="1999"/>
    <n v="60300"/>
    <n v="60300"/>
    <s v="Female"/>
    <s v="finance"/>
    <x v="1"/>
    <s v="Director"/>
    <d v="2019-12-01T00:00:00"/>
    <d v="2019-12-01T00:00:00"/>
    <s v="A"/>
    <n v="97"/>
    <s v="eve.stevens@saltcorp.com"/>
    <s v="123-456-7890"/>
    <s v="Part-Time"/>
    <x v="2"/>
    <m/>
    <x v="7"/>
    <m/>
    <m/>
    <m/>
    <n v="10"/>
    <m/>
    <s v=""/>
    <x v="1"/>
    <x v="1"/>
    <x v="1"/>
  </r>
  <r>
    <s v="EMP-2019-0369"/>
    <s v="Eve"/>
    <s v="Harrison"/>
    <m/>
    <n v="49"/>
    <n v="1975"/>
    <s v=" NAN "/>
    <n v="60154.285714285717"/>
    <s v="Male"/>
    <s v="it"/>
    <x v="3"/>
    <s v="Director"/>
    <d v="2019-12-01T00:00:00"/>
    <d v="2019-12-01T00:00:00"/>
    <s v="F"/>
    <n v="33"/>
    <s v="eve.harrison@saltcorp.com"/>
    <m/>
    <s v="Full-Time"/>
    <x v="1"/>
    <m/>
    <x v="6"/>
    <m/>
    <m/>
    <d v="2022-06-20T00:00:00"/>
    <n v="19"/>
    <s v="YES"/>
    <s v="Yes"/>
    <x v="2"/>
    <x v="0"/>
    <x v="0"/>
  </r>
  <r>
    <s v="EMP-2019-0370"/>
    <s v="Grace"/>
    <s v="Young"/>
    <n v="40"/>
    <n v="40"/>
    <n v="1984"/>
    <n v="70000"/>
    <n v="70000"/>
    <s v="Male"/>
    <s v="sales"/>
    <x v="2"/>
    <s v="Analyst"/>
    <d v="2019-03-25T00:00:00"/>
    <d v="2019-03-25T00:00:00"/>
    <s v="C"/>
    <n v="73"/>
    <s v="grace.young@saltcorp.com"/>
    <s v=" "/>
    <s v="Full-Time"/>
    <x v="1"/>
    <s v="EMP-2020-0082"/>
    <x v="6"/>
    <m/>
    <m/>
    <s v="N/A"/>
    <m/>
    <s v="no"/>
    <s v="No"/>
    <x v="0"/>
    <x v="0"/>
    <x v="0"/>
  </r>
  <r>
    <s v="EMP-2019-0371"/>
    <s v="David"/>
    <s v="O'Brien"/>
    <n v="50"/>
    <n v="50"/>
    <n v="1974"/>
    <n v="65000"/>
    <n v="65000"/>
    <s v="Female"/>
    <s v="it"/>
    <x v="3"/>
    <s v="Director"/>
    <d v="2019-12-01T00:00:00"/>
    <d v="2019-12-01T00:00:00"/>
    <s v="C"/>
    <n v="77"/>
    <s v="david.o'brien@saltcorp.com"/>
    <m/>
    <s v="Full-Time"/>
    <x v="1"/>
    <s v="EMP-2020-0029"/>
    <x v="6"/>
    <m/>
    <m/>
    <m/>
    <m/>
    <s v="YES"/>
    <s v="Yes"/>
    <x v="2"/>
    <x v="0"/>
    <x v="0"/>
  </r>
  <r>
    <s v="EMP-2020-0372"/>
    <s v="Frank"/>
    <s v="Lopez"/>
    <n v="25"/>
    <n v="25"/>
    <n v="1999"/>
    <s v="SIXTY THOUSAND"/>
    <n v="60000"/>
    <s v="Male"/>
    <s v="finance"/>
    <x v="1"/>
    <s v="Assistant"/>
    <d v="2020-02-20T00:00:00"/>
    <d v="2020-02-20T00:00:00"/>
    <s v="F"/>
    <n v="5"/>
    <s v="frank.lopez@saltcorp.com"/>
    <s v="098-765-4321"/>
    <s v="contract"/>
    <x v="0"/>
    <m/>
    <x v="2"/>
    <m/>
    <m/>
    <d v="2023-01-15T00:00:00"/>
    <m/>
    <m/>
    <s v=""/>
    <x v="3"/>
    <x v="1"/>
    <x v="1"/>
  </r>
  <r>
    <s v="EMP-2020-0373"/>
    <s v="David"/>
    <s v="Sullivan"/>
    <n v="40"/>
    <n v="40"/>
    <n v="1984"/>
    <s v="SIXTY THOUSAND"/>
    <n v="60000"/>
    <s v="Male"/>
    <s v="finance"/>
    <x v="1"/>
    <s v="Assistant"/>
    <d v="2020-02-20T00:00:00"/>
    <d v="2020-02-20T00:00:00"/>
    <s v="B"/>
    <n v="84"/>
    <s v="david.sullivan@saltcorp.com"/>
    <m/>
    <s v="Full-Time"/>
    <x v="1"/>
    <s v="EMP-2018-0064"/>
    <x v="7"/>
    <s v="N/A"/>
    <m/>
    <m/>
    <m/>
    <s v="YES"/>
    <s v="Yes"/>
    <x v="1"/>
    <x v="1"/>
    <x v="1"/>
  </r>
  <r>
    <s v="EMP-2020-0374"/>
    <s v="Charlie"/>
    <s v="Harris"/>
    <s v="thirty"/>
    <n v="30"/>
    <n v="1994"/>
    <n v="50000"/>
    <n v="50000"/>
    <s v="Male"/>
    <s v="it"/>
    <x v="3"/>
    <s v="Director"/>
    <d v="2020-01-15T00:00:00"/>
    <d v="2020-01-15T00:00:00"/>
    <s v="C"/>
    <n v="73"/>
    <s v="charlie.harris@saltcorp.com"/>
    <s v="555-555-5555"/>
    <s v="Full-Time"/>
    <x v="1"/>
    <m/>
    <x v="7"/>
    <n v="2"/>
    <n v="10"/>
    <d v="2021-10-01T00:00:00"/>
    <m/>
    <s v="N"/>
    <s v="No"/>
    <x v="3"/>
    <x v="0"/>
    <x v="0"/>
  </r>
  <r>
    <s v="EMP-2019-0375"/>
    <s v="Grace"/>
    <s v="Wang"/>
    <n v="25"/>
    <n v="25"/>
    <n v="1999"/>
    <s v=" NAN "/>
    <n v="60481.25"/>
    <s v="Female"/>
    <s v="HR"/>
    <x v="0"/>
    <s v="Analyst"/>
    <d v="2019-03-25T00:00:00"/>
    <d v="2019-03-25T00:00:00"/>
    <s v="F"/>
    <n v="25"/>
    <s v="grace.wang@saltcorp.com"/>
    <s v=" "/>
    <s v="Full-Time"/>
    <x v="1"/>
    <m/>
    <x v="3"/>
    <m/>
    <n v="18"/>
    <m/>
    <n v="38"/>
    <s v="YES"/>
    <s v="Yes"/>
    <x v="1"/>
    <x v="1"/>
    <x v="1"/>
  </r>
  <r>
    <s v="EMP-2020-0376"/>
    <s v="Hannah"/>
    <s v="Hughes"/>
    <n v="40"/>
    <n v="40"/>
    <n v="1984"/>
    <n v="50000"/>
    <n v="50000"/>
    <s v="Male"/>
    <s v="HR"/>
    <x v="0"/>
    <s v="Analyst"/>
    <d v="2020-01-15T00:00:00"/>
    <d v="2020-01-15T00:00:00"/>
    <s v="B"/>
    <n v="85"/>
    <s v="hannah.hughes@saltcorp.com"/>
    <s v="555-555-5555"/>
    <s v="contract"/>
    <x v="0"/>
    <m/>
    <x v="0"/>
    <n v="12"/>
    <n v="20"/>
    <m/>
    <m/>
    <s v="no"/>
    <s v="No"/>
    <x v="2"/>
    <x v="0"/>
    <x v="0"/>
  </r>
  <r>
    <s v="EMP-2020-0377"/>
    <s v="David"/>
    <s v="Murphy"/>
    <s v="thirty"/>
    <n v="30"/>
    <n v="1994"/>
    <n v="70000"/>
    <n v="70000"/>
    <s v="Male"/>
    <s v="HR"/>
    <x v="0"/>
    <s v="Analyst"/>
    <d v="2020-02-20T00:00:00"/>
    <d v="2020-02-20T00:00:00"/>
    <s v="B"/>
    <n v="83"/>
    <s v="david.murphy@saltcorp.com"/>
    <s v="555-555-5555"/>
    <s v="Full-Time"/>
    <x v="1"/>
    <m/>
    <x v="1"/>
    <m/>
    <m/>
    <m/>
    <m/>
    <s v="no"/>
    <s v="No"/>
    <x v="0"/>
    <x v="1"/>
    <x v="1"/>
  </r>
  <r>
    <s v="EMP-2020-0378"/>
    <s v="Bob"/>
    <s v="Gomez"/>
    <m/>
    <n v="43"/>
    <n v="1981"/>
    <n v="70000"/>
    <n v="70000"/>
    <s v="Female"/>
    <s v="finance"/>
    <x v="1"/>
    <s v="Manager"/>
    <d v="2020-02-20T00:00:00"/>
    <d v="2020-02-20T00:00:00"/>
    <s v="D"/>
    <n v="62"/>
    <s v="bob.gomez@saltcorp.com"/>
    <s v="098-765-4321"/>
    <s v="contract"/>
    <x v="0"/>
    <m/>
    <x v="0"/>
    <n v="1"/>
    <n v="13"/>
    <m/>
    <m/>
    <s v="no"/>
    <s v="No"/>
    <x v="0"/>
    <x v="0"/>
    <x v="0"/>
  </r>
  <r>
    <s v="EMP-2018-0379"/>
    <s v="Jack"/>
    <s v="Williamson"/>
    <n v="50"/>
    <n v="50"/>
    <n v="1974"/>
    <n v="55000"/>
    <n v="55000"/>
    <s v="Male"/>
    <s v="Marketing"/>
    <x v="4"/>
    <s v="Director"/>
    <d v="2018-04-05T00:00:00"/>
    <d v="2018-04-05T00:00:00"/>
    <s v="B"/>
    <n v="87"/>
    <s v="jack.williamson@saltcorp.com"/>
    <s v="123-456-7890"/>
    <s v="contract"/>
    <x v="0"/>
    <m/>
    <x v="2"/>
    <n v="4"/>
    <m/>
    <m/>
    <n v="39"/>
    <s v="YES"/>
    <s v="Yes"/>
    <x v="1"/>
    <x v="1"/>
    <x v="1"/>
  </r>
  <r>
    <s v="EMP-2019-0380"/>
    <s v="Charlie"/>
    <s v="Weber"/>
    <s v="thirty"/>
    <n v="30"/>
    <n v="1994"/>
    <n v="70000"/>
    <n v="70000"/>
    <s v="Male"/>
    <s v="finance"/>
    <x v="1"/>
    <s v="Analyst"/>
    <d v="2019-12-01T00:00:00"/>
    <d v="2019-12-01T00:00:00"/>
    <s v="C"/>
    <n v="71"/>
    <s v="charlie.weber@saltcorp.com"/>
    <s v="555-555-5555"/>
    <s v="Full-Time"/>
    <x v="1"/>
    <m/>
    <x v="0"/>
    <m/>
    <n v="12"/>
    <d v="2024-08-12T00:00:00"/>
    <m/>
    <s v="YES"/>
    <s v="Yes"/>
    <x v="1"/>
    <x v="0"/>
    <x v="0"/>
  </r>
  <r>
    <s v="EMP-2020-0381"/>
    <s v="Alice"/>
    <s v="Chen"/>
    <n v="35"/>
    <n v="35"/>
    <n v="1989"/>
    <n v="55000"/>
    <n v="55000"/>
    <s v="Female"/>
    <s v="Marketing"/>
    <x v="4"/>
    <s v="Assistant"/>
    <d v="2020-02-20T00:00:00"/>
    <d v="2020-02-20T00:00:00"/>
    <s v="C"/>
    <n v="78"/>
    <s v="alice.chen@saltcorp.com"/>
    <m/>
    <s v="Part-Time"/>
    <x v="2"/>
    <m/>
    <x v="0"/>
    <m/>
    <m/>
    <m/>
    <m/>
    <s v="no"/>
    <s v="No"/>
    <x v="2"/>
    <x v="0"/>
    <x v="0"/>
  </r>
  <r>
    <s v="EMP-2020-0382"/>
    <s v="Hannah"/>
    <s v="Gray"/>
    <s v="thirty"/>
    <n v="30"/>
    <n v="1994"/>
    <n v="65000"/>
    <n v="65000"/>
    <s v="Male"/>
    <s v="it"/>
    <x v="3"/>
    <s v="Clerk"/>
    <d v="2020-01-15T00:00:00"/>
    <d v="2020-01-15T00:00:00"/>
    <s v="F"/>
    <n v="19"/>
    <s v="hannah.gray@saltcorp.com"/>
    <s v="123-456-7890"/>
    <s v="contract"/>
    <x v="0"/>
    <s v="EMP-2018-0099"/>
    <x v="3"/>
    <m/>
    <n v="10"/>
    <d v="2022-06-20T00:00:00"/>
    <n v="67"/>
    <m/>
    <s v=""/>
    <x v="4"/>
    <x v="0"/>
    <x v="0"/>
  </r>
  <r>
    <s v="EMP-2020-0383"/>
    <s v="Charlie"/>
    <s v="Martin"/>
    <s v="thirty"/>
    <n v="30"/>
    <n v="1994"/>
    <n v="50000"/>
    <n v="50000"/>
    <s v="Male"/>
    <s v="sales"/>
    <x v="2"/>
    <s v="Clerk"/>
    <d v="2020-01-15T00:00:00"/>
    <d v="2020-01-15T00:00:00"/>
    <s v="F"/>
    <n v="40"/>
    <s v="charlie.martin@saltcorp.com"/>
    <m/>
    <s v="contract"/>
    <x v="0"/>
    <m/>
    <x v="1"/>
    <m/>
    <m/>
    <m/>
    <n v="10"/>
    <m/>
    <s v=""/>
    <x v="4"/>
    <x v="0"/>
    <x v="0"/>
  </r>
  <r>
    <s v="EMP-2019-0384"/>
    <s v="Jack"/>
    <s v="Ward"/>
    <n v="50"/>
    <n v="50"/>
    <n v="1974"/>
    <n v="65000"/>
    <n v="65000"/>
    <s v="Male"/>
    <s v="Marketing"/>
    <x v="4"/>
    <s v="Analyst"/>
    <d v="2019-12-01T00:00:00"/>
    <d v="2019-12-01T00:00:00"/>
    <s v="B"/>
    <n v="87"/>
    <s v="jack.ward@saltcorp.com"/>
    <m/>
    <s v="Full-Time"/>
    <x v="1"/>
    <m/>
    <x v="4"/>
    <s v="N/A"/>
    <m/>
    <m/>
    <n v="33"/>
    <s v="YES"/>
    <s v="Yes"/>
    <x v="2"/>
    <x v="1"/>
    <x v="1"/>
  </r>
  <r>
    <s v="EMP-2019-0385"/>
    <s v="Grace"/>
    <s v="Garrett"/>
    <n v="35"/>
    <n v="35"/>
    <n v="1989"/>
    <n v="70000"/>
    <n v="70000"/>
    <s v="Male"/>
    <s v="HR"/>
    <x v="0"/>
    <s v="Clerk"/>
    <d v="2019-12-01T00:00:00"/>
    <d v="2019-12-01T00:00:00"/>
    <s v="A"/>
    <n v="97"/>
    <s v="grace.garrett@saltcorp.com"/>
    <s v="123-456-7890"/>
    <s v="Part-Time"/>
    <x v="2"/>
    <m/>
    <x v="5"/>
    <m/>
    <m/>
    <m/>
    <m/>
    <m/>
    <s v=""/>
    <x v="3"/>
    <x v="0"/>
    <x v="0"/>
  </r>
  <r>
    <s v="EMP-2018-0386"/>
    <s v="Jack"/>
    <s v="Graham"/>
    <n v="40"/>
    <n v="40"/>
    <n v="1984"/>
    <n v="65000"/>
    <n v="65000"/>
    <s v="Male"/>
    <s v="finance"/>
    <x v="1"/>
    <s v="Clerk"/>
    <d v="2018-04-05T00:00:00"/>
    <d v="2018-04-05T00:00:00"/>
    <s v="D"/>
    <n v="62"/>
    <s v="jack.graham@saltcorp.com"/>
    <s v="123-456-7890"/>
    <s v="Part-Time"/>
    <x v="2"/>
    <s v="EMP-2020-0037"/>
    <x v="4"/>
    <m/>
    <m/>
    <m/>
    <n v="37"/>
    <m/>
    <s v=""/>
    <x v="1"/>
    <x v="0"/>
    <x v="0"/>
  </r>
  <r>
    <s v="EMP-2019-0387"/>
    <s v="Eve"/>
    <s v="Matthews"/>
    <n v="40"/>
    <n v="40"/>
    <n v="1984"/>
    <n v="65000"/>
    <n v="65000"/>
    <s v="Male"/>
    <s v="it"/>
    <x v="3"/>
    <s v="Manager"/>
    <d v="2019-03-25T00:00:00"/>
    <d v="2019-03-25T00:00:00"/>
    <s v="A"/>
    <n v="96"/>
    <s v="eve.matthews@saltcorp.com"/>
    <m/>
    <s v="contract"/>
    <x v="0"/>
    <m/>
    <x v="4"/>
    <m/>
    <m/>
    <m/>
    <m/>
    <s v="YES"/>
    <s v="Yes"/>
    <x v="2"/>
    <x v="0"/>
    <x v="0"/>
  </r>
  <r>
    <s v="EMP-2020-0388"/>
    <s v="Jack"/>
    <s v="McCarthy"/>
    <s v="thirty"/>
    <n v="30"/>
    <n v="1994"/>
    <n v="65000"/>
    <n v="65000"/>
    <s v="Female"/>
    <s v="HR"/>
    <x v="0"/>
    <s v="Assistant"/>
    <d v="2020-01-15T00:00:00"/>
    <d v="2020-01-15T00:00:00"/>
    <s v="B"/>
    <n v="86"/>
    <s v="jack.mccarthy@saltcorp.com"/>
    <s v="098-765-4321"/>
    <s v="Part-Time"/>
    <x v="2"/>
    <m/>
    <x v="5"/>
    <m/>
    <n v="20"/>
    <m/>
    <m/>
    <s v="YES"/>
    <s v="Yes"/>
    <x v="4"/>
    <x v="0"/>
    <x v="0"/>
  </r>
  <r>
    <s v="EMP-2019-0389"/>
    <s v="Eve"/>
    <s v="Byrd"/>
    <n v="35"/>
    <n v="35"/>
    <n v="1989"/>
    <n v="70000"/>
    <n v="70000"/>
    <s v="Male"/>
    <s v="it"/>
    <x v="3"/>
    <s v="Assistant"/>
    <d v="2019-12-01T00:00:00"/>
    <d v="2019-12-01T00:00:00"/>
    <s v="B"/>
    <n v="81"/>
    <s v="eve.byrd@saltcorp.com"/>
    <s v=" "/>
    <s v="Full-Time"/>
    <x v="1"/>
    <m/>
    <x v="6"/>
    <m/>
    <m/>
    <s v="N/A"/>
    <m/>
    <s v="YES"/>
    <s v="Yes"/>
    <x v="3"/>
    <x v="1"/>
    <x v="1"/>
  </r>
  <r>
    <s v="EMP-2020-0390"/>
    <s v="Grace"/>
    <s v="Yang"/>
    <n v="35"/>
    <n v="35"/>
    <n v="1989"/>
    <s v=" NAN "/>
    <n v="61851.351351351354"/>
    <s v="Female"/>
    <s v="sales"/>
    <x v="2"/>
    <s v="Manager"/>
    <d v="2020-01-15T00:00:00"/>
    <d v="2020-01-15T00:00:00"/>
    <s v="A"/>
    <n v="98"/>
    <s v="grace.yang@saltcorp.com"/>
    <s v=" "/>
    <s v="Part-Time"/>
    <x v="2"/>
    <m/>
    <x v="7"/>
    <n v="1"/>
    <m/>
    <m/>
    <m/>
    <s v="Y"/>
    <s v="Yes"/>
    <x v="0"/>
    <x v="1"/>
    <x v="1"/>
  </r>
  <r>
    <s v="EMP-2019-0391"/>
    <s v="Ivy"/>
    <s v="Mason"/>
    <n v="50"/>
    <n v="50"/>
    <n v="1974"/>
    <n v="65000"/>
    <n v="65000"/>
    <s v="Female"/>
    <s v="finance"/>
    <x v="1"/>
    <s v="Manager"/>
    <d v="2019-12-01T00:00:00"/>
    <d v="2019-12-01T00:00:00"/>
    <s v="D"/>
    <n v="65"/>
    <s v="ivy.mason@saltcorp.com"/>
    <s v="098-765-4321"/>
    <s v="contract"/>
    <x v="0"/>
    <m/>
    <x v="6"/>
    <m/>
    <m/>
    <m/>
    <n v="65"/>
    <m/>
    <s v=""/>
    <x v="4"/>
    <x v="0"/>
    <x v="0"/>
  </r>
  <r>
    <s v="EMP-2020-0392"/>
    <s v="Eve"/>
    <s v="Jordan"/>
    <m/>
    <n v="26"/>
    <n v="1998"/>
    <n v="55000"/>
    <n v="55000"/>
    <s v="Female"/>
    <s v="finance"/>
    <x v="1"/>
    <s v="Clerk"/>
    <d v="2020-02-20T00:00:00"/>
    <d v="2020-02-20T00:00:00"/>
    <s v="A"/>
    <n v="90"/>
    <s v="eve.jordan@saltcorp.com"/>
    <s v="123-456-7890"/>
    <s v="Part-Time"/>
    <x v="2"/>
    <m/>
    <x v="3"/>
    <m/>
    <m/>
    <m/>
    <n v="9"/>
    <s v="N"/>
    <s v="No"/>
    <x v="4"/>
    <x v="0"/>
    <x v="0"/>
  </r>
  <r>
    <s v="EMP-2020-0393"/>
    <s v="Alice"/>
    <s v="Young"/>
    <n v="40"/>
    <n v="40"/>
    <n v="1984"/>
    <n v="70000"/>
    <n v="70000"/>
    <s v="Female"/>
    <s v="sales"/>
    <x v="2"/>
    <s v="Director"/>
    <d v="2020-01-15T00:00:00"/>
    <d v="2020-01-15T00:00:00"/>
    <s v="F"/>
    <n v="8"/>
    <s v="alice.young@saltcorp.com"/>
    <m/>
    <s v="Full-Time"/>
    <x v="1"/>
    <s v="EMP-2020-0006"/>
    <x v="3"/>
    <n v="9"/>
    <n v="13"/>
    <d v="2022-06-20T00:00:00"/>
    <n v="35"/>
    <s v="Y"/>
    <s v="Yes"/>
    <x v="4"/>
    <x v="1"/>
    <x v="1"/>
  </r>
  <r>
    <s v="EMP-2020-0394"/>
    <s v="Jack"/>
    <s v="Rogers"/>
    <n v="50"/>
    <n v="50"/>
    <n v="1974"/>
    <n v="65000"/>
    <n v="65000"/>
    <s v="Male"/>
    <s v="finance"/>
    <x v="1"/>
    <s v="Clerk"/>
    <d v="2020-02-20T00:00:00"/>
    <d v="2020-02-20T00:00:00"/>
    <s v="C"/>
    <n v="78"/>
    <s v="jack.rogers@saltcorp.com"/>
    <s v=" "/>
    <s v="contract"/>
    <x v="0"/>
    <m/>
    <x v="4"/>
    <m/>
    <n v="7"/>
    <d v="2023-01-15T00:00:00"/>
    <n v="23"/>
    <s v="YES"/>
    <s v="Yes"/>
    <x v="0"/>
    <x v="1"/>
    <x v="1"/>
  </r>
  <r>
    <s v="EMP-2020-0395"/>
    <s v="Jack"/>
    <s v="Hoffman"/>
    <n v="25"/>
    <n v="25"/>
    <n v="1999"/>
    <s v=" NAN "/>
    <n v="60000"/>
    <s v="Male"/>
    <s v="Marketing"/>
    <x v="4"/>
    <s v="Manager"/>
    <d v="2020-01-15T00:00:00"/>
    <d v="2020-01-15T00:00:00"/>
    <s v="F"/>
    <n v="40"/>
    <s v="jack.hoffman@saltcorp.com"/>
    <m/>
    <s v="contract"/>
    <x v="0"/>
    <m/>
    <x v="4"/>
    <m/>
    <m/>
    <m/>
    <m/>
    <m/>
    <s v=""/>
    <x v="1"/>
    <x v="0"/>
    <x v="0"/>
  </r>
  <r>
    <s v="EMP-2019-0396"/>
    <s v="Alice"/>
    <s v="Lee"/>
    <n v="40"/>
    <n v="40"/>
    <n v="1984"/>
    <n v="70000"/>
    <n v="70000"/>
    <s v="Male"/>
    <s v="it"/>
    <x v="3"/>
    <s v="Assistant"/>
    <d v="2019-03-25T00:00:00"/>
    <d v="2019-03-25T00:00:00"/>
    <s v="C"/>
    <n v="71"/>
    <s v="alice.lee@saltcorp.com"/>
    <s v="098-765-4321"/>
    <s v="Full-Time"/>
    <x v="1"/>
    <m/>
    <x v="3"/>
    <m/>
    <m/>
    <m/>
    <m/>
    <s v="no"/>
    <s v="No"/>
    <x v="3"/>
    <x v="0"/>
    <x v="0"/>
  </r>
  <r>
    <s v="EMP-2018-0397"/>
    <s v="Bob"/>
    <s v="Rodriguez"/>
    <n v="50"/>
    <n v="50"/>
    <n v="1974"/>
    <s v="SIXTY THOUSAND"/>
    <n v="60000"/>
    <s v="Male"/>
    <s v="HR"/>
    <x v="0"/>
    <s v="Clerk"/>
    <d v="2018-04-05T00:00:00"/>
    <d v="2018-04-05T00:00:00"/>
    <s v="B"/>
    <n v="83"/>
    <s v="bob.rodriguez@saltcorp.com"/>
    <m/>
    <s v="Full-Time"/>
    <x v="1"/>
    <m/>
    <x v="7"/>
    <m/>
    <m/>
    <m/>
    <m/>
    <s v="YES"/>
    <s v="Yes"/>
    <x v="3"/>
    <x v="1"/>
    <x v="1"/>
  </r>
  <r>
    <s v="EMP-2020-0398"/>
    <s v="Frank"/>
    <s v="Aguilar"/>
    <n v="40"/>
    <n v="40"/>
    <n v="1984"/>
    <s v=" NAN "/>
    <n v="63892.857142857145"/>
    <s v="Female"/>
    <s v="sales"/>
    <x v="2"/>
    <s v="Director"/>
    <d v="2020-02-20T00:00:00"/>
    <d v="2020-02-20T00:00:00"/>
    <s v="D"/>
    <n v="68"/>
    <s v="frank.aguilar@saltcorp.com"/>
    <s v="098-765-4321"/>
    <s v="Part-Time"/>
    <x v="2"/>
    <m/>
    <x v="2"/>
    <m/>
    <n v="12"/>
    <d v="2024-08-12T00:00:00"/>
    <m/>
    <s v="no"/>
    <s v="No"/>
    <x v="0"/>
    <x v="0"/>
    <x v="0"/>
  </r>
  <r>
    <s v="EMP-2019-0399"/>
    <s v="Ivy"/>
    <s v="Desai"/>
    <m/>
    <n v="28"/>
    <n v="1996"/>
    <n v="55000"/>
    <n v="55000"/>
    <s v="Female"/>
    <s v="Marketing"/>
    <x v="4"/>
    <s v="Clerk"/>
    <d v="2019-12-01T00:00:00"/>
    <d v="2019-12-01T00:00:00"/>
    <s v="A"/>
    <n v="98"/>
    <s v="ivy.desai@saltcorp.com"/>
    <s v="123-456-7890"/>
    <s v="Full-Time"/>
    <x v="1"/>
    <m/>
    <x v="1"/>
    <n v="3"/>
    <n v="13"/>
    <m/>
    <m/>
    <s v="YES"/>
    <s v="Yes"/>
    <x v="0"/>
    <x v="0"/>
    <x v="0"/>
  </r>
  <r>
    <s v="EMP-2019-0400"/>
    <s v="Hannah"/>
    <s v="Olson"/>
    <n v="25"/>
    <n v="25"/>
    <n v="1999"/>
    <n v="65000"/>
    <n v="65000"/>
    <s v="Female"/>
    <s v="HR"/>
    <x v="0"/>
    <s v="Analyst"/>
    <d v="2019-03-25T00:00:00"/>
    <d v="2019-03-25T00:00:00"/>
    <s v="D"/>
    <n v="65"/>
    <s v="hannah.olson@saltcorp.com"/>
    <s v="098-765-4321"/>
    <s v="Part-Time"/>
    <x v="2"/>
    <s v="EMP-2020-0008"/>
    <x v="4"/>
    <m/>
    <m/>
    <d v="2024-08-12T00:00:00"/>
    <n v="49"/>
    <s v="N"/>
    <s v="No"/>
    <x v="3"/>
    <x v="1"/>
    <x v="1"/>
  </r>
  <r>
    <s v="EMP-2020-0401"/>
    <s v="Eve"/>
    <s v="Ward"/>
    <m/>
    <n v="24"/>
    <n v="2000"/>
    <s v="SIXTY THOUSAND"/>
    <n v="60000"/>
    <s v="Female"/>
    <s v="HR"/>
    <x v="0"/>
    <s v="Clerk"/>
    <d v="2020-01-15T00:00:00"/>
    <d v="2020-01-15T00:00:00"/>
    <s v="A"/>
    <n v="90"/>
    <s v="eve.ward@saltcorp.com"/>
    <s v="098-765-4321"/>
    <s v="Full-Time"/>
    <x v="1"/>
    <s v="EMP-2019-0060"/>
    <x v="7"/>
    <m/>
    <m/>
    <d v="2023-01-15T00:00:00"/>
    <n v="55"/>
    <s v="YES"/>
    <s v="Yes"/>
    <x v="2"/>
    <x v="0"/>
    <x v="0"/>
  </r>
  <r>
    <s v="EMP-2020-0402"/>
    <s v="Alice"/>
    <s v="Matthews"/>
    <n v="25"/>
    <n v="25"/>
    <n v="1999"/>
    <s v="SIXTY THOUSAND"/>
    <n v="60000"/>
    <s v="Female"/>
    <s v="sales"/>
    <x v="2"/>
    <s v="Manager"/>
    <d v="2020-02-20T00:00:00"/>
    <d v="2020-02-20T00:00:00"/>
    <s v="F"/>
    <n v="57"/>
    <s v="alice.matthews@saltcorp.com"/>
    <s v=" "/>
    <s v="Part-Time"/>
    <x v="2"/>
    <m/>
    <x v="4"/>
    <m/>
    <m/>
    <m/>
    <n v="42"/>
    <s v="YES"/>
    <s v="Yes"/>
    <x v="0"/>
    <x v="0"/>
    <x v="0"/>
  </r>
  <r>
    <s v="EMP-2020-0403"/>
    <s v="Grace"/>
    <s v="Huang"/>
    <s v="thirty"/>
    <n v="30"/>
    <n v="1994"/>
    <n v="70000"/>
    <n v="70000"/>
    <s v="Female"/>
    <s v="Marketing"/>
    <x v="4"/>
    <s v="Assistant"/>
    <d v="2020-01-15T00:00:00"/>
    <d v="2020-01-15T00:00:00"/>
    <s v="F"/>
    <n v="44"/>
    <s v="grace.huang@saltcorp.com"/>
    <m/>
    <s v="Part-Time"/>
    <x v="2"/>
    <s v="EMP-2019-0052"/>
    <x v="2"/>
    <m/>
    <n v="12"/>
    <m/>
    <n v="47"/>
    <s v="no"/>
    <s v="No"/>
    <x v="2"/>
    <x v="1"/>
    <x v="1"/>
  </r>
  <r>
    <s v="EMP-2020-0404"/>
    <s v="Eve"/>
    <s v="Carter"/>
    <n v="50"/>
    <n v="50"/>
    <n v="1974"/>
    <s v="SIXTY THOUSAND"/>
    <n v="60000"/>
    <s v="Female"/>
    <s v="HR"/>
    <x v="0"/>
    <s v="Assistant"/>
    <d v="2020-01-15T00:00:00"/>
    <d v="2020-01-15T00:00:00"/>
    <s v="A"/>
    <n v="97"/>
    <s v="eve.carter@saltcorp.com"/>
    <s v=" "/>
    <s v="Full-Time"/>
    <x v="1"/>
    <s v="EMP-2020-0072"/>
    <x v="7"/>
    <s v="N/A"/>
    <m/>
    <d v="2021-10-01T00:00:00"/>
    <m/>
    <s v="N"/>
    <s v="No"/>
    <x v="0"/>
    <x v="0"/>
    <x v="0"/>
  </r>
  <r>
    <s v="EMP-2020-0405"/>
    <s v="Frank"/>
    <s v="Perez"/>
    <n v="25"/>
    <n v="25"/>
    <n v="1999"/>
    <n v="55000"/>
    <n v="55000"/>
    <s v="Male"/>
    <s v="HR"/>
    <x v="0"/>
    <s v="Manager"/>
    <d v="2020-01-15T00:00:00"/>
    <d v="2020-01-15T00:00:00"/>
    <s v="D"/>
    <n v="66"/>
    <s v="frank.perez@saltcorp.com"/>
    <s v="555-555-5555"/>
    <s v="Part-Time"/>
    <x v="2"/>
    <m/>
    <x v="3"/>
    <m/>
    <m/>
    <m/>
    <m/>
    <s v="Y"/>
    <s v="Yes"/>
    <x v="1"/>
    <x v="0"/>
    <x v="0"/>
  </r>
  <r>
    <s v="EMP-2018-0406"/>
    <s v="Grace"/>
    <s v="Yang"/>
    <m/>
    <n v="31"/>
    <n v="1993"/>
    <n v="55000"/>
    <n v="55000"/>
    <s v="Female"/>
    <s v="Marketing"/>
    <x v="4"/>
    <s v="Analyst"/>
    <d v="2018-04-05T00:00:00"/>
    <d v="2018-04-05T00:00:00"/>
    <s v="A"/>
    <n v="92"/>
    <s v="grace.yang@saltcorp.com"/>
    <s v="098-765-4321"/>
    <s v="Full-Time"/>
    <x v="1"/>
    <s v="EMP-2018-0013"/>
    <x v="1"/>
    <m/>
    <m/>
    <d v="2023-03-05T00:00:00"/>
    <n v="45"/>
    <s v="no"/>
    <s v="No"/>
    <x v="3"/>
    <x v="1"/>
    <x v="1"/>
  </r>
  <r>
    <s v="EMP-2018-0407"/>
    <s v="Charlie"/>
    <s v="Oliver"/>
    <n v="40"/>
    <n v="40"/>
    <n v="1984"/>
    <n v="50000"/>
    <n v="50000"/>
    <s v="Male"/>
    <s v="finance"/>
    <x v="1"/>
    <s v="Manager"/>
    <d v="2018-04-05T00:00:00"/>
    <d v="2018-04-05T00:00:00"/>
    <s v="B"/>
    <n v="85"/>
    <s v="charlie.oliver@saltcorp.com"/>
    <s v="555-555-5555"/>
    <s v="Full-Time"/>
    <x v="1"/>
    <m/>
    <x v="2"/>
    <s v="N/A"/>
    <n v="9"/>
    <d v="2024-08-12T00:00:00"/>
    <m/>
    <s v="N"/>
    <s v="No"/>
    <x v="4"/>
    <x v="0"/>
    <x v="0"/>
  </r>
  <r>
    <s v="EMP-2019-0408"/>
    <s v="Jack"/>
    <s v="Bell"/>
    <n v="25"/>
    <n v="25"/>
    <n v="1999"/>
    <n v="55000"/>
    <n v="55000"/>
    <s v="Male"/>
    <s v="HR"/>
    <x v="0"/>
    <s v="Clerk"/>
    <d v="2019-12-01T00:00:00"/>
    <d v="2019-12-01T00:00:00"/>
    <s v="F"/>
    <n v="22"/>
    <s v="jack.bell@saltcorp.com"/>
    <s v=" "/>
    <s v="Part-Time"/>
    <x v="2"/>
    <m/>
    <x v="5"/>
    <m/>
    <n v="19"/>
    <m/>
    <m/>
    <m/>
    <s v=""/>
    <x v="0"/>
    <x v="0"/>
    <x v="0"/>
  </r>
  <r>
    <s v="EMP-2020-0409"/>
    <s v="Charlie"/>
    <s v="West"/>
    <n v="50"/>
    <n v="50"/>
    <n v="1974"/>
    <n v="60900"/>
    <n v="60900"/>
    <s v="Female"/>
    <s v="it"/>
    <x v="3"/>
    <s v="Manager"/>
    <d v="2020-02-20T00:00:00"/>
    <d v="2020-02-20T00:00:00"/>
    <s v="B"/>
    <n v="80"/>
    <s v="charlie.west@saltcorp.com"/>
    <m/>
    <s v="Full-Time"/>
    <x v="1"/>
    <s v="EMP-2018-0098"/>
    <x v="2"/>
    <s v="N/A"/>
    <m/>
    <d v="2024-08-12T00:00:00"/>
    <m/>
    <s v="no"/>
    <s v="No"/>
    <x v="4"/>
    <x v="0"/>
    <x v="0"/>
  </r>
  <r>
    <s v="EMP-2019-0410"/>
    <s v="Eve"/>
    <s v="Stevens"/>
    <n v="25"/>
    <n v="25"/>
    <n v="1999"/>
    <s v="SIXTY THOUSAND"/>
    <n v="60000"/>
    <s v="Female"/>
    <s v="Marketing"/>
    <x v="4"/>
    <s v="Manager"/>
    <d v="2019-03-25T00:00:00"/>
    <d v="2019-03-25T00:00:00"/>
    <s v="F"/>
    <n v="23"/>
    <s v="eve.stevens@saltcorp.com"/>
    <s v=" "/>
    <s v="Part-Time"/>
    <x v="2"/>
    <m/>
    <x v="0"/>
    <n v="1"/>
    <n v="6"/>
    <d v="2024-08-12T00:00:00"/>
    <n v="9"/>
    <s v="no"/>
    <s v="No"/>
    <x v="2"/>
    <x v="0"/>
    <x v="0"/>
  </r>
  <r>
    <s v="EMP-2019-0411"/>
    <s v="Frank"/>
    <s v="Hernandez"/>
    <n v="35"/>
    <n v="35"/>
    <n v="1989"/>
    <n v="55000"/>
    <n v="55000"/>
    <s v="Male"/>
    <s v="HR"/>
    <x v="0"/>
    <s v="Analyst"/>
    <d v="2019-03-25T00:00:00"/>
    <d v="2019-03-25T00:00:00"/>
    <s v="F"/>
    <n v="54"/>
    <s v="frank.hernandez@saltcorp.com"/>
    <m/>
    <s v="Full-Time"/>
    <x v="1"/>
    <m/>
    <x v="4"/>
    <s v="N/A"/>
    <m/>
    <s v="N/A"/>
    <m/>
    <s v="YES"/>
    <s v="Yes"/>
    <x v="2"/>
    <x v="0"/>
    <x v="0"/>
  </r>
  <r>
    <s v="EMP-2019-0412"/>
    <s v="Ivy"/>
    <s v="Hansen"/>
    <n v="40"/>
    <n v="40"/>
    <n v="1984"/>
    <n v="70000"/>
    <n v="70000"/>
    <s v="Female"/>
    <s v="sales"/>
    <x v="2"/>
    <s v="Clerk"/>
    <d v="2019-03-25T00:00:00"/>
    <d v="2019-03-25T00:00:00"/>
    <s v="C"/>
    <n v="70"/>
    <s v="ivy.hansen@saltcorp.com"/>
    <m/>
    <s v="contract"/>
    <x v="0"/>
    <m/>
    <x v="5"/>
    <m/>
    <n v="15"/>
    <d v="2021-10-01T00:00:00"/>
    <n v="5"/>
    <s v="YES"/>
    <s v="Yes"/>
    <x v="2"/>
    <x v="1"/>
    <x v="1"/>
  </r>
  <r>
    <s v="EMP-2020-0413"/>
    <s v="Eve"/>
    <s v="Bell"/>
    <n v="50"/>
    <n v="50"/>
    <n v="1974"/>
    <n v="50000"/>
    <n v="50000"/>
    <s v="Male"/>
    <s v="it"/>
    <x v="3"/>
    <s v="Director"/>
    <d v="2020-01-15T00:00:00"/>
    <d v="2020-01-15T00:00:00"/>
    <s v="B"/>
    <n v="85"/>
    <s v="eve.bell@saltcorp.com"/>
    <s v="123-456-7890"/>
    <s v="Full-Time"/>
    <x v="1"/>
    <m/>
    <x v="4"/>
    <n v="1"/>
    <m/>
    <d v="2024-08-12T00:00:00"/>
    <m/>
    <s v="YES"/>
    <s v="Yes"/>
    <x v="4"/>
    <x v="0"/>
    <x v="0"/>
  </r>
  <r>
    <s v="EMP-2018-0414"/>
    <s v="Alice"/>
    <s v="Thompson"/>
    <n v="50"/>
    <n v="50"/>
    <n v="1974"/>
    <s v="SIXTY THOUSAND"/>
    <n v="60000"/>
    <s v="Female"/>
    <s v="HR"/>
    <x v="0"/>
    <s v="Director"/>
    <d v="2018-04-05T00:00:00"/>
    <d v="2018-04-05T00:00:00"/>
    <s v="B"/>
    <n v="89"/>
    <s v="alice.thompson@saltcorp.com"/>
    <s v="098-765-4321"/>
    <s v="Part-Time"/>
    <x v="2"/>
    <m/>
    <x v="6"/>
    <n v="11"/>
    <m/>
    <m/>
    <m/>
    <s v="YES"/>
    <s v="Yes"/>
    <x v="2"/>
    <x v="0"/>
    <x v="0"/>
  </r>
  <r>
    <s v="EMP-2020-0415"/>
    <s v="David"/>
    <s v="Rogers"/>
    <s v="thirty"/>
    <n v="30"/>
    <n v="1994"/>
    <n v="50000"/>
    <n v="50000"/>
    <s v="Female"/>
    <s v="it"/>
    <x v="3"/>
    <s v="Assistant"/>
    <d v="2020-02-20T00:00:00"/>
    <d v="2020-02-20T00:00:00"/>
    <s v="C"/>
    <n v="71"/>
    <s v="david.rogers@saltcorp.com"/>
    <s v=" "/>
    <s v="Full-Time"/>
    <x v="1"/>
    <m/>
    <x v="6"/>
    <m/>
    <m/>
    <m/>
    <n v="33"/>
    <m/>
    <s v=""/>
    <x v="4"/>
    <x v="1"/>
    <x v="1"/>
  </r>
  <r>
    <s v="EMP-2020-0416"/>
    <s v="Eve"/>
    <s v="Evans"/>
    <m/>
    <n v="42"/>
    <n v="1982"/>
    <s v="SIXTY THOUSAND"/>
    <n v="60000"/>
    <s v="Male"/>
    <s v="it"/>
    <x v="3"/>
    <s v="Manager"/>
    <d v="2020-01-15T00:00:00"/>
    <d v="2020-01-15T00:00:00"/>
    <s v="D"/>
    <n v="65"/>
    <s v="eve.evans@saltcorp.com"/>
    <m/>
    <s v="Full-Time"/>
    <x v="1"/>
    <m/>
    <x v="5"/>
    <m/>
    <n v="15"/>
    <m/>
    <n v="78"/>
    <s v="no"/>
    <s v="No"/>
    <x v="3"/>
    <x v="1"/>
    <x v="1"/>
  </r>
  <r>
    <s v="EMP-2018-0417"/>
    <s v="Jack"/>
    <s v="Hanson"/>
    <s v="thirty"/>
    <n v="30"/>
    <n v="1994"/>
    <n v="70000"/>
    <n v="70000"/>
    <s v="Male"/>
    <s v="finance"/>
    <x v="1"/>
    <s v="Assistant"/>
    <d v="2018-04-05T00:00:00"/>
    <d v="2018-04-05T00:00:00"/>
    <s v="B"/>
    <n v="83"/>
    <s v="jack.hanson@saltcorp.com"/>
    <s v=" "/>
    <s v="Part-Time"/>
    <x v="2"/>
    <m/>
    <x v="2"/>
    <s v="N/A"/>
    <n v="3"/>
    <m/>
    <m/>
    <m/>
    <s v=""/>
    <x v="4"/>
    <x v="0"/>
    <x v="0"/>
  </r>
  <r>
    <s v="EMP-2018-0418"/>
    <s v="Jack"/>
    <s v="McCarthy"/>
    <n v="50"/>
    <n v="50"/>
    <n v="1974"/>
    <n v="50000"/>
    <n v="50000"/>
    <s v="Male"/>
    <s v="it"/>
    <x v="3"/>
    <s v="Analyst"/>
    <d v="2018-04-05T00:00:00"/>
    <d v="2018-04-05T00:00:00"/>
    <s v="A"/>
    <n v="92"/>
    <s v="jack.mccarthy@saltcorp.com"/>
    <s v=" "/>
    <s v="Part-Time"/>
    <x v="2"/>
    <m/>
    <x v="0"/>
    <m/>
    <m/>
    <d v="2023-03-05T00:00:00"/>
    <m/>
    <s v="YES"/>
    <s v="Yes"/>
    <x v="0"/>
    <x v="0"/>
    <x v="0"/>
  </r>
  <r>
    <s v="EMP-2020-0419"/>
    <s v="Eve"/>
    <s v="Bell"/>
    <n v="40"/>
    <n v="40"/>
    <n v="1984"/>
    <n v="65000"/>
    <n v="65000"/>
    <s v="Male"/>
    <s v="finance"/>
    <x v="1"/>
    <s v="Director"/>
    <d v="2020-02-20T00:00:00"/>
    <d v="2020-02-20T00:00:00"/>
    <s v="C"/>
    <n v="74"/>
    <s v="eve.bell@saltcorp.com"/>
    <m/>
    <s v="Part-Time"/>
    <x v="2"/>
    <m/>
    <x v="0"/>
    <m/>
    <m/>
    <d v="2021-10-01T00:00:00"/>
    <n v="63"/>
    <m/>
    <s v=""/>
    <x v="3"/>
    <x v="1"/>
    <x v="1"/>
  </r>
  <r>
    <s v="EMP-2020-0420"/>
    <s v="Grace"/>
    <s v="Harrison"/>
    <n v="25"/>
    <n v="25"/>
    <n v="1999"/>
    <n v="60000"/>
    <n v="60000"/>
    <s v="Male"/>
    <s v="Marketing"/>
    <x v="4"/>
    <s v="Manager"/>
    <d v="2020-02-20T00:00:00"/>
    <d v="2020-02-20T00:00:00"/>
    <s v="B"/>
    <n v="83"/>
    <s v="grace.harrison@saltcorp.com"/>
    <s v="555-555-5555"/>
    <s v="Part-Time"/>
    <x v="2"/>
    <m/>
    <x v="2"/>
    <n v="10"/>
    <m/>
    <d v="2023-01-15T00:00:00"/>
    <m/>
    <s v="no"/>
    <s v="No"/>
    <x v="0"/>
    <x v="0"/>
    <x v="0"/>
  </r>
  <r>
    <s v="EMP-2020-0421"/>
    <s v="David"/>
    <s v="Walsh"/>
    <n v="25"/>
    <n v="25"/>
    <n v="1999"/>
    <n v="60800"/>
    <n v="60800"/>
    <s v="Male"/>
    <s v="finance"/>
    <x v="1"/>
    <s v="Analyst"/>
    <d v="2020-02-20T00:00:00"/>
    <d v="2020-02-20T00:00:00"/>
    <s v="D"/>
    <n v="62"/>
    <s v="david.walsh@saltcorp.com"/>
    <s v="098-765-4321"/>
    <s v="Full-Time"/>
    <x v="1"/>
    <m/>
    <x v="2"/>
    <m/>
    <n v="12"/>
    <m/>
    <m/>
    <s v="N"/>
    <s v="No"/>
    <x v="3"/>
    <x v="1"/>
    <x v="1"/>
  </r>
  <r>
    <s v="EMP-2020-0422"/>
    <s v="Alice"/>
    <s v="Mason"/>
    <n v="40"/>
    <n v="40"/>
    <n v="1984"/>
    <s v="SIXTY THOUSAND"/>
    <n v="60000"/>
    <s v="Female"/>
    <s v="sales"/>
    <x v="2"/>
    <s v="Analyst"/>
    <d v="2020-01-15T00:00:00"/>
    <d v="2020-01-15T00:00:00"/>
    <s v="B"/>
    <n v="87"/>
    <s v="alice.mason@saltcorp.com"/>
    <s v="098-765-4321"/>
    <s v="Part-Time"/>
    <x v="2"/>
    <s v="EMP-2018-0017"/>
    <x v="2"/>
    <m/>
    <n v="7"/>
    <d v="2023-03-05T00:00:00"/>
    <m/>
    <m/>
    <s v=""/>
    <x v="4"/>
    <x v="0"/>
    <x v="0"/>
  </r>
  <r>
    <s v="EMP-2019-0423"/>
    <s v="Eve"/>
    <s v="Stevens"/>
    <n v="50"/>
    <n v="50"/>
    <n v="1974"/>
    <n v="65000"/>
    <n v="65000"/>
    <s v="Male"/>
    <s v="HR"/>
    <x v="0"/>
    <s v="Manager"/>
    <d v="2019-12-01T00:00:00"/>
    <d v="2019-12-01T00:00:00"/>
    <s v="F"/>
    <n v="35"/>
    <s v="eve.stevens@saltcorp.com"/>
    <s v="123-456-7890"/>
    <s v="Full-Time"/>
    <x v="1"/>
    <m/>
    <x v="3"/>
    <m/>
    <m/>
    <d v="2023-01-15T00:00:00"/>
    <m/>
    <s v="YES"/>
    <s v="Yes"/>
    <x v="3"/>
    <x v="1"/>
    <x v="1"/>
  </r>
  <r>
    <s v="EMP-2020-0424"/>
    <s v="Grace"/>
    <s v="Wang"/>
    <n v="25"/>
    <n v="25"/>
    <n v="1999"/>
    <n v="50000"/>
    <n v="50000"/>
    <s v="Female"/>
    <s v="Marketing"/>
    <x v="4"/>
    <s v="Analyst"/>
    <d v="2020-02-20T00:00:00"/>
    <d v="2020-02-20T00:00:00"/>
    <s v="A"/>
    <n v="98"/>
    <s v="grace.wang@saltcorp.com"/>
    <s v="123-456-7890"/>
    <s v="Full-Time"/>
    <x v="1"/>
    <m/>
    <x v="0"/>
    <m/>
    <m/>
    <d v="2024-08-12T00:00:00"/>
    <m/>
    <s v="no"/>
    <s v="No"/>
    <x v="0"/>
    <x v="0"/>
    <x v="0"/>
  </r>
  <r>
    <s v="EMP-2019-0425"/>
    <s v="Jack"/>
    <s v="McCarthy"/>
    <n v="25"/>
    <n v="25"/>
    <n v="1999"/>
    <n v="65000"/>
    <n v="65000"/>
    <s v="Female"/>
    <s v="Marketing"/>
    <x v="4"/>
    <s v="Manager"/>
    <d v="2019-12-01T00:00:00"/>
    <d v="2019-12-01T00:00:00"/>
    <s v="C"/>
    <n v="75"/>
    <s v="jack.mccarthy@saltcorp.com"/>
    <s v="123-456-7890"/>
    <s v="contract"/>
    <x v="0"/>
    <s v="EMP-2018-0006"/>
    <x v="1"/>
    <n v="9"/>
    <m/>
    <m/>
    <m/>
    <s v="no"/>
    <s v="No"/>
    <x v="1"/>
    <x v="0"/>
    <x v="0"/>
  </r>
  <r>
    <s v="EMP-2020-0426"/>
    <s v="Jack"/>
    <s v="O'Connor"/>
    <n v="25"/>
    <n v="25"/>
    <n v="1999"/>
    <n v="65000"/>
    <n v="65000"/>
    <s v="Male"/>
    <s v="sales"/>
    <x v="2"/>
    <s v="Manager"/>
    <d v="2020-01-15T00:00:00"/>
    <d v="2020-01-15T00:00:00"/>
    <s v="F"/>
    <n v="50"/>
    <s v="jack.o'connor@saltcorp.com"/>
    <s v="098-765-4321"/>
    <s v="Part-Time"/>
    <x v="2"/>
    <m/>
    <x v="7"/>
    <m/>
    <n v="18"/>
    <s v="N/A"/>
    <m/>
    <s v="YES"/>
    <s v="Yes"/>
    <x v="3"/>
    <x v="0"/>
    <x v="0"/>
  </r>
  <r>
    <s v="EMP-2019-0427"/>
    <s v="Frank"/>
    <s v="Gonzalez"/>
    <m/>
    <n v="34"/>
    <n v="1990"/>
    <n v="50000"/>
    <n v="50000"/>
    <s v="Male"/>
    <s v="finance"/>
    <x v="1"/>
    <s v="Clerk"/>
    <d v="2019-12-01T00:00:00"/>
    <d v="2019-12-01T00:00:00"/>
    <s v="D"/>
    <n v="68"/>
    <s v="frank.gonzalez@saltcorp.com"/>
    <s v="555-555-5555"/>
    <s v="Part-Time"/>
    <x v="2"/>
    <s v="EMP-2020-0066"/>
    <x v="5"/>
    <m/>
    <n v="20"/>
    <s v="N/A"/>
    <n v="31"/>
    <s v="no"/>
    <s v="No"/>
    <x v="3"/>
    <x v="0"/>
    <x v="0"/>
  </r>
  <r>
    <s v="EMP-2019-0428"/>
    <s v="Eve"/>
    <s v="Vega"/>
    <m/>
    <n v="27"/>
    <n v="1997"/>
    <n v="70000"/>
    <n v="70000"/>
    <s v="Female"/>
    <s v="HR"/>
    <x v="0"/>
    <s v="Assistant"/>
    <d v="2019-03-25T00:00:00"/>
    <d v="2019-03-25T00:00:00"/>
    <s v="F"/>
    <n v="39"/>
    <s v="eve.vega@saltcorp.com"/>
    <s v="098-765-4321"/>
    <s v="Part-Time"/>
    <x v="2"/>
    <s v="EMP-2020-0041"/>
    <x v="2"/>
    <m/>
    <m/>
    <d v="2022-06-20T00:00:00"/>
    <n v="63"/>
    <s v="N"/>
    <s v="No"/>
    <x v="1"/>
    <x v="1"/>
    <x v="1"/>
  </r>
  <r>
    <s v="EMP-2019-0429"/>
    <s v="David"/>
    <s v="Cohen"/>
    <n v="35"/>
    <n v="35"/>
    <n v="1989"/>
    <n v="65000"/>
    <n v="65000"/>
    <s v="Male"/>
    <s v="finance"/>
    <x v="1"/>
    <s v="Analyst"/>
    <d v="2019-12-01T00:00:00"/>
    <d v="2019-12-01T00:00:00"/>
    <s v="F"/>
    <n v="45"/>
    <s v="david.cohen@saltcorp.com"/>
    <s v="098-765-4321"/>
    <s v="contract"/>
    <x v="0"/>
    <m/>
    <x v="1"/>
    <m/>
    <m/>
    <m/>
    <m/>
    <s v="YES"/>
    <s v="Yes"/>
    <x v="3"/>
    <x v="1"/>
    <x v="1"/>
  </r>
  <r>
    <s v="EMP-2020-0430"/>
    <s v="Bob"/>
    <s v="Wallace"/>
    <s v="thirty"/>
    <n v="30"/>
    <n v="1994"/>
    <n v="65000"/>
    <n v="65000"/>
    <s v="Male"/>
    <s v="it"/>
    <x v="3"/>
    <s v="Analyst"/>
    <d v="2020-02-20T00:00:00"/>
    <d v="2020-02-20T00:00:00"/>
    <s v="D"/>
    <n v="66"/>
    <s v="bob.wallace@saltcorp.com"/>
    <s v="098-765-4321"/>
    <s v="contract"/>
    <x v="0"/>
    <m/>
    <x v="0"/>
    <m/>
    <m/>
    <m/>
    <m/>
    <s v="no"/>
    <s v="No"/>
    <x v="3"/>
    <x v="0"/>
    <x v="0"/>
  </r>
  <r>
    <s v="EMP-2020-0431"/>
    <s v="David"/>
    <s v="Le"/>
    <n v="40"/>
    <n v="40"/>
    <n v="1984"/>
    <n v="70000"/>
    <n v="70000"/>
    <s v="Female"/>
    <s v="finance"/>
    <x v="1"/>
    <s v="Clerk"/>
    <d v="2020-01-15T00:00:00"/>
    <d v="2020-01-15T00:00:00"/>
    <s v="F"/>
    <n v="41"/>
    <s v="david.le@saltcorp.com"/>
    <s v="098-765-4321"/>
    <s v="Part-Time"/>
    <x v="2"/>
    <m/>
    <x v="0"/>
    <m/>
    <m/>
    <m/>
    <m/>
    <m/>
    <s v=""/>
    <x v="1"/>
    <x v="0"/>
    <x v="0"/>
  </r>
  <r>
    <s v="EMP-2020-0432"/>
    <s v="Jack"/>
    <s v="Olson"/>
    <n v="40"/>
    <n v="40"/>
    <n v="1984"/>
    <n v="65000"/>
    <n v="65000"/>
    <s v="Male"/>
    <s v="Marketing"/>
    <x v="4"/>
    <s v="Clerk"/>
    <d v="2020-02-20T00:00:00"/>
    <d v="2020-02-20T00:00:00"/>
    <s v="C"/>
    <n v="77"/>
    <s v="jack.olson@saltcorp.com"/>
    <s v="555-555-5555"/>
    <s v="contract"/>
    <x v="0"/>
    <m/>
    <x v="7"/>
    <m/>
    <m/>
    <d v="2022-06-20T00:00:00"/>
    <m/>
    <s v="no"/>
    <s v="No"/>
    <x v="3"/>
    <x v="1"/>
    <x v="1"/>
  </r>
  <r>
    <s v="EMP-2019-0433"/>
    <s v="Jack"/>
    <s v="Johnston"/>
    <n v="40"/>
    <n v="40"/>
    <n v="1984"/>
    <n v="65000"/>
    <n v="65000"/>
    <s v="Male"/>
    <s v="HR"/>
    <x v="0"/>
    <s v="Clerk"/>
    <d v="2019-03-25T00:00:00"/>
    <d v="2019-03-25T00:00:00"/>
    <s v="B"/>
    <n v="88"/>
    <s v="jack.johnston@saltcorp.com"/>
    <s v="123-456-7890"/>
    <s v="contract"/>
    <x v="0"/>
    <m/>
    <x v="2"/>
    <m/>
    <m/>
    <m/>
    <m/>
    <m/>
    <s v=""/>
    <x v="4"/>
    <x v="0"/>
    <x v="0"/>
  </r>
  <r>
    <s v="EMP-2020-0434"/>
    <s v="Charlie"/>
    <s v="Lewis"/>
    <n v="35"/>
    <n v="35"/>
    <n v="1989"/>
    <n v="65000"/>
    <n v="65000"/>
    <s v="Male"/>
    <s v="finance"/>
    <x v="1"/>
    <s v="Director"/>
    <d v="2020-02-20T00:00:00"/>
    <d v="2020-02-20T00:00:00"/>
    <s v="F"/>
    <n v="53"/>
    <s v="charlie.lewis@saltcorp.com"/>
    <s v=" "/>
    <s v="contract"/>
    <x v="0"/>
    <m/>
    <x v="6"/>
    <s v="N/A"/>
    <m/>
    <m/>
    <m/>
    <s v="no"/>
    <s v="No"/>
    <x v="4"/>
    <x v="1"/>
    <x v="1"/>
  </r>
  <r>
    <s v="EMP-2020-0435"/>
    <s v="Jack"/>
    <s v="Wallace"/>
    <m/>
    <n v="53"/>
    <n v="1971"/>
    <n v="60900"/>
    <n v="60900"/>
    <s v="Female"/>
    <s v="HR"/>
    <x v="0"/>
    <s v="Director"/>
    <d v="2020-02-20T00:00:00"/>
    <d v="2020-02-20T00:00:00"/>
    <s v="C"/>
    <n v="72"/>
    <s v="jack.wallace@saltcorp.com"/>
    <s v="123-456-7890"/>
    <s v="Part-Time"/>
    <x v="2"/>
    <m/>
    <x v="5"/>
    <m/>
    <n v="5"/>
    <m/>
    <n v="75"/>
    <s v="no"/>
    <s v="No"/>
    <x v="4"/>
    <x v="1"/>
    <x v="1"/>
  </r>
  <r>
    <s v="EMP-2020-0436"/>
    <s v="Alice"/>
    <s v="Knight"/>
    <n v="50"/>
    <n v="50"/>
    <n v="1974"/>
    <n v="55000"/>
    <n v="55000"/>
    <s v="Male"/>
    <s v="HR"/>
    <x v="0"/>
    <s v="Director"/>
    <d v="2020-02-20T00:00:00"/>
    <d v="2020-02-20T00:00:00"/>
    <s v="B"/>
    <n v="85"/>
    <s v="alice.knight@saltcorp.com"/>
    <s v="123-456-7890"/>
    <s v="contract"/>
    <x v="0"/>
    <s v="EMP-2020-0074"/>
    <x v="6"/>
    <m/>
    <n v="16"/>
    <m/>
    <n v="32"/>
    <m/>
    <s v=""/>
    <x v="0"/>
    <x v="0"/>
    <x v="0"/>
  </r>
  <r>
    <s v="EMP-2018-0437"/>
    <s v="Hannah"/>
    <s v="Sims"/>
    <n v="50"/>
    <n v="50"/>
    <n v="1974"/>
    <n v="70000"/>
    <n v="70000"/>
    <s v="Female"/>
    <s v="it"/>
    <x v="3"/>
    <s v="Manager"/>
    <d v="2018-04-05T00:00:00"/>
    <d v="2018-04-05T00:00:00"/>
    <s v="B"/>
    <n v="81"/>
    <s v="hannah.sims@saltcorp.com"/>
    <s v=" "/>
    <s v="Full-Time"/>
    <x v="1"/>
    <s v="EMP-2020-0062"/>
    <x v="3"/>
    <m/>
    <m/>
    <m/>
    <n v="74"/>
    <m/>
    <s v=""/>
    <x v="0"/>
    <x v="0"/>
    <x v="0"/>
  </r>
  <r>
    <s v="EMP-2019-0438"/>
    <s v="Eve"/>
    <s v="Medina"/>
    <n v="35"/>
    <n v="35"/>
    <n v="1989"/>
    <n v="65000"/>
    <n v="65000"/>
    <s v="Female"/>
    <s v="it"/>
    <x v="3"/>
    <s v="Analyst"/>
    <d v="2019-03-25T00:00:00"/>
    <d v="2019-03-25T00:00:00"/>
    <s v="F"/>
    <n v="39"/>
    <s v="eve.medina@saltcorp.com"/>
    <s v="098-765-4321"/>
    <s v="Part-Time"/>
    <x v="2"/>
    <m/>
    <x v="3"/>
    <s v="N/A"/>
    <n v="6"/>
    <m/>
    <m/>
    <s v="YES"/>
    <s v="Yes"/>
    <x v="1"/>
    <x v="1"/>
    <x v="1"/>
  </r>
  <r>
    <s v="EMP-2020-0439"/>
    <s v="David"/>
    <s v="Andrews"/>
    <n v="50"/>
    <n v="50"/>
    <n v="1974"/>
    <n v="61600"/>
    <n v="61600"/>
    <s v="Male"/>
    <s v="Marketing"/>
    <x v="4"/>
    <s v="Assistant"/>
    <d v="2020-02-20T00:00:00"/>
    <d v="2020-02-20T00:00:00"/>
    <s v="C"/>
    <n v="78"/>
    <s v="david.andrews@saltcorp.com"/>
    <s v="555-555-5555"/>
    <s v="contract"/>
    <x v="0"/>
    <s v="EMP-2020-0032"/>
    <x v="7"/>
    <m/>
    <m/>
    <d v="2022-06-20T00:00:00"/>
    <n v="25"/>
    <s v="no"/>
    <s v="No"/>
    <x v="1"/>
    <x v="1"/>
    <x v="1"/>
  </r>
  <r>
    <s v="EMP-2020-0440"/>
    <s v="Hannah"/>
    <s v="Gutierrez"/>
    <n v="40"/>
    <n v="40"/>
    <n v="1984"/>
    <n v="70000"/>
    <n v="70000"/>
    <s v="Female"/>
    <s v="sales"/>
    <x v="2"/>
    <s v="Manager"/>
    <d v="2020-02-20T00:00:00"/>
    <d v="2020-02-20T00:00:00"/>
    <s v="F"/>
    <n v="46"/>
    <s v="hannah.gutierrez@saltcorp.com"/>
    <s v="555-555-5555"/>
    <s v="contract"/>
    <x v="0"/>
    <s v="EMP-2020-0015"/>
    <x v="2"/>
    <m/>
    <m/>
    <m/>
    <m/>
    <s v="no"/>
    <s v="No"/>
    <x v="4"/>
    <x v="0"/>
    <x v="0"/>
  </r>
  <r>
    <s v="EMP-2020-0441"/>
    <s v="Grace"/>
    <s v="Wallace"/>
    <s v="thirty"/>
    <n v="30"/>
    <n v="1994"/>
    <s v="SIXTY THOUSAND"/>
    <n v="60000"/>
    <s v="Male"/>
    <s v="HR"/>
    <x v="0"/>
    <s v="Analyst"/>
    <d v="2020-02-20T00:00:00"/>
    <d v="2020-02-20T00:00:00"/>
    <s v="D"/>
    <n v="60"/>
    <s v="grace.wallace@saltcorp.com"/>
    <s v="123-456-7890"/>
    <s v="contract"/>
    <x v="0"/>
    <s v="EMP-2019-0054"/>
    <x v="1"/>
    <m/>
    <n v="13"/>
    <d v="2022-06-20T00:00:00"/>
    <m/>
    <s v="no"/>
    <s v="No"/>
    <x v="2"/>
    <x v="0"/>
    <x v="0"/>
  </r>
  <r>
    <s v="EMP-2020-0442"/>
    <s v="Bob"/>
    <s v="Jordan"/>
    <n v="25"/>
    <n v="25"/>
    <n v="1999"/>
    <s v="SIXTY THOUSAND"/>
    <n v="60000"/>
    <s v="Male"/>
    <s v="sales"/>
    <x v="2"/>
    <s v="Analyst"/>
    <d v="2020-01-15T00:00:00"/>
    <d v="2020-01-15T00:00:00"/>
    <s v="B"/>
    <n v="81"/>
    <s v="bob.jordan@saltcorp.com"/>
    <s v=" "/>
    <s v="Full-Time"/>
    <x v="1"/>
    <m/>
    <x v="1"/>
    <n v="11"/>
    <m/>
    <m/>
    <m/>
    <s v="YES"/>
    <s v="Yes"/>
    <x v="0"/>
    <x v="0"/>
    <x v="0"/>
  </r>
  <r>
    <s v="EMP-2018-0443"/>
    <s v="Alice"/>
    <s v="Burns"/>
    <m/>
    <n v="28"/>
    <n v="1996"/>
    <n v="65000"/>
    <n v="65000"/>
    <s v="Female"/>
    <s v="Marketing"/>
    <x v="4"/>
    <s v="Clerk"/>
    <d v="2018-04-05T00:00:00"/>
    <d v="2018-04-05T00:00:00"/>
    <s v="F"/>
    <n v="39"/>
    <s v="alice.burns@saltcorp.com"/>
    <m/>
    <s v="contract"/>
    <x v="0"/>
    <m/>
    <x v="7"/>
    <n v="3"/>
    <n v="2"/>
    <d v="2023-01-15T00:00:00"/>
    <m/>
    <s v="no"/>
    <s v="No"/>
    <x v="2"/>
    <x v="0"/>
    <x v="0"/>
  </r>
  <r>
    <s v="EMP-2020-0444"/>
    <s v="David"/>
    <s v="Lucas"/>
    <m/>
    <n v="35"/>
    <n v="1989"/>
    <n v="58800"/>
    <n v="58800"/>
    <s v="Male"/>
    <s v="HR"/>
    <x v="0"/>
    <s v="Clerk"/>
    <d v="2020-01-15T00:00:00"/>
    <d v="2020-01-15T00:00:00"/>
    <s v="B"/>
    <n v="80"/>
    <s v="david.lucas@saltcorp.com"/>
    <s v="098-765-4321"/>
    <s v="Full-Time"/>
    <x v="1"/>
    <s v="EMP-2018-0067"/>
    <x v="3"/>
    <s v="N/A"/>
    <n v="2"/>
    <m/>
    <m/>
    <s v="YES"/>
    <s v="Yes"/>
    <x v="2"/>
    <x v="0"/>
    <x v="0"/>
  </r>
  <r>
    <s v="EMP-2018-0445"/>
    <s v="Hannah"/>
    <s v="Long"/>
    <n v="35"/>
    <n v="35"/>
    <n v="1989"/>
    <n v="59000"/>
    <n v="59000"/>
    <s v="Female"/>
    <s v="HR"/>
    <x v="0"/>
    <s v="Manager"/>
    <d v="2018-04-05T00:00:00"/>
    <d v="2018-04-05T00:00:00"/>
    <s v="C"/>
    <n v="77"/>
    <s v="hannah.long@saltcorp.com"/>
    <s v="123-456-7890"/>
    <s v="Full-Time"/>
    <x v="1"/>
    <m/>
    <x v="0"/>
    <s v="N/A"/>
    <n v="15"/>
    <d v="2023-01-15T00:00:00"/>
    <m/>
    <s v="YES"/>
    <s v="Yes"/>
    <x v="2"/>
    <x v="1"/>
    <x v="1"/>
  </r>
  <r>
    <s v="EMP-2020-0446"/>
    <s v="Bob"/>
    <s v="Davis"/>
    <m/>
    <n v="26"/>
    <n v="1998"/>
    <n v="70000"/>
    <n v="70000"/>
    <s v="Male"/>
    <s v="sales"/>
    <x v="2"/>
    <s v="Clerk"/>
    <d v="2020-02-20T00:00:00"/>
    <d v="2020-02-20T00:00:00"/>
    <s v="A"/>
    <n v="100"/>
    <s v="bob.davis@saltcorp.com"/>
    <s v="555-555-5555"/>
    <s v="Full-Time"/>
    <x v="1"/>
    <m/>
    <x v="2"/>
    <s v="N/A"/>
    <n v="8"/>
    <m/>
    <n v="72"/>
    <s v="YES"/>
    <s v="Yes"/>
    <x v="1"/>
    <x v="0"/>
    <x v="0"/>
  </r>
  <r>
    <s v="EMP-2019-0447"/>
    <s v="Charlie"/>
    <s v="Garrett"/>
    <n v="40"/>
    <n v="40"/>
    <n v="1984"/>
    <n v="70000"/>
    <n v="70000"/>
    <s v="Male"/>
    <s v="finance"/>
    <x v="1"/>
    <s v="Analyst"/>
    <d v="2019-03-25T00:00:00"/>
    <d v="2019-03-25T00:00:00"/>
    <s v="F"/>
    <n v="30"/>
    <s v="charlie.garrett@saltcorp.com"/>
    <s v=" "/>
    <s v="Full-Time"/>
    <x v="1"/>
    <m/>
    <x v="5"/>
    <n v="13"/>
    <n v="0"/>
    <m/>
    <m/>
    <s v="no"/>
    <s v="No"/>
    <x v="1"/>
    <x v="1"/>
    <x v="1"/>
  </r>
  <r>
    <s v="EMP-2019-0448"/>
    <s v="Alice"/>
    <s v="Gomez"/>
    <n v="50"/>
    <n v="50"/>
    <n v="1974"/>
    <n v="58600"/>
    <n v="58600"/>
    <s v="Female"/>
    <s v="it"/>
    <x v="3"/>
    <s v="Clerk"/>
    <d v="2019-12-01T00:00:00"/>
    <d v="2019-12-01T00:00:00"/>
    <s v="F"/>
    <n v="9"/>
    <s v="alice.gomez@saltcorp.com"/>
    <s v=" "/>
    <s v="Part-Time"/>
    <x v="2"/>
    <m/>
    <x v="5"/>
    <s v="N/A"/>
    <n v="15"/>
    <m/>
    <m/>
    <s v="no"/>
    <s v="No"/>
    <x v="0"/>
    <x v="0"/>
    <x v="0"/>
  </r>
  <r>
    <s v="EMP-2019-0449"/>
    <s v="Alice"/>
    <s v="Thompson"/>
    <n v="40"/>
    <n v="40"/>
    <n v="1984"/>
    <n v="70000"/>
    <n v="70000"/>
    <s v="Male"/>
    <s v="finance"/>
    <x v="1"/>
    <s v="Director"/>
    <d v="2019-12-01T00:00:00"/>
    <d v="2019-12-01T00:00:00"/>
    <s v="B"/>
    <n v="85"/>
    <s v="alice.thompson@saltcorp.com"/>
    <s v="123-456-7890"/>
    <s v="Part-Time"/>
    <x v="2"/>
    <m/>
    <x v="4"/>
    <n v="1"/>
    <m/>
    <m/>
    <m/>
    <s v="YES"/>
    <s v="Yes"/>
    <x v="3"/>
    <x v="1"/>
    <x v="1"/>
  </r>
  <r>
    <s v="EMP-2020-0450"/>
    <s v="Charlie"/>
    <s v="Dominguez"/>
    <n v="35"/>
    <n v="35"/>
    <n v="1989"/>
    <n v="63000"/>
    <n v="63000"/>
    <s v="Female"/>
    <s v="sales"/>
    <x v="2"/>
    <s v="Clerk"/>
    <d v="2020-02-20T00:00:00"/>
    <d v="2020-02-20T00:00:00"/>
    <s v="C"/>
    <n v="78"/>
    <s v="charlie.dominguez@saltcorp.com"/>
    <m/>
    <s v="Full-Time"/>
    <x v="1"/>
    <m/>
    <x v="7"/>
    <m/>
    <m/>
    <d v="2023-03-05T00:00:00"/>
    <m/>
    <m/>
    <s v=""/>
    <x v="2"/>
    <x v="0"/>
    <x v="0"/>
  </r>
  <r>
    <s v="EMP-2020-0451"/>
    <s v="Eve"/>
    <s v="Parker"/>
    <n v="40"/>
    <n v="40"/>
    <n v="1984"/>
    <n v="55000"/>
    <n v="55000"/>
    <s v="Female"/>
    <s v="it"/>
    <x v="3"/>
    <s v="Analyst"/>
    <d v="2020-01-15T00:00:00"/>
    <d v="2020-01-15T00:00:00"/>
    <s v="D"/>
    <n v="64"/>
    <s v="eve.parker@saltcorp.com"/>
    <s v="555-555-5555"/>
    <s v="Full-Time"/>
    <x v="1"/>
    <m/>
    <x v="5"/>
    <m/>
    <m/>
    <d v="2021-10-01T00:00:00"/>
    <m/>
    <s v="no"/>
    <s v="No"/>
    <x v="4"/>
    <x v="1"/>
    <x v="1"/>
  </r>
  <r>
    <s v="EMP-2019-0452"/>
    <s v="Charlie"/>
    <s v="White"/>
    <n v="50"/>
    <n v="50"/>
    <n v="1974"/>
    <n v="59500"/>
    <n v="59500"/>
    <s v="Female"/>
    <s v="finance"/>
    <x v="1"/>
    <s v="Manager"/>
    <d v="2019-03-25T00:00:00"/>
    <d v="2019-03-25T00:00:00"/>
    <s v="C"/>
    <n v="71"/>
    <s v="charlie.white@saltcorp.com"/>
    <s v="123-456-7890"/>
    <s v="Part-Time"/>
    <x v="2"/>
    <m/>
    <x v="0"/>
    <n v="8"/>
    <m/>
    <d v="2021-10-01T00:00:00"/>
    <m/>
    <s v="no"/>
    <s v="No"/>
    <x v="4"/>
    <x v="0"/>
    <x v="0"/>
  </r>
  <r>
    <s v="EMP-2018-0453"/>
    <s v="Alice"/>
    <s v="Baker"/>
    <s v="thirty"/>
    <n v="30"/>
    <n v="1994"/>
    <s v="SIXTY THOUSAND"/>
    <n v="60000"/>
    <s v="Female"/>
    <s v="it"/>
    <x v="3"/>
    <s v="Assistant"/>
    <d v="2018-04-05T00:00:00"/>
    <d v="2018-04-05T00:00:00"/>
    <s v="F"/>
    <n v="55"/>
    <s v="alice.baker@saltcorp.com"/>
    <m/>
    <s v="Part-Time"/>
    <x v="2"/>
    <m/>
    <x v="0"/>
    <s v="N/A"/>
    <m/>
    <m/>
    <m/>
    <s v="YES"/>
    <s v="Yes"/>
    <x v="0"/>
    <x v="0"/>
    <x v="0"/>
  </r>
  <r>
    <s v="EMP-2020-0454"/>
    <s v="Alice"/>
    <s v="Fisher"/>
    <n v="35"/>
    <n v="35"/>
    <n v="1989"/>
    <n v="70000"/>
    <n v="70000"/>
    <s v="Female"/>
    <s v="HR"/>
    <x v="0"/>
    <s v="Clerk"/>
    <d v="2020-02-20T00:00:00"/>
    <d v="2020-02-20T00:00:00"/>
    <s v="D"/>
    <n v="65"/>
    <s v="alice.fisher@saltcorp.com"/>
    <s v=" "/>
    <s v="Part-Time"/>
    <x v="2"/>
    <s v="EMP-2019-0045"/>
    <x v="6"/>
    <m/>
    <n v="12"/>
    <d v="2023-03-05T00:00:00"/>
    <m/>
    <s v="no"/>
    <s v="No"/>
    <x v="4"/>
    <x v="1"/>
    <x v="1"/>
  </r>
  <r>
    <s v="EMP-2019-0455"/>
    <s v="Hannah"/>
    <s v="Brooks"/>
    <s v="thirty"/>
    <n v="30"/>
    <n v="1994"/>
    <n v="60800"/>
    <n v="60800"/>
    <s v="Female"/>
    <s v="finance"/>
    <x v="1"/>
    <s v="Analyst"/>
    <d v="2019-03-25T00:00:00"/>
    <d v="2019-03-25T00:00:00"/>
    <s v="C"/>
    <n v="78"/>
    <s v="hannah.brooks@saltcorp.com"/>
    <s v="098-765-4321"/>
    <s v="contract"/>
    <x v="0"/>
    <s v="EMP-2019-0092"/>
    <x v="5"/>
    <m/>
    <m/>
    <m/>
    <m/>
    <s v="no"/>
    <s v="No"/>
    <x v="0"/>
    <x v="0"/>
    <x v="0"/>
  </r>
  <r>
    <s v="EMP-2019-0456"/>
    <s v="Jack"/>
    <s v="Ryan"/>
    <n v="25"/>
    <n v="25"/>
    <n v="1999"/>
    <n v="59800"/>
    <n v="59800"/>
    <s v="Female"/>
    <s v="it"/>
    <x v="3"/>
    <s v="Assistant"/>
    <d v="2019-03-25T00:00:00"/>
    <d v="2019-03-25T00:00:00"/>
    <s v="A"/>
    <n v="94"/>
    <s v="jack.ryan@saltcorp.com"/>
    <s v="555-555-5555"/>
    <s v="Part-Time"/>
    <x v="2"/>
    <m/>
    <x v="0"/>
    <m/>
    <m/>
    <d v="2023-03-05T00:00:00"/>
    <m/>
    <s v="no"/>
    <s v="No"/>
    <x v="4"/>
    <x v="0"/>
    <x v="0"/>
  </r>
  <r>
    <s v="EMP-2018-0457"/>
    <s v="Bob"/>
    <s v="Brown"/>
    <s v="thirty"/>
    <n v="30"/>
    <n v="1994"/>
    <n v="70000"/>
    <n v="70000"/>
    <s v="Male"/>
    <s v="it"/>
    <x v="3"/>
    <s v="Assistant"/>
    <d v="2018-04-05T00:00:00"/>
    <d v="2018-04-05T00:00:00"/>
    <s v="B"/>
    <n v="87"/>
    <s v="bob.brown@saltcorp.com"/>
    <s v="555-555-5555"/>
    <s v="contract"/>
    <x v="0"/>
    <m/>
    <x v="6"/>
    <m/>
    <m/>
    <d v="2022-06-20T00:00:00"/>
    <n v="20"/>
    <s v="YES"/>
    <s v="Yes"/>
    <x v="1"/>
    <x v="1"/>
    <x v="1"/>
  </r>
  <r>
    <s v="EMP-2019-0458"/>
    <s v="Charlie"/>
    <s v="Wallace"/>
    <n v="25"/>
    <n v="25"/>
    <n v="1999"/>
    <n v="55000"/>
    <n v="55000"/>
    <s v="Female"/>
    <s v="it"/>
    <x v="3"/>
    <s v="Director"/>
    <d v="2019-03-25T00:00:00"/>
    <d v="2019-03-25T00:00:00"/>
    <s v="C"/>
    <n v="70"/>
    <s v="charlie.wallace@saltcorp.com"/>
    <m/>
    <s v="Full-Time"/>
    <x v="1"/>
    <m/>
    <x v="5"/>
    <m/>
    <n v="12"/>
    <d v="2023-03-05T00:00:00"/>
    <m/>
    <m/>
    <s v=""/>
    <x v="3"/>
    <x v="0"/>
    <x v="0"/>
  </r>
  <r>
    <s v="EMP-2020-0459"/>
    <s v="Bob"/>
    <s v="Garcia"/>
    <n v="25"/>
    <n v="25"/>
    <n v="1999"/>
    <n v="55000"/>
    <n v="55000"/>
    <s v="Female"/>
    <s v="finance"/>
    <x v="1"/>
    <s v="Assistant"/>
    <d v="2020-01-15T00:00:00"/>
    <d v="2020-01-15T00:00:00"/>
    <s v="C"/>
    <n v="74"/>
    <s v="bob.garcia@saltcorp.com"/>
    <s v="123-456-7890"/>
    <s v="Part-Time"/>
    <x v="2"/>
    <m/>
    <x v="4"/>
    <n v="0"/>
    <m/>
    <m/>
    <m/>
    <s v="no"/>
    <s v="No"/>
    <x v="0"/>
    <x v="0"/>
    <x v="0"/>
  </r>
  <r>
    <s v="EMP-2020-0460"/>
    <s v="Charlie"/>
    <s v="Davidson"/>
    <s v="thirty"/>
    <n v="30"/>
    <n v="1994"/>
    <n v="70000"/>
    <n v="70000"/>
    <s v="Male"/>
    <s v="Marketing"/>
    <x v="4"/>
    <s v="Analyst"/>
    <d v="2020-01-15T00:00:00"/>
    <d v="2020-01-15T00:00:00"/>
    <s v="A"/>
    <n v="91"/>
    <s v="charlie.davidson@saltcorp.com"/>
    <s v=" "/>
    <s v="contract"/>
    <x v="0"/>
    <m/>
    <x v="7"/>
    <n v="3"/>
    <n v="15"/>
    <d v="2024-08-12T00:00:00"/>
    <m/>
    <s v="YES"/>
    <s v="Yes"/>
    <x v="1"/>
    <x v="1"/>
    <x v="1"/>
  </r>
  <r>
    <s v="EMP-2020-0461"/>
    <s v="Grace"/>
    <s v="Liu"/>
    <n v="35"/>
    <n v="35"/>
    <n v="1989"/>
    <n v="50000"/>
    <n v="50000"/>
    <s v="Male"/>
    <s v="finance"/>
    <x v="1"/>
    <s v="Analyst"/>
    <d v="2020-01-15T00:00:00"/>
    <d v="2020-01-15T00:00:00"/>
    <s v="F"/>
    <n v="25"/>
    <s v="grace.liu@saltcorp.com"/>
    <m/>
    <s v="contract"/>
    <x v="0"/>
    <s v="EMP-2018-0007"/>
    <x v="1"/>
    <m/>
    <m/>
    <m/>
    <m/>
    <m/>
    <s v=""/>
    <x v="2"/>
    <x v="0"/>
    <x v="0"/>
  </r>
  <r>
    <s v="EMP-2019-0462"/>
    <s v="Alice"/>
    <s v="McCoy"/>
    <n v="50"/>
    <n v="50"/>
    <n v="1974"/>
    <n v="70000"/>
    <n v="70000"/>
    <s v="Female"/>
    <s v="sales"/>
    <x v="2"/>
    <s v="Clerk"/>
    <d v="2019-03-25T00:00:00"/>
    <d v="2019-03-25T00:00:00"/>
    <s v="B"/>
    <n v="89"/>
    <s v="alice.mccoy@saltcorp.com"/>
    <s v="098-765-4321"/>
    <s v="Part-Time"/>
    <x v="2"/>
    <s v="EMP-2020-0061"/>
    <x v="2"/>
    <m/>
    <m/>
    <m/>
    <m/>
    <s v="YES"/>
    <s v="Yes"/>
    <x v="2"/>
    <x v="1"/>
    <x v="1"/>
  </r>
  <r>
    <s v="EMP-2020-0463"/>
    <s v="Jack"/>
    <s v="Armstrong"/>
    <n v="40"/>
    <n v="40"/>
    <n v="1984"/>
    <n v="70000"/>
    <n v="70000"/>
    <s v="Male"/>
    <s v="finance"/>
    <x v="1"/>
    <s v="Clerk"/>
    <d v="2020-01-15T00:00:00"/>
    <d v="2020-01-15T00:00:00"/>
    <s v="C"/>
    <n v="71"/>
    <s v="jack.armstrong@saltcorp.com"/>
    <s v="098-765-4321"/>
    <s v="Full-Time"/>
    <x v="1"/>
    <m/>
    <x v="7"/>
    <n v="1"/>
    <n v="19"/>
    <m/>
    <n v="61"/>
    <m/>
    <s v=""/>
    <x v="2"/>
    <x v="0"/>
    <x v="0"/>
  </r>
  <r>
    <s v="EMP-2018-0464"/>
    <s v="Hannah"/>
    <s v="Perry"/>
    <n v="40"/>
    <n v="40"/>
    <n v="1984"/>
    <n v="55000"/>
    <n v="55000"/>
    <s v="Female"/>
    <s v="it"/>
    <x v="3"/>
    <s v="Clerk"/>
    <d v="2018-04-05T00:00:00"/>
    <d v="2018-04-05T00:00:00"/>
    <s v="D"/>
    <n v="69"/>
    <s v="hannah.perry@saltcorp.com"/>
    <s v="098-765-4321"/>
    <s v="Full-Time"/>
    <x v="1"/>
    <m/>
    <x v="5"/>
    <m/>
    <m/>
    <d v="2021-10-01T00:00:00"/>
    <n v="65"/>
    <s v="YES"/>
    <s v="Yes"/>
    <x v="0"/>
    <x v="1"/>
    <x v="1"/>
  </r>
  <r>
    <s v="EMP-2019-0465"/>
    <s v="Jack"/>
    <s v="Walsh"/>
    <n v="50"/>
    <n v="50"/>
    <n v="1974"/>
    <n v="55000"/>
    <n v="55000"/>
    <s v="Female"/>
    <s v="HR"/>
    <x v="0"/>
    <s v="Assistant"/>
    <d v="2019-03-25T00:00:00"/>
    <d v="2019-03-25T00:00:00"/>
    <s v="C"/>
    <n v="72"/>
    <s v="jack.walsh@saltcorp.com"/>
    <m/>
    <s v="Part-Time"/>
    <x v="2"/>
    <m/>
    <x v="5"/>
    <n v="8"/>
    <n v="3"/>
    <m/>
    <m/>
    <s v="YES"/>
    <s v="Yes"/>
    <x v="4"/>
    <x v="1"/>
    <x v="1"/>
  </r>
  <r>
    <s v="EMP-2019-0466"/>
    <s v="Jack"/>
    <s v="O'Neill"/>
    <n v="25"/>
    <n v="25"/>
    <n v="1999"/>
    <n v="70000"/>
    <n v="70000"/>
    <s v="Male"/>
    <s v="finance"/>
    <x v="1"/>
    <s v="Assistant"/>
    <d v="2019-12-01T00:00:00"/>
    <d v="2019-12-01T00:00:00"/>
    <s v="B"/>
    <n v="85"/>
    <s v="jack.o'neill@saltcorp.com"/>
    <s v=" "/>
    <s v="contract"/>
    <x v="0"/>
    <m/>
    <x v="7"/>
    <n v="3"/>
    <n v="6"/>
    <m/>
    <m/>
    <m/>
    <s v=""/>
    <x v="1"/>
    <x v="1"/>
    <x v="1"/>
  </r>
  <r>
    <s v="EMP-2019-0467"/>
    <s v="Jack"/>
    <s v="McCarthy"/>
    <n v="25"/>
    <n v="25"/>
    <n v="1999"/>
    <n v="70000"/>
    <n v="70000"/>
    <s v="Female"/>
    <s v="finance"/>
    <x v="1"/>
    <s v="Director"/>
    <d v="2019-03-25T00:00:00"/>
    <d v="2019-03-25T00:00:00"/>
    <s v="C"/>
    <n v="79"/>
    <s v="jack.mccarthy@saltcorp.com"/>
    <s v="555-555-5555"/>
    <s v="contract"/>
    <x v="0"/>
    <m/>
    <x v="4"/>
    <m/>
    <n v="9"/>
    <m/>
    <n v="28"/>
    <s v="no"/>
    <s v="No"/>
    <x v="4"/>
    <x v="0"/>
    <x v="0"/>
  </r>
  <r>
    <s v="EMP-2018-0468"/>
    <s v="Bob"/>
    <s v="Pearson"/>
    <n v="35"/>
    <n v="35"/>
    <n v="1989"/>
    <n v="70000"/>
    <n v="70000"/>
    <s v="Male"/>
    <s v="it"/>
    <x v="3"/>
    <s v="Clerk"/>
    <d v="2018-04-05T00:00:00"/>
    <d v="2018-04-05T00:00:00"/>
    <s v="A"/>
    <n v="98"/>
    <s v="bob.pearson@saltcorp.com"/>
    <s v="123-456-7890"/>
    <s v="Part-Time"/>
    <x v="2"/>
    <s v="EMP-2020-0093"/>
    <x v="3"/>
    <n v="5"/>
    <n v="3"/>
    <m/>
    <m/>
    <s v="no"/>
    <s v="No"/>
    <x v="2"/>
    <x v="1"/>
    <x v="1"/>
  </r>
  <r>
    <s v="EMP-2019-0469"/>
    <s v="Charlie"/>
    <s v="Gutierrez"/>
    <m/>
    <n v="46"/>
    <n v="1978"/>
    <n v="55000"/>
    <n v="55000"/>
    <s v="Male"/>
    <s v="HR"/>
    <x v="0"/>
    <s v="Manager"/>
    <d v="2019-12-01T00:00:00"/>
    <d v="2019-12-01T00:00:00"/>
    <s v="C"/>
    <n v="78"/>
    <s v="charlie.gutierrez@saltcorp.com"/>
    <s v="555-555-5555"/>
    <s v="Full-Time"/>
    <x v="1"/>
    <m/>
    <x v="5"/>
    <m/>
    <m/>
    <m/>
    <m/>
    <s v="YES"/>
    <s v="Yes"/>
    <x v="3"/>
    <x v="0"/>
    <x v="0"/>
  </r>
  <r>
    <s v="EMP-2019-0470"/>
    <s v="Ivy"/>
    <s v="Rogers"/>
    <s v="thirty"/>
    <n v="30"/>
    <n v="1994"/>
    <n v="70000"/>
    <n v="70000"/>
    <s v="Female"/>
    <s v="HR"/>
    <x v="0"/>
    <s v="Director"/>
    <d v="2019-03-25T00:00:00"/>
    <d v="2019-03-25T00:00:00"/>
    <s v="C"/>
    <n v="72"/>
    <s v="ivy.rogers@saltcorp.com"/>
    <s v=" "/>
    <s v="contract"/>
    <x v="0"/>
    <m/>
    <x v="0"/>
    <s v="N/A"/>
    <n v="3"/>
    <s v="N/A"/>
    <m/>
    <s v="no"/>
    <s v="No"/>
    <x v="1"/>
    <x v="1"/>
    <x v="1"/>
  </r>
  <r>
    <s v="EMP-2020-0471"/>
    <s v="Grace"/>
    <s v="Dominguez"/>
    <n v="25"/>
    <n v="25"/>
    <n v="1999"/>
    <n v="70000"/>
    <n v="70000"/>
    <s v="Male"/>
    <s v="sales"/>
    <x v="2"/>
    <s v="Manager"/>
    <d v="2020-01-15T00:00:00"/>
    <d v="2020-01-15T00:00:00"/>
    <s v="D"/>
    <n v="66"/>
    <s v="grace.dominguez@saltcorp.com"/>
    <s v="555-555-5555"/>
    <s v="Part-Time"/>
    <x v="2"/>
    <m/>
    <x v="3"/>
    <m/>
    <m/>
    <d v="2023-03-05T00:00:00"/>
    <n v="43"/>
    <s v="no"/>
    <s v="No"/>
    <x v="3"/>
    <x v="1"/>
    <x v="1"/>
  </r>
  <r>
    <s v="EMP-2020-0472"/>
    <s v="David"/>
    <s v="Cohen"/>
    <n v="40"/>
    <n v="40"/>
    <n v="1984"/>
    <n v="65000"/>
    <n v="65000"/>
    <s v="Male"/>
    <s v="finance"/>
    <x v="1"/>
    <s v="Assistant"/>
    <d v="2020-02-20T00:00:00"/>
    <d v="2020-02-20T00:00:00"/>
    <s v="A"/>
    <n v="94"/>
    <s v="david.cohen@saltcorp.com"/>
    <m/>
    <s v="Full-Time"/>
    <x v="1"/>
    <m/>
    <x v="6"/>
    <m/>
    <m/>
    <d v="2024-08-12T00:00:00"/>
    <m/>
    <m/>
    <s v=""/>
    <x v="2"/>
    <x v="0"/>
    <x v="0"/>
  </r>
  <r>
    <s v="EMP-2020-0473"/>
    <s v="Jack"/>
    <s v="Santos"/>
    <n v="35"/>
    <n v="35"/>
    <n v="1989"/>
    <n v="50000"/>
    <n v="50000"/>
    <s v="Male"/>
    <s v="HR"/>
    <x v="0"/>
    <s v="Director"/>
    <d v="2020-02-20T00:00:00"/>
    <d v="2020-02-20T00:00:00"/>
    <s v="A"/>
    <n v="98"/>
    <s v="jack.santos@saltcorp.com"/>
    <s v="098-765-4321"/>
    <s v="contract"/>
    <x v="0"/>
    <s v="EMP-2020-0078"/>
    <x v="6"/>
    <m/>
    <n v="8"/>
    <s v="N/A"/>
    <m/>
    <s v="no"/>
    <s v="No"/>
    <x v="3"/>
    <x v="0"/>
    <x v="0"/>
  </r>
  <r>
    <s v="EMP-2020-0474"/>
    <s v="Eve"/>
    <s v="Bell"/>
    <s v="thirty"/>
    <n v="30"/>
    <n v="1994"/>
    <s v="SIXTY THOUSAND"/>
    <n v="60000"/>
    <s v="Female"/>
    <s v="HR"/>
    <x v="0"/>
    <s v="Director"/>
    <d v="2020-01-15T00:00:00"/>
    <d v="2020-01-15T00:00:00"/>
    <s v="C"/>
    <n v="75"/>
    <s v="eve.bell@saltcorp.com"/>
    <s v=" "/>
    <s v="Full-Time"/>
    <x v="1"/>
    <m/>
    <x v="1"/>
    <m/>
    <n v="20"/>
    <m/>
    <m/>
    <s v="YES"/>
    <s v="Yes"/>
    <x v="3"/>
    <x v="0"/>
    <x v="0"/>
  </r>
  <r>
    <s v="EMP-2020-0475"/>
    <s v="Bob"/>
    <s v="Andrews"/>
    <n v="35"/>
    <n v="35"/>
    <n v="1989"/>
    <n v="50000"/>
    <n v="50000"/>
    <s v="Female"/>
    <s v="Marketing"/>
    <x v="4"/>
    <s v="Analyst"/>
    <d v="2020-02-20T00:00:00"/>
    <d v="2020-02-20T00:00:00"/>
    <s v="D"/>
    <n v="64"/>
    <s v="bob.andrews@saltcorp.com"/>
    <s v=" "/>
    <s v="Part-Time"/>
    <x v="2"/>
    <m/>
    <x v="6"/>
    <n v="10"/>
    <n v="10"/>
    <s v="N/A"/>
    <m/>
    <s v="YES"/>
    <s v="Yes"/>
    <x v="2"/>
    <x v="0"/>
    <x v="0"/>
  </r>
  <r>
    <s v="EMP-2020-0476"/>
    <s v="Hannah"/>
    <s v="Byrd"/>
    <s v="thirty"/>
    <n v="30"/>
    <n v="1994"/>
    <n v="65000"/>
    <n v="65000"/>
    <s v="Male"/>
    <s v="Marketing"/>
    <x v="4"/>
    <s v="Assistant"/>
    <d v="2020-02-20T00:00:00"/>
    <d v="2020-02-20T00:00:00"/>
    <s v="C"/>
    <n v="79"/>
    <s v="hannah.byrd@saltcorp.com"/>
    <s v="555-555-5555"/>
    <s v="contract"/>
    <x v="0"/>
    <m/>
    <x v="6"/>
    <m/>
    <n v="12"/>
    <m/>
    <n v="7"/>
    <s v="no"/>
    <s v="No"/>
    <x v="3"/>
    <x v="1"/>
    <x v="1"/>
  </r>
  <r>
    <s v="EMP-2020-0477"/>
    <s v="David"/>
    <s v="Hudson"/>
    <s v="thirty"/>
    <n v="30"/>
    <n v="1994"/>
    <s v="SIXTY THOUSAND"/>
    <n v="60000"/>
    <s v="Male"/>
    <s v="HR"/>
    <x v="0"/>
    <s v="Assistant"/>
    <d v="2020-01-15T00:00:00"/>
    <d v="2020-01-15T00:00:00"/>
    <s v="C"/>
    <n v="79"/>
    <s v="david.hudson@saltcorp.com"/>
    <m/>
    <s v="contract"/>
    <x v="0"/>
    <s v="EMP-2018-0043"/>
    <x v="2"/>
    <m/>
    <m/>
    <m/>
    <m/>
    <s v="YES"/>
    <s v="Yes"/>
    <x v="4"/>
    <x v="0"/>
    <x v="0"/>
  </r>
  <r>
    <s v="EMP-2020-0478"/>
    <s v="Ivy"/>
    <s v="Wallace"/>
    <n v="50"/>
    <n v="50"/>
    <n v="1974"/>
    <n v="70000"/>
    <n v="70000"/>
    <s v="Male"/>
    <s v="sales"/>
    <x v="2"/>
    <s v="Director"/>
    <d v="2020-01-15T00:00:00"/>
    <d v="2020-01-15T00:00:00"/>
    <s v="B"/>
    <n v="89"/>
    <s v="ivy.wallace@saltcorp.com"/>
    <s v="555-555-5555"/>
    <s v="Full-Time"/>
    <x v="1"/>
    <m/>
    <x v="7"/>
    <s v="N/A"/>
    <n v="3"/>
    <m/>
    <m/>
    <s v="YES"/>
    <s v="Yes"/>
    <x v="0"/>
    <x v="0"/>
    <x v="0"/>
  </r>
  <r>
    <s v="EMP-2019-0479"/>
    <s v="Eve"/>
    <s v="Reed"/>
    <n v="25"/>
    <n v="25"/>
    <n v="1999"/>
    <n v="65000"/>
    <n v="65000"/>
    <s v="Male"/>
    <s v="HR"/>
    <x v="0"/>
    <s v="Assistant"/>
    <d v="2019-03-25T00:00:00"/>
    <d v="2019-03-25T00:00:00"/>
    <s v="B"/>
    <n v="89"/>
    <s v="eve.reed@saltcorp.com"/>
    <s v="555-555-5555"/>
    <s v="Part-Time"/>
    <x v="2"/>
    <m/>
    <x v="6"/>
    <m/>
    <m/>
    <m/>
    <m/>
    <m/>
    <s v=""/>
    <x v="2"/>
    <x v="0"/>
    <x v="0"/>
  </r>
  <r>
    <s v="EMP-2019-0480"/>
    <s v="Ivy"/>
    <s v="Kumar"/>
    <n v="35"/>
    <n v="35"/>
    <n v="1989"/>
    <n v="70000"/>
    <n v="70000"/>
    <s v="Female"/>
    <s v="it"/>
    <x v="3"/>
    <s v="Director"/>
    <d v="2019-03-25T00:00:00"/>
    <d v="2019-03-25T00:00:00"/>
    <s v="D"/>
    <n v="69"/>
    <s v="ivy.kumar@saltcorp.com"/>
    <s v=" "/>
    <s v="contract"/>
    <x v="0"/>
    <m/>
    <x v="5"/>
    <s v="N/A"/>
    <m/>
    <m/>
    <m/>
    <m/>
    <s v=""/>
    <x v="0"/>
    <x v="1"/>
    <x v="1"/>
  </r>
  <r>
    <s v="EMP-2020-0481"/>
    <s v="David"/>
    <s v="Ross"/>
    <n v="35"/>
    <n v="35"/>
    <n v="1989"/>
    <n v="55000"/>
    <n v="55000"/>
    <s v="Male"/>
    <s v="finance"/>
    <x v="1"/>
    <s v="Analyst"/>
    <d v="2020-01-15T00:00:00"/>
    <d v="2020-01-15T00:00:00"/>
    <s v="F"/>
    <n v="20"/>
    <s v="david.ross@saltcorp.com"/>
    <s v="555-555-5555"/>
    <s v="Full-Time"/>
    <x v="1"/>
    <m/>
    <x v="7"/>
    <m/>
    <n v="10"/>
    <s v="N/A"/>
    <n v="45"/>
    <s v="YES"/>
    <s v="Yes"/>
    <x v="0"/>
    <x v="1"/>
    <x v="1"/>
  </r>
  <r>
    <s v="EMP-2018-0482"/>
    <s v="Jack"/>
    <s v="O'Connor"/>
    <n v="50"/>
    <n v="50"/>
    <n v="1974"/>
    <n v="63000"/>
    <n v="63000"/>
    <s v="Female"/>
    <s v="sales"/>
    <x v="2"/>
    <s v="Director"/>
    <d v="2018-04-05T00:00:00"/>
    <d v="2018-04-05T00:00:00"/>
    <s v="B"/>
    <n v="82"/>
    <s v="jack.o'connor@saltcorp.com"/>
    <s v="098-765-4321"/>
    <s v="Full-Time"/>
    <x v="1"/>
    <m/>
    <x v="5"/>
    <n v="2"/>
    <m/>
    <m/>
    <n v="38"/>
    <s v="YES"/>
    <s v="Yes"/>
    <x v="3"/>
    <x v="0"/>
    <x v="0"/>
  </r>
  <r>
    <s v="EMP-2020-0483"/>
    <s v="Eve"/>
    <s v="Turner"/>
    <n v="40"/>
    <n v="40"/>
    <n v="1984"/>
    <n v="65000"/>
    <n v="65000"/>
    <s v="Male"/>
    <s v="it"/>
    <x v="3"/>
    <s v="Assistant"/>
    <d v="2020-02-20T00:00:00"/>
    <d v="2020-02-20T00:00:00"/>
    <s v="F"/>
    <n v="45"/>
    <s v="eve.turner@saltcorp.com"/>
    <s v="555-555-5555"/>
    <s v="contract"/>
    <x v="0"/>
    <s v="EMP-2020-0042"/>
    <x v="7"/>
    <s v="N/A"/>
    <m/>
    <m/>
    <m/>
    <s v="no"/>
    <s v="No"/>
    <x v="0"/>
    <x v="1"/>
    <x v="1"/>
  </r>
  <r>
    <s v="EMP-2019-0484"/>
    <s v="Ivy"/>
    <s v="Gupta"/>
    <n v="40"/>
    <n v="40"/>
    <n v="1984"/>
    <n v="55000"/>
    <n v="55000"/>
    <s v="Male"/>
    <s v="sales"/>
    <x v="2"/>
    <s v="Assistant"/>
    <d v="2019-03-25T00:00:00"/>
    <d v="2019-03-25T00:00:00"/>
    <s v="A"/>
    <n v="92"/>
    <s v="ivy.gupta@saltcorp.com"/>
    <s v="098-765-4321"/>
    <s v="Part-Time"/>
    <x v="2"/>
    <s v="EMP-2018-0024"/>
    <x v="5"/>
    <m/>
    <m/>
    <d v="2024-08-12T00:00:00"/>
    <n v="39"/>
    <s v="YES"/>
    <s v="Yes"/>
    <x v="0"/>
    <x v="0"/>
    <x v="0"/>
  </r>
  <r>
    <s v="EMP-2020-0485"/>
    <s v="Hannah"/>
    <s v="Wallace"/>
    <n v="25"/>
    <n v="25"/>
    <n v="1999"/>
    <n v="65000"/>
    <n v="65000"/>
    <s v="Female"/>
    <s v="it"/>
    <x v="3"/>
    <s v="Director"/>
    <d v="2020-02-20T00:00:00"/>
    <d v="2020-02-20T00:00:00"/>
    <s v="B"/>
    <n v="87"/>
    <s v="hannah.wallace@saltcorp.com"/>
    <s v=" "/>
    <s v="Part-Time"/>
    <x v="2"/>
    <m/>
    <x v="2"/>
    <n v="0"/>
    <m/>
    <m/>
    <n v="9"/>
    <s v="YES"/>
    <s v="Yes"/>
    <x v="1"/>
    <x v="1"/>
    <x v="1"/>
  </r>
  <r>
    <s v="EMP-2019-0486"/>
    <s v="Charlie"/>
    <s v="Castillo"/>
    <n v="25"/>
    <n v="25"/>
    <n v="1999"/>
    <n v="65000"/>
    <n v="65000"/>
    <s v="Male"/>
    <s v="finance"/>
    <x v="1"/>
    <s v="Director"/>
    <d v="2019-12-01T00:00:00"/>
    <d v="2019-12-01T00:00:00"/>
    <s v="B"/>
    <n v="87"/>
    <s v="charlie.castillo@saltcorp.com"/>
    <m/>
    <s v="contract"/>
    <x v="0"/>
    <m/>
    <x v="5"/>
    <m/>
    <n v="17"/>
    <m/>
    <m/>
    <s v="no"/>
    <s v="No"/>
    <x v="4"/>
    <x v="1"/>
    <x v="1"/>
  </r>
  <r>
    <s v="EMP-2020-0487"/>
    <s v="Alice"/>
    <s v="Barnett"/>
    <m/>
    <n v="46"/>
    <n v="1978"/>
    <n v="55000"/>
    <n v="55000"/>
    <s v="Male"/>
    <s v="finance"/>
    <x v="1"/>
    <s v="Director"/>
    <d v="2020-01-15T00:00:00"/>
    <d v="2020-01-15T00:00:00"/>
    <s v="D"/>
    <n v="67"/>
    <s v="alice.barnett@saltcorp.com"/>
    <s v="098-765-4321"/>
    <s v="contract"/>
    <x v="0"/>
    <m/>
    <x v="3"/>
    <m/>
    <n v="7"/>
    <m/>
    <n v="30"/>
    <s v="YES"/>
    <s v="Yes"/>
    <x v="1"/>
    <x v="0"/>
    <x v="0"/>
  </r>
  <r>
    <s v="EMP-2018-0488"/>
    <s v="Charlie"/>
    <s v="Harris"/>
    <n v="50"/>
    <n v="50"/>
    <n v="1974"/>
    <s v="SIXTY THOUSAND"/>
    <n v="60000"/>
    <s v="Male"/>
    <s v="Marketing"/>
    <x v="4"/>
    <s v="Clerk"/>
    <d v="2018-04-05T00:00:00"/>
    <d v="2018-04-05T00:00:00"/>
    <s v="F"/>
    <n v="14"/>
    <s v="charlie.harris@saltcorp.com"/>
    <m/>
    <s v="Part-Time"/>
    <x v="2"/>
    <s v="EMP-2020-0074"/>
    <x v="3"/>
    <m/>
    <m/>
    <s v="N/A"/>
    <n v="39"/>
    <s v="YES"/>
    <s v="Yes"/>
    <x v="1"/>
    <x v="1"/>
    <x v="1"/>
  </r>
  <r>
    <s v="EMP-2019-0489"/>
    <s v="David"/>
    <s v="Figueroa"/>
    <n v="40"/>
    <n v="40"/>
    <n v="1984"/>
    <n v="50000"/>
    <n v="50000"/>
    <s v="Male"/>
    <s v="it"/>
    <x v="3"/>
    <s v="Assistant"/>
    <d v="2019-12-01T00:00:00"/>
    <d v="2019-12-01T00:00:00"/>
    <s v="B"/>
    <n v="84"/>
    <s v="david.figueroa@saltcorp.com"/>
    <m/>
    <s v="Part-Time"/>
    <x v="2"/>
    <s v="EMP-2019-0089"/>
    <x v="5"/>
    <s v="N/A"/>
    <m/>
    <d v="2024-08-12T00:00:00"/>
    <n v="59"/>
    <s v="no"/>
    <s v="No"/>
    <x v="3"/>
    <x v="0"/>
    <x v="0"/>
  </r>
  <r>
    <s v="EMP-2019-0490"/>
    <s v="Bob"/>
    <s v="Sims"/>
    <s v="thirty"/>
    <n v="30"/>
    <n v="1994"/>
    <n v="70000"/>
    <n v="70000"/>
    <s v="Male"/>
    <s v="Marketing"/>
    <x v="4"/>
    <s v="Assistant"/>
    <d v="2019-12-01T00:00:00"/>
    <d v="2019-12-01T00:00:00"/>
    <s v="B"/>
    <n v="85"/>
    <s v="bob.sims@saltcorp.com"/>
    <s v="098-765-4321"/>
    <s v="contract"/>
    <x v="0"/>
    <m/>
    <x v="3"/>
    <m/>
    <n v="8"/>
    <m/>
    <m/>
    <s v="YES"/>
    <s v="Yes"/>
    <x v="2"/>
    <x v="1"/>
    <x v="1"/>
  </r>
  <r>
    <s v="EMP-2019-0491"/>
    <s v="Alice"/>
    <s v="Lee"/>
    <n v="35"/>
    <n v="35"/>
    <n v="1989"/>
    <n v="65000"/>
    <n v="65000"/>
    <s v="Female"/>
    <s v="it"/>
    <x v="3"/>
    <s v="Clerk"/>
    <d v="2019-12-01T00:00:00"/>
    <d v="2019-12-01T00:00:00"/>
    <s v="D"/>
    <n v="66"/>
    <s v="alice.lee@saltcorp.com"/>
    <s v=" "/>
    <s v="contract"/>
    <x v="0"/>
    <m/>
    <x v="1"/>
    <n v="15"/>
    <m/>
    <d v="2023-03-05T00:00:00"/>
    <m/>
    <s v="YES"/>
    <s v="Yes"/>
    <x v="1"/>
    <x v="0"/>
    <x v="0"/>
  </r>
  <r>
    <s v="EMP-2020-0492"/>
    <s v="Grace"/>
    <s v="Li"/>
    <n v="25"/>
    <n v="25"/>
    <n v="1999"/>
    <n v="70000"/>
    <n v="70000"/>
    <s v="Male"/>
    <s v="Marketing"/>
    <x v="4"/>
    <s v="Director"/>
    <d v="2020-01-15T00:00:00"/>
    <d v="2020-01-15T00:00:00"/>
    <s v="D"/>
    <n v="64"/>
    <s v="grace.li@saltcorp.com"/>
    <s v="123-456-7890"/>
    <s v="Part-Time"/>
    <x v="2"/>
    <m/>
    <x v="6"/>
    <m/>
    <m/>
    <d v="2023-01-15T00:00:00"/>
    <n v="15"/>
    <s v="no"/>
    <s v="No"/>
    <x v="3"/>
    <x v="0"/>
    <x v="0"/>
  </r>
  <r>
    <s v="EMP-2019-0493"/>
    <s v="Hannah"/>
    <s v="Bennett"/>
    <n v="35"/>
    <n v="35"/>
    <n v="1989"/>
    <n v="60800"/>
    <n v="60800"/>
    <s v="Female"/>
    <s v="finance"/>
    <x v="1"/>
    <s v="Analyst"/>
    <d v="2019-03-25T00:00:00"/>
    <d v="2019-03-25T00:00:00"/>
    <s v="F"/>
    <n v="41"/>
    <s v="hannah.bennett@saltcorp.com"/>
    <m/>
    <s v="contract"/>
    <x v="0"/>
    <m/>
    <x v="6"/>
    <n v="12"/>
    <n v="6"/>
    <m/>
    <m/>
    <s v="no"/>
    <s v="No"/>
    <x v="1"/>
    <x v="1"/>
    <x v="1"/>
  </r>
  <r>
    <s v="EMP-2020-0494"/>
    <s v="Grace"/>
    <s v="Lucas"/>
    <n v="35"/>
    <n v="35"/>
    <n v="1989"/>
    <n v="55000"/>
    <n v="55000"/>
    <s v="Male"/>
    <s v="sales"/>
    <x v="2"/>
    <s v="Director"/>
    <d v="2020-01-15T00:00:00"/>
    <d v="2020-01-15T00:00:00"/>
    <s v="A"/>
    <n v="94"/>
    <s v="grace.lucas@saltcorp.com"/>
    <m/>
    <s v="contract"/>
    <x v="0"/>
    <s v="EMP-2020-0029"/>
    <x v="7"/>
    <m/>
    <m/>
    <d v="2021-10-01T00:00:00"/>
    <n v="45"/>
    <s v="no"/>
    <s v="No"/>
    <x v="2"/>
    <x v="0"/>
    <x v="0"/>
  </r>
  <r>
    <s v="EMP-2019-0495"/>
    <s v="Eve"/>
    <s v="Stevens"/>
    <m/>
    <n v="58"/>
    <n v="1966"/>
    <n v="70000"/>
    <n v="70000"/>
    <s v="Female"/>
    <s v="Marketing"/>
    <x v="4"/>
    <s v="Director"/>
    <d v="2019-03-25T00:00:00"/>
    <d v="2019-03-25T00:00:00"/>
    <s v="A"/>
    <n v="98"/>
    <s v="eve.stevens@saltcorp.com"/>
    <s v=" "/>
    <s v="Full-Time"/>
    <x v="1"/>
    <m/>
    <x v="1"/>
    <n v="10"/>
    <m/>
    <d v="2022-06-20T00:00:00"/>
    <m/>
    <s v="YES"/>
    <s v="Yes"/>
    <x v="1"/>
    <x v="0"/>
    <x v="0"/>
  </r>
  <r>
    <s v="EMP-2019-0496"/>
    <s v="Alice"/>
    <s v="Thompson"/>
    <n v="40"/>
    <n v="40"/>
    <n v="1984"/>
    <n v="55000"/>
    <n v="55000"/>
    <s v="Female"/>
    <s v="it"/>
    <x v="3"/>
    <s v="Clerk"/>
    <d v="2019-12-01T00:00:00"/>
    <d v="2019-12-01T00:00:00"/>
    <s v="C"/>
    <n v="79"/>
    <s v="alice.thompson@saltcorp.com"/>
    <s v=" "/>
    <s v="contract"/>
    <x v="0"/>
    <m/>
    <x v="4"/>
    <m/>
    <m/>
    <m/>
    <m/>
    <s v="YES"/>
    <s v="Yes"/>
    <x v="1"/>
    <x v="1"/>
    <x v="1"/>
  </r>
  <r>
    <s v="EMP-2019-0497"/>
    <s v="Grace"/>
    <s v="Wu"/>
    <n v="25"/>
    <n v="25"/>
    <n v="1999"/>
    <n v="70000"/>
    <n v="70000"/>
    <s v="Female"/>
    <s v="it"/>
    <x v="3"/>
    <s v="Assistant"/>
    <d v="2019-12-01T00:00:00"/>
    <d v="2019-12-01T00:00:00"/>
    <s v="B"/>
    <n v="88"/>
    <s v="grace.wu@saltcorp.com"/>
    <s v="555-555-5555"/>
    <s v="Part-Time"/>
    <x v="2"/>
    <m/>
    <x v="0"/>
    <n v="7"/>
    <n v="9"/>
    <m/>
    <n v="35"/>
    <m/>
    <s v=""/>
    <x v="3"/>
    <x v="0"/>
    <x v="0"/>
  </r>
  <r>
    <s v="EMP-2018-0498"/>
    <s v="Grace"/>
    <s v="Li"/>
    <n v="35"/>
    <n v="35"/>
    <n v="1989"/>
    <n v="50000"/>
    <n v="50000"/>
    <s v="Female"/>
    <s v="finance"/>
    <x v="1"/>
    <s v="Director"/>
    <d v="2018-04-05T00:00:00"/>
    <d v="2018-04-05T00:00:00"/>
    <s v="F"/>
    <n v="6"/>
    <s v="grace.li@saltcorp.com"/>
    <s v=" "/>
    <s v="Full-Time"/>
    <x v="1"/>
    <s v="EMP-2020-0028"/>
    <x v="4"/>
    <m/>
    <n v="13"/>
    <d v="2023-01-15T00:00:00"/>
    <n v="6"/>
    <s v="YES"/>
    <s v="Yes"/>
    <x v="1"/>
    <x v="1"/>
    <x v="1"/>
  </r>
  <r>
    <s v="EMP-2019-0499"/>
    <s v="Ivy"/>
    <s v="Le"/>
    <n v="25"/>
    <n v="25"/>
    <n v="1999"/>
    <n v="50000"/>
    <n v="50000"/>
    <s v="Female"/>
    <s v="it"/>
    <x v="3"/>
    <s v="Assistant"/>
    <d v="2019-03-25T00:00:00"/>
    <d v="2019-03-25T00:00:00"/>
    <s v="B"/>
    <n v="82"/>
    <s v="ivy.le@saltcorp.com"/>
    <m/>
    <s v="contract"/>
    <x v="0"/>
    <m/>
    <x v="6"/>
    <m/>
    <m/>
    <m/>
    <n v="63"/>
    <m/>
    <s v=""/>
    <x v="1"/>
    <x v="0"/>
    <x v="0"/>
  </r>
  <r>
    <s v="EMP-2019-0500"/>
    <s v="Charlie"/>
    <s v="Jackson"/>
    <s v="thirty"/>
    <n v="30"/>
    <n v="1994"/>
    <n v="50000"/>
    <n v="50000"/>
    <s v="Female"/>
    <s v="HR"/>
    <x v="0"/>
    <s v="Manager"/>
    <d v="2019-12-01T00:00:00"/>
    <d v="2019-12-01T00:00:00"/>
    <s v="F"/>
    <n v="41"/>
    <s v="charlie.jackson@saltcorp.com"/>
    <s v="098-765-4321"/>
    <s v="Full-Time"/>
    <x v="1"/>
    <s v="EMP-2020-0047"/>
    <x v="3"/>
    <n v="12"/>
    <m/>
    <m/>
    <m/>
    <s v="no"/>
    <s v="No"/>
    <x v="0"/>
    <x v="0"/>
    <x v="0"/>
  </r>
  <r>
    <s v="EMP-2020-0501"/>
    <s v="Ivy"/>
    <s v="Patel"/>
    <m/>
    <n v="32"/>
    <n v="1992"/>
    <n v="50000"/>
    <n v="50000"/>
    <s v="Male"/>
    <s v="sales"/>
    <x v="2"/>
    <s v="Assistant"/>
    <d v="2020-02-20T00:00:00"/>
    <d v="2020-02-20T00:00:00"/>
    <s v="F"/>
    <n v="41"/>
    <s v="ivy.patel@saltcorp.com"/>
    <s v="123-456-7890"/>
    <s v="Full-Time"/>
    <x v="1"/>
    <m/>
    <x v="4"/>
    <s v="N/A"/>
    <m/>
    <m/>
    <m/>
    <s v="YES"/>
    <s v="Yes"/>
    <x v="2"/>
    <x v="1"/>
    <x v="1"/>
  </r>
  <r>
    <s v="EMP-2018-0502"/>
    <s v="Alice"/>
    <s v="Thomas"/>
    <s v="thirty"/>
    <n v="30"/>
    <n v="1994"/>
    <n v="50000"/>
    <n v="50000"/>
    <s v="Female"/>
    <s v="Marketing"/>
    <x v="4"/>
    <s v="Analyst"/>
    <d v="2018-04-05T00:00:00"/>
    <d v="2018-04-05T00:00:00"/>
    <s v="F"/>
    <n v="34"/>
    <s v="alice.thomas@saltcorp.com"/>
    <s v="555-555-5555"/>
    <s v="Full-Time"/>
    <x v="1"/>
    <s v="EMP-2020-0065"/>
    <x v="3"/>
    <m/>
    <n v="17"/>
    <m/>
    <m/>
    <s v="YES"/>
    <s v="Yes"/>
    <x v="3"/>
    <x v="1"/>
    <x v="1"/>
  </r>
  <r>
    <s v="EMP-2020-0503"/>
    <s v="Alice"/>
    <s v="Rivera"/>
    <n v="25"/>
    <n v="25"/>
    <n v="1999"/>
    <n v="50000"/>
    <n v="50000"/>
    <s v="Female"/>
    <s v="sales"/>
    <x v="2"/>
    <s v="Analyst"/>
    <d v="2020-01-15T00:00:00"/>
    <d v="2020-01-15T00:00:00"/>
    <s v="B"/>
    <n v="82"/>
    <s v="alice.rivera@saltcorp.com"/>
    <s v="098-765-4321"/>
    <s v="contract"/>
    <x v="0"/>
    <m/>
    <x v="2"/>
    <n v="6"/>
    <n v="10"/>
    <m/>
    <n v="5"/>
    <s v="no"/>
    <s v="No"/>
    <x v="0"/>
    <x v="0"/>
    <x v="0"/>
  </r>
  <r>
    <s v="EMP-2018-0504"/>
    <s v="David"/>
    <s v="Sullivan"/>
    <n v="25"/>
    <n v="25"/>
    <n v="1999"/>
    <n v="55000"/>
    <n v="55000"/>
    <s v="Male"/>
    <s v="finance"/>
    <x v="1"/>
    <s v="Director"/>
    <d v="2018-04-05T00:00:00"/>
    <d v="2018-04-05T00:00:00"/>
    <s v="D"/>
    <n v="62"/>
    <s v="david.sullivan@saltcorp.com"/>
    <s v="123-456-7890"/>
    <s v="Full-Time"/>
    <x v="1"/>
    <m/>
    <x v="7"/>
    <m/>
    <m/>
    <d v="2023-01-15T00:00:00"/>
    <m/>
    <s v="no"/>
    <s v="No"/>
    <x v="1"/>
    <x v="1"/>
    <x v="1"/>
  </r>
  <r>
    <s v="EMP-2020-0505"/>
    <s v="Ivy"/>
    <s v="Schmidt"/>
    <n v="40"/>
    <n v="40"/>
    <n v="1984"/>
    <n v="65000"/>
    <n v="65000"/>
    <s v="Male"/>
    <s v="Marketing"/>
    <x v="4"/>
    <s v="Assistant"/>
    <d v="2020-02-20T00:00:00"/>
    <d v="2020-02-20T00:00:00"/>
    <s v="B"/>
    <n v="80"/>
    <s v="ivy.schmidt@saltcorp.com"/>
    <s v="123-456-7890"/>
    <s v="Full-Time"/>
    <x v="1"/>
    <m/>
    <x v="4"/>
    <s v="N/A"/>
    <m/>
    <m/>
    <n v="15"/>
    <s v="YES"/>
    <s v="Yes"/>
    <x v="4"/>
    <x v="0"/>
    <x v="0"/>
  </r>
  <r>
    <s v="EMP-2019-0506"/>
    <s v="Frank"/>
    <s v="Gibson"/>
    <n v="35"/>
    <n v="35"/>
    <n v="1989"/>
    <n v="70000"/>
    <n v="70000"/>
    <s v="Female"/>
    <s v="Marketing"/>
    <x v="4"/>
    <s v="Director"/>
    <d v="2019-03-25T00:00:00"/>
    <d v="2019-03-25T00:00:00"/>
    <s v="F"/>
    <n v="29"/>
    <s v="frank.gibson@saltcorp.com"/>
    <s v="123-456-7890"/>
    <s v="contract"/>
    <x v="0"/>
    <m/>
    <x v="5"/>
    <s v="N/A"/>
    <m/>
    <d v="2021-10-01T00:00:00"/>
    <n v="29"/>
    <s v="YES"/>
    <s v="Yes"/>
    <x v="0"/>
    <x v="0"/>
    <x v="0"/>
  </r>
  <r>
    <s v="EMP-2020-0507"/>
    <s v="Charlie"/>
    <s v="Harris"/>
    <n v="35"/>
    <n v="35"/>
    <n v="1989"/>
    <n v="50000"/>
    <n v="50000"/>
    <s v="Male"/>
    <s v="HR"/>
    <x v="0"/>
    <s v="Clerk"/>
    <d v="2020-01-15T00:00:00"/>
    <d v="2020-01-15T00:00:00"/>
    <s v="C"/>
    <n v="78"/>
    <s v="charlie.harris@saltcorp.com"/>
    <s v="098-765-4321"/>
    <s v="Full-Time"/>
    <x v="1"/>
    <m/>
    <x v="7"/>
    <n v="14"/>
    <m/>
    <m/>
    <m/>
    <s v="no"/>
    <s v="No"/>
    <x v="1"/>
    <x v="1"/>
    <x v="1"/>
  </r>
  <r>
    <s v="EMP-2020-0508"/>
    <s v="Alice"/>
    <s v="Campos"/>
    <s v="thirty"/>
    <n v="30"/>
    <n v="1994"/>
    <n v="55000"/>
    <n v="55000"/>
    <s v="Male"/>
    <s v="finance"/>
    <x v="1"/>
    <s v="Analyst"/>
    <d v="2020-01-15T00:00:00"/>
    <d v="2020-01-15T00:00:00"/>
    <s v="A"/>
    <n v="92"/>
    <s v="alice.campos@saltcorp.com"/>
    <s v="555-555-5555"/>
    <s v="Full-Time"/>
    <x v="1"/>
    <m/>
    <x v="7"/>
    <m/>
    <n v="6"/>
    <d v="2023-03-05T00:00:00"/>
    <m/>
    <s v="YES"/>
    <s v="Yes"/>
    <x v="3"/>
    <x v="1"/>
    <x v="1"/>
  </r>
  <r>
    <s v="EMP-2019-0509"/>
    <s v="David"/>
    <s v="O'Brien"/>
    <m/>
    <n v="54"/>
    <n v="1970"/>
    <n v="55000"/>
    <n v="55000"/>
    <s v="Male"/>
    <s v="it"/>
    <x v="3"/>
    <s v="Director"/>
    <d v="2019-03-25T00:00:00"/>
    <d v="2019-03-25T00:00:00"/>
    <s v="F"/>
    <n v="41"/>
    <s v="david.o'brien@saltcorp.com"/>
    <s v="555-555-5555"/>
    <s v="contract"/>
    <x v="0"/>
    <s v="EMP-2019-0093"/>
    <x v="6"/>
    <m/>
    <m/>
    <d v="2021-10-01T00:00:00"/>
    <m/>
    <s v="no"/>
    <s v="No"/>
    <x v="4"/>
    <x v="0"/>
    <x v="0"/>
  </r>
  <r>
    <s v="EMP-2018-0510"/>
    <s v="Ivy"/>
    <s v="Vega"/>
    <n v="50"/>
    <n v="50"/>
    <n v="1974"/>
    <n v="55000"/>
    <n v="55000"/>
    <s v="Female"/>
    <s v="HR"/>
    <x v="0"/>
    <s v="Clerk"/>
    <d v="2018-04-05T00:00:00"/>
    <d v="2018-04-05T00:00:00"/>
    <s v="C"/>
    <n v="70"/>
    <s v="ivy.vega@saltcorp.com"/>
    <s v="123-456-7890"/>
    <s v="Full-Time"/>
    <x v="1"/>
    <s v="EMP-2018-0096"/>
    <x v="5"/>
    <m/>
    <n v="13"/>
    <m/>
    <m/>
    <s v="YES"/>
    <s v="Yes"/>
    <x v="4"/>
    <x v="0"/>
    <x v="0"/>
  </r>
  <r>
    <s v="EMP-2019-0511"/>
    <s v="Charlie"/>
    <s v="Rivera"/>
    <n v="35"/>
    <n v="35"/>
    <n v="1989"/>
    <n v="65000"/>
    <n v="65000"/>
    <s v="Male"/>
    <s v="HR"/>
    <x v="0"/>
    <s v="Director"/>
    <d v="2019-12-01T00:00:00"/>
    <d v="2019-12-01T00:00:00"/>
    <s v="D"/>
    <n v="62"/>
    <s v="charlie.rivera@saltcorp.com"/>
    <s v="098-765-4321"/>
    <s v="Part-Time"/>
    <x v="2"/>
    <m/>
    <x v="3"/>
    <m/>
    <n v="15"/>
    <d v="2023-03-05T00:00:00"/>
    <m/>
    <m/>
    <s v=""/>
    <x v="1"/>
    <x v="1"/>
    <x v="1"/>
  </r>
  <r>
    <s v="EMP-2018-0512"/>
    <s v="Ivy"/>
    <s v="Singh"/>
    <n v="40"/>
    <n v="40"/>
    <n v="1984"/>
    <n v="70000"/>
    <n v="70000"/>
    <s v="Male"/>
    <s v="sales"/>
    <x v="2"/>
    <s v="Assistant"/>
    <d v="2018-04-05T00:00:00"/>
    <d v="2018-04-05T00:00:00"/>
    <s v="F"/>
    <n v="20"/>
    <s v="ivy.singh@saltcorp.com"/>
    <s v="123-456-7890"/>
    <s v="contract"/>
    <x v="0"/>
    <s v="EMP-2020-0008"/>
    <x v="0"/>
    <m/>
    <m/>
    <d v="2023-03-05T00:00:00"/>
    <m/>
    <s v="no"/>
    <s v="No"/>
    <x v="2"/>
    <x v="0"/>
    <x v="0"/>
  </r>
  <r>
    <s v="EMP-2020-0513"/>
    <s v="Grace"/>
    <s v="Wang"/>
    <s v="thirty"/>
    <n v="30"/>
    <n v="1994"/>
    <n v="65000"/>
    <n v="65000"/>
    <s v="Female"/>
    <s v="sales"/>
    <x v="2"/>
    <s v="Assistant"/>
    <d v="2020-02-20T00:00:00"/>
    <d v="2020-02-20T00:00:00"/>
    <s v="C"/>
    <n v="71"/>
    <s v="grace.wang@saltcorp.com"/>
    <s v=" "/>
    <s v="contract"/>
    <x v="0"/>
    <m/>
    <x v="2"/>
    <m/>
    <n v="20"/>
    <m/>
    <m/>
    <s v="YES"/>
    <s v="Yes"/>
    <x v="2"/>
    <x v="0"/>
    <x v="0"/>
  </r>
  <r>
    <s v="EMP-2019-0514"/>
    <s v="David"/>
    <s v="Hoffman"/>
    <s v="thirty"/>
    <n v="30"/>
    <n v="1994"/>
    <s v="SIXTY THOUSAND"/>
    <n v="60000"/>
    <s v="Male"/>
    <s v="sales"/>
    <x v="2"/>
    <s v="Assistant"/>
    <d v="2019-12-01T00:00:00"/>
    <d v="2019-12-01T00:00:00"/>
    <s v="F"/>
    <n v="16"/>
    <s v="david.hoffman@saltcorp.com"/>
    <s v="555-555-5555"/>
    <s v="Part-Time"/>
    <x v="2"/>
    <s v="EMP-2019-0053"/>
    <x v="0"/>
    <n v="2"/>
    <n v="7"/>
    <d v="2023-01-15T00:00:00"/>
    <m/>
    <s v="YES"/>
    <s v="Yes"/>
    <x v="1"/>
    <x v="0"/>
    <x v="0"/>
  </r>
  <r>
    <s v="EMP-2018-0515"/>
    <s v="Charlie"/>
    <s v="Taylor"/>
    <n v="50"/>
    <n v="50"/>
    <n v="1974"/>
    <n v="55000"/>
    <n v="55000"/>
    <s v="Male"/>
    <s v="HR"/>
    <x v="0"/>
    <s v="Assistant"/>
    <d v="2018-04-05T00:00:00"/>
    <d v="2018-04-05T00:00:00"/>
    <s v="B"/>
    <n v="83"/>
    <s v="charlie.taylor@saltcorp.com"/>
    <m/>
    <s v="contract"/>
    <x v="0"/>
    <m/>
    <x v="6"/>
    <m/>
    <n v="5"/>
    <m/>
    <m/>
    <s v="YES"/>
    <s v="Yes"/>
    <x v="2"/>
    <x v="1"/>
    <x v="1"/>
  </r>
  <r>
    <s v="EMP-2019-0516"/>
    <s v="Jack"/>
    <s v="Murphy"/>
    <n v="40"/>
    <n v="40"/>
    <n v="1984"/>
    <s v="SIXTY THOUSAND"/>
    <n v="60000"/>
    <s v="Male"/>
    <s v="it"/>
    <x v="3"/>
    <s v="Manager"/>
    <d v="2019-03-25T00:00:00"/>
    <d v="2019-03-25T00:00:00"/>
    <s v="C"/>
    <n v="79"/>
    <s v="jack.murphy@saltcorp.com"/>
    <s v="123-456-7890"/>
    <s v="Full-Time"/>
    <x v="1"/>
    <m/>
    <x v="4"/>
    <s v="N/A"/>
    <m/>
    <m/>
    <m/>
    <s v="YES"/>
    <s v="Yes"/>
    <x v="0"/>
    <x v="1"/>
    <x v="1"/>
  </r>
  <r>
    <s v="EMP-2020-0517"/>
    <s v="Eve"/>
    <s v="Armstrong"/>
    <m/>
    <n v="25"/>
    <n v="1999"/>
    <n v="58600"/>
    <n v="58600"/>
    <s v="Female"/>
    <s v="Marketing"/>
    <x v="4"/>
    <s v="Clerk"/>
    <d v="2020-02-20T00:00:00"/>
    <d v="2020-02-20T00:00:00"/>
    <s v="B"/>
    <n v="85"/>
    <s v="eve.armstrong@saltcorp.com"/>
    <s v=" "/>
    <s v="Part-Time"/>
    <x v="2"/>
    <m/>
    <x v="4"/>
    <m/>
    <m/>
    <m/>
    <n v="42"/>
    <m/>
    <s v=""/>
    <x v="2"/>
    <x v="0"/>
    <x v="0"/>
  </r>
  <r>
    <s v="EMP-2020-0518"/>
    <s v="Eve"/>
    <s v="Garrett"/>
    <n v="40"/>
    <n v="40"/>
    <n v="1984"/>
    <n v="50000"/>
    <n v="50000"/>
    <s v="Female"/>
    <s v="sales"/>
    <x v="2"/>
    <s v="Clerk"/>
    <d v="2020-02-20T00:00:00"/>
    <d v="2020-02-20T00:00:00"/>
    <s v="B"/>
    <n v="87"/>
    <s v="eve.garrett@saltcorp.com"/>
    <s v="555-555-5555"/>
    <s v="contract"/>
    <x v="0"/>
    <m/>
    <x v="4"/>
    <m/>
    <n v="14"/>
    <d v="2024-08-12T00:00:00"/>
    <n v="32"/>
    <s v="YES"/>
    <s v="Yes"/>
    <x v="0"/>
    <x v="0"/>
    <x v="0"/>
  </r>
  <r>
    <s v="EMP-2020-0519"/>
    <s v="Charlie"/>
    <s v="Moore"/>
    <m/>
    <n v="26"/>
    <n v="1998"/>
    <n v="50000"/>
    <n v="50000"/>
    <s v="Male"/>
    <s v="it"/>
    <x v="3"/>
    <s v="Assistant"/>
    <d v="2020-02-20T00:00:00"/>
    <d v="2020-02-20T00:00:00"/>
    <s v="C"/>
    <n v="74"/>
    <s v="charlie.moore@saltcorp.com"/>
    <s v="098-765-4321"/>
    <s v="Full-Time"/>
    <x v="1"/>
    <s v="EMP-2019-0016"/>
    <x v="0"/>
    <m/>
    <m/>
    <d v="2023-03-05T00:00:00"/>
    <n v="49"/>
    <s v="no"/>
    <s v="No"/>
    <x v="3"/>
    <x v="0"/>
    <x v="0"/>
  </r>
  <r>
    <s v="EMP-2019-0520"/>
    <s v="Ivy"/>
    <s v="Matthews"/>
    <n v="40"/>
    <n v="40"/>
    <n v="1984"/>
    <n v="65000"/>
    <n v="65000"/>
    <s v="Female"/>
    <s v="finance"/>
    <x v="1"/>
    <s v="Manager"/>
    <d v="2019-12-01T00:00:00"/>
    <d v="2019-12-01T00:00:00"/>
    <s v="A"/>
    <n v="94"/>
    <s v="ivy.matthews@saltcorp.com"/>
    <s v="555-555-5555"/>
    <s v="Part-Time"/>
    <x v="2"/>
    <m/>
    <x v="3"/>
    <n v="7"/>
    <n v="3"/>
    <m/>
    <m/>
    <s v="no"/>
    <s v="No"/>
    <x v="1"/>
    <x v="1"/>
    <x v="1"/>
  </r>
  <r>
    <s v="EMP-2020-0521"/>
    <s v="David"/>
    <s v="Cohen"/>
    <n v="40"/>
    <n v="40"/>
    <n v="1984"/>
    <n v="70000"/>
    <n v="70000"/>
    <s v="Male"/>
    <s v="sales"/>
    <x v="2"/>
    <s v="Assistant"/>
    <d v="2020-01-15T00:00:00"/>
    <d v="2020-01-15T00:00:00"/>
    <s v="C"/>
    <n v="72"/>
    <s v="david.cohen@saltcorp.com"/>
    <s v="098-765-4321"/>
    <s v="Full-Time"/>
    <x v="1"/>
    <s v="EMP-2018-0094"/>
    <x v="0"/>
    <n v="5"/>
    <n v="16"/>
    <m/>
    <m/>
    <s v="no"/>
    <s v="No"/>
    <x v="4"/>
    <x v="0"/>
    <x v="0"/>
  </r>
  <r>
    <s v="EMP-2019-0522"/>
    <s v="Eve"/>
    <s v="Parker"/>
    <n v="25"/>
    <n v="25"/>
    <n v="1999"/>
    <s v="SIXTY THOUSAND"/>
    <n v="60000"/>
    <s v="Male"/>
    <s v="Marketing"/>
    <x v="4"/>
    <s v="Manager"/>
    <d v="2019-12-01T00:00:00"/>
    <d v="2019-12-01T00:00:00"/>
    <s v="A"/>
    <n v="99"/>
    <s v="eve.parker@saltcorp.com"/>
    <s v="098-765-4321"/>
    <s v="Full-Time"/>
    <x v="1"/>
    <m/>
    <x v="5"/>
    <m/>
    <m/>
    <d v="2022-06-20T00:00:00"/>
    <n v="25"/>
    <s v="YES"/>
    <s v="Yes"/>
    <x v="2"/>
    <x v="0"/>
    <x v="0"/>
  </r>
  <r>
    <s v="EMP-2018-0523"/>
    <s v="David"/>
    <s v="Walsh"/>
    <s v="thirty"/>
    <n v="30"/>
    <n v="1994"/>
    <n v="70000"/>
    <n v="70000"/>
    <s v="Male"/>
    <s v="finance"/>
    <x v="1"/>
    <s v="Assistant"/>
    <d v="2018-04-05T00:00:00"/>
    <d v="2018-04-05T00:00:00"/>
    <s v="F"/>
    <n v="43"/>
    <s v="david.walsh@saltcorp.com"/>
    <s v="123-456-7890"/>
    <s v="Full-Time"/>
    <x v="1"/>
    <m/>
    <x v="4"/>
    <m/>
    <m/>
    <m/>
    <n v="12"/>
    <s v="no"/>
    <s v="No"/>
    <x v="4"/>
    <x v="1"/>
    <x v="1"/>
  </r>
  <r>
    <s v="EMP-2020-0524"/>
    <s v="Eve"/>
    <s v="Hansen"/>
    <n v="40"/>
    <n v="40"/>
    <n v="1984"/>
    <n v="65000"/>
    <n v="65000"/>
    <s v="Female"/>
    <s v="finance"/>
    <x v="1"/>
    <s v="Analyst"/>
    <d v="2020-01-15T00:00:00"/>
    <d v="2020-01-15T00:00:00"/>
    <s v="F"/>
    <n v="33"/>
    <s v="eve.hansen@saltcorp.com"/>
    <s v="123-456-7890"/>
    <s v="contract"/>
    <x v="0"/>
    <m/>
    <x v="7"/>
    <s v="N/A"/>
    <m/>
    <m/>
    <n v="62"/>
    <s v="no"/>
    <s v="No"/>
    <x v="3"/>
    <x v="0"/>
    <x v="0"/>
  </r>
  <r>
    <s v="EMP-2018-0525"/>
    <s v="Grace"/>
    <s v="Davidson"/>
    <n v="50"/>
    <n v="50"/>
    <n v="1974"/>
    <n v="50000"/>
    <n v="50000"/>
    <s v="Female"/>
    <s v="Marketing"/>
    <x v="4"/>
    <s v="Analyst"/>
    <d v="2018-04-05T00:00:00"/>
    <d v="2018-04-05T00:00:00"/>
    <s v="C"/>
    <n v="79"/>
    <s v="grace.davidson@saltcorp.com"/>
    <s v="555-555-5555"/>
    <s v="Part-Time"/>
    <x v="2"/>
    <m/>
    <x v="1"/>
    <m/>
    <n v="3"/>
    <d v="2024-08-12T00:00:00"/>
    <m/>
    <s v="YES"/>
    <s v="Yes"/>
    <x v="1"/>
    <x v="1"/>
    <x v="1"/>
  </r>
  <r>
    <s v="EMP-2020-0526"/>
    <s v="Ivy"/>
    <s v="Hudson"/>
    <n v="40"/>
    <n v="40"/>
    <n v="1984"/>
    <n v="70000"/>
    <n v="70000"/>
    <s v="Male"/>
    <s v="sales"/>
    <x v="2"/>
    <s v="Director"/>
    <d v="2020-01-15T00:00:00"/>
    <d v="2020-01-15T00:00:00"/>
    <s v="F"/>
    <n v="34"/>
    <s v="ivy.hudson@saltcorp.com"/>
    <s v=" "/>
    <s v="Part-Time"/>
    <x v="2"/>
    <m/>
    <x v="5"/>
    <m/>
    <n v="5"/>
    <m/>
    <m/>
    <s v="no"/>
    <s v="No"/>
    <x v="0"/>
    <x v="0"/>
    <x v="0"/>
  </r>
  <r>
    <s v="EMP-2019-0527"/>
    <s v="Grace"/>
    <s v="Armstrong"/>
    <n v="35"/>
    <n v="35"/>
    <n v="1989"/>
    <n v="70000"/>
    <n v="70000"/>
    <s v="Female"/>
    <s v="HR"/>
    <x v="0"/>
    <s v="Assistant"/>
    <d v="2019-12-01T00:00:00"/>
    <d v="2019-12-01T00:00:00"/>
    <s v="D"/>
    <n v="68"/>
    <s v="grace.armstrong@saltcorp.com"/>
    <s v="555-555-5555"/>
    <s v="Full-Time"/>
    <x v="1"/>
    <s v="EMP-2018-0031"/>
    <x v="3"/>
    <m/>
    <m/>
    <m/>
    <m/>
    <s v="no"/>
    <s v="No"/>
    <x v="4"/>
    <x v="0"/>
    <x v="0"/>
  </r>
  <r>
    <s v="EMP-2020-0528"/>
    <s v="Eve"/>
    <s v="Bell"/>
    <s v="thirty"/>
    <n v="30"/>
    <n v="1994"/>
    <n v="50000"/>
    <n v="50000"/>
    <s v="Female"/>
    <s v="Marketing"/>
    <x v="4"/>
    <s v="Clerk"/>
    <d v="2020-02-20T00:00:00"/>
    <d v="2020-02-20T00:00:00"/>
    <s v="B"/>
    <n v="83"/>
    <s v="eve.bell@saltcorp.com"/>
    <m/>
    <s v="Full-Time"/>
    <x v="1"/>
    <m/>
    <x v="5"/>
    <m/>
    <n v="17"/>
    <d v="2021-10-01T00:00:00"/>
    <m/>
    <s v="no"/>
    <s v="No"/>
    <x v="3"/>
    <x v="1"/>
    <x v="1"/>
  </r>
  <r>
    <s v="EMP-2019-0529"/>
    <s v="Jack"/>
    <s v="Kelly"/>
    <n v="35"/>
    <n v="35"/>
    <n v="1989"/>
    <s v="SIXTY THOUSAND"/>
    <n v="60000"/>
    <s v="Male"/>
    <s v="Marketing"/>
    <x v="4"/>
    <s v="Director"/>
    <d v="2019-03-25T00:00:00"/>
    <d v="2019-03-25T00:00:00"/>
    <s v="B"/>
    <n v="87"/>
    <s v="jack.kelly@saltcorp.com"/>
    <s v="098-765-4321"/>
    <s v="contract"/>
    <x v="0"/>
    <s v="EMP-2020-0007"/>
    <x v="3"/>
    <n v="5"/>
    <n v="18"/>
    <m/>
    <m/>
    <s v="no"/>
    <s v="No"/>
    <x v="0"/>
    <x v="0"/>
    <x v="0"/>
  </r>
  <r>
    <s v="EMP-2020-0530"/>
    <s v="Jack"/>
    <s v="O'Connor"/>
    <s v="thirty"/>
    <n v="30"/>
    <n v="1994"/>
    <n v="50000"/>
    <n v="50000"/>
    <s v="Male"/>
    <s v="Marketing"/>
    <x v="4"/>
    <s v="Analyst"/>
    <d v="2020-02-20T00:00:00"/>
    <d v="2020-02-20T00:00:00"/>
    <s v="A"/>
    <n v="98"/>
    <s v="jack.o'connor@saltcorp.com"/>
    <s v="098-765-4321"/>
    <s v="Part-Time"/>
    <x v="2"/>
    <s v="EMP-2019-0057"/>
    <x v="5"/>
    <n v="10"/>
    <m/>
    <d v="2024-08-12T00:00:00"/>
    <n v="46"/>
    <s v="YES"/>
    <s v="Yes"/>
    <x v="0"/>
    <x v="0"/>
    <x v="0"/>
  </r>
  <r>
    <s v="EMP-2019-0531"/>
    <s v="Grace"/>
    <s v="Oliver"/>
    <n v="35"/>
    <n v="35"/>
    <n v="1989"/>
    <n v="70000"/>
    <n v="70000"/>
    <s v="Male"/>
    <s v="finance"/>
    <x v="1"/>
    <s v="Assistant"/>
    <d v="2019-12-01T00:00:00"/>
    <d v="2019-12-01T00:00:00"/>
    <s v="F"/>
    <n v="25"/>
    <s v="grace.oliver@saltcorp.com"/>
    <s v="123-456-7890"/>
    <s v="Part-Time"/>
    <x v="2"/>
    <m/>
    <x v="0"/>
    <s v="N/A"/>
    <m/>
    <m/>
    <m/>
    <s v="YES"/>
    <s v="Yes"/>
    <x v="2"/>
    <x v="1"/>
    <x v="1"/>
  </r>
  <r>
    <s v="EMP-2020-0532"/>
    <s v="Jack"/>
    <s v="Weber"/>
    <n v="40"/>
    <n v="40"/>
    <n v="1984"/>
    <s v="SIXTY THOUSAND"/>
    <n v="60000"/>
    <s v="Male"/>
    <s v="it"/>
    <x v="3"/>
    <s v="Director"/>
    <d v="2020-01-15T00:00:00"/>
    <d v="2020-01-15T00:00:00"/>
    <s v="A"/>
    <n v="94"/>
    <s v="jack.weber@saltcorp.com"/>
    <s v=" "/>
    <s v="Part-Time"/>
    <x v="2"/>
    <m/>
    <x v="1"/>
    <m/>
    <n v="14"/>
    <d v="2023-01-15T00:00:00"/>
    <n v="54"/>
    <m/>
    <s v=""/>
    <x v="2"/>
    <x v="0"/>
    <x v="0"/>
  </r>
  <r>
    <s v="EMP-2020-0533"/>
    <s v="Eve"/>
    <s v="West"/>
    <n v="40"/>
    <n v="40"/>
    <n v="1984"/>
    <s v="SIXTY THOUSAND"/>
    <n v="60000"/>
    <s v="Male"/>
    <s v="HR"/>
    <x v="0"/>
    <s v="Assistant"/>
    <d v="2020-02-20T00:00:00"/>
    <d v="2020-02-20T00:00:00"/>
    <s v="B"/>
    <n v="86"/>
    <s v="eve.west@saltcorp.com"/>
    <s v="123-456-7890"/>
    <s v="Full-Time"/>
    <x v="1"/>
    <m/>
    <x v="2"/>
    <m/>
    <m/>
    <s v="N/A"/>
    <m/>
    <m/>
    <s v=""/>
    <x v="4"/>
    <x v="0"/>
    <x v="0"/>
  </r>
  <r>
    <s v="EMP-2019-0534"/>
    <s v="Charlie"/>
    <s v="Barnett"/>
    <n v="25"/>
    <n v="25"/>
    <n v="1999"/>
    <n v="50000"/>
    <n v="50000"/>
    <s v="Male"/>
    <s v="sales"/>
    <x v="2"/>
    <s v="Analyst"/>
    <d v="2019-12-01T00:00:00"/>
    <d v="2019-12-01T00:00:00"/>
    <s v="B"/>
    <n v="81"/>
    <s v="charlie.barnett@saltcorp.com"/>
    <m/>
    <s v="Part-Time"/>
    <x v="2"/>
    <s v="EMP-2020-0042"/>
    <x v="2"/>
    <m/>
    <n v="8"/>
    <d v="2024-08-12T00:00:00"/>
    <m/>
    <m/>
    <s v=""/>
    <x v="0"/>
    <x v="0"/>
    <x v="0"/>
  </r>
  <r>
    <s v="EMP-2018-0535"/>
    <s v="Grace"/>
    <s v="Wang"/>
    <n v="50"/>
    <n v="50"/>
    <n v="1974"/>
    <n v="70000"/>
    <n v="70000"/>
    <s v="Female"/>
    <s v="sales"/>
    <x v="2"/>
    <s v="Director"/>
    <d v="2018-04-05T00:00:00"/>
    <d v="2018-04-05T00:00:00"/>
    <s v="F"/>
    <n v="23"/>
    <s v="grace.wang@saltcorp.com"/>
    <s v="555-555-5555"/>
    <s v="Full-Time"/>
    <x v="1"/>
    <m/>
    <x v="4"/>
    <n v="15"/>
    <m/>
    <m/>
    <m/>
    <s v="YES"/>
    <s v="Yes"/>
    <x v="3"/>
    <x v="1"/>
    <x v="1"/>
  </r>
  <r>
    <s v="EMP-2019-0536"/>
    <s v="Bob"/>
    <s v="Oliver"/>
    <n v="35"/>
    <n v="35"/>
    <n v="1989"/>
    <n v="65000"/>
    <n v="65000"/>
    <s v="Male"/>
    <s v="it"/>
    <x v="3"/>
    <s v="Analyst"/>
    <d v="2019-03-25T00:00:00"/>
    <d v="2019-03-25T00:00:00"/>
    <s v="D"/>
    <n v="66"/>
    <s v="bob.oliver@saltcorp.com"/>
    <s v="555-555-5555"/>
    <s v="contract"/>
    <x v="0"/>
    <s v="EMP-2019-0036"/>
    <x v="0"/>
    <n v="5"/>
    <m/>
    <m/>
    <m/>
    <m/>
    <s v=""/>
    <x v="2"/>
    <x v="1"/>
    <x v="1"/>
  </r>
  <r>
    <s v="EMP-2020-0537"/>
    <s v="Ivy"/>
    <s v="Singh"/>
    <m/>
    <n v="47"/>
    <n v="1977"/>
    <n v="70000"/>
    <n v="70000"/>
    <s v="Female"/>
    <s v="Marketing"/>
    <x v="4"/>
    <s v="Manager"/>
    <d v="2020-02-20T00:00:00"/>
    <d v="2020-02-20T00:00:00"/>
    <s v="D"/>
    <n v="65"/>
    <s v="ivy.singh@saltcorp.com"/>
    <s v=" "/>
    <s v="contract"/>
    <x v="0"/>
    <s v="EMP-2020-0095"/>
    <x v="5"/>
    <m/>
    <m/>
    <d v="2022-06-20T00:00:00"/>
    <n v="55"/>
    <s v="YES"/>
    <s v="Yes"/>
    <x v="2"/>
    <x v="1"/>
    <x v="1"/>
  </r>
  <r>
    <s v="EMP-2020-0538"/>
    <s v="Jack"/>
    <s v="Kelly"/>
    <n v="25"/>
    <n v="25"/>
    <n v="1999"/>
    <n v="55000"/>
    <n v="55000"/>
    <s v="Male"/>
    <s v="HR"/>
    <x v="0"/>
    <s v="Analyst"/>
    <d v="2020-01-15T00:00:00"/>
    <d v="2020-01-15T00:00:00"/>
    <s v="F"/>
    <n v="8"/>
    <s v="jack.kelly@saltcorp.com"/>
    <s v="123-456-7890"/>
    <s v="Full-Time"/>
    <x v="1"/>
    <m/>
    <x v="3"/>
    <s v="N/A"/>
    <n v="9"/>
    <m/>
    <n v="48"/>
    <m/>
    <s v=""/>
    <x v="0"/>
    <x v="1"/>
    <x v="1"/>
  </r>
  <r>
    <s v="EMP-2018-0539"/>
    <s v="Jack"/>
    <s v="Garrett"/>
    <n v="35"/>
    <n v="35"/>
    <n v="1989"/>
    <n v="58300"/>
    <n v="58300"/>
    <s v="Male"/>
    <s v="sales"/>
    <x v="2"/>
    <s v="Assistant"/>
    <d v="2018-04-05T00:00:00"/>
    <d v="2018-04-05T00:00:00"/>
    <s v="F"/>
    <n v="29"/>
    <s v="jack.garrett@saltcorp.com"/>
    <s v="123-456-7890"/>
    <s v="Full-Time"/>
    <x v="1"/>
    <m/>
    <x v="5"/>
    <m/>
    <m/>
    <s v="N/A"/>
    <m/>
    <s v="no"/>
    <s v="No"/>
    <x v="2"/>
    <x v="1"/>
    <x v="1"/>
  </r>
  <r>
    <s v="EMP-2019-0540"/>
    <s v="Alice"/>
    <s v="Gutierrez"/>
    <n v="35"/>
    <n v="35"/>
    <n v="1989"/>
    <n v="65000"/>
    <n v="65000"/>
    <s v="Female"/>
    <s v="sales"/>
    <x v="2"/>
    <s v="Clerk"/>
    <d v="2019-12-01T00:00:00"/>
    <d v="2019-12-01T00:00:00"/>
    <s v="A"/>
    <n v="100"/>
    <s v="alice.gutierrez@saltcorp.com"/>
    <m/>
    <s v="Full-Time"/>
    <x v="1"/>
    <m/>
    <x v="0"/>
    <s v="N/A"/>
    <n v="16"/>
    <d v="2023-03-05T00:00:00"/>
    <n v="68"/>
    <m/>
    <s v=""/>
    <x v="1"/>
    <x v="0"/>
    <x v="0"/>
  </r>
  <r>
    <s v="EMP-2019-0541"/>
    <s v="Frank"/>
    <s v="Torres"/>
    <n v="25"/>
    <n v="25"/>
    <n v="1999"/>
    <s v="SIXTY THOUSAND"/>
    <n v="60000"/>
    <s v="Male"/>
    <s v="Marketing"/>
    <x v="4"/>
    <s v="Analyst"/>
    <d v="2019-03-25T00:00:00"/>
    <d v="2019-03-25T00:00:00"/>
    <s v="F"/>
    <n v="9"/>
    <s v="frank.torres@saltcorp.com"/>
    <s v="555-555-5555"/>
    <s v="contract"/>
    <x v="0"/>
    <m/>
    <x v="2"/>
    <n v="5"/>
    <n v="1"/>
    <s v="N/A"/>
    <n v="25"/>
    <s v="no"/>
    <s v="No"/>
    <x v="1"/>
    <x v="1"/>
    <x v="1"/>
  </r>
  <r>
    <s v="EMP-2020-0542"/>
    <s v="Grace"/>
    <s v="Byrd"/>
    <n v="40"/>
    <n v="40"/>
    <n v="1984"/>
    <n v="65000"/>
    <n v="65000"/>
    <s v="Female"/>
    <s v="it"/>
    <x v="3"/>
    <s v="Clerk"/>
    <d v="2020-01-15T00:00:00"/>
    <d v="2020-01-15T00:00:00"/>
    <s v="D"/>
    <n v="60"/>
    <s v="grace.byrd@saltcorp.com"/>
    <s v="123-456-7890"/>
    <s v="Part-Time"/>
    <x v="2"/>
    <s v="EMP-2020-0061"/>
    <x v="1"/>
    <n v="15"/>
    <m/>
    <m/>
    <m/>
    <s v="YES"/>
    <s v="Yes"/>
    <x v="4"/>
    <x v="0"/>
    <x v="0"/>
  </r>
  <r>
    <s v="EMP-2019-0543"/>
    <s v="Hannah"/>
    <s v="Powers"/>
    <n v="35"/>
    <n v="35"/>
    <n v="1989"/>
    <s v="SIXTY THOUSAND"/>
    <n v="60000"/>
    <s v="Male"/>
    <s v="HR"/>
    <x v="0"/>
    <s v="Manager"/>
    <d v="2019-12-01T00:00:00"/>
    <d v="2019-12-01T00:00:00"/>
    <s v="F"/>
    <n v="15"/>
    <s v="hannah.powers@saltcorp.com"/>
    <s v=" "/>
    <s v="contract"/>
    <x v="0"/>
    <s v="EMP-2019-0091"/>
    <x v="1"/>
    <m/>
    <m/>
    <m/>
    <m/>
    <m/>
    <s v=""/>
    <x v="2"/>
    <x v="0"/>
    <x v="0"/>
  </r>
  <r>
    <s v="EMP-2019-0544"/>
    <s v="Jack"/>
    <s v="Kelly"/>
    <n v="40"/>
    <n v="40"/>
    <n v="1984"/>
    <s v="SIXTY THOUSAND"/>
    <n v="60000"/>
    <s v="Male"/>
    <s v="it"/>
    <x v="3"/>
    <s v="Director"/>
    <d v="2019-12-01T00:00:00"/>
    <d v="2019-12-01T00:00:00"/>
    <s v="A"/>
    <n v="93"/>
    <s v="jack.kelly@saltcorp.com"/>
    <s v="555-555-5555"/>
    <s v="Part-Time"/>
    <x v="2"/>
    <m/>
    <x v="2"/>
    <m/>
    <n v="19"/>
    <m/>
    <n v="35"/>
    <s v="YES"/>
    <s v="Yes"/>
    <x v="3"/>
    <x v="1"/>
    <x v="1"/>
  </r>
  <r>
    <s v="EMP-2020-0545"/>
    <s v="Ivy"/>
    <s v="Knight"/>
    <n v="25"/>
    <n v="25"/>
    <n v="1999"/>
    <n v="65000"/>
    <n v="65000"/>
    <s v="Female"/>
    <s v="it"/>
    <x v="3"/>
    <s v="Director"/>
    <d v="2020-02-20T00:00:00"/>
    <d v="2020-02-20T00:00:00"/>
    <s v="A"/>
    <n v="97"/>
    <s v="ivy.knight@saltcorp.com"/>
    <m/>
    <s v="contract"/>
    <x v="0"/>
    <m/>
    <x v="3"/>
    <m/>
    <m/>
    <m/>
    <m/>
    <s v="YES"/>
    <s v="Yes"/>
    <x v="3"/>
    <x v="1"/>
    <x v="1"/>
  </r>
  <r>
    <s v="EMP-2020-0546"/>
    <s v="Bob"/>
    <s v="Smith"/>
    <n v="40"/>
    <n v="40"/>
    <n v="1984"/>
    <s v="SIXTY THOUSAND"/>
    <n v="60000"/>
    <s v="Male"/>
    <s v="HR"/>
    <x v="0"/>
    <s v="Clerk"/>
    <d v="2020-02-20T00:00:00"/>
    <d v="2020-02-20T00:00:00"/>
    <s v="A"/>
    <n v="90"/>
    <s v="bob.smith@saltcorp.com"/>
    <s v=" "/>
    <s v="Full-Time"/>
    <x v="1"/>
    <s v="EMP-2018-0050"/>
    <x v="4"/>
    <m/>
    <n v="8"/>
    <d v="2023-01-15T00:00:00"/>
    <m/>
    <s v="YES"/>
    <s v="Yes"/>
    <x v="3"/>
    <x v="1"/>
    <x v="1"/>
  </r>
  <r>
    <s v="EMP-2020-0547"/>
    <s v="Jack"/>
    <s v="Hudson"/>
    <s v="thirty"/>
    <n v="30"/>
    <n v="1994"/>
    <s v="SIXTY THOUSAND"/>
    <n v="60000"/>
    <s v="Female"/>
    <s v="HR"/>
    <x v="0"/>
    <s v="Director"/>
    <d v="2020-01-15T00:00:00"/>
    <d v="2020-01-15T00:00:00"/>
    <s v="A"/>
    <n v="93"/>
    <s v="jack.hudson@saltcorp.com"/>
    <s v="098-765-4321"/>
    <s v="contract"/>
    <x v="0"/>
    <s v="EMP-2019-0083"/>
    <x v="2"/>
    <m/>
    <m/>
    <d v="2023-03-05T00:00:00"/>
    <n v="44"/>
    <s v="no"/>
    <s v="No"/>
    <x v="3"/>
    <x v="0"/>
    <x v="0"/>
  </r>
  <r>
    <s v="EMP-2019-0548"/>
    <s v="Bob"/>
    <s v="Vega"/>
    <m/>
    <n v="36"/>
    <n v="1988"/>
    <n v="55000"/>
    <n v="55000"/>
    <s v="Male"/>
    <s v="sales"/>
    <x v="2"/>
    <s v="Analyst"/>
    <d v="2019-12-01T00:00:00"/>
    <d v="2019-12-01T00:00:00"/>
    <s v="C"/>
    <n v="75"/>
    <s v="bob.vega@saltcorp.com"/>
    <m/>
    <s v="Full-Time"/>
    <x v="1"/>
    <m/>
    <x v="2"/>
    <m/>
    <m/>
    <s v="N/A"/>
    <m/>
    <s v="YES"/>
    <s v="Yes"/>
    <x v="0"/>
    <x v="0"/>
    <x v="0"/>
  </r>
  <r>
    <s v="EMP-2020-0549"/>
    <s v="Eve"/>
    <s v="Stevens"/>
    <n v="35"/>
    <n v="35"/>
    <n v="1989"/>
    <n v="70000"/>
    <n v="70000"/>
    <s v="Female"/>
    <s v="sales"/>
    <x v="2"/>
    <s v="Clerk"/>
    <d v="2020-02-20T00:00:00"/>
    <d v="2020-02-20T00:00:00"/>
    <s v="F"/>
    <n v="56"/>
    <s v="eve.stevens@saltcorp.com"/>
    <s v=" "/>
    <s v="Part-Time"/>
    <x v="2"/>
    <m/>
    <x v="6"/>
    <n v="6"/>
    <m/>
    <d v="2024-08-12T00:00:00"/>
    <m/>
    <s v="no"/>
    <s v="No"/>
    <x v="0"/>
    <x v="0"/>
    <x v="0"/>
  </r>
  <r>
    <s v="EMP-2019-0550"/>
    <s v="Eve"/>
    <s v="Cooper"/>
    <n v="50"/>
    <n v="50"/>
    <n v="1974"/>
    <n v="70000"/>
    <n v="70000"/>
    <s v="Male"/>
    <s v="HR"/>
    <x v="0"/>
    <s v="Assistant"/>
    <d v="2019-03-25T00:00:00"/>
    <d v="2019-03-25T00:00:00"/>
    <s v="B"/>
    <n v="88"/>
    <s v="eve.cooper@saltcorp.com"/>
    <s v="123-456-7890"/>
    <s v="Full-Time"/>
    <x v="1"/>
    <m/>
    <x v="4"/>
    <m/>
    <m/>
    <d v="2022-06-20T00:00:00"/>
    <m/>
    <s v="no"/>
    <s v="No"/>
    <x v="2"/>
    <x v="1"/>
    <x v="1"/>
  </r>
  <r>
    <s v="EMP-2019-0551"/>
    <s v="Frank"/>
    <s v="Torres"/>
    <m/>
    <n v="33"/>
    <n v="1991"/>
    <n v="60800"/>
    <n v="60800"/>
    <s v="Male"/>
    <s v="finance"/>
    <x v="1"/>
    <s v="Analyst"/>
    <d v="2019-03-25T00:00:00"/>
    <d v="2019-03-25T00:00:00"/>
    <s v="F"/>
    <n v="56"/>
    <s v="frank.torres@saltcorp.com"/>
    <s v="098-765-4321"/>
    <s v="Full-Time"/>
    <x v="1"/>
    <s v="EMP-2020-0006"/>
    <x v="7"/>
    <s v="N/A"/>
    <n v="10"/>
    <d v="2021-10-01T00:00:00"/>
    <m/>
    <s v="YES"/>
    <s v="Yes"/>
    <x v="2"/>
    <x v="0"/>
    <x v="0"/>
  </r>
  <r>
    <s v="EMP-2019-0552"/>
    <s v="Charlie"/>
    <s v="Harris"/>
    <n v="40"/>
    <n v="40"/>
    <n v="1984"/>
    <n v="60000"/>
    <n v="60000"/>
    <s v="Male"/>
    <s v="sales"/>
    <x v="2"/>
    <s v="Analyst"/>
    <d v="2019-12-01T00:00:00"/>
    <d v="2019-12-01T00:00:00"/>
    <s v="C"/>
    <n v="78"/>
    <s v="charlie.harris@saltcorp.com"/>
    <m/>
    <s v="Part-Time"/>
    <x v="2"/>
    <m/>
    <x v="2"/>
    <n v="1"/>
    <n v="19"/>
    <s v="N/A"/>
    <n v="65"/>
    <s v="no"/>
    <s v="No"/>
    <x v="1"/>
    <x v="1"/>
    <x v="1"/>
  </r>
  <r>
    <s v="EMP-2020-0553"/>
    <s v="Hannah"/>
    <s v="Brooks"/>
    <n v="35"/>
    <n v="35"/>
    <n v="1989"/>
    <n v="55000"/>
    <n v="55000"/>
    <s v="Female"/>
    <s v="finance"/>
    <x v="1"/>
    <s v="Analyst"/>
    <d v="2020-02-20T00:00:00"/>
    <d v="2020-02-20T00:00:00"/>
    <s v="A"/>
    <n v="95"/>
    <s v="hannah.brooks@saltcorp.com"/>
    <s v="123-456-7890"/>
    <s v="contract"/>
    <x v="0"/>
    <m/>
    <x v="0"/>
    <m/>
    <n v="3"/>
    <d v="2022-06-20T00:00:00"/>
    <m/>
    <m/>
    <s v=""/>
    <x v="0"/>
    <x v="0"/>
    <x v="0"/>
  </r>
  <r>
    <s v="EMP-2020-0554"/>
    <s v="Alice"/>
    <s v="Baker"/>
    <n v="40"/>
    <n v="40"/>
    <n v="1984"/>
    <n v="61500"/>
    <n v="61500"/>
    <s v="Female"/>
    <s v="HR"/>
    <x v="0"/>
    <s v="Assistant"/>
    <d v="2020-01-15T00:00:00"/>
    <d v="2020-01-15T00:00:00"/>
    <s v="C"/>
    <n v="72"/>
    <s v="alice.baker@saltcorp.com"/>
    <s v="098-765-4321"/>
    <s v="Part-Time"/>
    <x v="2"/>
    <s v="EMP-2018-0028"/>
    <x v="0"/>
    <s v="N/A"/>
    <m/>
    <s v="N/A"/>
    <m/>
    <m/>
    <s v=""/>
    <x v="2"/>
    <x v="0"/>
    <x v="0"/>
  </r>
  <r>
    <s v="EMP-2020-0555"/>
    <s v="Frank"/>
    <s v="Hernandez"/>
    <s v="thirty"/>
    <n v="30"/>
    <n v="1994"/>
    <n v="65000"/>
    <n v="65000"/>
    <s v="Female"/>
    <s v="sales"/>
    <x v="2"/>
    <s v="Manager"/>
    <d v="2020-01-15T00:00:00"/>
    <d v="2020-01-15T00:00:00"/>
    <s v="D"/>
    <n v="63"/>
    <s v="frank.hernandez@saltcorp.com"/>
    <s v="555-555-5555"/>
    <s v="Part-Time"/>
    <x v="2"/>
    <m/>
    <x v="6"/>
    <m/>
    <m/>
    <d v="2023-03-05T00:00:00"/>
    <m/>
    <s v="no"/>
    <s v="No"/>
    <x v="3"/>
    <x v="0"/>
    <x v="0"/>
  </r>
  <r>
    <s v="EMP-2020-0556"/>
    <s v="David"/>
    <s v="Gutierrez"/>
    <n v="25"/>
    <n v="25"/>
    <n v="1999"/>
    <n v="50000"/>
    <n v="50000"/>
    <s v="Male"/>
    <s v="it"/>
    <x v="3"/>
    <s v="Director"/>
    <d v="2020-01-15T00:00:00"/>
    <d v="2020-01-15T00:00:00"/>
    <s v="D"/>
    <n v="67"/>
    <s v="david.gutierrez@saltcorp.com"/>
    <s v="123-456-7890"/>
    <s v="Full-Time"/>
    <x v="1"/>
    <m/>
    <x v="3"/>
    <s v="N/A"/>
    <m/>
    <s v="N/A"/>
    <m/>
    <s v="no"/>
    <s v="No"/>
    <x v="0"/>
    <x v="0"/>
    <x v="0"/>
  </r>
  <r>
    <s v="EMP-2019-0557"/>
    <s v="Alice"/>
    <s v="Lee"/>
    <n v="35"/>
    <n v="35"/>
    <n v="1989"/>
    <n v="50000"/>
    <n v="50000"/>
    <s v="Female"/>
    <s v="HR"/>
    <x v="0"/>
    <s v="Clerk"/>
    <d v="2019-03-25T00:00:00"/>
    <d v="2019-03-25T00:00:00"/>
    <s v="F"/>
    <n v="35"/>
    <s v="alice.lee@saltcorp.com"/>
    <s v=" "/>
    <s v="Part-Time"/>
    <x v="2"/>
    <s v="EMP-2018-0051"/>
    <x v="2"/>
    <m/>
    <n v="7"/>
    <d v="2024-08-12T00:00:00"/>
    <m/>
    <s v="YES"/>
    <s v="Yes"/>
    <x v="0"/>
    <x v="1"/>
    <x v="1"/>
  </r>
  <r>
    <s v="EMP-2020-0558"/>
    <s v="Grace"/>
    <s v="Wang"/>
    <s v="thirty"/>
    <n v="30"/>
    <n v="1994"/>
    <n v="50000"/>
    <n v="50000"/>
    <s v="Female"/>
    <s v="Marketing"/>
    <x v="4"/>
    <s v="Manager"/>
    <d v="2020-02-20T00:00:00"/>
    <d v="2020-02-20T00:00:00"/>
    <s v="F"/>
    <n v="16"/>
    <s v="grace.wang@saltcorp.com"/>
    <m/>
    <s v="Full-Time"/>
    <x v="1"/>
    <m/>
    <x v="4"/>
    <m/>
    <n v="7"/>
    <m/>
    <m/>
    <s v="YES"/>
    <s v="Yes"/>
    <x v="3"/>
    <x v="1"/>
    <x v="1"/>
  </r>
  <r>
    <s v="EMP-2020-0559"/>
    <s v="Ivy"/>
    <s v="Gupta"/>
    <s v="thirty"/>
    <n v="30"/>
    <n v="1994"/>
    <n v="55000"/>
    <n v="55000"/>
    <s v="Female"/>
    <s v="finance"/>
    <x v="1"/>
    <s v="Clerk"/>
    <d v="2020-02-20T00:00:00"/>
    <d v="2020-02-20T00:00:00"/>
    <s v="B"/>
    <n v="85"/>
    <s v="ivy.gupta@saltcorp.com"/>
    <s v="098-765-4321"/>
    <s v="Full-Time"/>
    <x v="1"/>
    <m/>
    <x v="2"/>
    <s v="N/A"/>
    <m/>
    <m/>
    <m/>
    <s v="no"/>
    <s v="No"/>
    <x v="0"/>
    <x v="0"/>
    <x v="0"/>
  </r>
  <r>
    <s v="EMP-2019-0560"/>
    <s v="David"/>
    <s v="Sullivan"/>
    <n v="35"/>
    <n v="35"/>
    <n v="1989"/>
    <n v="55000"/>
    <n v="55000"/>
    <s v="Female"/>
    <s v="HR"/>
    <x v="0"/>
    <s v="Director"/>
    <d v="2019-03-25T00:00:00"/>
    <d v="2019-03-25T00:00:00"/>
    <s v="B"/>
    <n v="81"/>
    <s v="david.sullivan@saltcorp.com"/>
    <s v="123-456-7890"/>
    <s v="Part-Time"/>
    <x v="2"/>
    <s v="EMP-2019-0060"/>
    <x v="1"/>
    <m/>
    <n v="9"/>
    <m/>
    <m/>
    <m/>
    <s v=""/>
    <x v="3"/>
    <x v="0"/>
    <x v="0"/>
  </r>
  <r>
    <s v="EMP-2020-0561"/>
    <s v="David"/>
    <s v="Olson"/>
    <n v="40"/>
    <n v="40"/>
    <n v="1984"/>
    <s v="SIXTY THOUSAND"/>
    <n v="60000"/>
    <s v="Male"/>
    <s v="HR"/>
    <x v="0"/>
    <s v="Assistant"/>
    <d v="2020-01-15T00:00:00"/>
    <d v="2020-01-15T00:00:00"/>
    <s v="D"/>
    <n v="69"/>
    <s v="david.olson@saltcorp.com"/>
    <s v="555-555-5555"/>
    <s v="Full-Time"/>
    <x v="1"/>
    <m/>
    <x v="1"/>
    <m/>
    <m/>
    <m/>
    <m/>
    <s v="no"/>
    <s v="No"/>
    <x v="2"/>
    <x v="0"/>
    <x v="0"/>
  </r>
  <r>
    <s v="EMP-2020-0562"/>
    <s v="Frank"/>
    <s v="Pearson"/>
    <n v="50"/>
    <n v="50"/>
    <n v="1974"/>
    <n v="50000"/>
    <n v="50000"/>
    <s v="Male"/>
    <s v="sales"/>
    <x v="2"/>
    <s v="Analyst"/>
    <d v="2020-01-15T00:00:00"/>
    <d v="2020-01-15T00:00:00"/>
    <s v="A"/>
    <n v="91"/>
    <s v="frank.pearson@saltcorp.com"/>
    <m/>
    <s v="Full-Time"/>
    <x v="1"/>
    <m/>
    <x v="1"/>
    <m/>
    <n v="19"/>
    <d v="2023-03-05T00:00:00"/>
    <m/>
    <m/>
    <s v=""/>
    <x v="1"/>
    <x v="0"/>
    <x v="0"/>
  </r>
  <r>
    <s v="EMP-2019-0563"/>
    <s v="Charlie"/>
    <s v="Clark"/>
    <s v="thirty"/>
    <n v="30"/>
    <n v="1994"/>
    <n v="65000"/>
    <n v="65000"/>
    <s v="Female"/>
    <s v="sales"/>
    <x v="2"/>
    <s v="Analyst"/>
    <d v="2019-12-01T00:00:00"/>
    <d v="2019-12-01T00:00:00"/>
    <s v="C"/>
    <n v="75"/>
    <s v="charlie.clark@saltcorp.com"/>
    <m/>
    <s v="Part-Time"/>
    <x v="2"/>
    <m/>
    <x v="2"/>
    <m/>
    <m/>
    <m/>
    <m/>
    <m/>
    <s v=""/>
    <x v="4"/>
    <x v="1"/>
    <x v="1"/>
  </r>
  <r>
    <s v="EMP-2018-0564"/>
    <s v="Frank"/>
    <s v="Hanson"/>
    <m/>
    <n v="32"/>
    <n v="1992"/>
    <n v="58300"/>
    <n v="58300"/>
    <s v="Female"/>
    <s v="sales"/>
    <x v="2"/>
    <s v="Assistant"/>
    <d v="2018-04-05T00:00:00"/>
    <d v="2018-04-05T00:00:00"/>
    <s v="B"/>
    <n v="83"/>
    <s v="frank.hanson@saltcorp.com"/>
    <s v="123-456-7890"/>
    <s v="contract"/>
    <x v="0"/>
    <m/>
    <x v="3"/>
    <m/>
    <m/>
    <m/>
    <n v="77"/>
    <s v="no"/>
    <s v="No"/>
    <x v="1"/>
    <x v="1"/>
    <x v="1"/>
  </r>
  <r>
    <s v="EMP-2020-0565"/>
    <s v="Grace"/>
    <s v="Sims"/>
    <s v="thirty"/>
    <n v="30"/>
    <n v="1994"/>
    <n v="65000"/>
    <n v="65000"/>
    <s v="Female"/>
    <s v="Marketing"/>
    <x v="4"/>
    <s v="Manager"/>
    <d v="2020-02-20T00:00:00"/>
    <d v="2020-02-20T00:00:00"/>
    <s v="B"/>
    <n v="83"/>
    <s v="grace.sims@saltcorp.com"/>
    <s v="555-555-5555"/>
    <s v="contract"/>
    <x v="0"/>
    <m/>
    <x v="1"/>
    <n v="7"/>
    <n v="17"/>
    <m/>
    <m/>
    <s v="YES"/>
    <s v="Yes"/>
    <x v="2"/>
    <x v="1"/>
    <x v="1"/>
  </r>
  <r>
    <s v="EMP-2020-0566"/>
    <s v="Jack"/>
    <s v="O'Neill"/>
    <n v="50"/>
    <n v="50"/>
    <n v="1974"/>
    <n v="61500"/>
    <n v="61500"/>
    <s v="Male"/>
    <s v="sales"/>
    <x v="2"/>
    <s v="Manager"/>
    <d v="2020-02-20T00:00:00"/>
    <d v="2020-02-20T00:00:00"/>
    <s v="A"/>
    <n v="93"/>
    <s v="jack.o'neill@saltcorp.com"/>
    <s v="098-765-4321"/>
    <s v="Full-Time"/>
    <x v="1"/>
    <m/>
    <x v="5"/>
    <n v="15"/>
    <n v="4"/>
    <m/>
    <n v="72"/>
    <s v="YES"/>
    <s v="Yes"/>
    <x v="2"/>
    <x v="0"/>
    <x v="0"/>
  </r>
  <r>
    <s v="EMP-2020-0567"/>
    <s v="Jack"/>
    <s v="Walker"/>
    <n v="40"/>
    <n v="40"/>
    <n v="1984"/>
    <n v="50000"/>
    <n v="50000"/>
    <s v="Female"/>
    <s v="HR"/>
    <x v="0"/>
    <s v="Clerk"/>
    <d v="2020-02-20T00:00:00"/>
    <d v="2020-02-20T00:00:00"/>
    <s v="A"/>
    <n v="97"/>
    <s v="jack.walker@saltcorp.com"/>
    <s v="123-456-7890"/>
    <s v="Full-Time"/>
    <x v="1"/>
    <s v="EMP-2019-0038"/>
    <x v="4"/>
    <m/>
    <m/>
    <s v="N/A"/>
    <n v="13"/>
    <m/>
    <s v=""/>
    <x v="2"/>
    <x v="0"/>
    <x v="0"/>
  </r>
  <r>
    <s v="EMP-2018-0568"/>
    <s v="Charlie"/>
    <s v="Hansen"/>
    <n v="40"/>
    <n v="40"/>
    <n v="1984"/>
    <n v="50000"/>
    <n v="50000"/>
    <s v="Male"/>
    <s v="sales"/>
    <x v="2"/>
    <s v="Assistant"/>
    <d v="2018-04-05T00:00:00"/>
    <d v="2018-04-05T00:00:00"/>
    <s v="F"/>
    <n v="6"/>
    <s v="charlie.hansen@saltcorp.com"/>
    <s v="098-765-4321"/>
    <s v="Full-Time"/>
    <x v="1"/>
    <m/>
    <x v="5"/>
    <m/>
    <m/>
    <m/>
    <m/>
    <s v="YES"/>
    <s v="Yes"/>
    <x v="1"/>
    <x v="1"/>
    <x v="1"/>
  </r>
  <r>
    <s v="EMP-2019-0569"/>
    <s v="Grace"/>
    <s v="Hoffman"/>
    <m/>
    <n v="40"/>
    <n v="1984"/>
    <n v="50000"/>
    <n v="50000"/>
    <s v="Female"/>
    <s v="it"/>
    <x v="3"/>
    <s v="Manager"/>
    <d v="2019-12-01T00:00:00"/>
    <d v="2019-12-01T00:00:00"/>
    <s v="C"/>
    <n v="73"/>
    <s v="grace.hoffman@saltcorp.com"/>
    <m/>
    <s v="contract"/>
    <x v="0"/>
    <m/>
    <x v="3"/>
    <s v="N/A"/>
    <n v="19"/>
    <d v="2022-06-20T00:00:00"/>
    <m/>
    <m/>
    <s v=""/>
    <x v="2"/>
    <x v="1"/>
    <x v="1"/>
  </r>
  <r>
    <s v="EMP-2018-0570"/>
    <s v="Charlie"/>
    <s v="McCoy"/>
    <s v="thirty"/>
    <n v="30"/>
    <n v="1994"/>
    <n v="55000"/>
    <n v="55000"/>
    <s v="Male"/>
    <s v="sales"/>
    <x v="2"/>
    <s v="Assistant"/>
    <d v="2018-04-05T00:00:00"/>
    <d v="2018-04-05T00:00:00"/>
    <s v="A"/>
    <n v="96"/>
    <s v="charlie.mccoy@saltcorp.com"/>
    <s v="098-765-4321"/>
    <s v="Full-Time"/>
    <x v="1"/>
    <m/>
    <x v="4"/>
    <m/>
    <m/>
    <m/>
    <m/>
    <s v="no"/>
    <s v="No"/>
    <x v="2"/>
    <x v="1"/>
    <x v="1"/>
  </r>
  <r>
    <s v="EMP-2020-0571"/>
    <s v="Bob"/>
    <s v="Davis"/>
    <n v="40"/>
    <n v="40"/>
    <n v="1984"/>
    <n v="60500"/>
    <n v="60500"/>
    <s v="Male"/>
    <s v="Marketing"/>
    <x v="4"/>
    <s v="Director"/>
    <d v="2020-01-15T00:00:00"/>
    <d v="2020-01-15T00:00:00"/>
    <s v="B"/>
    <n v="80"/>
    <s v="bob.davis@saltcorp.com"/>
    <s v="555-555-5555"/>
    <s v="contract"/>
    <x v="0"/>
    <m/>
    <x v="0"/>
    <m/>
    <m/>
    <d v="2022-06-20T00:00:00"/>
    <m/>
    <s v="YES"/>
    <s v="Yes"/>
    <x v="1"/>
    <x v="0"/>
    <x v="0"/>
  </r>
  <r>
    <s v="EMP-2020-0572"/>
    <s v="Jack"/>
    <s v="Kelly"/>
    <n v="50"/>
    <n v="50"/>
    <n v="1974"/>
    <n v="55000"/>
    <n v="55000"/>
    <s v="Male"/>
    <s v="it"/>
    <x v="3"/>
    <s v="Analyst"/>
    <d v="2020-01-15T00:00:00"/>
    <d v="2020-01-15T00:00:00"/>
    <s v="B"/>
    <n v="89"/>
    <s v="jack.kelly@saltcorp.com"/>
    <s v=" "/>
    <s v="Full-Time"/>
    <x v="1"/>
    <m/>
    <x v="3"/>
    <n v="1"/>
    <m/>
    <d v="2023-01-15T00:00:00"/>
    <m/>
    <s v="no"/>
    <s v="No"/>
    <x v="2"/>
    <x v="0"/>
    <x v="0"/>
  </r>
  <r>
    <s v="EMP-2020-0573"/>
    <s v="David"/>
    <s v="Byrd"/>
    <n v="35"/>
    <n v="35"/>
    <n v="1989"/>
    <n v="55000"/>
    <n v="55000"/>
    <s v="Male"/>
    <s v="HR"/>
    <x v="0"/>
    <s v="Analyst"/>
    <d v="2020-02-20T00:00:00"/>
    <d v="2020-02-20T00:00:00"/>
    <s v="D"/>
    <n v="66"/>
    <s v="david.byrd@saltcorp.com"/>
    <s v="555-555-5555"/>
    <s v="Part-Time"/>
    <x v="2"/>
    <m/>
    <x v="5"/>
    <s v="N/A"/>
    <n v="9"/>
    <d v="2022-06-20T00:00:00"/>
    <m/>
    <s v="YES"/>
    <s v="Yes"/>
    <x v="4"/>
    <x v="0"/>
    <x v="0"/>
  </r>
  <r>
    <s v="EMP-2019-0574"/>
    <s v="Hannah"/>
    <s v="Long"/>
    <n v="25"/>
    <n v="25"/>
    <n v="1999"/>
    <n v="70000"/>
    <n v="70000"/>
    <s v="Female"/>
    <s v="HR"/>
    <x v="0"/>
    <s v="Analyst"/>
    <d v="2019-03-25T00:00:00"/>
    <d v="2019-03-25T00:00:00"/>
    <s v="A"/>
    <n v="93"/>
    <s v="hannah.long@saltcorp.com"/>
    <s v="098-765-4321"/>
    <s v="contract"/>
    <x v="0"/>
    <m/>
    <x v="5"/>
    <m/>
    <m/>
    <s v="N/A"/>
    <m/>
    <m/>
    <s v=""/>
    <x v="4"/>
    <x v="0"/>
    <x v="0"/>
  </r>
  <r>
    <s v="EMP-2020-0575"/>
    <s v="Ivy"/>
    <s v="Powers"/>
    <n v="25"/>
    <n v="25"/>
    <n v="1999"/>
    <n v="65000"/>
    <n v="65000"/>
    <s v="Male"/>
    <s v="finance"/>
    <x v="1"/>
    <s v="Assistant"/>
    <d v="2020-02-20T00:00:00"/>
    <d v="2020-02-20T00:00:00"/>
    <s v="F"/>
    <n v="46"/>
    <s v="ivy.powers@saltcorp.com"/>
    <s v="123-456-7890"/>
    <s v="Part-Time"/>
    <x v="2"/>
    <m/>
    <x v="7"/>
    <m/>
    <m/>
    <m/>
    <n v="20"/>
    <m/>
    <s v=""/>
    <x v="4"/>
    <x v="0"/>
    <x v="0"/>
  </r>
  <r>
    <s v="EMP-2019-0576"/>
    <s v="Grace"/>
    <s v="Gutierrez"/>
    <n v="25"/>
    <n v="25"/>
    <n v="1999"/>
    <n v="65000"/>
    <n v="65000"/>
    <s v="Female"/>
    <s v="it"/>
    <x v="3"/>
    <s v="Assistant"/>
    <d v="2019-03-25T00:00:00"/>
    <d v="2019-03-25T00:00:00"/>
    <s v="C"/>
    <n v="72"/>
    <s v="grace.gutierrez@saltcorp.com"/>
    <m/>
    <s v="Full-Time"/>
    <x v="1"/>
    <s v="EMP-2018-0086"/>
    <x v="7"/>
    <m/>
    <n v="2"/>
    <m/>
    <m/>
    <s v="no"/>
    <s v="No"/>
    <x v="3"/>
    <x v="1"/>
    <x v="1"/>
  </r>
  <r>
    <s v="EMP-2018-0577"/>
    <s v="Alice"/>
    <s v="Rivera"/>
    <s v="thirty"/>
    <n v="30"/>
    <n v="1994"/>
    <s v="SIXTY THOUSAND"/>
    <n v="60000"/>
    <s v="Male"/>
    <s v="finance"/>
    <x v="1"/>
    <s v="Clerk"/>
    <d v="2018-04-05T00:00:00"/>
    <d v="2018-04-05T00:00:00"/>
    <s v="F"/>
    <n v="2"/>
    <s v="alice.rivera@saltcorp.com"/>
    <s v=" "/>
    <s v="contract"/>
    <x v="0"/>
    <m/>
    <x v="6"/>
    <m/>
    <m/>
    <s v="N/A"/>
    <m/>
    <s v="no"/>
    <s v="No"/>
    <x v="1"/>
    <x v="0"/>
    <x v="0"/>
  </r>
  <r>
    <s v="EMP-2020-0578"/>
    <s v="Charlie"/>
    <s v="Andrews"/>
    <m/>
    <n v="27"/>
    <n v="1997"/>
    <n v="55000"/>
    <n v="55000"/>
    <s v="Female"/>
    <s v="it"/>
    <x v="3"/>
    <s v="Analyst"/>
    <d v="2020-01-15T00:00:00"/>
    <d v="2020-01-15T00:00:00"/>
    <s v="B"/>
    <n v="80"/>
    <s v="charlie.andrews@saltcorp.com"/>
    <s v="123-456-7890"/>
    <s v="Full-Time"/>
    <x v="1"/>
    <s v="EMP-2020-0020"/>
    <x v="0"/>
    <m/>
    <n v="0"/>
    <m/>
    <m/>
    <m/>
    <s v=""/>
    <x v="1"/>
    <x v="0"/>
    <x v="0"/>
  </r>
  <r>
    <s v="EMP-2019-0579"/>
    <s v="Ivy"/>
    <s v="Hanson"/>
    <n v="40"/>
    <n v="40"/>
    <n v="1984"/>
    <n v="58600"/>
    <n v="58600"/>
    <s v="Female"/>
    <s v="it"/>
    <x v="3"/>
    <s v="Clerk"/>
    <d v="2019-03-25T00:00:00"/>
    <d v="2019-03-25T00:00:00"/>
    <s v="F"/>
    <n v="0"/>
    <s v="ivy.hanson@saltcorp.com"/>
    <s v="123-456-7890"/>
    <s v="Full-Time"/>
    <x v="1"/>
    <s v="EMP-2019-0048"/>
    <x v="7"/>
    <m/>
    <n v="15"/>
    <d v="2024-08-12T00:00:00"/>
    <m/>
    <m/>
    <s v=""/>
    <x v="3"/>
    <x v="0"/>
    <x v="0"/>
  </r>
  <r>
    <s v="EMP-2018-0580"/>
    <s v="Alice"/>
    <s v="Lee"/>
    <n v="35"/>
    <n v="35"/>
    <n v="1989"/>
    <n v="70000"/>
    <n v="70000"/>
    <s v="Female"/>
    <s v="Marketing"/>
    <x v="4"/>
    <s v="Analyst"/>
    <d v="2018-04-05T00:00:00"/>
    <d v="2018-04-05T00:00:00"/>
    <s v="B"/>
    <n v="88"/>
    <s v="alice.lee@saltcorp.com"/>
    <s v="555-555-5555"/>
    <s v="Full-Time"/>
    <x v="1"/>
    <m/>
    <x v="3"/>
    <n v="6"/>
    <n v="3"/>
    <d v="2024-08-12T00:00:00"/>
    <n v="42"/>
    <s v="no"/>
    <s v="No"/>
    <x v="4"/>
    <x v="0"/>
    <x v="0"/>
  </r>
  <r>
    <s v="EMP-2020-0581"/>
    <s v="Ivy"/>
    <s v="Sharma"/>
    <n v="50"/>
    <n v="50"/>
    <n v="1974"/>
    <n v="70000"/>
    <n v="70000"/>
    <s v="Female"/>
    <s v="finance"/>
    <x v="1"/>
    <s v="Clerk"/>
    <d v="2020-01-15T00:00:00"/>
    <d v="2020-01-15T00:00:00"/>
    <s v="B"/>
    <n v="89"/>
    <s v="ivy.sharma@saltcorp.com"/>
    <s v="098-765-4321"/>
    <s v="Full-Time"/>
    <x v="1"/>
    <m/>
    <x v="1"/>
    <m/>
    <n v="0"/>
    <m/>
    <m/>
    <s v="YES"/>
    <s v="Yes"/>
    <x v="2"/>
    <x v="1"/>
    <x v="1"/>
  </r>
  <r>
    <s v="EMP-2019-0582"/>
    <s v="Hannah"/>
    <s v="Gray"/>
    <n v="35"/>
    <n v="35"/>
    <n v="1989"/>
    <n v="65000"/>
    <n v="65000"/>
    <s v="Female"/>
    <s v="Marketing"/>
    <x v="4"/>
    <s v="Clerk"/>
    <d v="2019-03-25T00:00:00"/>
    <d v="2019-03-25T00:00:00"/>
    <s v="B"/>
    <n v="88"/>
    <s v="hannah.gray@saltcorp.com"/>
    <s v="555-555-5555"/>
    <s v="Full-Time"/>
    <x v="1"/>
    <m/>
    <x v="4"/>
    <m/>
    <n v="11"/>
    <m/>
    <m/>
    <m/>
    <s v=""/>
    <x v="1"/>
    <x v="0"/>
    <x v="0"/>
  </r>
  <r>
    <s v="EMP-2020-0583"/>
    <s v="Alice"/>
    <s v="Hudson"/>
    <n v="50"/>
    <n v="50"/>
    <n v="1974"/>
    <n v="55000"/>
    <n v="55000"/>
    <s v="Female"/>
    <s v="it"/>
    <x v="3"/>
    <s v="Director"/>
    <d v="2020-02-20T00:00:00"/>
    <d v="2020-02-20T00:00:00"/>
    <s v="B"/>
    <n v="88"/>
    <s v="alice.hudson@saltcorp.com"/>
    <s v="098-765-4321"/>
    <s v="Full-Time"/>
    <x v="1"/>
    <s v="EMP-2020-0037"/>
    <x v="2"/>
    <n v="4"/>
    <m/>
    <m/>
    <n v="23"/>
    <m/>
    <s v=""/>
    <x v="1"/>
    <x v="0"/>
    <x v="0"/>
  </r>
  <r>
    <s v="EMP-2020-0584"/>
    <s v="Frank"/>
    <s v="Perez"/>
    <s v="thirty"/>
    <n v="30"/>
    <n v="1994"/>
    <s v="SIXTY THOUSAND"/>
    <n v="60000"/>
    <s v="Male"/>
    <s v="HR"/>
    <x v="0"/>
    <s v="Clerk"/>
    <d v="2020-02-20T00:00:00"/>
    <d v="2020-02-20T00:00:00"/>
    <s v="B"/>
    <n v="88"/>
    <s v="frank.perez@saltcorp.com"/>
    <s v="555-555-5555"/>
    <s v="Part-Time"/>
    <x v="2"/>
    <m/>
    <x v="6"/>
    <n v="1"/>
    <m/>
    <m/>
    <n v="25"/>
    <s v="no"/>
    <s v="No"/>
    <x v="4"/>
    <x v="1"/>
    <x v="1"/>
  </r>
  <r>
    <s v="EMP-2020-0585"/>
    <s v="Eve"/>
    <s v="Barnett"/>
    <n v="25"/>
    <n v="25"/>
    <n v="1999"/>
    <n v="55000"/>
    <n v="55000"/>
    <s v="Female"/>
    <s v="it"/>
    <x v="3"/>
    <s v="Assistant"/>
    <d v="2020-02-20T00:00:00"/>
    <d v="2020-02-20T00:00:00"/>
    <s v="D"/>
    <n v="63"/>
    <s v="eve.barnett@saltcorp.com"/>
    <s v="123-456-7890"/>
    <s v="Part-Time"/>
    <x v="2"/>
    <s v="EMP-2018-0014"/>
    <x v="0"/>
    <m/>
    <m/>
    <d v="2021-10-01T00:00:00"/>
    <m/>
    <s v="YES"/>
    <s v="Yes"/>
    <x v="4"/>
    <x v="0"/>
    <x v="0"/>
  </r>
  <r>
    <s v="EMP-2018-0586"/>
    <s v="Frank"/>
    <s v="Sanchez"/>
    <s v="thirty"/>
    <n v="30"/>
    <n v="1994"/>
    <n v="50000"/>
    <n v="50000"/>
    <s v="Male"/>
    <s v="Marketing"/>
    <x v="4"/>
    <s v="Clerk"/>
    <d v="2018-04-05T00:00:00"/>
    <d v="2018-04-05T00:00:00"/>
    <s v="F"/>
    <n v="17"/>
    <s v="frank.sanchez@saltcorp.com"/>
    <m/>
    <s v="Full-Time"/>
    <x v="1"/>
    <m/>
    <x v="3"/>
    <m/>
    <m/>
    <d v="2023-03-05T00:00:00"/>
    <m/>
    <s v="YES"/>
    <s v="Yes"/>
    <x v="4"/>
    <x v="0"/>
    <x v="0"/>
  </r>
  <r>
    <s v="EMP-2020-0587"/>
    <s v="Jack"/>
    <s v="Walsh"/>
    <m/>
    <n v="34"/>
    <n v="1990"/>
    <n v="55000"/>
    <n v="55000"/>
    <s v="Male"/>
    <s v="finance"/>
    <x v="1"/>
    <s v="Analyst"/>
    <d v="2020-02-20T00:00:00"/>
    <d v="2020-02-20T00:00:00"/>
    <s v="D"/>
    <n v="66"/>
    <s v="jack.walsh@saltcorp.com"/>
    <s v="098-765-4321"/>
    <s v="Full-Time"/>
    <x v="1"/>
    <m/>
    <x v="4"/>
    <s v="N/A"/>
    <m/>
    <m/>
    <m/>
    <s v="YES"/>
    <s v="Yes"/>
    <x v="1"/>
    <x v="1"/>
    <x v="1"/>
  </r>
  <r>
    <s v="EMP-2019-0588"/>
    <s v="Eve"/>
    <s v="Hoffman"/>
    <m/>
    <n v="35"/>
    <n v="1989"/>
    <n v="50000"/>
    <n v="50000"/>
    <s v="Female"/>
    <s v="finance"/>
    <x v="1"/>
    <s v="Clerk"/>
    <d v="2019-12-01T00:00:00"/>
    <d v="2019-12-01T00:00:00"/>
    <s v="D"/>
    <n v="64"/>
    <s v="eve.hoffman@saltcorp.com"/>
    <s v=" "/>
    <s v="contract"/>
    <x v="0"/>
    <m/>
    <x v="1"/>
    <s v="N/A"/>
    <n v="7"/>
    <m/>
    <n v="46"/>
    <m/>
    <s v=""/>
    <x v="3"/>
    <x v="1"/>
    <x v="1"/>
  </r>
  <r>
    <s v="EMP-2020-0589"/>
    <s v="Frank"/>
    <s v="Lucas"/>
    <n v="50"/>
    <n v="50"/>
    <n v="1974"/>
    <n v="50000"/>
    <n v="50000"/>
    <s v="Male"/>
    <s v="Marketing"/>
    <x v="4"/>
    <s v="Manager"/>
    <d v="2020-01-15T00:00:00"/>
    <d v="2020-01-15T00:00:00"/>
    <s v="A"/>
    <n v="91"/>
    <s v="frank.lucas@saltcorp.com"/>
    <s v=" "/>
    <s v="contract"/>
    <x v="0"/>
    <m/>
    <x v="5"/>
    <n v="2"/>
    <m/>
    <d v="2024-08-12T00:00:00"/>
    <n v="75"/>
    <s v="YES"/>
    <s v="Yes"/>
    <x v="2"/>
    <x v="0"/>
    <x v="0"/>
  </r>
  <r>
    <s v="EMP-2018-0590"/>
    <s v="Eve"/>
    <s v="Stevens"/>
    <n v="40"/>
    <n v="40"/>
    <n v="1984"/>
    <s v="SIXTY THOUSAND"/>
    <n v="60000"/>
    <s v="Male"/>
    <s v="finance"/>
    <x v="1"/>
    <s v="Analyst"/>
    <d v="2018-04-05T00:00:00"/>
    <d v="2018-04-05T00:00:00"/>
    <s v="A"/>
    <n v="96"/>
    <s v="eve.stevens@saltcorp.com"/>
    <s v="123-456-7890"/>
    <s v="Full-Time"/>
    <x v="1"/>
    <m/>
    <x v="6"/>
    <m/>
    <n v="18"/>
    <d v="2023-03-05T00:00:00"/>
    <n v="45"/>
    <s v="YES"/>
    <s v="Yes"/>
    <x v="1"/>
    <x v="0"/>
    <x v="0"/>
  </r>
  <r>
    <s v="EMP-2020-0591"/>
    <s v="Eve"/>
    <s v="Lucas"/>
    <n v="40"/>
    <n v="40"/>
    <n v="1984"/>
    <n v="61500"/>
    <n v="61500"/>
    <s v="Male"/>
    <s v="sales"/>
    <x v="2"/>
    <s v="Manager"/>
    <d v="2020-02-20T00:00:00"/>
    <d v="2020-02-20T00:00:00"/>
    <s v="A"/>
    <n v="90"/>
    <s v="eve.lucas@saltcorp.com"/>
    <s v="555-555-5555"/>
    <s v="Full-Time"/>
    <x v="1"/>
    <m/>
    <x v="2"/>
    <m/>
    <n v="9"/>
    <m/>
    <m/>
    <s v="YES"/>
    <s v="Yes"/>
    <x v="3"/>
    <x v="0"/>
    <x v="0"/>
  </r>
  <r>
    <s v="EMP-2020-0592"/>
    <s v="David"/>
    <s v="Hanson"/>
    <n v="50"/>
    <n v="50"/>
    <n v="1974"/>
    <n v="65000"/>
    <n v="65000"/>
    <s v="Male"/>
    <s v="HR"/>
    <x v="0"/>
    <s v="Analyst"/>
    <d v="2020-01-15T00:00:00"/>
    <d v="2020-01-15T00:00:00"/>
    <s v="C"/>
    <n v="79"/>
    <s v="david.hanson@saltcorp.com"/>
    <s v="555-555-5555"/>
    <s v="Full-Time"/>
    <x v="1"/>
    <m/>
    <x v="7"/>
    <n v="2"/>
    <m/>
    <m/>
    <m/>
    <s v="no"/>
    <s v="No"/>
    <x v="1"/>
    <x v="1"/>
    <x v="1"/>
  </r>
  <r>
    <s v="EMP-2019-0593"/>
    <s v="Charlie"/>
    <s v="Martin"/>
    <m/>
    <n v="31"/>
    <n v="1993"/>
    <n v="55000"/>
    <n v="55000"/>
    <s v="Male"/>
    <s v="HR"/>
    <x v="0"/>
    <s v="Assistant"/>
    <d v="2019-03-25T00:00:00"/>
    <d v="2019-03-25T00:00:00"/>
    <s v="A"/>
    <n v="98"/>
    <s v="charlie.martin@saltcorp.com"/>
    <s v="123-456-7890"/>
    <s v="Part-Time"/>
    <x v="2"/>
    <m/>
    <x v="0"/>
    <m/>
    <m/>
    <m/>
    <n v="77"/>
    <m/>
    <s v=""/>
    <x v="0"/>
    <x v="1"/>
    <x v="1"/>
  </r>
  <r>
    <s v="EMP-2020-0594"/>
    <s v="Charlie"/>
    <s v="Aguilar"/>
    <m/>
    <n v="41"/>
    <n v="1983"/>
    <n v="50000"/>
    <n v="50000"/>
    <s v="Male"/>
    <s v="HR"/>
    <x v="0"/>
    <s v="Assistant"/>
    <d v="2020-02-20T00:00:00"/>
    <d v="2020-02-20T00:00:00"/>
    <s v="F"/>
    <n v="59"/>
    <s v="charlie.aguilar@saltcorp.com"/>
    <s v=" "/>
    <s v="Part-Time"/>
    <x v="2"/>
    <m/>
    <x v="4"/>
    <m/>
    <m/>
    <m/>
    <m/>
    <s v="no"/>
    <s v="No"/>
    <x v="0"/>
    <x v="0"/>
    <x v="0"/>
  </r>
  <r>
    <s v="EMP-2020-0595"/>
    <s v="David"/>
    <s v="Medina"/>
    <m/>
    <n v="34"/>
    <n v="1990"/>
    <n v="55000"/>
    <n v="55000"/>
    <s v="Male"/>
    <s v="finance"/>
    <x v="1"/>
    <s v="Assistant"/>
    <d v="2020-01-15T00:00:00"/>
    <d v="2020-01-15T00:00:00"/>
    <s v="D"/>
    <n v="69"/>
    <s v="david.medina@saltcorp.com"/>
    <s v=" "/>
    <s v="Full-Time"/>
    <x v="1"/>
    <m/>
    <x v="4"/>
    <m/>
    <n v="19"/>
    <s v="N/A"/>
    <m/>
    <s v="YES"/>
    <s v="Yes"/>
    <x v="4"/>
    <x v="0"/>
    <x v="0"/>
  </r>
  <r>
    <s v="EMP-2019-0596"/>
    <s v="Ivy"/>
    <s v="Kumar"/>
    <s v="thirty"/>
    <n v="30"/>
    <n v="1994"/>
    <n v="59500"/>
    <n v="59500"/>
    <s v="Female"/>
    <s v="finance"/>
    <x v="1"/>
    <s v="Manager"/>
    <d v="2019-12-01T00:00:00"/>
    <d v="2019-12-01T00:00:00"/>
    <s v="F"/>
    <n v="13"/>
    <s v="ivy.kumar@saltcorp.com"/>
    <s v="555-555-5555"/>
    <s v="contract"/>
    <x v="0"/>
    <m/>
    <x v="1"/>
    <m/>
    <n v="11"/>
    <m/>
    <m/>
    <s v="no"/>
    <s v="No"/>
    <x v="3"/>
    <x v="1"/>
    <x v="1"/>
  </r>
  <r>
    <s v="EMP-2019-0597"/>
    <s v="Bob"/>
    <s v="Gutierrez"/>
    <m/>
    <n v="61"/>
    <n v="1963"/>
    <n v="65000"/>
    <n v="65000"/>
    <s v="Female"/>
    <s v="it"/>
    <x v="3"/>
    <s v="Director"/>
    <d v="2019-03-25T00:00:00"/>
    <d v="2019-03-25T00:00:00"/>
    <s v="A"/>
    <n v="99"/>
    <s v="bob.gutierrez@saltcorp.com"/>
    <s v="098-765-4321"/>
    <s v="Part-Time"/>
    <x v="2"/>
    <m/>
    <x v="4"/>
    <s v="N/A"/>
    <m/>
    <s v="N/A"/>
    <n v="25"/>
    <s v="no"/>
    <s v="No"/>
    <x v="0"/>
    <x v="0"/>
    <x v="0"/>
  </r>
  <r>
    <s v="EMP-2019-0598"/>
    <s v="Ivy"/>
    <s v="Desai"/>
    <n v="35"/>
    <n v="35"/>
    <n v="1989"/>
    <n v="59300"/>
    <n v="59300"/>
    <s v="Female"/>
    <s v="it"/>
    <x v="3"/>
    <s v="Analyst"/>
    <d v="2019-12-01T00:00:00"/>
    <d v="2019-12-01T00:00:00"/>
    <s v="C"/>
    <n v="73"/>
    <s v="ivy.desai@saltcorp.com"/>
    <m/>
    <s v="Full-Time"/>
    <x v="1"/>
    <m/>
    <x v="4"/>
    <m/>
    <m/>
    <d v="2023-01-15T00:00:00"/>
    <m/>
    <m/>
    <s v=""/>
    <x v="1"/>
    <x v="1"/>
    <x v="1"/>
  </r>
  <r>
    <s v="EMP-2020-0599"/>
    <s v="Alice"/>
    <s v="Powers"/>
    <n v="25"/>
    <n v="25"/>
    <n v="1999"/>
    <n v="65000"/>
    <n v="65000"/>
    <s v="Female"/>
    <s v="HR"/>
    <x v="0"/>
    <s v="Assistant"/>
    <d v="2020-01-15T00:00:00"/>
    <d v="2020-01-15T00:00:00"/>
    <s v="C"/>
    <n v="75"/>
    <s v="alice.powers@saltcorp.com"/>
    <s v="098-765-4321"/>
    <s v="contract"/>
    <x v="0"/>
    <m/>
    <x v="4"/>
    <n v="3"/>
    <n v="4"/>
    <d v="2023-03-05T00:00:00"/>
    <m/>
    <s v="YES"/>
    <s v="Yes"/>
    <x v="3"/>
    <x v="1"/>
    <x v="1"/>
  </r>
  <r>
    <s v="EMP-2019-0600"/>
    <s v="Alice"/>
    <s v="Anderson"/>
    <m/>
    <n v="39"/>
    <n v="1985"/>
    <n v="70000"/>
    <n v="70000"/>
    <s v="Male"/>
    <s v="sales"/>
    <x v="2"/>
    <s v="Analyst"/>
    <d v="2019-12-01T00:00:00"/>
    <d v="2019-12-01T00:00:00"/>
    <s v="D"/>
    <n v="65"/>
    <s v="alice.anderson@saltcorp.com"/>
    <s v=" "/>
    <s v="contract"/>
    <x v="0"/>
    <m/>
    <x v="1"/>
    <s v="N/A"/>
    <m/>
    <d v="2022-06-20T00:00:00"/>
    <n v="57"/>
    <m/>
    <s v=""/>
    <x v="3"/>
    <x v="0"/>
    <x v="0"/>
  </r>
  <r>
    <s v="EMP-2020-0601"/>
    <s v="Eve"/>
    <s v="Carter"/>
    <n v="50"/>
    <n v="50"/>
    <n v="1974"/>
    <n v="65000"/>
    <n v="65000"/>
    <s v="Male"/>
    <s v="it"/>
    <x v="3"/>
    <s v="Manager"/>
    <d v="2020-01-15T00:00:00"/>
    <d v="2020-01-15T00:00:00"/>
    <s v="F"/>
    <n v="21"/>
    <s v="eve.carter@saltcorp.com"/>
    <s v="098-765-4321"/>
    <s v="Full-Time"/>
    <x v="1"/>
    <m/>
    <x v="2"/>
    <m/>
    <m/>
    <m/>
    <n v="12"/>
    <s v="no"/>
    <s v="No"/>
    <x v="2"/>
    <x v="0"/>
    <x v="0"/>
  </r>
  <r>
    <s v="EMP-2020-0602"/>
    <s v="Frank"/>
    <s v="Sanchez"/>
    <n v="25"/>
    <n v="25"/>
    <n v="1999"/>
    <s v="SIXTY THOUSAND"/>
    <n v="60000"/>
    <s v="Male"/>
    <s v="it"/>
    <x v="3"/>
    <s v="Director"/>
    <d v="2020-01-15T00:00:00"/>
    <d v="2020-01-15T00:00:00"/>
    <s v="B"/>
    <n v="89"/>
    <s v="frank.sanchez@saltcorp.com"/>
    <m/>
    <s v="Full-Time"/>
    <x v="1"/>
    <m/>
    <x v="7"/>
    <s v="N/A"/>
    <m/>
    <s v="N/A"/>
    <n v="55"/>
    <s v="no"/>
    <s v="No"/>
    <x v="4"/>
    <x v="0"/>
    <x v="0"/>
  </r>
  <r>
    <s v="EMP-2019-0603"/>
    <s v="Frank"/>
    <s v="Powers"/>
    <s v="thirty"/>
    <n v="30"/>
    <n v="1994"/>
    <n v="59500"/>
    <n v="59500"/>
    <s v="Female"/>
    <s v="finance"/>
    <x v="1"/>
    <s v="Manager"/>
    <d v="2019-12-01T00:00:00"/>
    <d v="2019-12-01T00:00:00"/>
    <s v="F"/>
    <n v="31"/>
    <s v="frank.powers@saltcorp.com"/>
    <s v="098-765-4321"/>
    <s v="Full-Time"/>
    <x v="1"/>
    <s v="EMP-2018-0076"/>
    <x v="0"/>
    <m/>
    <m/>
    <d v="2022-06-20T00:00:00"/>
    <m/>
    <m/>
    <s v=""/>
    <x v="0"/>
    <x v="0"/>
    <x v="0"/>
  </r>
  <r>
    <s v="EMP-2020-0604"/>
    <s v="Charlie"/>
    <s v="Clark"/>
    <n v="50"/>
    <n v="50"/>
    <n v="1974"/>
    <n v="50000"/>
    <n v="50000"/>
    <s v="Male"/>
    <s v="sales"/>
    <x v="2"/>
    <s v="Analyst"/>
    <d v="2020-01-15T00:00:00"/>
    <d v="2020-01-15T00:00:00"/>
    <s v="A"/>
    <n v="93"/>
    <s v="charlie.clark@saltcorp.com"/>
    <s v="098-765-4321"/>
    <s v="contract"/>
    <x v="0"/>
    <s v="EMP-2020-0051"/>
    <x v="1"/>
    <m/>
    <m/>
    <d v="2023-03-05T00:00:00"/>
    <m/>
    <s v="no"/>
    <s v="No"/>
    <x v="3"/>
    <x v="0"/>
    <x v="0"/>
  </r>
  <r>
    <s v="EMP-2020-0605"/>
    <s v="Grace"/>
    <s v="Hanson"/>
    <n v="25"/>
    <n v="25"/>
    <n v="1999"/>
    <n v="70000"/>
    <n v="70000"/>
    <s v="Female"/>
    <s v="HR"/>
    <x v="0"/>
    <s v="Director"/>
    <d v="2020-02-20T00:00:00"/>
    <d v="2020-02-20T00:00:00"/>
    <s v="B"/>
    <n v="89"/>
    <s v="grace.hanson@saltcorp.com"/>
    <s v="098-765-4321"/>
    <s v="contract"/>
    <x v="0"/>
    <m/>
    <x v="0"/>
    <m/>
    <m/>
    <d v="2023-01-15T00:00:00"/>
    <n v="76"/>
    <s v="YES"/>
    <s v="Yes"/>
    <x v="1"/>
    <x v="1"/>
    <x v="1"/>
  </r>
  <r>
    <s v="EMP-2020-0606"/>
    <s v="Ivy"/>
    <s v="Singh"/>
    <n v="50"/>
    <n v="50"/>
    <n v="1974"/>
    <s v="SIXTY THOUSAND"/>
    <n v="60000"/>
    <s v="Female"/>
    <s v="it"/>
    <x v="3"/>
    <s v="Director"/>
    <d v="2020-01-15T00:00:00"/>
    <d v="2020-01-15T00:00:00"/>
    <s v="C"/>
    <n v="73"/>
    <s v="ivy.singh@saltcorp.com"/>
    <s v="098-765-4321"/>
    <s v="contract"/>
    <x v="0"/>
    <m/>
    <x v="5"/>
    <m/>
    <m/>
    <m/>
    <n v="33"/>
    <m/>
    <s v=""/>
    <x v="2"/>
    <x v="0"/>
    <x v="0"/>
  </r>
  <r>
    <s v="EMP-2018-0607"/>
    <s v="Jack"/>
    <s v="Walsh"/>
    <s v="thirty"/>
    <n v="30"/>
    <n v="1994"/>
    <n v="55000"/>
    <n v="55000"/>
    <s v="Female"/>
    <s v="sales"/>
    <x v="2"/>
    <s v="Manager"/>
    <d v="2018-04-05T00:00:00"/>
    <d v="2018-04-05T00:00:00"/>
    <s v="D"/>
    <n v="62"/>
    <s v="jack.walsh@saltcorp.com"/>
    <s v="123-456-7890"/>
    <s v="Part-Time"/>
    <x v="2"/>
    <m/>
    <x v="3"/>
    <n v="10"/>
    <m/>
    <m/>
    <m/>
    <s v="YES"/>
    <s v="Yes"/>
    <x v="3"/>
    <x v="1"/>
    <x v="1"/>
  </r>
  <r>
    <s v="EMP-2020-0608"/>
    <s v="Hannah"/>
    <s v="Long"/>
    <n v="35"/>
    <n v="35"/>
    <n v="1989"/>
    <n v="58300"/>
    <n v="58300"/>
    <s v="Female"/>
    <s v="sales"/>
    <x v="2"/>
    <s v="Assistant"/>
    <d v="2020-01-15T00:00:00"/>
    <d v="2020-01-15T00:00:00"/>
    <s v="D"/>
    <n v="61"/>
    <s v="hannah.long@saltcorp.com"/>
    <s v=" "/>
    <s v="Full-Time"/>
    <x v="1"/>
    <m/>
    <x v="2"/>
    <n v="11"/>
    <m/>
    <d v="2024-08-12T00:00:00"/>
    <n v="54"/>
    <s v="YES"/>
    <s v="Yes"/>
    <x v="3"/>
    <x v="1"/>
    <x v="1"/>
  </r>
  <r>
    <s v="EMP-2018-0609"/>
    <s v="Frank"/>
    <s v="Ramirez"/>
    <s v="thirty"/>
    <n v="30"/>
    <n v="1994"/>
    <n v="50000"/>
    <n v="50000"/>
    <s v="Male"/>
    <s v="HR"/>
    <x v="0"/>
    <s v="Analyst"/>
    <d v="2018-04-05T00:00:00"/>
    <d v="2018-04-05T00:00:00"/>
    <s v="C"/>
    <n v="77"/>
    <s v="frank.ramirez@saltcorp.com"/>
    <m/>
    <s v="contract"/>
    <x v="0"/>
    <s v="EMP-2019-0030"/>
    <x v="0"/>
    <s v="N/A"/>
    <m/>
    <m/>
    <n v="42"/>
    <s v="YES"/>
    <s v="Yes"/>
    <x v="1"/>
    <x v="1"/>
    <x v="1"/>
  </r>
  <r>
    <s v="EMP-2020-0610"/>
    <s v="Hannah"/>
    <s v="Ross"/>
    <s v="thirty"/>
    <n v="30"/>
    <n v="1994"/>
    <n v="65000"/>
    <n v="65000"/>
    <s v="Female"/>
    <s v="sales"/>
    <x v="2"/>
    <s v="Clerk"/>
    <d v="2020-01-15T00:00:00"/>
    <d v="2020-01-15T00:00:00"/>
    <s v="A"/>
    <n v="94"/>
    <s v="hannah.ross@saltcorp.com"/>
    <s v=" "/>
    <s v="Full-Time"/>
    <x v="1"/>
    <m/>
    <x v="7"/>
    <m/>
    <m/>
    <m/>
    <m/>
    <s v="YES"/>
    <s v="Yes"/>
    <x v="3"/>
    <x v="0"/>
    <x v="0"/>
  </r>
  <r>
    <s v="EMP-2020-0611"/>
    <s v="Eve"/>
    <s v="Cooper"/>
    <n v="50"/>
    <n v="50"/>
    <n v="1974"/>
    <n v="50000"/>
    <n v="50000"/>
    <s v="Female"/>
    <s v="sales"/>
    <x v="2"/>
    <s v="Clerk"/>
    <d v="2020-01-15T00:00:00"/>
    <d v="2020-01-15T00:00:00"/>
    <s v="C"/>
    <n v="78"/>
    <s v="eve.cooper@saltcorp.com"/>
    <s v="123-456-7890"/>
    <s v="Part-Time"/>
    <x v="2"/>
    <m/>
    <x v="0"/>
    <m/>
    <n v="17"/>
    <d v="2023-03-05T00:00:00"/>
    <m/>
    <s v="YES"/>
    <s v="Yes"/>
    <x v="2"/>
    <x v="0"/>
    <x v="0"/>
  </r>
  <r>
    <s v="EMP-2019-0612"/>
    <s v="Hannah"/>
    <s v="Powell"/>
    <n v="40"/>
    <n v="40"/>
    <n v="1984"/>
    <n v="55000"/>
    <n v="55000"/>
    <s v="Female"/>
    <s v="sales"/>
    <x v="2"/>
    <s v="Manager"/>
    <d v="2019-12-01T00:00:00"/>
    <d v="2019-12-01T00:00:00"/>
    <s v="A"/>
    <n v="96"/>
    <s v="hannah.powell@saltcorp.com"/>
    <s v="123-456-7890"/>
    <s v="contract"/>
    <x v="0"/>
    <m/>
    <x v="2"/>
    <m/>
    <m/>
    <d v="2021-10-01T00:00:00"/>
    <n v="10"/>
    <s v="YES"/>
    <s v="Yes"/>
    <x v="0"/>
    <x v="0"/>
    <x v="0"/>
  </r>
  <r>
    <s v="EMP-2020-0613"/>
    <s v="Jack"/>
    <s v="Dixon"/>
    <m/>
    <n v="31"/>
    <n v="1993"/>
    <n v="70000"/>
    <n v="70000"/>
    <s v="Female"/>
    <s v="it"/>
    <x v="3"/>
    <s v="Analyst"/>
    <d v="2020-02-20T00:00:00"/>
    <d v="2020-02-20T00:00:00"/>
    <s v="B"/>
    <n v="81"/>
    <s v="jack.dixon@saltcorp.com"/>
    <s v="123-456-7890"/>
    <s v="Full-Time"/>
    <x v="1"/>
    <m/>
    <x v="6"/>
    <m/>
    <n v="12"/>
    <d v="2023-03-05T00:00:00"/>
    <n v="79"/>
    <s v="YES"/>
    <s v="Yes"/>
    <x v="1"/>
    <x v="1"/>
    <x v="1"/>
  </r>
  <r>
    <s v="EMP-2020-0614"/>
    <s v="David"/>
    <s v="Murphy"/>
    <m/>
    <n v="39"/>
    <n v="1985"/>
    <n v="70000"/>
    <n v="70000"/>
    <s v="Female"/>
    <s v="HR"/>
    <x v="0"/>
    <s v="Analyst"/>
    <d v="2020-02-20T00:00:00"/>
    <d v="2020-02-20T00:00:00"/>
    <s v="C"/>
    <n v="70"/>
    <s v="david.murphy@saltcorp.com"/>
    <s v="123-456-7890"/>
    <s v="Full-Time"/>
    <x v="1"/>
    <m/>
    <x v="1"/>
    <m/>
    <m/>
    <d v="2024-08-12T00:00:00"/>
    <m/>
    <s v="YES"/>
    <s v="Yes"/>
    <x v="0"/>
    <x v="1"/>
    <x v="1"/>
  </r>
  <r>
    <s v="EMP-2019-0615"/>
    <s v="Jack"/>
    <s v="Sullivan"/>
    <n v="35"/>
    <n v="35"/>
    <n v="1989"/>
    <n v="61500"/>
    <n v="61500"/>
    <s v="Female"/>
    <s v="sales"/>
    <x v="2"/>
    <s v="Manager"/>
    <d v="2019-03-25T00:00:00"/>
    <d v="2019-03-25T00:00:00"/>
    <s v="A"/>
    <n v="96"/>
    <s v="jack.sullivan@saltcorp.com"/>
    <s v="098-765-4321"/>
    <s v="contract"/>
    <x v="0"/>
    <s v="EMP-2020-0038"/>
    <x v="1"/>
    <m/>
    <m/>
    <d v="2021-10-01T00:00:00"/>
    <m/>
    <s v="YES"/>
    <s v="Yes"/>
    <x v="0"/>
    <x v="0"/>
    <x v="0"/>
  </r>
  <r>
    <s v="EMP-2019-0616"/>
    <s v="Hannah"/>
    <s v="Hughes"/>
    <n v="35"/>
    <n v="35"/>
    <n v="1989"/>
    <n v="70000"/>
    <n v="70000"/>
    <s v="Female"/>
    <s v="sales"/>
    <x v="2"/>
    <s v="Analyst"/>
    <d v="2019-12-01T00:00:00"/>
    <d v="2019-12-01T00:00:00"/>
    <s v="B"/>
    <n v="82"/>
    <s v="hannah.hughes@saltcorp.com"/>
    <s v=" "/>
    <s v="Part-Time"/>
    <x v="2"/>
    <s v="EMP-2018-0035"/>
    <x v="7"/>
    <s v="N/A"/>
    <n v="10"/>
    <m/>
    <m/>
    <s v="no"/>
    <s v="No"/>
    <x v="2"/>
    <x v="0"/>
    <x v="0"/>
  </r>
  <r>
    <s v="EMP-2019-0617"/>
    <s v="Jack"/>
    <s v="O'Connor"/>
    <m/>
    <n v="34"/>
    <n v="1990"/>
    <n v="59800"/>
    <n v="59800"/>
    <s v="Male"/>
    <s v="it"/>
    <x v="3"/>
    <s v="Assistant"/>
    <d v="2019-12-01T00:00:00"/>
    <d v="2019-12-01T00:00:00"/>
    <s v="C"/>
    <n v="74"/>
    <s v="jack.o'connor@saltcorp.com"/>
    <s v="555-555-5555"/>
    <s v="Part-Time"/>
    <x v="2"/>
    <m/>
    <x v="7"/>
    <m/>
    <n v="9"/>
    <m/>
    <m/>
    <s v="YES"/>
    <s v="Yes"/>
    <x v="4"/>
    <x v="0"/>
    <x v="0"/>
  </r>
  <r>
    <s v="EMP-2020-0618"/>
    <s v="Bob"/>
    <s v="Olson"/>
    <n v="40"/>
    <n v="40"/>
    <n v="1984"/>
    <n v="59000"/>
    <n v="59000"/>
    <s v="Female"/>
    <s v="HR"/>
    <x v="0"/>
    <s v="Manager"/>
    <d v="2020-02-20T00:00:00"/>
    <d v="2020-02-20T00:00:00"/>
    <s v="D"/>
    <n v="64"/>
    <s v="bob.olson@saltcorp.com"/>
    <m/>
    <s v="contract"/>
    <x v="0"/>
    <s v="EMP-2019-0014"/>
    <x v="2"/>
    <n v="15"/>
    <m/>
    <d v="2024-08-12T00:00:00"/>
    <m/>
    <s v="YES"/>
    <s v="Yes"/>
    <x v="3"/>
    <x v="0"/>
    <x v="0"/>
  </r>
  <r>
    <s v="EMP-2019-0619"/>
    <s v="Eve"/>
    <s v="Parker"/>
    <m/>
    <n v="33"/>
    <n v="1991"/>
    <n v="58500"/>
    <n v="58500"/>
    <s v="Male"/>
    <s v="finance"/>
    <x v="1"/>
    <s v="Assistant"/>
    <d v="2019-12-01T00:00:00"/>
    <d v="2019-12-01T00:00:00"/>
    <s v="C"/>
    <n v="71"/>
    <s v="eve.parker@saltcorp.com"/>
    <s v="123-456-7890"/>
    <s v="Full-Time"/>
    <x v="1"/>
    <m/>
    <x v="5"/>
    <s v="N/A"/>
    <m/>
    <m/>
    <m/>
    <s v="no"/>
    <s v="No"/>
    <x v="3"/>
    <x v="0"/>
    <x v="0"/>
  </r>
  <r>
    <s v="EMP-2020-0620"/>
    <s v="Ivy"/>
    <s v="Sharma"/>
    <n v="40"/>
    <n v="40"/>
    <n v="1984"/>
    <n v="65000"/>
    <n v="65000"/>
    <s v="Female"/>
    <s v="it"/>
    <x v="3"/>
    <s v="Analyst"/>
    <d v="2020-02-20T00:00:00"/>
    <d v="2020-02-20T00:00:00"/>
    <s v="F"/>
    <n v="12"/>
    <s v="ivy.sharma@saltcorp.com"/>
    <s v=" "/>
    <s v="Full-Time"/>
    <x v="1"/>
    <s v="EMP-2018-0017"/>
    <x v="3"/>
    <m/>
    <m/>
    <m/>
    <m/>
    <s v="no"/>
    <s v="No"/>
    <x v="4"/>
    <x v="0"/>
    <x v="0"/>
  </r>
  <r>
    <s v="EMP-2019-0621"/>
    <s v="David"/>
    <s v="Kim"/>
    <n v="35"/>
    <n v="35"/>
    <n v="1989"/>
    <s v="SIXTY THOUSAND"/>
    <n v="60000"/>
    <s v="Female"/>
    <s v="HR"/>
    <x v="0"/>
    <s v="Manager"/>
    <d v="2019-12-01T00:00:00"/>
    <d v="2019-12-01T00:00:00"/>
    <s v="C"/>
    <n v="72"/>
    <s v="david.kim@saltcorp.com"/>
    <s v="123-456-7890"/>
    <s v="Part-Time"/>
    <x v="2"/>
    <m/>
    <x v="3"/>
    <m/>
    <m/>
    <m/>
    <n v="41"/>
    <s v="no"/>
    <s v="No"/>
    <x v="3"/>
    <x v="0"/>
    <x v="0"/>
  </r>
  <r>
    <s v="EMP-2020-0622"/>
    <s v="Frank"/>
    <s v="Gonzalez"/>
    <n v="25"/>
    <n v="25"/>
    <n v="1999"/>
    <n v="60000"/>
    <n v="60000"/>
    <s v="Male"/>
    <s v="sales"/>
    <x v="2"/>
    <s v="Analyst"/>
    <d v="2020-01-15T00:00:00"/>
    <d v="2020-01-15T00:00:00"/>
    <s v="F"/>
    <n v="51"/>
    <s v="frank.gonzalez@saltcorp.com"/>
    <s v="123-456-7890"/>
    <s v="Full-Time"/>
    <x v="1"/>
    <s v="EMP-2018-0004"/>
    <x v="4"/>
    <s v="N/A"/>
    <m/>
    <m/>
    <m/>
    <m/>
    <s v=""/>
    <x v="1"/>
    <x v="1"/>
    <x v="1"/>
  </r>
  <r>
    <s v="EMP-2020-0623"/>
    <s v="Alice"/>
    <s v="Navarro"/>
    <n v="50"/>
    <n v="50"/>
    <n v="1974"/>
    <n v="59000"/>
    <n v="59000"/>
    <s v="Female"/>
    <s v="HR"/>
    <x v="0"/>
    <s v="Manager"/>
    <d v="2020-02-20T00:00:00"/>
    <d v="2020-02-20T00:00:00"/>
    <s v="B"/>
    <n v="87"/>
    <s v="alice.navarro@saltcorp.com"/>
    <s v="123-456-7890"/>
    <s v="contract"/>
    <x v="0"/>
    <m/>
    <x v="6"/>
    <m/>
    <n v="6"/>
    <d v="2023-01-15T00:00:00"/>
    <n v="10"/>
    <s v="no"/>
    <s v="No"/>
    <x v="4"/>
    <x v="1"/>
    <x v="1"/>
  </r>
  <r>
    <s v="EMP-2020-0624"/>
    <s v="Ivy"/>
    <s v="Byrd"/>
    <n v="35"/>
    <n v="35"/>
    <n v="1989"/>
    <s v="SIXTY THOUSAND"/>
    <n v="60000"/>
    <s v="Female"/>
    <s v="HR"/>
    <x v="0"/>
    <s v="Analyst"/>
    <d v="2020-02-20T00:00:00"/>
    <d v="2020-02-20T00:00:00"/>
    <s v="C"/>
    <n v="72"/>
    <s v="ivy.byrd@saltcorp.com"/>
    <s v="123-456-7890"/>
    <s v="contract"/>
    <x v="0"/>
    <m/>
    <x v="6"/>
    <n v="2"/>
    <m/>
    <m/>
    <m/>
    <m/>
    <s v=""/>
    <x v="1"/>
    <x v="0"/>
    <x v="0"/>
  </r>
  <r>
    <s v="EMP-2018-0625"/>
    <s v="Alice"/>
    <s v="Lee"/>
    <n v="35"/>
    <n v="35"/>
    <n v="1989"/>
    <n v="50000"/>
    <n v="50000"/>
    <s v="Female"/>
    <s v="HR"/>
    <x v="0"/>
    <s v="Assistant"/>
    <d v="2018-04-05T00:00:00"/>
    <d v="2018-04-05T00:00:00"/>
    <s v="B"/>
    <n v="83"/>
    <s v="alice.lee@saltcorp.com"/>
    <s v="123-456-7890"/>
    <s v="Full-Time"/>
    <x v="1"/>
    <m/>
    <x v="2"/>
    <m/>
    <m/>
    <m/>
    <m/>
    <m/>
    <s v=""/>
    <x v="4"/>
    <x v="0"/>
    <x v="0"/>
  </r>
  <r>
    <s v="EMP-2019-0626"/>
    <s v="Eve"/>
    <s v="Turner"/>
    <s v="thirty"/>
    <n v="30"/>
    <n v="1994"/>
    <n v="58500"/>
    <n v="58500"/>
    <s v="Female"/>
    <s v="finance"/>
    <x v="1"/>
    <s v="Assistant"/>
    <d v="2019-12-01T00:00:00"/>
    <d v="2019-12-01T00:00:00"/>
    <s v="B"/>
    <n v="85"/>
    <s v="eve.turner@saltcorp.com"/>
    <m/>
    <s v="contract"/>
    <x v="0"/>
    <m/>
    <x v="5"/>
    <n v="6"/>
    <n v="4"/>
    <d v="2021-10-01T00:00:00"/>
    <m/>
    <s v="YES"/>
    <s v="Yes"/>
    <x v="2"/>
    <x v="1"/>
    <x v="1"/>
  </r>
  <r>
    <s v="EMP-2019-0627"/>
    <s v="David"/>
    <s v="Gomez"/>
    <s v="thirty"/>
    <n v="30"/>
    <n v="1994"/>
    <n v="65000"/>
    <n v="65000"/>
    <s v="Female"/>
    <s v="HR"/>
    <x v="0"/>
    <s v="Analyst"/>
    <d v="2019-12-01T00:00:00"/>
    <d v="2019-12-01T00:00:00"/>
    <s v="A"/>
    <n v="93"/>
    <s v="david.gomez@saltcorp.com"/>
    <s v=" "/>
    <s v="Full-Time"/>
    <x v="1"/>
    <m/>
    <x v="3"/>
    <s v="N/A"/>
    <n v="4"/>
    <s v="N/A"/>
    <m/>
    <s v="YES"/>
    <s v="Yes"/>
    <x v="1"/>
    <x v="0"/>
    <x v="0"/>
  </r>
  <r>
    <s v="EMP-2020-0628"/>
    <s v="Charlie"/>
    <s v="Vega"/>
    <s v="thirty"/>
    <n v="30"/>
    <n v="1994"/>
    <n v="70000"/>
    <n v="70000"/>
    <s v="Female"/>
    <s v="finance"/>
    <x v="1"/>
    <s v="Manager"/>
    <d v="2020-02-20T00:00:00"/>
    <d v="2020-02-20T00:00:00"/>
    <s v="B"/>
    <n v="85"/>
    <s v="charlie.vega@saltcorp.com"/>
    <s v="123-456-7890"/>
    <s v="Part-Time"/>
    <x v="2"/>
    <m/>
    <x v="6"/>
    <n v="14"/>
    <n v="6"/>
    <m/>
    <m/>
    <s v="YES"/>
    <s v="Yes"/>
    <x v="4"/>
    <x v="0"/>
    <x v="0"/>
  </r>
  <r>
    <s v="EMP-2020-0629"/>
    <s v="Frank"/>
    <s v="Perez"/>
    <n v="50"/>
    <n v="50"/>
    <n v="1974"/>
    <n v="70000"/>
    <n v="70000"/>
    <s v="Male"/>
    <s v="sales"/>
    <x v="2"/>
    <s v="Clerk"/>
    <d v="2020-01-15T00:00:00"/>
    <d v="2020-01-15T00:00:00"/>
    <s v="B"/>
    <n v="88"/>
    <s v="frank.perez@saltcorp.com"/>
    <s v="123-456-7890"/>
    <s v="Part-Time"/>
    <x v="2"/>
    <m/>
    <x v="0"/>
    <n v="2"/>
    <m/>
    <d v="2023-01-15T00:00:00"/>
    <m/>
    <s v="YES"/>
    <s v="Yes"/>
    <x v="3"/>
    <x v="1"/>
    <x v="1"/>
  </r>
  <r>
    <s v="EMP-2020-0630"/>
    <s v="Bob"/>
    <s v="Miller"/>
    <s v="thirty"/>
    <n v="30"/>
    <n v="1994"/>
    <n v="55000"/>
    <n v="55000"/>
    <s v="Male"/>
    <s v="finance"/>
    <x v="1"/>
    <s v="Assistant"/>
    <d v="2020-01-15T00:00:00"/>
    <d v="2020-01-15T00:00:00"/>
    <s v="C"/>
    <n v="77"/>
    <s v="bob.miller@saltcorp.com"/>
    <s v="123-456-7890"/>
    <s v="Full-Time"/>
    <x v="1"/>
    <m/>
    <x v="6"/>
    <m/>
    <n v="13"/>
    <s v="N/A"/>
    <n v="8"/>
    <s v="YES"/>
    <s v="Yes"/>
    <x v="4"/>
    <x v="0"/>
    <x v="0"/>
  </r>
  <r>
    <s v="EMP-2020-0631"/>
    <s v="Charlie"/>
    <s v="Ward"/>
    <n v="40"/>
    <n v="40"/>
    <n v="1984"/>
    <n v="55000"/>
    <n v="55000"/>
    <s v="Female"/>
    <s v="sales"/>
    <x v="2"/>
    <s v="Assistant"/>
    <d v="2020-01-15T00:00:00"/>
    <d v="2020-01-15T00:00:00"/>
    <s v="C"/>
    <n v="77"/>
    <s v="charlie.ward@saltcorp.com"/>
    <s v="123-456-7890"/>
    <s v="Full-Time"/>
    <x v="1"/>
    <s v="EMP-2019-0062"/>
    <x v="2"/>
    <s v="N/A"/>
    <m/>
    <s v="N/A"/>
    <m/>
    <s v="YES"/>
    <s v="Yes"/>
    <x v="1"/>
    <x v="1"/>
    <x v="1"/>
  </r>
  <r>
    <s v="EMP-2019-0632"/>
    <s v="Eve"/>
    <s v="Cooper"/>
    <m/>
    <n v="33"/>
    <n v="1991"/>
    <n v="70000"/>
    <n v="70000"/>
    <s v="Female"/>
    <s v="sales"/>
    <x v="2"/>
    <s v="Clerk"/>
    <d v="2019-12-01T00:00:00"/>
    <d v="2019-12-01T00:00:00"/>
    <s v="D"/>
    <n v="62"/>
    <s v="eve.cooper@saltcorp.com"/>
    <s v="098-765-4321"/>
    <s v="Part-Time"/>
    <x v="2"/>
    <m/>
    <x v="2"/>
    <s v="N/A"/>
    <m/>
    <d v="2022-06-20T00:00:00"/>
    <n v="46"/>
    <s v="no"/>
    <s v="No"/>
    <x v="2"/>
    <x v="0"/>
    <x v="0"/>
  </r>
  <r>
    <s v="EMP-2018-0633"/>
    <s v="Ivy"/>
    <s v="Reddy"/>
    <n v="25"/>
    <n v="25"/>
    <n v="1999"/>
    <n v="70000"/>
    <n v="70000"/>
    <s v="Female"/>
    <s v="finance"/>
    <x v="1"/>
    <s v="Analyst"/>
    <d v="2018-04-05T00:00:00"/>
    <d v="2018-04-05T00:00:00"/>
    <s v="A"/>
    <n v="96"/>
    <s v="ivy.reddy@saltcorp.com"/>
    <s v="098-765-4321"/>
    <s v="Part-Time"/>
    <x v="2"/>
    <m/>
    <x v="1"/>
    <s v="N/A"/>
    <n v="7"/>
    <m/>
    <m/>
    <s v="no"/>
    <s v="No"/>
    <x v="1"/>
    <x v="1"/>
    <x v="1"/>
  </r>
  <r>
    <s v="EMP-2020-0634"/>
    <s v="Bob"/>
    <s v="Miller"/>
    <n v="35"/>
    <n v="35"/>
    <n v="1989"/>
    <n v="65000"/>
    <n v="65000"/>
    <s v="Male"/>
    <s v="it"/>
    <x v="3"/>
    <s v="Manager"/>
    <d v="2020-02-20T00:00:00"/>
    <d v="2020-02-20T00:00:00"/>
    <s v="B"/>
    <n v="89"/>
    <s v="bob.miller@saltcorp.com"/>
    <s v="555-555-5555"/>
    <s v="contract"/>
    <x v="0"/>
    <m/>
    <x v="1"/>
    <m/>
    <m/>
    <m/>
    <n v="67"/>
    <m/>
    <s v=""/>
    <x v="0"/>
    <x v="0"/>
    <x v="0"/>
  </r>
  <r>
    <s v="EMP-2019-0635"/>
    <s v="Jack"/>
    <s v="Harrison"/>
    <n v="40"/>
    <n v="40"/>
    <n v="1984"/>
    <s v="SIXTY THOUSAND"/>
    <n v="60000"/>
    <s v="Male"/>
    <s v="Marketing"/>
    <x v="4"/>
    <s v="Analyst"/>
    <d v="2019-03-25T00:00:00"/>
    <d v="2019-03-25T00:00:00"/>
    <s v="A"/>
    <n v="96"/>
    <s v="jack.harrison@saltcorp.com"/>
    <s v="123-456-7890"/>
    <s v="Full-Time"/>
    <x v="1"/>
    <m/>
    <x v="7"/>
    <m/>
    <n v="15"/>
    <m/>
    <n v="41"/>
    <s v="YES"/>
    <s v="Yes"/>
    <x v="3"/>
    <x v="1"/>
    <x v="1"/>
  </r>
  <r>
    <s v="EMP-2018-0636"/>
    <s v="Hannah"/>
    <s v="Gray"/>
    <n v="25"/>
    <n v="25"/>
    <n v="1999"/>
    <n v="55000"/>
    <n v="55000"/>
    <s v="Male"/>
    <s v="HR"/>
    <x v="0"/>
    <s v="Director"/>
    <d v="2018-04-05T00:00:00"/>
    <d v="2018-04-05T00:00:00"/>
    <s v="F"/>
    <n v="49"/>
    <s v="hannah.gray@saltcorp.com"/>
    <s v="555-555-5555"/>
    <s v="contract"/>
    <x v="0"/>
    <m/>
    <x v="4"/>
    <n v="9"/>
    <m/>
    <m/>
    <n v="5"/>
    <s v="YES"/>
    <s v="Yes"/>
    <x v="2"/>
    <x v="1"/>
    <x v="1"/>
  </r>
  <r>
    <s v="EMP-2019-0637"/>
    <s v="Bob"/>
    <s v="Miller"/>
    <n v="40"/>
    <n v="40"/>
    <n v="1984"/>
    <s v="SIXTY THOUSAND"/>
    <n v="60000"/>
    <s v="Male"/>
    <s v="Marketing"/>
    <x v="4"/>
    <s v="Assistant"/>
    <d v="2019-03-25T00:00:00"/>
    <d v="2019-03-25T00:00:00"/>
    <s v="B"/>
    <n v="85"/>
    <s v="bob.miller@saltcorp.com"/>
    <m/>
    <s v="Full-Time"/>
    <x v="1"/>
    <m/>
    <x v="1"/>
    <s v="N/A"/>
    <n v="3"/>
    <d v="2023-03-05T00:00:00"/>
    <m/>
    <s v="YES"/>
    <s v="Yes"/>
    <x v="2"/>
    <x v="1"/>
    <x v="1"/>
  </r>
  <r>
    <s v="EMP-2018-0638"/>
    <s v="Eve"/>
    <s v="Aguilar"/>
    <n v="40"/>
    <n v="40"/>
    <n v="1984"/>
    <n v="65000"/>
    <n v="65000"/>
    <s v="Female"/>
    <s v="HR"/>
    <x v="0"/>
    <s v="Director"/>
    <d v="2018-04-05T00:00:00"/>
    <d v="2018-04-05T00:00:00"/>
    <s v="A"/>
    <n v="99"/>
    <s v="eve.aguilar@saltcorp.com"/>
    <s v="555-555-5555"/>
    <s v="Full-Time"/>
    <x v="1"/>
    <m/>
    <x v="4"/>
    <m/>
    <m/>
    <m/>
    <m/>
    <s v="YES"/>
    <s v="Yes"/>
    <x v="4"/>
    <x v="0"/>
    <x v="0"/>
  </r>
  <r>
    <s v="EMP-2020-0639"/>
    <s v="Grace"/>
    <s v="Mason"/>
    <n v="35"/>
    <n v="35"/>
    <n v="1989"/>
    <n v="70000"/>
    <n v="70000"/>
    <s v="Male"/>
    <s v="HR"/>
    <x v="0"/>
    <s v="Assistant"/>
    <d v="2020-01-15T00:00:00"/>
    <d v="2020-01-15T00:00:00"/>
    <s v="D"/>
    <n v="63"/>
    <s v="grace.mason@saltcorp.com"/>
    <s v=" "/>
    <s v="Part-Time"/>
    <x v="2"/>
    <m/>
    <x v="0"/>
    <m/>
    <m/>
    <m/>
    <m/>
    <s v="no"/>
    <s v="No"/>
    <x v="4"/>
    <x v="0"/>
    <x v="0"/>
  </r>
  <r>
    <s v="EMP-2019-0640"/>
    <s v="Hannah"/>
    <s v="Bell"/>
    <m/>
    <n v="26"/>
    <n v="1998"/>
    <n v="58300"/>
    <n v="58300"/>
    <s v="Male"/>
    <s v="sales"/>
    <x v="2"/>
    <s v="Assistant"/>
    <d v="2019-12-01T00:00:00"/>
    <d v="2019-12-01T00:00:00"/>
    <s v="D"/>
    <n v="69"/>
    <s v="hannah.bell@saltcorp.com"/>
    <s v="098-765-4321"/>
    <s v="Full-Time"/>
    <x v="1"/>
    <m/>
    <x v="5"/>
    <m/>
    <n v="6"/>
    <m/>
    <m/>
    <m/>
    <s v=""/>
    <x v="1"/>
    <x v="1"/>
    <x v="1"/>
  </r>
  <r>
    <s v="EMP-2019-0641"/>
    <s v="Alice"/>
    <s v="Olson"/>
    <s v="thirty"/>
    <n v="30"/>
    <n v="1994"/>
    <s v="SIXTY THOUSAND"/>
    <n v="60000"/>
    <s v="Male"/>
    <s v="HR"/>
    <x v="0"/>
    <s v="Director"/>
    <d v="2019-03-25T00:00:00"/>
    <d v="2019-03-25T00:00:00"/>
    <s v="B"/>
    <n v="85"/>
    <s v="alice.olson@saltcorp.com"/>
    <s v="098-765-4321"/>
    <s v="Part-Time"/>
    <x v="2"/>
    <m/>
    <x v="3"/>
    <n v="3"/>
    <n v="3"/>
    <m/>
    <m/>
    <s v="YES"/>
    <s v="Yes"/>
    <x v="3"/>
    <x v="1"/>
    <x v="1"/>
  </r>
  <r>
    <s v="EMP-2018-0642"/>
    <s v="Frank"/>
    <s v="Medina"/>
    <n v="50"/>
    <n v="50"/>
    <n v="1974"/>
    <n v="70000"/>
    <n v="70000"/>
    <s v="Male"/>
    <s v="HR"/>
    <x v="0"/>
    <s v="Director"/>
    <d v="2018-04-05T00:00:00"/>
    <d v="2018-04-05T00:00:00"/>
    <s v="F"/>
    <n v="22"/>
    <s v="frank.medina@saltcorp.com"/>
    <s v="123-456-7890"/>
    <s v="contract"/>
    <x v="0"/>
    <m/>
    <x v="0"/>
    <m/>
    <m/>
    <m/>
    <m/>
    <m/>
    <s v=""/>
    <x v="4"/>
    <x v="0"/>
    <x v="0"/>
  </r>
  <r>
    <s v="EMP-2019-0643"/>
    <s v="Alice"/>
    <s v="Thompson"/>
    <m/>
    <n v="35"/>
    <n v="1989"/>
    <n v="70000"/>
    <n v="70000"/>
    <s v="Female"/>
    <s v="finance"/>
    <x v="1"/>
    <s v="Analyst"/>
    <d v="2019-12-01T00:00:00"/>
    <d v="2019-12-01T00:00:00"/>
    <s v="D"/>
    <n v="64"/>
    <s v="alice.thompson@saltcorp.com"/>
    <s v="123-456-7890"/>
    <s v="contract"/>
    <x v="0"/>
    <s v="EMP-2019-0047"/>
    <x v="4"/>
    <m/>
    <m/>
    <s v="N/A"/>
    <m/>
    <m/>
    <s v=""/>
    <x v="1"/>
    <x v="1"/>
    <x v="1"/>
  </r>
  <r>
    <s v="EMP-2019-0644"/>
    <s v="Bob"/>
    <s v="Matthews"/>
    <n v="50"/>
    <n v="50"/>
    <n v="1974"/>
    <n v="50000"/>
    <n v="50000"/>
    <s v="Male"/>
    <s v="Marketing"/>
    <x v="4"/>
    <s v="Director"/>
    <d v="2019-03-25T00:00:00"/>
    <d v="2019-03-25T00:00:00"/>
    <s v="D"/>
    <n v="65"/>
    <s v="bob.matthews@saltcorp.com"/>
    <m/>
    <s v="contract"/>
    <x v="0"/>
    <m/>
    <x v="4"/>
    <n v="6"/>
    <m/>
    <m/>
    <n v="40"/>
    <s v="YES"/>
    <s v="Yes"/>
    <x v="4"/>
    <x v="0"/>
    <x v="0"/>
  </r>
  <r>
    <s v="EMP-2020-0645"/>
    <s v="Alice"/>
    <s v="Dominguez"/>
    <n v="35"/>
    <n v="35"/>
    <n v="1989"/>
    <s v="SIXTY THOUSAND"/>
    <n v="60000"/>
    <s v="Female"/>
    <s v="finance"/>
    <x v="1"/>
    <s v="Analyst"/>
    <d v="2020-02-20T00:00:00"/>
    <d v="2020-02-20T00:00:00"/>
    <s v="F"/>
    <n v="30"/>
    <s v="alice.dominguez@saltcorp.com"/>
    <m/>
    <s v="contract"/>
    <x v="0"/>
    <m/>
    <x v="4"/>
    <m/>
    <m/>
    <d v="2022-06-20T00:00:00"/>
    <m/>
    <m/>
    <s v=""/>
    <x v="4"/>
    <x v="0"/>
    <x v="0"/>
  </r>
  <r>
    <s v="EMP-2018-0646"/>
    <s v="Eve"/>
    <s v="Bell"/>
    <n v="35"/>
    <n v="35"/>
    <n v="1989"/>
    <n v="60400"/>
    <n v="60400"/>
    <s v="Female"/>
    <s v="HR"/>
    <x v="0"/>
    <s v="Analyst"/>
    <d v="2018-04-05T00:00:00"/>
    <d v="2018-04-05T00:00:00"/>
    <s v="A"/>
    <n v="95"/>
    <s v="eve.bell@saltcorp.com"/>
    <s v=" "/>
    <s v="contract"/>
    <x v="0"/>
    <m/>
    <x v="2"/>
    <m/>
    <m/>
    <m/>
    <n v="63"/>
    <m/>
    <s v=""/>
    <x v="4"/>
    <x v="0"/>
    <x v="0"/>
  </r>
  <r>
    <s v="EMP-2020-0647"/>
    <s v="Jack"/>
    <s v="O'Neill"/>
    <n v="35"/>
    <n v="35"/>
    <n v="1989"/>
    <s v="SIXTY THOUSAND"/>
    <n v="60000"/>
    <s v="Male"/>
    <s v="sales"/>
    <x v="2"/>
    <s v="Analyst"/>
    <d v="2020-02-20T00:00:00"/>
    <d v="2020-02-20T00:00:00"/>
    <s v="D"/>
    <n v="64"/>
    <s v="jack.o'neill@saltcorp.com"/>
    <s v="123-456-7890"/>
    <s v="Part-Time"/>
    <x v="2"/>
    <m/>
    <x v="5"/>
    <s v="N/A"/>
    <m/>
    <m/>
    <m/>
    <s v="no"/>
    <s v="No"/>
    <x v="4"/>
    <x v="0"/>
    <x v="0"/>
  </r>
  <r>
    <s v="EMP-2020-0648"/>
    <s v="Ivy"/>
    <s v="Desai"/>
    <n v="25"/>
    <n v="25"/>
    <n v="1999"/>
    <n v="70000"/>
    <n v="70000"/>
    <s v="Female"/>
    <s v="finance"/>
    <x v="1"/>
    <s v="Assistant"/>
    <d v="2020-01-15T00:00:00"/>
    <d v="2020-01-15T00:00:00"/>
    <s v="C"/>
    <n v="75"/>
    <s v="ivy.desai@saltcorp.com"/>
    <s v="123-456-7890"/>
    <s v="contract"/>
    <x v="0"/>
    <s v="EMP-2019-0089"/>
    <x v="0"/>
    <m/>
    <m/>
    <m/>
    <m/>
    <s v="YES"/>
    <s v="Yes"/>
    <x v="2"/>
    <x v="0"/>
    <x v="0"/>
  </r>
  <r>
    <s v="EMP-2020-0649"/>
    <s v="Frank"/>
    <s v="Figueroa"/>
    <n v="50"/>
    <n v="50"/>
    <n v="1974"/>
    <n v="58500"/>
    <n v="58500"/>
    <s v="Male"/>
    <s v="finance"/>
    <x v="1"/>
    <s v="Assistant"/>
    <d v="2020-02-20T00:00:00"/>
    <d v="2020-02-20T00:00:00"/>
    <s v="D"/>
    <n v="62"/>
    <s v="frank.figueroa@saltcorp.com"/>
    <m/>
    <s v="Full-Time"/>
    <x v="1"/>
    <m/>
    <x v="6"/>
    <m/>
    <n v="11"/>
    <m/>
    <m/>
    <s v="YES"/>
    <s v="Yes"/>
    <x v="4"/>
    <x v="0"/>
    <x v="0"/>
  </r>
  <r>
    <s v="EMP-2020-0650"/>
    <s v="Alice"/>
    <s v="Rogers"/>
    <m/>
    <n v="58"/>
    <n v="1966"/>
    <n v="65000"/>
    <n v="65000"/>
    <s v="Female"/>
    <s v="it"/>
    <x v="3"/>
    <s v="Director"/>
    <d v="2020-02-20T00:00:00"/>
    <d v="2020-02-20T00:00:00"/>
    <s v="A"/>
    <n v="92"/>
    <s v="alice.rogers@saltcorp.com"/>
    <m/>
    <s v="Full-Time"/>
    <x v="1"/>
    <m/>
    <x v="2"/>
    <m/>
    <n v="3"/>
    <m/>
    <n v="65"/>
    <s v="YES"/>
    <s v="Yes"/>
    <x v="0"/>
    <x v="1"/>
    <x v="1"/>
  </r>
  <r>
    <s v="EMP-2018-0651"/>
    <s v="Alice"/>
    <s v="Anderson"/>
    <m/>
    <n v="38"/>
    <n v="1986"/>
    <n v="50000"/>
    <n v="50000"/>
    <s v="Female"/>
    <s v="HR"/>
    <x v="0"/>
    <s v="Assistant"/>
    <d v="2018-04-05T00:00:00"/>
    <d v="2018-04-05T00:00:00"/>
    <s v="A"/>
    <n v="93"/>
    <s v="alice.anderson@saltcorp.com"/>
    <m/>
    <s v="contract"/>
    <x v="0"/>
    <m/>
    <x v="5"/>
    <m/>
    <n v="16"/>
    <m/>
    <m/>
    <m/>
    <s v=""/>
    <x v="3"/>
    <x v="0"/>
    <x v="0"/>
  </r>
  <r>
    <s v="EMP-2020-0652"/>
    <s v="Bob"/>
    <s v="Bell"/>
    <n v="40"/>
    <n v="40"/>
    <n v="1984"/>
    <n v="70000"/>
    <n v="70000"/>
    <s v="Female"/>
    <s v="sales"/>
    <x v="2"/>
    <s v="Director"/>
    <d v="2020-01-15T00:00:00"/>
    <d v="2020-01-15T00:00:00"/>
    <s v="B"/>
    <n v="86"/>
    <s v="bob.bell@saltcorp.com"/>
    <s v="098-765-4321"/>
    <s v="contract"/>
    <x v="0"/>
    <m/>
    <x v="1"/>
    <m/>
    <m/>
    <d v="2023-03-05T00:00:00"/>
    <n v="77"/>
    <s v="YES"/>
    <s v="Yes"/>
    <x v="2"/>
    <x v="0"/>
    <x v="0"/>
  </r>
  <r>
    <s v="EMP-2020-0653"/>
    <s v="Ivy"/>
    <s v="Jordan"/>
    <n v="40"/>
    <n v="40"/>
    <n v="1984"/>
    <n v="55000"/>
    <n v="55000"/>
    <s v="Female"/>
    <s v="finance"/>
    <x v="1"/>
    <s v="Assistant"/>
    <d v="2020-02-20T00:00:00"/>
    <d v="2020-02-20T00:00:00"/>
    <s v="C"/>
    <n v="77"/>
    <s v="ivy.jordan@saltcorp.com"/>
    <s v="555-555-5555"/>
    <s v="Part-Time"/>
    <x v="2"/>
    <m/>
    <x v="1"/>
    <m/>
    <m/>
    <d v="2021-10-01T00:00:00"/>
    <m/>
    <s v="YES"/>
    <s v="Yes"/>
    <x v="3"/>
    <x v="0"/>
    <x v="0"/>
  </r>
  <r>
    <s v="EMP-2019-0654"/>
    <s v="Charlie"/>
    <s v="Moore"/>
    <n v="40"/>
    <n v="40"/>
    <n v="1984"/>
    <n v="55000"/>
    <n v="55000"/>
    <s v="Male"/>
    <s v="finance"/>
    <x v="1"/>
    <s v="Manager"/>
    <d v="2019-12-01T00:00:00"/>
    <d v="2019-12-01T00:00:00"/>
    <s v="A"/>
    <n v="96"/>
    <s v="charlie.moore@saltcorp.com"/>
    <s v="555-555-5555"/>
    <s v="contract"/>
    <x v="0"/>
    <m/>
    <x v="1"/>
    <m/>
    <n v="12"/>
    <m/>
    <n v="55"/>
    <s v="no"/>
    <s v="No"/>
    <x v="2"/>
    <x v="1"/>
    <x v="1"/>
  </r>
  <r>
    <s v="EMP-2019-0655"/>
    <s v="Alice"/>
    <s v="Hanson"/>
    <n v="35"/>
    <n v="35"/>
    <n v="1989"/>
    <n v="50000"/>
    <n v="50000"/>
    <s v="Female"/>
    <s v="sales"/>
    <x v="2"/>
    <s v="Manager"/>
    <d v="2019-03-25T00:00:00"/>
    <d v="2019-03-25T00:00:00"/>
    <s v="F"/>
    <n v="11"/>
    <s v="alice.hanson@saltcorp.com"/>
    <s v="123-456-7890"/>
    <s v="contract"/>
    <x v="0"/>
    <s v="EMP-2018-0014"/>
    <x v="0"/>
    <m/>
    <n v="12"/>
    <m/>
    <n v="60"/>
    <m/>
    <s v=""/>
    <x v="4"/>
    <x v="1"/>
    <x v="1"/>
  </r>
  <r>
    <s v="EMP-2020-0656"/>
    <s v="Eve"/>
    <s v="Reed"/>
    <m/>
    <n v="48"/>
    <n v="1976"/>
    <n v="65000"/>
    <n v="65000"/>
    <s v="Female"/>
    <s v="HR"/>
    <x v="0"/>
    <s v="Director"/>
    <d v="2020-02-20T00:00:00"/>
    <d v="2020-02-20T00:00:00"/>
    <s v="C"/>
    <n v="73"/>
    <s v="eve.reed@saltcorp.com"/>
    <s v="098-765-4321"/>
    <s v="Full-Time"/>
    <x v="1"/>
    <m/>
    <x v="4"/>
    <m/>
    <m/>
    <m/>
    <n v="6"/>
    <s v="YES"/>
    <s v="Yes"/>
    <x v="0"/>
    <x v="0"/>
    <x v="0"/>
  </r>
  <r>
    <s v="EMP-2020-0657"/>
    <s v="Grace"/>
    <s v="Zhou"/>
    <n v="50"/>
    <n v="50"/>
    <n v="1974"/>
    <n v="70000"/>
    <n v="70000"/>
    <s v="Female"/>
    <s v="it"/>
    <x v="3"/>
    <s v="Assistant"/>
    <d v="2020-01-15T00:00:00"/>
    <d v="2020-01-15T00:00:00"/>
    <s v="C"/>
    <n v="78"/>
    <s v="grace.zhou@saltcorp.com"/>
    <m/>
    <s v="Full-Time"/>
    <x v="1"/>
    <m/>
    <x v="6"/>
    <s v="N/A"/>
    <n v="18"/>
    <d v="2023-01-15T00:00:00"/>
    <m/>
    <m/>
    <s v=""/>
    <x v="4"/>
    <x v="1"/>
    <x v="1"/>
  </r>
  <r>
    <s v="EMP-2020-0658"/>
    <s v="Frank"/>
    <s v="Lopez"/>
    <n v="35"/>
    <n v="35"/>
    <n v="1989"/>
    <s v="SIXTY THOUSAND"/>
    <n v="60000"/>
    <s v="Male"/>
    <s v="finance"/>
    <x v="1"/>
    <s v="Assistant"/>
    <d v="2020-02-20T00:00:00"/>
    <d v="2020-02-20T00:00:00"/>
    <s v="F"/>
    <n v="7"/>
    <s v="frank.lopez@saltcorp.com"/>
    <s v="123-456-7890"/>
    <s v="contract"/>
    <x v="0"/>
    <s v="EMP-2019-0056"/>
    <x v="7"/>
    <m/>
    <m/>
    <m/>
    <m/>
    <s v="no"/>
    <s v="No"/>
    <x v="2"/>
    <x v="0"/>
    <x v="0"/>
  </r>
  <r>
    <s v="EMP-2019-0659"/>
    <s v="Alice"/>
    <s v="Ward"/>
    <n v="25"/>
    <n v="25"/>
    <n v="1999"/>
    <n v="50000"/>
    <n v="50000"/>
    <s v="Female"/>
    <s v="it"/>
    <x v="3"/>
    <s v="Analyst"/>
    <d v="2019-03-25T00:00:00"/>
    <d v="2019-03-25T00:00:00"/>
    <s v="D"/>
    <n v="69"/>
    <s v="alice.ward@saltcorp.com"/>
    <s v="098-765-4321"/>
    <s v="contract"/>
    <x v="0"/>
    <m/>
    <x v="0"/>
    <m/>
    <m/>
    <m/>
    <m/>
    <m/>
    <s v=""/>
    <x v="2"/>
    <x v="0"/>
    <x v="0"/>
  </r>
  <r>
    <s v="EMP-2020-0660"/>
    <s v="Eve"/>
    <s v="Mitchell"/>
    <n v="40"/>
    <n v="40"/>
    <n v="1984"/>
    <n v="65000"/>
    <n v="65000"/>
    <s v="Male"/>
    <s v="Marketing"/>
    <x v="4"/>
    <s v="Clerk"/>
    <d v="2020-01-15T00:00:00"/>
    <d v="2020-01-15T00:00:00"/>
    <s v="F"/>
    <n v="5"/>
    <s v="eve.mitchell@saltcorp.com"/>
    <s v=" "/>
    <s v="Part-Time"/>
    <x v="2"/>
    <m/>
    <x v="7"/>
    <s v="N/A"/>
    <m/>
    <m/>
    <m/>
    <s v="YES"/>
    <s v="Yes"/>
    <x v="3"/>
    <x v="0"/>
    <x v="0"/>
  </r>
  <r>
    <s v="EMP-2018-0661"/>
    <s v="Eve"/>
    <s v="Wells"/>
    <n v="35"/>
    <n v="35"/>
    <n v="1989"/>
    <s v="SIXTY THOUSAND"/>
    <n v="60000"/>
    <s v="Male"/>
    <s v="HR"/>
    <x v="0"/>
    <s v="Director"/>
    <d v="2018-04-05T00:00:00"/>
    <d v="2018-04-05T00:00:00"/>
    <s v="F"/>
    <n v="15"/>
    <s v="eve.wells@saltcorp.com"/>
    <s v="098-765-4321"/>
    <s v="contract"/>
    <x v="0"/>
    <m/>
    <x v="4"/>
    <n v="10"/>
    <m/>
    <d v="2023-01-15T00:00:00"/>
    <m/>
    <s v="YES"/>
    <s v="Yes"/>
    <x v="1"/>
    <x v="1"/>
    <x v="1"/>
  </r>
  <r>
    <s v="EMP-2020-0662"/>
    <s v="Frank"/>
    <s v="Le"/>
    <n v="35"/>
    <n v="35"/>
    <n v="1989"/>
    <n v="55000"/>
    <n v="55000"/>
    <s v="Female"/>
    <s v="Marketing"/>
    <x v="4"/>
    <s v="Clerk"/>
    <d v="2020-01-15T00:00:00"/>
    <d v="2020-01-15T00:00:00"/>
    <s v="D"/>
    <n v="65"/>
    <s v="frank.le@saltcorp.com"/>
    <s v="123-456-7890"/>
    <s v="contract"/>
    <x v="0"/>
    <m/>
    <x v="4"/>
    <m/>
    <n v="8"/>
    <m/>
    <m/>
    <s v="YES"/>
    <s v="Yes"/>
    <x v="0"/>
    <x v="1"/>
    <x v="1"/>
  </r>
  <r>
    <s v="EMP-2018-0663"/>
    <s v="Charlie"/>
    <s v="Moore"/>
    <n v="25"/>
    <n v="25"/>
    <n v="1999"/>
    <n v="55000"/>
    <n v="55000"/>
    <s v="Male"/>
    <s v="Marketing"/>
    <x v="4"/>
    <s v="Clerk"/>
    <d v="2018-04-05T00:00:00"/>
    <d v="2018-04-05T00:00:00"/>
    <s v="D"/>
    <n v="66"/>
    <s v="charlie.moore@saltcorp.com"/>
    <s v="555-555-5555"/>
    <s v="Full-Time"/>
    <x v="1"/>
    <m/>
    <x v="4"/>
    <m/>
    <m/>
    <d v="2024-08-12T00:00:00"/>
    <m/>
    <s v="YES"/>
    <s v="Yes"/>
    <x v="4"/>
    <x v="0"/>
    <x v="0"/>
  </r>
  <r>
    <s v="EMP-2020-0664"/>
    <s v="Eve"/>
    <s v="Parker"/>
    <s v="thirty"/>
    <n v="30"/>
    <n v="1994"/>
    <s v="SIXTY THOUSAND"/>
    <n v="60000"/>
    <s v="Male"/>
    <s v="Marketing"/>
    <x v="4"/>
    <s v="Director"/>
    <d v="2020-01-15T00:00:00"/>
    <d v="2020-01-15T00:00:00"/>
    <s v="D"/>
    <n v="66"/>
    <s v="eve.parker@saltcorp.com"/>
    <m/>
    <s v="contract"/>
    <x v="0"/>
    <s v="EMP-2019-0011"/>
    <x v="7"/>
    <m/>
    <m/>
    <m/>
    <n v="62"/>
    <s v="YES"/>
    <s v="Yes"/>
    <x v="0"/>
    <x v="1"/>
    <x v="1"/>
  </r>
  <r>
    <s v="EMP-2019-0665"/>
    <s v="Grace"/>
    <s v="Aguilar"/>
    <m/>
    <n v="28"/>
    <n v="1996"/>
    <n v="50000"/>
    <n v="50000"/>
    <s v="Female"/>
    <s v="HR"/>
    <x v="0"/>
    <s v="Assistant"/>
    <d v="2019-03-25T00:00:00"/>
    <d v="2019-03-25T00:00:00"/>
    <s v="D"/>
    <n v="68"/>
    <s v="grace.aguilar@saltcorp.com"/>
    <s v=" "/>
    <s v="Full-Time"/>
    <x v="1"/>
    <m/>
    <x v="4"/>
    <s v="N/A"/>
    <m/>
    <d v="2024-08-12T00:00:00"/>
    <m/>
    <s v="no"/>
    <s v="No"/>
    <x v="1"/>
    <x v="0"/>
    <x v="0"/>
  </r>
  <r>
    <s v="EMP-2019-0666"/>
    <s v="Eve"/>
    <s v="Young"/>
    <n v="50"/>
    <n v="50"/>
    <n v="1974"/>
    <n v="55000"/>
    <n v="55000"/>
    <s v="Female"/>
    <s v="HR"/>
    <x v="0"/>
    <s v="Director"/>
    <d v="2019-03-25T00:00:00"/>
    <d v="2019-03-25T00:00:00"/>
    <s v="D"/>
    <n v="62"/>
    <s v="eve.young@saltcorp.com"/>
    <s v="098-765-4321"/>
    <s v="contract"/>
    <x v="0"/>
    <m/>
    <x v="7"/>
    <s v="N/A"/>
    <m/>
    <d v="2023-01-15T00:00:00"/>
    <m/>
    <s v="no"/>
    <s v="No"/>
    <x v="0"/>
    <x v="0"/>
    <x v="0"/>
  </r>
  <r>
    <s v="EMP-2020-0667"/>
    <s v="Eve"/>
    <s v="Parker"/>
    <s v="thirty"/>
    <n v="30"/>
    <n v="1994"/>
    <n v="70000"/>
    <n v="70000"/>
    <s v="Female"/>
    <s v="sales"/>
    <x v="2"/>
    <s v="Clerk"/>
    <d v="2020-01-15T00:00:00"/>
    <d v="2020-01-15T00:00:00"/>
    <s v="F"/>
    <n v="0"/>
    <s v="eve.parker@saltcorp.com"/>
    <s v="123-456-7890"/>
    <s v="contract"/>
    <x v="0"/>
    <m/>
    <x v="4"/>
    <n v="10"/>
    <m/>
    <m/>
    <n v="67"/>
    <s v="YES"/>
    <s v="Yes"/>
    <x v="2"/>
    <x v="0"/>
    <x v="0"/>
  </r>
  <r>
    <s v="EMP-2020-0668"/>
    <s v="Eve"/>
    <s v="Reed"/>
    <n v="40"/>
    <n v="40"/>
    <n v="1984"/>
    <n v="59800"/>
    <n v="59800"/>
    <s v="Female"/>
    <s v="it"/>
    <x v="3"/>
    <s v="Assistant"/>
    <d v="2020-02-20T00:00:00"/>
    <d v="2020-02-20T00:00:00"/>
    <s v="B"/>
    <n v="82"/>
    <s v="eve.reed@saltcorp.com"/>
    <s v="123-456-7890"/>
    <s v="Part-Time"/>
    <x v="2"/>
    <s v="EMP-2019-0041"/>
    <x v="3"/>
    <m/>
    <m/>
    <m/>
    <n v="52"/>
    <s v="YES"/>
    <s v="Yes"/>
    <x v="3"/>
    <x v="1"/>
    <x v="1"/>
  </r>
  <r>
    <s v="EMP-2019-0669"/>
    <s v="Jack"/>
    <s v="O'Neill"/>
    <n v="35"/>
    <n v="35"/>
    <n v="1989"/>
    <s v="SIXTY THOUSAND"/>
    <n v="60000"/>
    <s v="Male"/>
    <s v="it"/>
    <x v="3"/>
    <s v="Manager"/>
    <d v="2019-03-25T00:00:00"/>
    <d v="2019-03-25T00:00:00"/>
    <s v="B"/>
    <n v="87"/>
    <s v="jack.o'neill@saltcorp.com"/>
    <m/>
    <s v="Part-Time"/>
    <x v="2"/>
    <s v="EMP-2020-0015"/>
    <x v="4"/>
    <s v="N/A"/>
    <n v="11"/>
    <m/>
    <m/>
    <s v="no"/>
    <s v="No"/>
    <x v="0"/>
    <x v="0"/>
    <x v="0"/>
  </r>
  <r>
    <s v="EMP-2018-0670"/>
    <s v="Jack"/>
    <s v="Mason"/>
    <n v="25"/>
    <n v="25"/>
    <n v="1999"/>
    <s v="SIXTY THOUSAND"/>
    <n v="60000"/>
    <s v="Male"/>
    <s v="sales"/>
    <x v="2"/>
    <s v="Director"/>
    <d v="2018-04-05T00:00:00"/>
    <d v="2018-04-05T00:00:00"/>
    <s v="A"/>
    <n v="97"/>
    <s v="jack.mason@saltcorp.com"/>
    <s v="123-456-7890"/>
    <s v="Part-Time"/>
    <x v="2"/>
    <m/>
    <x v="6"/>
    <n v="11"/>
    <m/>
    <m/>
    <m/>
    <s v="YES"/>
    <s v="Yes"/>
    <x v="1"/>
    <x v="0"/>
    <x v="0"/>
  </r>
  <r>
    <s v="EMP-2018-0671"/>
    <s v="Charlie"/>
    <s v="White"/>
    <n v="25"/>
    <n v="25"/>
    <n v="1999"/>
    <n v="55000"/>
    <n v="55000"/>
    <s v="Female"/>
    <s v="sales"/>
    <x v="2"/>
    <s v="Director"/>
    <d v="2018-04-05T00:00:00"/>
    <d v="2018-04-05T00:00:00"/>
    <s v="B"/>
    <n v="83"/>
    <s v="charlie.white@saltcorp.com"/>
    <s v="123-456-7890"/>
    <s v="Full-Time"/>
    <x v="1"/>
    <m/>
    <x v="7"/>
    <m/>
    <m/>
    <m/>
    <m/>
    <m/>
    <s v=""/>
    <x v="3"/>
    <x v="1"/>
    <x v="1"/>
  </r>
  <r>
    <s v="EMP-2019-0672"/>
    <s v="Alice"/>
    <s v="Santos"/>
    <m/>
    <n v="27"/>
    <n v="1997"/>
    <n v="50000"/>
    <n v="50000"/>
    <s v="Female"/>
    <s v="Marketing"/>
    <x v="4"/>
    <s v="Assistant"/>
    <d v="2019-12-01T00:00:00"/>
    <d v="2019-12-01T00:00:00"/>
    <s v="B"/>
    <n v="88"/>
    <s v="alice.santos@saltcorp.com"/>
    <m/>
    <s v="contract"/>
    <x v="0"/>
    <m/>
    <x v="3"/>
    <m/>
    <m/>
    <m/>
    <m/>
    <s v="YES"/>
    <s v="Yes"/>
    <x v="2"/>
    <x v="0"/>
    <x v="0"/>
  </r>
  <r>
    <s v="EMP-2018-0673"/>
    <s v="Eve"/>
    <s v="Sims"/>
    <s v="thirty"/>
    <n v="30"/>
    <n v="1994"/>
    <n v="70000"/>
    <n v="70000"/>
    <s v="Female"/>
    <s v="sales"/>
    <x v="2"/>
    <s v="Manager"/>
    <d v="2018-04-05T00:00:00"/>
    <d v="2018-04-05T00:00:00"/>
    <s v="F"/>
    <n v="32"/>
    <s v="eve.sims@saltcorp.com"/>
    <s v=" "/>
    <s v="Full-Time"/>
    <x v="1"/>
    <m/>
    <x v="5"/>
    <m/>
    <n v="1"/>
    <s v="N/A"/>
    <m/>
    <m/>
    <s v=""/>
    <x v="0"/>
    <x v="1"/>
    <x v="1"/>
  </r>
  <r>
    <s v="EMP-2019-0674"/>
    <s v="Ivy"/>
    <s v="Patel"/>
    <m/>
    <n v="48"/>
    <n v="1976"/>
    <n v="50000"/>
    <n v="50000"/>
    <s v="Female"/>
    <s v="finance"/>
    <x v="1"/>
    <s v="Manager"/>
    <d v="2019-12-01T00:00:00"/>
    <d v="2019-12-01T00:00:00"/>
    <s v="D"/>
    <n v="64"/>
    <s v="ivy.patel@saltcorp.com"/>
    <s v="555-555-5555"/>
    <s v="contract"/>
    <x v="0"/>
    <m/>
    <x v="0"/>
    <s v="N/A"/>
    <m/>
    <m/>
    <n v="74"/>
    <s v="YES"/>
    <s v="Yes"/>
    <x v="3"/>
    <x v="0"/>
    <x v="0"/>
  </r>
  <r>
    <s v="EMP-2020-0675"/>
    <s v="Alice"/>
    <s v="Thompson"/>
    <n v="35"/>
    <n v="35"/>
    <n v="1989"/>
    <n v="65000"/>
    <n v="65000"/>
    <s v="Female"/>
    <s v="it"/>
    <x v="3"/>
    <s v="Assistant"/>
    <d v="2020-01-15T00:00:00"/>
    <d v="2020-01-15T00:00:00"/>
    <s v="D"/>
    <n v="60"/>
    <s v="alice.thompson@saltcorp.com"/>
    <s v="555-555-5555"/>
    <s v="contract"/>
    <x v="0"/>
    <m/>
    <x v="1"/>
    <m/>
    <m/>
    <m/>
    <m/>
    <s v="no"/>
    <s v="No"/>
    <x v="0"/>
    <x v="0"/>
    <x v="0"/>
  </r>
  <r>
    <s v="EMP-2020-0676"/>
    <s v="Charlie"/>
    <s v="Figueroa"/>
    <m/>
    <n v="40"/>
    <n v="1984"/>
    <n v="65000"/>
    <n v="65000"/>
    <s v="Female"/>
    <s v="sales"/>
    <x v="2"/>
    <s v="Analyst"/>
    <d v="2020-01-15T00:00:00"/>
    <d v="2020-01-15T00:00:00"/>
    <s v="F"/>
    <n v="6"/>
    <s v="charlie.figueroa@saltcorp.com"/>
    <s v="098-765-4321"/>
    <s v="Part-Time"/>
    <x v="2"/>
    <m/>
    <x v="1"/>
    <s v="N/A"/>
    <m/>
    <d v="2022-06-20T00:00:00"/>
    <m/>
    <s v="no"/>
    <s v="No"/>
    <x v="0"/>
    <x v="0"/>
    <x v="0"/>
  </r>
  <r>
    <s v="EMP-2020-0677"/>
    <s v="David"/>
    <s v="Walsh"/>
    <n v="50"/>
    <n v="50"/>
    <n v="1974"/>
    <n v="60300"/>
    <n v="60300"/>
    <s v="Male"/>
    <s v="finance"/>
    <x v="1"/>
    <s v="Director"/>
    <d v="2020-01-15T00:00:00"/>
    <d v="2020-01-15T00:00:00"/>
    <s v="B"/>
    <n v="83"/>
    <s v="david.walsh@saltcorp.com"/>
    <s v=" "/>
    <s v="Part-Time"/>
    <x v="2"/>
    <s v="EMP-2019-0050"/>
    <x v="1"/>
    <m/>
    <n v="3"/>
    <d v="2023-01-15T00:00:00"/>
    <n v="64"/>
    <s v="no"/>
    <s v="No"/>
    <x v="0"/>
    <x v="1"/>
    <x v="1"/>
  </r>
  <r>
    <s v="EMP-2020-0678"/>
    <s v="Alice"/>
    <s v="Chen"/>
    <n v="25"/>
    <n v="25"/>
    <n v="1999"/>
    <n v="55000"/>
    <n v="55000"/>
    <s v="Female"/>
    <s v="finance"/>
    <x v="1"/>
    <s v="Director"/>
    <d v="2020-02-20T00:00:00"/>
    <d v="2020-02-20T00:00:00"/>
    <s v="F"/>
    <n v="55"/>
    <s v="alice.chen@saltcorp.com"/>
    <s v="098-765-4321"/>
    <s v="Part-Time"/>
    <x v="2"/>
    <m/>
    <x v="4"/>
    <m/>
    <m/>
    <m/>
    <m/>
    <s v="no"/>
    <s v="No"/>
    <x v="3"/>
    <x v="0"/>
    <x v="0"/>
  </r>
  <r>
    <s v="EMP-2020-0679"/>
    <s v="Alice"/>
    <s v="Sims"/>
    <n v="25"/>
    <n v="25"/>
    <n v="1999"/>
    <n v="55000"/>
    <n v="55000"/>
    <s v="Female"/>
    <s v="finance"/>
    <x v="1"/>
    <s v="Clerk"/>
    <d v="2020-02-20T00:00:00"/>
    <d v="2020-02-20T00:00:00"/>
    <s v="A"/>
    <n v="91"/>
    <s v="alice.sims@saltcorp.com"/>
    <s v="555-555-5555"/>
    <s v="contract"/>
    <x v="0"/>
    <s v="EMP-2018-0074"/>
    <x v="0"/>
    <n v="12"/>
    <m/>
    <m/>
    <m/>
    <s v="no"/>
    <s v="No"/>
    <x v="3"/>
    <x v="1"/>
    <x v="1"/>
  </r>
  <r>
    <s v="EMP-2019-0680"/>
    <s v="Hannah"/>
    <s v="Gray"/>
    <n v="40"/>
    <n v="40"/>
    <n v="1984"/>
    <n v="55000"/>
    <n v="55000"/>
    <s v="Female"/>
    <s v="finance"/>
    <x v="1"/>
    <s v="Assistant"/>
    <d v="2019-12-01T00:00:00"/>
    <d v="2019-12-01T00:00:00"/>
    <s v="D"/>
    <n v="62"/>
    <s v="hannah.gray@saltcorp.com"/>
    <m/>
    <s v="Full-Time"/>
    <x v="1"/>
    <m/>
    <x v="6"/>
    <s v="N/A"/>
    <m/>
    <m/>
    <m/>
    <s v="YES"/>
    <s v="Yes"/>
    <x v="3"/>
    <x v="0"/>
    <x v="0"/>
  </r>
  <r>
    <s v="EMP-2018-0681"/>
    <s v="Bob"/>
    <s v="Gibson"/>
    <n v="40"/>
    <n v="40"/>
    <n v="1984"/>
    <n v="58600"/>
    <n v="58600"/>
    <s v="Male"/>
    <s v="Marketing"/>
    <x v="4"/>
    <s v="Clerk"/>
    <d v="2018-04-05T00:00:00"/>
    <d v="2018-04-05T00:00:00"/>
    <s v="C"/>
    <n v="73"/>
    <s v="bob.gibson@saltcorp.com"/>
    <s v="123-456-7890"/>
    <s v="Part-Time"/>
    <x v="2"/>
    <m/>
    <x v="4"/>
    <m/>
    <n v="6"/>
    <d v="2021-10-01T00:00:00"/>
    <m/>
    <s v="YES"/>
    <s v="Yes"/>
    <x v="3"/>
    <x v="1"/>
    <x v="1"/>
  </r>
  <r>
    <s v="EMP-2018-0682"/>
    <s v="Hannah"/>
    <s v="Medina"/>
    <n v="35"/>
    <n v="35"/>
    <n v="1989"/>
    <n v="65000"/>
    <n v="65000"/>
    <s v="Female"/>
    <s v="finance"/>
    <x v="1"/>
    <s v="Clerk"/>
    <d v="2018-04-05T00:00:00"/>
    <d v="2018-04-05T00:00:00"/>
    <s v="A"/>
    <n v="95"/>
    <s v="hannah.medina@saltcorp.com"/>
    <s v="555-555-5555"/>
    <s v="Full-Time"/>
    <x v="1"/>
    <m/>
    <x v="4"/>
    <m/>
    <m/>
    <d v="2022-06-20T00:00:00"/>
    <m/>
    <m/>
    <s v=""/>
    <x v="0"/>
    <x v="0"/>
    <x v="0"/>
  </r>
  <r>
    <s v="EMP-2020-0683"/>
    <s v="Grace"/>
    <s v="Gomez"/>
    <n v="50"/>
    <n v="50"/>
    <n v="1974"/>
    <n v="50000"/>
    <n v="50000"/>
    <s v="Female"/>
    <s v="Marketing"/>
    <x v="4"/>
    <s v="Manager"/>
    <d v="2020-01-15T00:00:00"/>
    <d v="2020-01-15T00:00:00"/>
    <s v="A"/>
    <n v="92"/>
    <s v="grace.gomez@saltcorp.com"/>
    <s v=" "/>
    <s v="Full-Time"/>
    <x v="1"/>
    <m/>
    <x v="3"/>
    <m/>
    <n v="2"/>
    <d v="2023-01-15T00:00:00"/>
    <m/>
    <s v="no"/>
    <s v="No"/>
    <x v="0"/>
    <x v="0"/>
    <x v="0"/>
  </r>
  <r>
    <s v="EMP-2019-0684"/>
    <s v="Jack"/>
    <s v="Young"/>
    <s v="thirty"/>
    <n v="30"/>
    <n v="1994"/>
    <n v="60500"/>
    <n v="60500"/>
    <s v="Female"/>
    <s v="Marketing"/>
    <x v="4"/>
    <s v="Director"/>
    <d v="2019-03-25T00:00:00"/>
    <d v="2019-03-25T00:00:00"/>
    <s v="F"/>
    <n v="48"/>
    <s v="jack.young@saltcorp.com"/>
    <s v="555-555-5555"/>
    <s v="contract"/>
    <x v="0"/>
    <m/>
    <x v="4"/>
    <m/>
    <m/>
    <d v="2024-08-12T00:00:00"/>
    <m/>
    <s v="YES"/>
    <s v="Yes"/>
    <x v="2"/>
    <x v="0"/>
    <x v="0"/>
  </r>
  <r>
    <s v="EMP-2020-0685"/>
    <s v="Jack"/>
    <s v="Dominguez"/>
    <m/>
    <n v="25"/>
    <n v="1999"/>
    <n v="61300"/>
    <n v="61300"/>
    <s v="Female"/>
    <s v="finance"/>
    <x v="1"/>
    <s v="Clerk"/>
    <d v="2020-02-20T00:00:00"/>
    <d v="2020-02-20T00:00:00"/>
    <s v="B"/>
    <n v="80"/>
    <s v="jack.dominguez@saltcorp.com"/>
    <s v=" "/>
    <s v="contract"/>
    <x v="0"/>
    <m/>
    <x v="2"/>
    <m/>
    <m/>
    <m/>
    <n v="58"/>
    <s v="YES"/>
    <s v="Yes"/>
    <x v="1"/>
    <x v="0"/>
    <x v="0"/>
  </r>
  <r>
    <s v="EMP-2020-0686"/>
    <s v="Bob"/>
    <s v="Garcia"/>
    <n v="35"/>
    <n v="35"/>
    <n v="1989"/>
    <n v="50000"/>
    <n v="50000"/>
    <s v="Male"/>
    <s v="it"/>
    <x v="3"/>
    <s v="Manager"/>
    <d v="2020-02-20T00:00:00"/>
    <d v="2020-02-20T00:00:00"/>
    <s v="D"/>
    <n v="65"/>
    <s v="bob.garcia@saltcorp.com"/>
    <s v=" "/>
    <s v="Part-Time"/>
    <x v="2"/>
    <m/>
    <x v="1"/>
    <m/>
    <n v="5"/>
    <d v="2023-01-15T00:00:00"/>
    <m/>
    <s v="YES"/>
    <s v="Yes"/>
    <x v="2"/>
    <x v="0"/>
    <x v="0"/>
  </r>
  <r>
    <s v="EMP-2020-0687"/>
    <s v="Frank"/>
    <s v="Mason"/>
    <n v="40"/>
    <n v="40"/>
    <n v="1984"/>
    <n v="55000"/>
    <n v="55000"/>
    <s v="Male"/>
    <s v="finance"/>
    <x v="1"/>
    <s v="Assistant"/>
    <d v="2020-01-15T00:00:00"/>
    <d v="2020-01-15T00:00:00"/>
    <s v="C"/>
    <n v="77"/>
    <s v="frank.mason@saltcorp.com"/>
    <s v=" "/>
    <s v="Full-Time"/>
    <x v="1"/>
    <m/>
    <x v="5"/>
    <n v="15"/>
    <m/>
    <m/>
    <m/>
    <s v="YES"/>
    <s v="Yes"/>
    <x v="1"/>
    <x v="1"/>
    <x v="1"/>
  </r>
  <r>
    <s v="EMP-2020-0688"/>
    <s v="Frank"/>
    <s v="Flores"/>
    <m/>
    <n v="31"/>
    <n v="1993"/>
    <n v="70000"/>
    <n v="70000"/>
    <s v="Female"/>
    <s v="finance"/>
    <x v="1"/>
    <s v="Clerk"/>
    <d v="2020-02-20T00:00:00"/>
    <d v="2020-02-20T00:00:00"/>
    <s v="A"/>
    <n v="100"/>
    <s v="frank.flores@saltcorp.com"/>
    <s v="098-765-4321"/>
    <s v="Full-Time"/>
    <x v="1"/>
    <s v="EMP-2019-0015"/>
    <x v="0"/>
    <s v="N/A"/>
    <n v="14"/>
    <m/>
    <m/>
    <s v="YES"/>
    <s v="Yes"/>
    <x v="4"/>
    <x v="1"/>
    <x v="1"/>
  </r>
  <r>
    <s v="EMP-2020-0689"/>
    <s v="Charlie"/>
    <s v="Byrd"/>
    <n v="40"/>
    <n v="40"/>
    <n v="1984"/>
    <n v="50000"/>
    <n v="50000"/>
    <s v="Male"/>
    <s v="finance"/>
    <x v="1"/>
    <s v="Director"/>
    <d v="2020-01-15T00:00:00"/>
    <d v="2020-01-15T00:00:00"/>
    <s v="C"/>
    <n v="76"/>
    <s v="charlie.byrd@saltcorp.com"/>
    <m/>
    <s v="Part-Time"/>
    <x v="2"/>
    <m/>
    <x v="6"/>
    <n v="7"/>
    <n v="16"/>
    <m/>
    <n v="47"/>
    <s v="YES"/>
    <s v="Yes"/>
    <x v="4"/>
    <x v="0"/>
    <x v="0"/>
  </r>
  <r>
    <s v="EMP-2019-0690"/>
    <s v="Bob"/>
    <s v="Johnson"/>
    <m/>
    <n v="24"/>
    <n v="2000"/>
    <n v="65000"/>
    <n v="65000"/>
    <s v="Male"/>
    <s v="it"/>
    <x v="3"/>
    <s v="Clerk"/>
    <d v="2019-12-01T00:00:00"/>
    <d v="2019-12-01T00:00:00"/>
    <s v="B"/>
    <n v="85"/>
    <s v="bob.johnson@saltcorp.com"/>
    <s v="555-555-5555"/>
    <s v="Part-Time"/>
    <x v="2"/>
    <m/>
    <x v="6"/>
    <s v="N/A"/>
    <n v="12"/>
    <m/>
    <n v="75"/>
    <s v="no"/>
    <s v="No"/>
    <x v="0"/>
    <x v="1"/>
    <x v="1"/>
  </r>
  <r>
    <s v="EMP-2018-0691"/>
    <s v="Alice"/>
    <s v="Bishop"/>
    <s v="thirty"/>
    <n v="30"/>
    <n v="1994"/>
    <s v="SIXTY THOUSAND"/>
    <n v="60000"/>
    <s v="Male"/>
    <s v="HR"/>
    <x v="0"/>
    <s v="Assistant"/>
    <d v="2018-04-05T00:00:00"/>
    <d v="2018-04-05T00:00:00"/>
    <s v="B"/>
    <n v="80"/>
    <s v="alice.bishop@saltcorp.com"/>
    <m/>
    <s v="contract"/>
    <x v="0"/>
    <m/>
    <x v="4"/>
    <m/>
    <n v="0"/>
    <d v="2023-01-15T00:00:00"/>
    <m/>
    <s v="YES"/>
    <s v="Yes"/>
    <x v="3"/>
    <x v="0"/>
    <x v="0"/>
  </r>
  <r>
    <s v="EMP-2019-0692"/>
    <s v="Frank"/>
    <s v="Sanchez"/>
    <n v="35"/>
    <n v="35"/>
    <n v="1989"/>
    <s v="SIXTY THOUSAND"/>
    <n v="60000"/>
    <s v="Male"/>
    <s v="HR"/>
    <x v="0"/>
    <s v="Clerk"/>
    <d v="2019-03-25T00:00:00"/>
    <d v="2019-03-25T00:00:00"/>
    <s v="C"/>
    <n v="71"/>
    <s v="frank.sanchez@saltcorp.com"/>
    <s v="123-456-7890"/>
    <s v="contract"/>
    <x v="0"/>
    <m/>
    <x v="5"/>
    <s v="N/A"/>
    <m/>
    <d v="2021-10-01T00:00:00"/>
    <m/>
    <m/>
    <s v=""/>
    <x v="3"/>
    <x v="1"/>
    <x v="1"/>
  </r>
  <r>
    <s v="EMP-2018-0693"/>
    <s v="Eve"/>
    <s v="Turner"/>
    <m/>
    <n v="54"/>
    <n v="1970"/>
    <n v="60500"/>
    <n v="60500"/>
    <s v="Male"/>
    <s v="Marketing"/>
    <x v="4"/>
    <s v="Director"/>
    <d v="2018-04-05T00:00:00"/>
    <d v="2018-04-05T00:00:00"/>
    <s v="D"/>
    <n v="67"/>
    <s v="eve.turner@saltcorp.com"/>
    <s v="555-555-5555"/>
    <s v="Full-Time"/>
    <x v="1"/>
    <s v="EMP-2019-0018"/>
    <x v="7"/>
    <s v="N/A"/>
    <m/>
    <m/>
    <m/>
    <s v="YES"/>
    <s v="Yes"/>
    <x v="2"/>
    <x v="0"/>
    <x v="0"/>
  </r>
  <r>
    <s v="EMP-2018-0694"/>
    <s v="Ivy"/>
    <s v="Desai"/>
    <n v="50"/>
    <n v="50"/>
    <n v="1974"/>
    <s v="SIXTY THOUSAND"/>
    <n v="60000"/>
    <s v="Male"/>
    <s v="Marketing"/>
    <x v="4"/>
    <s v="Manager"/>
    <d v="2018-04-05T00:00:00"/>
    <d v="2018-04-05T00:00:00"/>
    <s v="B"/>
    <n v="84"/>
    <s v="ivy.desai@saltcorp.com"/>
    <m/>
    <s v="Full-Time"/>
    <x v="1"/>
    <s v="EMP-2019-0080"/>
    <x v="0"/>
    <m/>
    <m/>
    <s v="N/A"/>
    <m/>
    <m/>
    <s v=""/>
    <x v="0"/>
    <x v="1"/>
    <x v="1"/>
  </r>
  <r>
    <s v="EMP-2019-0695"/>
    <s v="Alice"/>
    <s v="Thompson"/>
    <n v="25"/>
    <n v="25"/>
    <n v="1999"/>
    <n v="70000"/>
    <n v="70000"/>
    <s v="Male"/>
    <s v="it"/>
    <x v="3"/>
    <s v="Director"/>
    <d v="2019-12-01T00:00:00"/>
    <d v="2019-12-01T00:00:00"/>
    <s v="C"/>
    <n v="77"/>
    <s v="alice.thompson@saltcorp.com"/>
    <m/>
    <s v="Full-Time"/>
    <x v="1"/>
    <m/>
    <x v="6"/>
    <m/>
    <m/>
    <d v="2023-03-05T00:00:00"/>
    <m/>
    <s v="YES"/>
    <s v="Yes"/>
    <x v="1"/>
    <x v="1"/>
    <x v="1"/>
  </r>
  <r>
    <s v="EMP-2020-0696"/>
    <s v="Grace"/>
    <s v="Andrews"/>
    <n v="50"/>
    <n v="50"/>
    <n v="1974"/>
    <n v="55000"/>
    <n v="55000"/>
    <s v="Female"/>
    <s v="sales"/>
    <x v="2"/>
    <s v="Manager"/>
    <d v="2020-02-20T00:00:00"/>
    <d v="2020-02-20T00:00:00"/>
    <s v="A"/>
    <n v="100"/>
    <s v="grace.andrews@saltcorp.com"/>
    <s v="123-456-7890"/>
    <s v="contract"/>
    <x v="0"/>
    <m/>
    <x v="4"/>
    <m/>
    <n v="15"/>
    <m/>
    <m/>
    <s v="no"/>
    <s v="No"/>
    <x v="3"/>
    <x v="1"/>
    <x v="1"/>
  </r>
  <r>
    <s v="EMP-2019-0697"/>
    <s v="Eve"/>
    <s v="Turner"/>
    <n v="50"/>
    <n v="50"/>
    <n v="1974"/>
    <n v="65000"/>
    <n v="65000"/>
    <s v="Male"/>
    <s v="HR"/>
    <x v="0"/>
    <s v="Analyst"/>
    <d v="2019-03-25T00:00:00"/>
    <d v="2019-03-25T00:00:00"/>
    <s v="C"/>
    <n v="71"/>
    <s v="eve.turner@saltcorp.com"/>
    <s v=" "/>
    <s v="Part-Time"/>
    <x v="2"/>
    <m/>
    <x v="5"/>
    <m/>
    <m/>
    <d v="2023-01-15T00:00:00"/>
    <m/>
    <s v="no"/>
    <s v="No"/>
    <x v="0"/>
    <x v="0"/>
    <x v="0"/>
  </r>
  <r>
    <s v="EMP-2020-0698"/>
    <s v="Eve"/>
    <s v="Dominguez"/>
    <n v="25"/>
    <n v="25"/>
    <n v="1999"/>
    <n v="70000"/>
    <n v="70000"/>
    <s v="Male"/>
    <s v="Marketing"/>
    <x v="4"/>
    <s v="Director"/>
    <d v="2020-02-20T00:00:00"/>
    <d v="2020-02-20T00:00:00"/>
    <s v="C"/>
    <n v="76"/>
    <s v="eve.dominguez@saltcorp.com"/>
    <s v="555-555-5555"/>
    <s v="Part-Time"/>
    <x v="2"/>
    <m/>
    <x v="4"/>
    <m/>
    <m/>
    <m/>
    <m/>
    <s v="no"/>
    <s v="No"/>
    <x v="3"/>
    <x v="1"/>
    <x v="1"/>
  </r>
  <r>
    <s v="EMP-2018-0699"/>
    <s v="Bob"/>
    <s v="Knight"/>
    <n v="50"/>
    <n v="50"/>
    <n v="1974"/>
    <n v="65000"/>
    <n v="65000"/>
    <s v="Male"/>
    <s v="HR"/>
    <x v="0"/>
    <s v="Director"/>
    <d v="2018-04-05T00:00:00"/>
    <d v="2018-04-05T00:00:00"/>
    <s v="F"/>
    <n v="5"/>
    <s v="bob.knight@saltcorp.com"/>
    <s v="555-555-5555"/>
    <s v="Full-Time"/>
    <x v="1"/>
    <m/>
    <x v="1"/>
    <m/>
    <n v="8"/>
    <s v="N/A"/>
    <m/>
    <s v="no"/>
    <s v="No"/>
    <x v="2"/>
    <x v="0"/>
    <x v="0"/>
  </r>
  <r>
    <s v="EMP-2020-0700"/>
    <s v="Charlie"/>
    <s v="Rogers"/>
    <m/>
    <n v="35"/>
    <n v="1989"/>
    <n v="65000"/>
    <n v="65000"/>
    <s v="Male"/>
    <s v="it"/>
    <x v="3"/>
    <s v="Assistant"/>
    <d v="2020-01-15T00:00:00"/>
    <d v="2020-01-15T00:00:00"/>
    <s v="B"/>
    <n v="85"/>
    <s v="charlie.rogers@saltcorp.com"/>
    <s v="123-456-7890"/>
    <s v="Full-Time"/>
    <x v="1"/>
    <s v="EMP-2020-0004"/>
    <x v="7"/>
    <n v="11"/>
    <m/>
    <d v="2022-06-20T00:00:00"/>
    <m/>
    <m/>
    <s v=""/>
    <x v="1"/>
    <x v="1"/>
    <x v="1"/>
  </r>
  <r>
    <s v="EMP-2018-0701"/>
    <s v="Grace"/>
    <s v="Pearson"/>
    <m/>
    <n v="33"/>
    <n v="1991"/>
    <n v="55000"/>
    <n v="55000"/>
    <s v="Male"/>
    <s v="it"/>
    <x v="3"/>
    <s v="Clerk"/>
    <d v="2018-04-05T00:00:00"/>
    <d v="2018-04-05T00:00:00"/>
    <s v="D"/>
    <n v="66"/>
    <s v="grace.pearson@saltcorp.com"/>
    <s v=" "/>
    <s v="Full-Time"/>
    <x v="1"/>
    <m/>
    <x v="5"/>
    <m/>
    <n v="13"/>
    <s v="N/A"/>
    <m/>
    <m/>
    <s v=""/>
    <x v="2"/>
    <x v="1"/>
    <x v="1"/>
  </r>
  <r>
    <s v="EMP-2020-0702"/>
    <s v="Frank"/>
    <s v="Gonzalez"/>
    <m/>
    <n v="37"/>
    <n v="1987"/>
    <n v="61500"/>
    <n v="61500"/>
    <s v="Male"/>
    <s v="sales"/>
    <x v="2"/>
    <s v="Manager"/>
    <d v="2020-02-20T00:00:00"/>
    <d v="2020-02-20T00:00:00"/>
    <s v="D"/>
    <n v="61"/>
    <s v="frank.gonzalez@saltcorp.com"/>
    <s v="555-555-5555"/>
    <s v="contract"/>
    <x v="0"/>
    <m/>
    <x v="5"/>
    <m/>
    <m/>
    <d v="2022-06-20T00:00:00"/>
    <n v="31"/>
    <s v="YES"/>
    <s v="Yes"/>
    <x v="1"/>
    <x v="0"/>
    <x v="0"/>
  </r>
  <r>
    <s v="EMP-2018-0703"/>
    <s v="Bob"/>
    <s v="Miller"/>
    <n v="25"/>
    <n v="25"/>
    <n v="1999"/>
    <s v="SIXTY THOUSAND"/>
    <n v="60000"/>
    <s v="Male"/>
    <s v="sales"/>
    <x v="2"/>
    <s v="Manager"/>
    <d v="2018-04-05T00:00:00"/>
    <d v="2018-04-05T00:00:00"/>
    <s v="F"/>
    <n v="4"/>
    <s v="bob.miller@saltcorp.com"/>
    <s v="555-555-5555"/>
    <s v="Part-Time"/>
    <x v="2"/>
    <m/>
    <x v="1"/>
    <m/>
    <m/>
    <d v="2022-06-20T00:00:00"/>
    <m/>
    <s v="YES"/>
    <s v="Yes"/>
    <x v="0"/>
    <x v="0"/>
    <x v="0"/>
  </r>
  <r>
    <s v="EMP-2020-0704"/>
    <s v="Frank"/>
    <s v="Gonzalez"/>
    <n v="50"/>
    <n v="50"/>
    <n v="1974"/>
    <n v="55000"/>
    <n v="55000"/>
    <s v="Male"/>
    <s v="it"/>
    <x v="3"/>
    <s v="Assistant"/>
    <d v="2020-01-15T00:00:00"/>
    <d v="2020-01-15T00:00:00"/>
    <s v="D"/>
    <n v="68"/>
    <s v="frank.gonzalez@saltcorp.com"/>
    <s v="555-555-5555"/>
    <s v="contract"/>
    <x v="0"/>
    <m/>
    <x v="4"/>
    <m/>
    <n v="7"/>
    <d v="2023-01-15T00:00:00"/>
    <m/>
    <m/>
    <s v=""/>
    <x v="3"/>
    <x v="0"/>
    <x v="0"/>
  </r>
  <r>
    <s v="EMP-2019-0705"/>
    <s v="Bob"/>
    <s v="Medina"/>
    <n v="25"/>
    <n v="25"/>
    <n v="1999"/>
    <n v="70000"/>
    <n v="70000"/>
    <s v="Female"/>
    <s v="Marketing"/>
    <x v="4"/>
    <s v="Assistant"/>
    <d v="2019-12-01T00:00:00"/>
    <d v="2019-12-01T00:00:00"/>
    <s v="C"/>
    <n v="70"/>
    <s v="bob.medina@saltcorp.com"/>
    <s v=" "/>
    <s v="Full-Time"/>
    <x v="1"/>
    <s v="EMP-2019-0070"/>
    <x v="7"/>
    <n v="11"/>
    <m/>
    <m/>
    <n v="28"/>
    <s v="YES"/>
    <s v="Yes"/>
    <x v="2"/>
    <x v="1"/>
    <x v="1"/>
  </r>
  <r>
    <s v="EMP-2020-0706"/>
    <s v="Bob"/>
    <s v="McCoy"/>
    <m/>
    <n v="34"/>
    <n v="1990"/>
    <n v="58800"/>
    <n v="58800"/>
    <s v="Male"/>
    <s v="HR"/>
    <x v="0"/>
    <s v="Clerk"/>
    <d v="2020-02-20T00:00:00"/>
    <d v="2020-02-20T00:00:00"/>
    <s v="F"/>
    <n v="4"/>
    <s v="bob.mccoy@saltcorp.com"/>
    <s v="123-456-7890"/>
    <s v="contract"/>
    <x v="0"/>
    <s v="EMP-2019-0070"/>
    <x v="6"/>
    <m/>
    <m/>
    <m/>
    <m/>
    <s v="YES"/>
    <s v="Yes"/>
    <x v="0"/>
    <x v="0"/>
    <x v="0"/>
  </r>
  <r>
    <s v="EMP-2018-0707"/>
    <s v="Bob"/>
    <s v="Brown"/>
    <n v="50"/>
    <n v="50"/>
    <n v="1974"/>
    <n v="70000"/>
    <n v="70000"/>
    <s v="Male"/>
    <s v="finance"/>
    <x v="1"/>
    <s v="Clerk"/>
    <d v="2018-04-05T00:00:00"/>
    <d v="2018-04-05T00:00:00"/>
    <s v="A"/>
    <n v="93"/>
    <s v="bob.brown@saltcorp.com"/>
    <s v="555-555-5555"/>
    <s v="Part-Time"/>
    <x v="2"/>
    <m/>
    <x v="6"/>
    <m/>
    <n v="9"/>
    <m/>
    <m/>
    <s v="no"/>
    <s v="No"/>
    <x v="4"/>
    <x v="0"/>
    <x v="0"/>
  </r>
  <r>
    <s v="EMP-2020-0708"/>
    <s v="Charlie"/>
    <s v="White"/>
    <n v="50"/>
    <n v="50"/>
    <n v="1974"/>
    <n v="63000"/>
    <n v="63000"/>
    <s v="Male"/>
    <s v="sales"/>
    <x v="2"/>
    <s v="Director"/>
    <d v="2020-02-20T00:00:00"/>
    <d v="2020-02-20T00:00:00"/>
    <s v="B"/>
    <n v="85"/>
    <s v="charlie.white@saltcorp.com"/>
    <m/>
    <s v="contract"/>
    <x v="0"/>
    <s v="EMP-2020-0097"/>
    <x v="2"/>
    <m/>
    <n v="3"/>
    <d v="2023-03-05T00:00:00"/>
    <n v="48"/>
    <s v="YES"/>
    <s v="Yes"/>
    <x v="4"/>
    <x v="0"/>
    <x v="0"/>
  </r>
  <r>
    <s v="EMP-2019-0709"/>
    <s v="Bob"/>
    <s v="Garrett"/>
    <n v="40"/>
    <n v="40"/>
    <n v="1984"/>
    <n v="70000"/>
    <n v="70000"/>
    <s v="Male"/>
    <s v="finance"/>
    <x v="1"/>
    <s v="Analyst"/>
    <d v="2019-12-01T00:00:00"/>
    <d v="2019-12-01T00:00:00"/>
    <s v="B"/>
    <n v="82"/>
    <s v="bob.garrett@saltcorp.com"/>
    <s v=" "/>
    <s v="contract"/>
    <x v="0"/>
    <m/>
    <x v="7"/>
    <n v="5"/>
    <m/>
    <d v="2023-03-05T00:00:00"/>
    <n v="59"/>
    <s v="YES"/>
    <s v="Yes"/>
    <x v="4"/>
    <x v="1"/>
    <x v="1"/>
  </r>
  <r>
    <s v="EMP-2018-0710"/>
    <s v="David"/>
    <s v="Ross"/>
    <n v="40"/>
    <n v="40"/>
    <n v="1984"/>
    <n v="55000"/>
    <n v="55000"/>
    <s v="Female"/>
    <s v="Marketing"/>
    <x v="4"/>
    <s v="Clerk"/>
    <d v="2018-04-05T00:00:00"/>
    <d v="2018-04-05T00:00:00"/>
    <s v="B"/>
    <n v="89"/>
    <s v="david.ross@saltcorp.com"/>
    <s v="098-765-4321"/>
    <s v="Part-Time"/>
    <x v="2"/>
    <s v="EMP-2018-0057"/>
    <x v="6"/>
    <m/>
    <m/>
    <m/>
    <n v="10"/>
    <s v="YES"/>
    <s v="Yes"/>
    <x v="4"/>
    <x v="0"/>
    <x v="0"/>
  </r>
  <r>
    <s v="EMP-2018-0711"/>
    <s v="Ivy"/>
    <s v="Shah"/>
    <s v="thirty"/>
    <n v="30"/>
    <n v="1994"/>
    <n v="58300"/>
    <n v="58300"/>
    <s v="Female"/>
    <s v="sales"/>
    <x v="2"/>
    <s v="Assistant"/>
    <d v="2018-04-05T00:00:00"/>
    <d v="2018-04-05T00:00:00"/>
    <s v="C"/>
    <n v="76"/>
    <s v="ivy.shah@saltcorp.com"/>
    <s v="123-456-7890"/>
    <s v="contract"/>
    <x v="0"/>
    <m/>
    <x v="0"/>
    <m/>
    <m/>
    <m/>
    <m/>
    <s v="no"/>
    <s v="No"/>
    <x v="4"/>
    <x v="0"/>
    <x v="0"/>
  </r>
  <r>
    <s v="EMP-2020-0712"/>
    <s v="Frank"/>
    <s v="Flores"/>
    <n v="35"/>
    <n v="35"/>
    <n v="1989"/>
    <n v="61300"/>
    <n v="61300"/>
    <s v="Female"/>
    <s v="finance"/>
    <x v="1"/>
    <s v="Clerk"/>
    <d v="2020-02-20T00:00:00"/>
    <d v="2020-02-20T00:00:00"/>
    <s v="A"/>
    <n v="97"/>
    <s v="frank.flores@saltcorp.com"/>
    <m/>
    <s v="Full-Time"/>
    <x v="1"/>
    <m/>
    <x v="1"/>
    <s v="N/A"/>
    <n v="9"/>
    <m/>
    <m/>
    <s v="no"/>
    <s v="No"/>
    <x v="2"/>
    <x v="0"/>
    <x v="0"/>
  </r>
  <r>
    <s v="EMP-2020-0713"/>
    <s v="Alice"/>
    <s v="Chen"/>
    <n v="40"/>
    <n v="40"/>
    <n v="1984"/>
    <n v="65000"/>
    <n v="65000"/>
    <s v="Female"/>
    <s v="Marketing"/>
    <x v="4"/>
    <s v="Manager"/>
    <d v="2020-02-20T00:00:00"/>
    <d v="2020-02-20T00:00:00"/>
    <s v="F"/>
    <n v="27"/>
    <s v="alice.chen@saltcorp.com"/>
    <s v="555-555-5555"/>
    <s v="Full-Time"/>
    <x v="1"/>
    <s v="EMP-2018-0079"/>
    <x v="6"/>
    <n v="2"/>
    <m/>
    <m/>
    <m/>
    <s v="YES"/>
    <s v="Yes"/>
    <x v="2"/>
    <x v="1"/>
    <x v="1"/>
  </r>
  <r>
    <s v="EMP-2020-0714"/>
    <s v="Hannah"/>
    <s v="Walker"/>
    <n v="25"/>
    <n v="25"/>
    <n v="1999"/>
    <n v="65000"/>
    <n v="65000"/>
    <s v="Female"/>
    <s v="HR"/>
    <x v="0"/>
    <s v="Analyst"/>
    <d v="2020-01-15T00:00:00"/>
    <d v="2020-01-15T00:00:00"/>
    <s v="F"/>
    <n v="41"/>
    <s v="hannah.walker@saltcorp.com"/>
    <s v="098-765-4321"/>
    <s v="Full-Time"/>
    <x v="1"/>
    <m/>
    <x v="2"/>
    <m/>
    <m/>
    <d v="2021-10-01T00:00:00"/>
    <m/>
    <m/>
    <s v=""/>
    <x v="2"/>
    <x v="0"/>
    <x v="0"/>
  </r>
  <r>
    <s v="EMP-2019-0715"/>
    <s v="Grace"/>
    <s v="Olson"/>
    <n v="40"/>
    <n v="40"/>
    <n v="1984"/>
    <n v="50000"/>
    <n v="50000"/>
    <s v="Female"/>
    <s v="Marketing"/>
    <x v="4"/>
    <s v="Director"/>
    <d v="2019-12-01T00:00:00"/>
    <d v="2019-12-01T00:00:00"/>
    <s v="B"/>
    <n v="83"/>
    <s v="grace.olson@saltcorp.com"/>
    <s v="123-456-7890"/>
    <s v="Part-Time"/>
    <x v="2"/>
    <m/>
    <x v="5"/>
    <m/>
    <m/>
    <m/>
    <n v="17"/>
    <s v="no"/>
    <s v="No"/>
    <x v="1"/>
    <x v="1"/>
    <x v="1"/>
  </r>
  <r>
    <s v="EMP-2020-0716"/>
    <s v="Jack"/>
    <s v="Medina"/>
    <s v="thirty"/>
    <n v="30"/>
    <n v="1994"/>
    <n v="70000"/>
    <n v="70000"/>
    <s v="Female"/>
    <s v="sales"/>
    <x v="2"/>
    <s v="Manager"/>
    <d v="2020-01-15T00:00:00"/>
    <d v="2020-01-15T00:00:00"/>
    <s v="A"/>
    <n v="99"/>
    <s v="jack.medina@saltcorp.com"/>
    <s v=" "/>
    <s v="contract"/>
    <x v="0"/>
    <m/>
    <x v="6"/>
    <m/>
    <m/>
    <d v="2023-03-05T00:00:00"/>
    <m/>
    <m/>
    <s v=""/>
    <x v="3"/>
    <x v="1"/>
    <x v="1"/>
  </r>
  <r>
    <s v="EMP-2018-0717"/>
    <s v="Charlie"/>
    <s v="Burns"/>
    <n v="50"/>
    <n v="50"/>
    <n v="1974"/>
    <n v="65000"/>
    <n v="65000"/>
    <s v="Female"/>
    <s v="it"/>
    <x v="3"/>
    <s v="Manager"/>
    <d v="2018-04-05T00:00:00"/>
    <d v="2018-04-05T00:00:00"/>
    <s v="A"/>
    <n v="98"/>
    <s v="charlie.burns@saltcorp.com"/>
    <s v="098-765-4321"/>
    <s v="contract"/>
    <x v="0"/>
    <s v="EMP-2020-0087"/>
    <x v="4"/>
    <m/>
    <n v="12"/>
    <d v="2023-03-05T00:00:00"/>
    <n v="49"/>
    <m/>
    <s v=""/>
    <x v="0"/>
    <x v="1"/>
    <x v="1"/>
  </r>
  <r>
    <s v="EMP-2020-0718"/>
    <s v="Alice"/>
    <s v="Thompson"/>
    <s v="thirty"/>
    <n v="30"/>
    <n v="1994"/>
    <n v="50000"/>
    <n v="50000"/>
    <s v="Male"/>
    <s v="HR"/>
    <x v="0"/>
    <s v="Analyst"/>
    <d v="2020-02-20T00:00:00"/>
    <d v="2020-02-20T00:00:00"/>
    <s v="A"/>
    <n v="96"/>
    <s v="alice.thompson@saltcorp.com"/>
    <s v="098-765-4321"/>
    <s v="Part-Time"/>
    <x v="2"/>
    <m/>
    <x v="3"/>
    <n v="9"/>
    <n v="15"/>
    <d v="2024-08-12T00:00:00"/>
    <n v="16"/>
    <s v="YES"/>
    <s v="Yes"/>
    <x v="0"/>
    <x v="0"/>
    <x v="0"/>
  </r>
  <r>
    <s v="EMP-2018-0719"/>
    <s v="Eve"/>
    <s v="Gomez"/>
    <n v="50"/>
    <n v="50"/>
    <n v="1974"/>
    <n v="65000"/>
    <n v="65000"/>
    <s v="Female"/>
    <s v="finance"/>
    <x v="1"/>
    <s v="Director"/>
    <d v="2018-04-05T00:00:00"/>
    <d v="2018-04-05T00:00:00"/>
    <s v="D"/>
    <n v="67"/>
    <s v="eve.gomez@saltcorp.com"/>
    <m/>
    <s v="Full-Time"/>
    <x v="1"/>
    <m/>
    <x v="1"/>
    <m/>
    <n v="8"/>
    <s v="N/A"/>
    <m/>
    <s v="YES"/>
    <s v="Yes"/>
    <x v="2"/>
    <x v="0"/>
    <x v="0"/>
  </r>
  <r>
    <s v="EMP-2018-0720"/>
    <s v="David"/>
    <s v="Williamson"/>
    <n v="50"/>
    <n v="50"/>
    <n v="1974"/>
    <n v="70000"/>
    <n v="70000"/>
    <s v="Female"/>
    <s v="sales"/>
    <x v="2"/>
    <s v="Assistant"/>
    <d v="2018-04-05T00:00:00"/>
    <d v="2018-04-05T00:00:00"/>
    <s v="D"/>
    <n v="60"/>
    <s v="david.williamson@saltcorp.com"/>
    <s v="123-456-7890"/>
    <s v="Part-Time"/>
    <x v="2"/>
    <s v="EMP-2018-0032"/>
    <x v="0"/>
    <n v="4"/>
    <n v="5"/>
    <s v="N/A"/>
    <m/>
    <s v="YES"/>
    <s v="Yes"/>
    <x v="0"/>
    <x v="1"/>
    <x v="1"/>
  </r>
  <r>
    <s v="EMP-2019-0721"/>
    <s v="Jack"/>
    <s v="Figueroa"/>
    <n v="35"/>
    <n v="35"/>
    <n v="1989"/>
    <n v="60100"/>
    <n v="60100"/>
    <s v="Female"/>
    <s v="it"/>
    <x v="3"/>
    <s v="Director"/>
    <d v="2019-03-25T00:00:00"/>
    <d v="2019-03-25T00:00:00"/>
    <s v="B"/>
    <n v="82"/>
    <s v="jack.figueroa@saltcorp.com"/>
    <m/>
    <s v="Part-Time"/>
    <x v="2"/>
    <m/>
    <x v="5"/>
    <m/>
    <n v="13"/>
    <m/>
    <m/>
    <s v="YES"/>
    <s v="Yes"/>
    <x v="3"/>
    <x v="1"/>
    <x v="1"/>
  </r>
  <r>
    <s v="EMP-2019-0722"/>
    <s v="Hannah"/>
    <s v="Hughes"/>
    <n v="40"/>
    <n v="40"/>
    <n v="1984"/>
    <s v="SIXTY THOUSAND"/>
    <n v="60000"/>
    <s v="Female"/>
    <s v="Marketing"/>
    <x v="4"/>
    <s v="Clerk"/>
    <d v="2019-03-25T00:00:00"/>
    <d v="2019-03-25T00:00:00"/>
    <s v="A"/>
    <n v="95"/>
    <s v="hannah.hughes@saltcorp.com"/>
    <m/>
    <s v="Full-Time"/>
    <x v="1"/>
    <m/>
    <x v="3"/>
    <s v="N/A"/>
    <m/>
    <s v="N/A"/>
    <m/>
    <m/>
    <s v=""/>
    <x v="2"/>
    <x v="1"/>
    <x v="1"/>
  </r>
  <r>
    <s v="EMP-2018-0723"/>
    <s v="Alice"/>
    <s v="Anderson"/>
    <n v="25"/>
    <n v="25"/>
    <n v="1999"/>
    <n v="70000"/>
    <n v="70000"/>
    <s v="Male"/>
    <s v="it"/>
    <x v="3"/>
    <s v="Manager"/>
    <d v="2018-04-05T00:00:00"/>
    <d v="2018-04-05T00:00:00"/>
    <s v="A"/>
    <n v="91"/>
    <s v="alice.anderson@saltcorp.com"/>
    <s v="555-555-5555"/>
    <s v="Full-Time"/>
    <x v="1"/>
    <m/>
    <x v="6"/>
    <n v="3"/>
    <n v="7"/>
    <m/>
    <n v="35"/>
    <m/>
    <s v=""/>
    <x v="4"/>
    <x v="0"/>
    <x v="0"/>
  </r>
  <r>
    <s v="EMP-2020-0724"/>
    <s v="Jack"/>
    <s v="Burns"/>
    <n v="25"/>
    <n v="25"/>
    <n v="1999"/>
    <n v="55000"/>
    <n v="55000"/>
    <s v="Male"/>
    <s v="sales"/>
    <x v="2"/>
    <s v="Clerk"/>
    <d v="2020-02-20T00:00:00"/>
    <d v="2020-02-20T00:00:00"/>
    <s v="F"/>
    <n v="50"/>
    <s v="jack.burns@saltcorp.com"/>
    <s v=" "/>
    <s v="Part-Time"/>
    <x v="2"/>
    <m/>
    <x v="3"/>
    <s v="N/A"/>
    <n v="17"/>
    <m/>
    <n v="75"/>
    <m/>
    <s v=""/>
    <x v="0"/>
    <x v="0"/>
    <x v="0"/>
  </r>
  <r>
    <s v="EMP-2018-0725"/>
    <s v="Alice"/>
    <s v="Wells"/>
    <m/>
    <n v="27"/>
    <n v="1997"/>
    <n v="65000"/>
    <n v="65000"/>
    <s v="Female"/>
    <s v="sales"/>
    <x v="2"/>
    <s v="Assistant"/>
    <d v="2018-04-05T00:00:00"/>
    <d v="2018-04-05T00:00:00"/>
    <s v="F"/>
    <n v="49"/>
    <s v="alice.wells@saltcorp.com"/>
    <s v="098-765-4321"/>
    <s v="Full-Time"/>
    <x v="1"/>
    <m/>
    <x v="0"/>
    <n v="3"/>
    <n v="7"/>
    <m/>
    <n v="57"/>
    <s v="no"/>
    <s v="No"/>
    <x v="2"/>
    <x v="1"/>
    <x v="1"/>
  </r>
  <r>
    <s v="EMP-2019-0726"/>
    <s v="David"/>
    <s v="Armstrong"/>
    <n v="50"/>
    <n v="50"/>
    <n v="1974"/>
    <n v="65000"/>
    <n v="65000"/>
    <s v="Female"/>
    <s v="it"/>
    <x v="3"/>
    <s v="Clerk"/>
    <d v="2019-03-25T00:00:00"/>
    <d v="2019-03-25T00:00:00"/>
    <s v="B"/>
    <n v="86"/>
    <s v="david.armstrong@saltcorp.com"/>
    <s v="123-456-7890"/>
    <s v="Part-Time"/>
    <x v="2"/>
    <m/>
    <x v="7"/>
    <m/>
    <m/>
    <d v="2023-03-05T00:00:00"/>
    <m/>
    <m/>
    <s v=""/>
    <x v="3"/>
    <x v="0"/>
    <x v="0"/>
  </r>
  <r>
    <s v="EMP-2020-0727"/>
    <s v="Hannah"/>
    <s v="Le"/>
    <n v="25"/>
    <n v="25"/>
    <n v="1999"/>
    <n v="60500"/>
    <n v="60500"/>
    <s v="Female"/>
    <s v="Marketing"/>
    <x v="4"/>
    <s v="Director"/>
    <d v="2020-02-20T00:00:00"/>
    <d v="2020-02-20T00:00:00"/>
    <s v="A"/>
    <n v="98"/>
    <s v="hannah.le@saltcorp.com"/>
    <s v=" "/>
    <s v="Full-Time"/>
    <x v="1"/>
    <m/>
    <x v="7"/>
    <s v="N/A"/>
    <n v="7"/>
    <m/>
    <n v="69"/>
    <s v="no"/>
    <s v="No"/>
    <x v="4"/>
    <x v="0"/>
    <x v="0"/>
  </r>
  <r>
    <s v="EMP-2018-0728"/>
    <s v="Eve"/>
    <s v="Knight"/>
    <n v="35"/>
    <n v="35"/>
    <n v="1989"/>
    <n v="55000"/>
    <n v="55000"/>
    <s v="Female"/>
    <s v="it"/>
    <x v="3"/>
    <s v="Clerk"/>
    <d v="2018-04-05T00:00:00"/>
    <d v="2018-04-05T00:00:00"/>
    <s v="B"/>
    <n v="84"/>
    <s v="eve.knight@saltcorp.com"/>
    <s v=" "/>
    <s v="Full-Time"/>
    <x v="1"/>
    <m/>
    <x v="5"/>
    <n v="8"/>
    <n v="11"/>
    <d v="2024-08-12T00:00:00"/>
    <m/>
    <s v="no"/>
    <s v="No"/>
    <x v="0"/>
    <x v="1"/>
    <x v="1"/>
  </r>
  <r>
    <s v="EMP-2019-0729"/>
    <s v="Bob"/>
    <s v="Brown"/>
    <n v="50"/>
    <n v="50"/>
    <n v="1974"/>
    <n v="58300"/>
    <n v="58300"/>
    <s v="Female"/>
    <s v="sales"/>
    <x v="2"/>
    <s v="Assistant"/>
    <d v="2019-12-01T00:00:00"/>
    <d v="2019-12-01T00:00:00"/>
    <s v="F"/>
    <n v="25"/>
    <s v="bob.brown@saltcorp.com"/>
    <s v="123-456-7890"/>
    <s v="Full-Time"/>
    <x v="1"/>
    <m/>
    <x v="7"/>
    <n v="0"/>
    <m/>
    <d v="2024-08-12T00:00:00"/>
    <m/>
    <s v="no"/>
    <s v="No"/>
    <x v="4"/>
    <x v="0"/>
    <x v="0"/>
  </r>
  <r>
    <s v="EMP-2019-0730"/>
    <s v="Frank"/>
    <s v="Flores"/>
    <n v="35"/>
    <n v="35"/>
    <n v="1989"/>
    <n v="55000"/>
    <n v="55000"/>
    <s v="Female"/>
    <s v="sales"/>
    <x v="2"/>
    <s v="Assistant"/>
    <d v="2019-12-01T00:00:00"/>
    <d v="2019-12-01T00:00:00"/>
    <s v="F"/>
    <n v="46"/>
    <s v="frank.flores@saltcorp.com"/>
    <s v=" "/>
    <s v="Full-Time"/>
    <x v="1"/>
    <m/>
    <x v="6"/>
    <m/>
    <m/>
    <d v="2023-03-05T00:00:00"/>
    <m/>
    <m/>
    <s v=""/>
    <x v="1"/>
    <x v="1"/>
    <x v="1"/>
  </r>
  <r>
    <s v="EMP-2018-0731"/>
    <s v="Eve"/>
    <s v="Mason"/>
    <n v="25"/>
    <n v="25"/>
    <n v="1999"/>
    <s v="SIXTY THOUSAND"/>
    <n v="60000"/>
    <s v="Female"/>
    <s v="finance"/>
    <x v="1"/>
    <s v="Assistant"/>
    <d v="2018-04-05T00:00:00"/>
    <d v="2018-04-05T00:00:00"/>
    <s v="D"/>
    <n v="61"/>
    <s v="eve.mason@saltcorp.com"/>
    <s v="555-555-5555"/>
    <s v="Full-Time"/>
    <x v="1"/>
    <m/>
    <x v="0"/>
    <m/>
    <m/>
    <s v="N/A"/>
    <m/>
    <s v="no"/>
    <s v="No"/>
    <x v="1"/>
    <x v="1"/>
    <x v="1"/>
  </r>
  <r>
    <s v="EMP-2020-0732"/>
    <s v="Bob"/>
    <s v="Miller"/>
    <n v="25"/>
    <n v="25"/>
    <n v="1999"/>
    <n v="65000"/>
    <n v="65000"/>
    <s v="Female"/>
    <s v="finance"/>
    <x v="1"/>
    <s v="Director"/>
    <d v="2020-02-20T00:00:00"/>
    <d v="2020-02-20T00:00:00"/>
    <s v="B"/>
    <n v="81"/>
    <s v="bob.miller@saltcorp.com"/>
    <s v=" "/>
    <s v="contract"/>
    <x v="0"/>
    <m/>
    <x v="2"/>
    <m/>
    <n v="17"/>
    <d v="2022-06-20T00:00:00"/>
    <m/>
    <s v="no"/>
    <s v="No"/>
    <x v="0"/>
    <x v="0"/>
    <x v="0"/>
  </r>
  <r>
    <s v="EMP-2018-0733"/>
    <s v="Charlie"/>
    <s v="Jackson"/>
    <m/>
    <n v="34"/>
    <n v="1990"/>
    <n v="65000"/>
    <n v="65000"/>
    <s v="Male"/>
    <s v="HR"/>
    <x v="0"/>
    <s v="Assistant"/>
    <d v="2018-04-05T00:00:00"/>
    <d v="2018-04-05T00:00:00"/>
    <s v="B"/>
    <n v="84"/>
    <s v="charlie.jackson@saltcorp.com"/>
    <s v="555-555-5555"/>
    <s v="Part-Time"/>
    <x v="2"/>
    <m/>
    <x v="6"/>
    <n v="0"/>
    <m/>
    <d v="2021-10-01T00:00:00"/>
    <m/>
    <s v="YES"/>
    <s v="Yes"/>
    <x v="0"/>
    <x v="1"/>
    <x v="1"/>
  </r>
  <r>
    <s v="EMP-2018-0734"/>
    <s v="Ivy"/>
    <s v="Gupta"/>
    <n v="25"/>
    <n v="25"/>
    <n v="1999"/>
    <s v="SIXTY THOUSAND"/>
    <n v="60000"/>
    <s v="Female"/>
    <s v="sales"/>
    <x v="2"/>
    <s v="Manager"/>
    <d v="2018-04-05T00:00:00"/>
    <d v="2018-04-05T00:00:00"/>
    <s v="A"/>
    <n v="92"/>
    <s v="ivy.gupta@saltcorp.com"/>
    <s v="098-765-4321"/>
    <s v="Part-Time"/>
    <x v="2"/>
    <m/>
    <x v="2"/>
    <m/>
    <n v="4"/>
    <s v="N/A"/>
    <m/>
    <s v="no"/>
    <s v="No"/>
    <x v="2"/>
    <x v="0"/>
    <x v="0"/>
  </r>
  <r>
    <s v="EMP-2019-0735"/>
    <s v="Grace"/>
    <s v="Zhou"/>
    <n v="50"/>
    <n v="50"/>
    <n v="1974"/>
    <n v="50000"/>
    <n v="50000"/>
    <s v="Male"/>
    <s v="finance"/>
    <x v="1"/>
    <s v="Assistant"/>
    <d v="2019-03-25T00:00:00"/>
    <d v="2019-03-25T00:00:00"/>
    <s v="A"/>
    <n v="98"/>
    <s v="grace.zhou@saltcorp.com"/>
    <s v="098-765-4321"/>
    <s v="contract"/>
    <x v="0"/>
    <s v="EMP-2019-0003"/>
    <x v="5"/>
    <n v="7"/>
    <n v="13"/>
    <m/>
    <m/>
    <s v="YES"/>
    <s v="Yes"/>
    <x v="2"/>
    <x v="0"/>
    <x v="0"/>
  </r>
  <r>
    <s v="EMP-2019-0736"/>
    <s v="Grace"/>
    <s v="Knight"/>
    <n v="50"/>
    <n v="50"/>
    <n v="1974"/>
    <n v="58600"/>
    <n v="58600"/>
    <s v="Male"/>
    <s v="it"/>
    <x v="3"/>
    <s v="Clerk"/>
    <d v="2019-12-01T00:00:00"/>
    <d v="2019-12-01T00:00:00"/>
    <s v="D"/>
    <n v="60"/>
    <s v="grace.knight@saltcorp.com"/>
    <m/>
    <s v="contract"/>
    <x v="0"/>
    <m/>
    <x v="4"/>
    <m/>
    <n v="2"/>
    <d v="2023-01-15T00:00:00"/>
    <m/>
    <s v="no"/>
    <s v="No"/>
    <x v="1"/>
    <x v="1"/>
    <x v="1"/>
  </r>
  <r>
    <s v="EMP-2019-0737"/>
    <s v="Frank"/>
    <s v="Dixon"/>
    <n v="50"/>
    <n v="50"/>
    <n v="1974"/>
    <s v="SIXTY THOUSAND"/>
    <n v="60000"/>
    <s v="Male"/>
    <s v="Marketing"/>
    <x v="4"/>
    <s v="Clerk"/>
    <d v="2019-03-25T00:00:00"/>
    <d v="2019-03-25T00:00:00"/>
    <s v="C"/>
    <n v="78"/>
    <s v="frank.dixon@saltcorp.com"/>
    <s v="555-555-5555"/>
    <s v="Full-Time"/>
    <x v="1"/>
    <m/>
    <x v="6"/>
    <m/>
    <m/>
    <d v="2022-06-20T00:00:00"/>
    <n v="27"/>
    <s v="YES"/>
    <s v="Yes"/>
    <x v="0"/>
    <x v="0"/>
    <x v="0"/>
  </r>
  <r>
    <s v="EMP-2019-0738"/>
    <s v="Hannah"/>
    <s v="Powell"/>
    <m/>
    <n v="35"/>
    <n v="1989"/>
    <n v="58600"/>
    <n v="58600"/>
    <s v="Male"/>
    <s v="it"/>
    <x v="3"/>
    <s v="Clerk"/>
    <d v="2019-03-25T00:00:00"/>
    <d v="2019-03-25T00:00:00"/>
    <s v="C"/>
    <n v="77"/>
    <s v="hannah.powell@saltcorp.com"/>
    <s v="098-765-4321"/>
    <s v="Full-Time"/>
    <x v="1"/>
    <m/>
    <x v="3"/>
    <m/>
    <m/>
    <m/>
    <n v="48"/>
    <s v="no"/>
    <s v="No"/>
    <x v="0"/>
    <x v="0"/>
    <x v="0"/>
  </r>
  <r>
    <s v="EMP-2018-0739"/>
    <s v="David"/>
    <s v="Ward"/>
    <m/>
    <n v="47"/>
    <n v="1977"/>
    <n v="70000"/>
    <n v="70000"/>
    <s v="Male"/>
    <s v="Marketing"/>
    <x v="4"/>
    <s v="Director"/>
    <d v="2018-04-05T00:00:00"/>
    <d v="2018-04-05T00:00:00"/>
    <s v="C"/>
    <n v="77"/>
    <s v="david.ward@saltcorp.com"/>
    <s v=" "/>
    <s v="Full-Time"/>
    <x v="1"/>
    <m/>
    <x v="3"/>
    <n v="0"/>
    <n v="11"/>
    <m/>
    <n v="61"/>
    <s v="YES"/>
    <s v="Yes"/>
    <x v="4"/>
    <x v="1"/>
    <x v="1"/>
  </r>
  <r>
    <s v="EMP-2019-0740"/>
    <s v="Hannah"/>
    <s v="Lucas"/>
    <n v="25"/>
    <n v="25"/>
    <n v="1999"/>
    <n v="65000"/>
    <n v="65000"/>
    <s v="Male"/>
    <s v="finance"/>
    <x v="1"/>
    <s v="Clerk"/>
    <d v="2019-03-25T00:00:00"/>
    <d v="2019-03-25T00:00:00"/>
    <s v="B"/>
    <n v="82"/>
    <s v="hannah.lucas@saltcorp.com"/>
    <s v="123-456-7890"/>
    <s v="Part-Time"/>
    <x v="2"/>
    <m/>
    <x v="6"/>
    <m/>
    <n v="18"/>
    <m/>
    <n v="21"/>
    <s v="YES"/>
    <s v="Yes"/>
    <x v="1"/>
    <x v="0"/>
    <x v="0"/>
  </r>
  <r>
    <s v="EMP-2019-0741"/>
    <s v="David"/>
    <s v="Sullivan"/>
    <s v="thirty"/>
    <n v="30"/>
    <n v="1994"/>
    <n v="60900"/>
    <n v="60900"/>
    <s v="Female"/>
    <s v="HR"/>
    <x v="0"/>
    <s v="Director"/>
    <d v="2019-12-01T00:00:00"/>
    <d v="2019-12-01T00:00:00"/>
    <s v="B"/>
    <n v="81"/>
    <s v="david.sullivan@saltcorp.com"/>
    <s v="123-456-7890"/>
    <s v="Part-Time"/>
    <x v="2"/>
    <m/>
    <x v="2"/>
    <m/>
    <m/>
    <m/>
    <n v="51"/>
    <m/>
    <s v=""/>
    <x v="4"/>
    <x v="0"/>
    <x v="0"/>
  </r>
  <r>
    <s v="EMP-2019-0742"/>
    <s v="Hannah"/>
    <s v="Brooks"/>
    <s v="thirty"/>
    <n v="30"/>
    <n v="1994"/>
    <n v="55000"/>
    <n v="55000"/>
    <s v="Male"/>
    <s v="it"/>
    <x v="3"/>
    <s v="Director"/>
    <d v="2019-03-25T00:00:00"/>
    <d v="2019-03-25T00:00:00"/>
    <s v="F"/>
    <n v="30"/>
    <s v="hannah.brooks@saltcorp.com"/>
    <s v="555-555-5555"/>
    <s v="contract"/>
    <x v="0"/>
    <m/>
    <x v="3"/>
    <m/>
    <n v="15"/>
    <m/>
    <m/>
    <s v="YES"/>
    <s v="Yes"/>
    <x v="0"/>
    <x v="0"/>
    <x v="0"/>
  </r>
  <r>
    <s v="EMP-2019-0743"/>
    <s v="Ivy"/>
    <s v="Davidson"/>
    <m/>
    <n v="40"/>
    <n v="1984"/>
    <n v="59800"/>
    <n v="59800"/>
    <s v="Female"/>
    <s v="it"/>
    <x v="3"/>
    <s v="Assistant"/>
    <d v="2019-12-01T00:00:00"/>
    <d v="2019-12-01T00:00:00"/>
    <s v="B"/>
    <n v="86"/>
    <s v="ivy.davidson@saltcorp.com"/>
    <m/>
    <s v="contract"/>
    <x v="0"/>
    <m/>
    <x v="6"/>
    <s v="N/A"/>
    <n v="14"/>
    <m/>
    <m/>
    <s v="no"/>
    <s v="No"/>
    <x v="1"/>
    <x v="1"/>
    <x v="1"/>
  </r>
  <r>
    <s v="EMP-2019-0744"/>
    <s v="Charlie"/>
    <s v="Harris"/>
    <n v="25"/>
    <n v="25"/>
    <n v="1999"/>
    <n v="70000"/>
    <n v="70000"/>
    <s v="Female"/>
    <s v="it"/>
    <x v="3"/>
    <s v="Manager"/>
    <d v="2019-03-25T00:00:00"/>
    <d v="2019-03-25T00:00:00"/>
    <s v="B"/>
    <n v="88"/>
    <s v="charlie.harris@saltcorp.com"/>
    <s v=" "/>
    <s v="Full-Time"/>
    <x v="1"/>
    <s v="EMP-2018-0001"/>
    <x v="0"/>
    <m/>
    <n v="4"/>
    <s v="N/A"/>
    <n v="18"/>
    <s v="YES"/>
    <s v="Yes"/>
    <x v="3"/>
    <x v="1"/>
    <x v="1"/>
  </r>
  <r>
    <s v="EMP-2019-0745"/>
    <s v="Charlie"/>
    <s v="Schmidt"/>
    <s v="thirty"/>
    <n v="30"/>
    <n v="1994"/>
    <n v="65000"/>
    <n v="65000"/>
    <s v="Female"/>
    <s v="Marketing"/>
    <x v="4"/>
    <s v="Assistant"/>
    <d v="2019-12-01T00:00:00"/>
    <d v="2019-12-01T00:00:00"/>
    <s v="B"/>
    <n v="86"/>
    <s v="charlie.schmidt@saltcorp.com"/>
    <s v="555-555-5555"/>
    <s v="Full-Time"/>
    <x v="1"/>
    <s v="EMP-2018-0076"/>
    <x v="6"/>
    <m/>
    <m/>
    <d v="2023-01-15T00:00:00"/>
    <n v="60"/>
    <s v="YES"/>
    <s v="Yes"/>
    <x v="0"/>
    <x v="1"/>
    <x v="1"/>
  </r>
  <r>
    <s v="EMP-2019-0746"/>
    <s v="Bob"/>
    <s v="Rodriguez"/>
    <n v="25"/>
    <n v="25"/>
    <n v="1999"/>
    <s v="SIXTY THOUSAND"/>
    <n v="60000"/>
    <s v="Female"/>
    <s v="finance"/>
    <x v="1"/>
    <s v="Assistant"/>
    <d v="2019-03-25T00:00:00"/>
    <d v="2019-03-25T00:00:00"/>
    <s v="D"/>
    <n v="61"/>
    <s v="bob.rodriguez@saltcorp.com"/>
    <s v="123-456-7890"/>
    <s v="Full-Time"/>
    <x v="1"/>
    <s v="EMP-2019-0002"/>
    <x v="1"/>
    <m/>
    <m/>
    <s v="N/A"/>
    <m/>
    <s v="YES"/>
    <s v="Yes"/>
    <x v="3"/>
    <x v="1"/>
    <x v="1"/>
  </r>
  <r>
    <s v="EMP-2019-0747"/>
    <s v="Jack"/>
    <s v="Sullivan"/>
    <n v="25"/>
    <n v="25"/>
    <n v="1999"/>
    <n v="70000"/>
    <n v="70000"/>
    <s v="Male"/>
    <s v="it"/>
    <x v="3"/>
    <s v="Director"/>
    <d v="2019-03-25T00:00:00"/>
    <d v="2019-03-25T00:00:00"/>
    <s v="B"/>
    <n v="80"/>
    <s v="jack.sullivan@saltcorp.com"/>
    <s v="555-555-5555"/>
    <s v="Full-Time"/>
    <x v="1"/>
    <m/>
    <x v="4"/>
    <s v="N/A"/>
    <m/>
    <m/>
    <m/>
    <s v="no"/>
    <s v="No"/>
    <x v="1"/>
    <x v="1"/>
    <x v="1"/>
  </r>
  <r>
    <s v="EMP-2020-0748"/>
    <s v="Charlie"/>
    <s v="Clark"/>
    <n v="25"/>
    <n v="25"/>
    <n v="1999"/>
    <n v="65000"/>
    <n v="65000"/>
    <s v="Male"/>
    <s v="it"/>
    <x v="3"/>
    <s v="Director"/>
    <d v="2020-02-20T00:00:00"/>
    <d v="2020-02-20T00:00:00"/>
    <s v="A"/>
    <n v="98"/>
    <s v="charlie.clark@saltcorp.com"/>
    <s v=" "/>
    <s v="Full-Time"/>
    <x v="1"/>
    <m/>
    <x v="2"/>
    <n v="10"/>
    <m/>
    <m/>
    <m/>
    <s v="no"/>
    <s v="No"/>
    <x v="2"/>
    <x v="0"/>
    <x v="0"/>
  </r>
  <r>
    <s v="EMP-2019-0749"/>
    <s v="Charlie"/>
    <s v="Bishop"/>
    <n v="40"/>
    <n v="40"/>
    <n v="1984"/>
    <n v="58800"/>
    <n v="58800"/>
    <s v="Female"/>
    <s v="HR"/>
    <x v="0"/>
    <s v="Clerk"/>
    <d v="2019-12-01T00:00:00"/>
    <d v="2019-12-01T00:00:00"/>
    <s v="A"/>
    <n v="97"/>
    <s v="charlie.bishop@saltcorp.com"/>
    <s v="098-765-4321"/>
    <s v="Full-Time"/>
    <x v="1"/>
    <m/>
    <x v="1"/>
    <s v="N/A"/>
    <n v="16"/>
    <d v="2023-03-05T00:00:00"/>
    <m/>
    <s v="YES"/>
    <s v="Yes"/>
    <x v="4"/>
    <x v="1"/>
    <x v="1"/>
  </r>
  <r>
    <s v="EMP-2019-0750"/>
    <s v="Eve"/>
    <s v="Bell"/>
    <n v="50"/>
    <n v="50"/>
    <n v="1974"/>
    <n v="50000"/>
    <n v="50000"/>
    <s v="Male"/>
    <s v="HR"/>
    <x v="0"/>
    <s v="Clerk"/>
    <d v="2019-12-01T00:00:00"/>
    <d v="2019-12-01T00:00:00"/>
    <s v="F"/>
    <n v="12"/>
    <s v="eve.bell@saltcorp.com"/>
    <s v=" "/>
    <s v="Full-Time"/>
    <x v="1"/>
    <m/>
    <x v="3"/>
    <m/>
    <m/>
    <m/>
    <m/>
    <s v="YES"/>
    <s v="Yes"/>
    <x v="3"/>
    <x v="0"/>
    <x v="0"/>
  </r>
  <r>
    <s v="EMP-2019-0751"/>
    <s v="Eve"/>
    <s v="Carter"/>
    <n v="25"/>
    <n v="25"/>
    <n v="1999"/>
    <n v="50000"/>
    <n v="50000"/>
    <s v="Female"/>
    <s v="finance"/>
    <x v="1"/>
    <s v="Assistant"/>
    <d v="2019-12-01T00:00:00"/>
    <d v="2019-12-01T00:00:00"/>
    <s v="D"/>
    <n v="69"/>
    <s v="eve.carter@saltcorp.com"/>
    <s v="098-765-4321"/>
    <s v="Part-Time"/>
    <x v="2"/>
    <m/>
    <x v="3"/>
    <m/>
    <n v="6"/>
    <m/>
    <n v="79"/>
    <m/>
    <s v=""/>
    <x v="4"/>
    <x v="1"/>
    <x v="1"/>
  </r>
  <r>
    <s v="EMP-2020-0752"/>
    <s v="Bob"/>
    <s v="Byrd"/>
    <n v="40"/>
    <n v="40"/>
    <n v="1984"/>
    <n v="55000"/>
    <n v="55000"/>
    <s v="Male"/>
    <s v="finance"/>
    <x v="1"/>
    <s v="Analyst"/>
    <d v="2020-01-15T00:00:00"/>
    <d v="2020-01-15T00:00:00"/>
    <s v="A"/>
    <n v="97"/>
    <s v="bob.byrd@saltcorp.com"/>
    <s v="098-765-4321"/>
    <s v="Part-Time"/>
    <x v="2"/>
    <s v="EMP-2020-0073"/>
    <x v="2"/>
    <n v="1"/>
    <n v="5"/>
    <m/>
    <m/>
    <s v="no"/>
    <s v="No"/>
    <x v="4"/>
    <x v="1"/>
    <x v="1"/>
  </r>
  <r>
    <s v="EMP-2019-0753"/>
    <s v="Jack"/>
    <s v="Aguilar"/>
    <m/>
    <n v="39"/>
    <n v="1985"/>
    <n v="65000"/>
    <n v="65000"/>
    <s v="Male"/>
    <s v="sales"/>
    <x v="2"/>
    <s v="Analyst"/>
    <d v="2019-03-25T00:00:00"/>
    <d v="2019-03-25T00:00:00"/>
    <s v="D"/>
    <n v="62"/>
    <s v="jack.aguilar@saltcorp.com"/>
    <s v="098-765-4321"/>
    <s v="Full-Time"/>
    <x v="1"/>
    <m/>
    <x v="6"/>
    <s v="N/A"/>
    <m/>
    <d v="2023-03-05T00:00:00"/>
    <n v="22"/>
    <s v="no"/>
    <s v="No"/>
    <x v="0"/>
    <x v="0"/>
    <x v="0"/>
  </r>
  <r>
    <s v="EMP-2019-0754"/>
    <s v="Frank"/>
    <s v="Ramirez"/>
    <s v="thirty"/>
    <n v="30"/>
    <n v="1994"/>
    <n v="50000"/>
    <n v="50000"/>
    <s v="Male"/>
    <s v="HR"/>
    <x v="0"/>
    <s v="Clerk"/>
    <d v="2019-12-01T00:00:00"/>
    <d v="2019-12-01T00:00:00"/>
    <s v="D"/>
    <n v="68"/>
    <s v="frank.ramirez@saltcorp.com"/>
    <s v="555-555-5555"/>
    <s v="contract"/>
    <x v="0"/>
    <s v="EMP-2020-0096"/>
    <x v="4"/>
    <s v="N/A"/>
    <n v="20"/>
    <m/>
    <n v="70"/>
    <s v="no"/>
    <s v="No"/>
    <x v="0"/>
    <x v="1"/>
    <x v="1"/>
  </r>
  <r>
    <s v="EMP-2020-0755"/>
    <s v="Eve"/>
    <s v="Carter"/>
    <n v="50"/>
    <n v="50"/>
    <n v="1974"/>
    <s v="SIXTY THOUSAND"/>
    <n v="60000"/>
    <s v="Female"/>
    <s v="sales"/>
    <x v="2"/>
    <s v="Analyst"/>
    <d v="2020-01-15T00:00:00"/>
    <d v="2020-01-15T00:00:00"/>
    <s v="F"/>
    <n v="48"/>
    <s v="eve.carter@saltcorp.com"/>
    <s v="123-456-7890"/>
    <s v="Part-Time"/>
    <x v="2"/>
    <m/>
    <x v="5"/>
    <m/>
    <m/>
    <m/>
    <n v="39"/>
    <s v="YES"/>
    <s v="Yes"/>
    <x v="2"/>
    <x v="0"/>
    <x v="0"/>
  </r>
  <r>
    <s v="EMP-2020-0756"/>
    <s v="Frank"/>
    <s v="Torres"/>
    <s v="thirty"/>
    <n v="30"/>
    <n v="1994"/>
    <n v="65000"/>
    <n v="65000"/>
    <s v="Male"/>
    <s v="Marketing"/>
    <x v="4"/>
    <s v="Clerk"/>
    <d v="2020-02-20T00:00:00"/>
    <d v="2020-02-20T00:00:00"/>
    <s v="D"/>
    <n v="61"/>
    <s v="frank.torres@saltcorp.com"/>
    <s v="555-555-5555"/>
    <s v="Full-Time"/>
    <x v="1"/>
    <s v="EMP-2019-0028"/>
    <x v="0"/>
    <m/>
    <n v="20"/>
    <m/>
    <m/>
    <s v="YES"/>
    <s v="Yes"/>
    <x v="3"/>
    <x v="1"/>
    <x v="1"/>
  </r>
  <r>
    <s v="EMP-2019-0757"/>
    <s v="Alice"/>
    <s v="Anderson"/>
    <n v="50"/>
    <n v="50"/>
    <n v="1974"/>
    <s v="SIXTY THOUSAND"/>
    <n v="60000"/>
    <s v="Male"/>
    <s v="sales"/>
    <x v="2"/>
    <s v="Director"/>
    <d v="2019-12-01T00:00:00"/>
    <d v="2019-12-01T00:00:00"/>
    <s v="B"/>
    <n v="83"/>
    <s v="alice.anderson@saltcorp.com"/>
    <s v="123-456-7890"/>
    <s v="Full-Time"/>
    <x v="1"/>
    <m/>
    <x v="1"/>
    <s v="N/A"/>
    <n v="3"/>
    <d v="2024-08-12T00:00:00"/>
    <m/>
    <s v="no"/>
    <s v="No"/>
    <x v="2"/>
    <x v="0"/>
    <x v="0"/>
  </r>
  <r>
    <s v="EMP-2019-0758"/>
    <s v="Eve"/>
    <s v="Rogers"/>
    <s v="thirty"/>
    <n v="30"/>
    <n v="1994"/>
    <s v="SIXTY THOUSAND"/>
    <n v="60000"/>
    <s v="Female"/>
    <s v="it"/>
    <x v="3"/>
    <s v="Assistant"/>
    <d v="2019-12-01T00:00:00"/>
    <d v="2019-12-01T00:00:00"/>
    <s v="D"/>
    <n v="60"/>
    <s v="eve.rogers@saltcorp.com"/>
    <s v=" "/>
    <s v="Part-Time"/>
    <x v="2"/>
    <m/>
    <x v="4"/>
    <m/>
    <m/>
    <m/>
    <m/>
    <m/>
    <s v=""/>
    <x v="4"/>
    <x v="1"/>
    <x v="1"/>
  </r>
  <r>
    <s v="EMP-2020-0759"/>
    <s v="Ivy"/>
    <s v="Gupta"/>
    <n v="50"/>
    <n v="50"/>
    <n v="1974"/>
    <n v="50000"/>
    <n v="50000"/>
    <s v="Female"/>
    <s v="sales"/>
    <x v="2"/>
    <s v="Manager"/>
    <d v="2020-01-15T00:00:00"/>
    <d v="2020-01-15T00:00:00"/>
    <s v="F"/>
    <n v="29"/>
    <s v="ivy.gupta@saltcorp.com"/>
    <m/>
    <s v="Part-Time"/>
    <x v="2"/>
    <s v="EMP-2019-0041"/>
    <x v="5"/>
    <s v="N/A"/>
    <n v="17"/>
    <d v="2023-01-15T00:00:00"/>
    <n v="66"/>
    <s v="YES"/>
    <s v="Yes"/>
    <x v="3"/>
    <x v="0"/>
    <x v="0"/>
  </r>
  <r>
    <s v="EMP-2019-0760"/>
    <s v="Jack"/>
    <s v="Murphy"/>
    <s v="thirty"/>
    <n v="30"/>
    <n v="1994"/>
    <n v="65000"/>
    <n v="65000"/>
    <s v="Male"/>
    <s v="finance"/>
    <x v="1"/>
    <s v="Assistant"/>
    <d v="2019-03-25T00:00:00"/>
    <d v="2019-03-25T00:00:00"/>
    <s v="F"/>
    <n v="8"/>
    <s v="jack.murphy@saltcorp.com"/>
    <s v=" "/>
    <s v="Full-Time"/>
    <x v="1"/>
    <s v="EMP-2020-0011"/>
    <x v="0"/>
    <s v="N/A"/>
    <m/>
    <d v="2021-10-01T00:00:00"/>
    <n v="27"/>
    <s v="no"/>
    <s v="No"/>
    <x v="1"/>
    <x v="0"/>
    <x v="0"/>
  </r>
  <r>
    <s v="EMP-2020-0761"/>
    <s v="Bob"/>
    <s v="Davis"/>
    <s v="thirty"/>
    <n v="30"/>
    <n v="1994"/>
    <n v="58600"/>
    <n v="58600"/>
    <s v="Male"/>
    <s v="Marketing"/>
    <x v="4"/>
    <s v="Clerk"/>
    <d v="2020-02-20T00:00:00"/>
    <d v="2020-02-20T00:00:00"/>
    <s v="F"/>
    <n v="36"/>
    <s v="bob.davis@saltcorp.com"/>
    <s v="555-555-5555"/>
    <s v="Full-Time"/>
    <x v="1"/>
    <m/>
    <x v="6"/>
    <n v="2"/>
    <m/>
    <m/>
    <m/>
    <s v="YES"/>
    <s v="Yes"/>
    <x v="0"/>
    <x v="0"/>
    <x v="0"/>
  </r>
  <r>
    <s v="EMP-2019-0762"/>
    <s v="Alice"/>
    <s v="Baker"/>
    <s v="thirty"/>
    <n v="30"/>
    <n v="1994"/>
    <n v="70000"/>
    <n v="70000"/>
    <s v="Female"/>
    <s v="it"/>
    <x v="3"/>
    <s v="Clerk"/>
    <d v="2019-12-01T00:00:00"/>
    <d v="2019-12-01T00:00:00"/>
    <s v="A"/>
    <n v="90"/>
    <s v="alice.baker@saltcorp.com"/>
    <s v="555-555-5555"/>
    <s v="Full-Time"/>
    <x v="1"/>
    <m/>
    <x v="2"/>
    <n v="12"/>
    <n v="18"/>
    <m/>
    <m/>
    <s v="no"/>
    <s v="No"/>
    <x v="4"/>
    <x v="0"/>
    <x v="0"/>
  </r>
  <r>
    <s v="EMP-2019-0763"/>
    <s v="Jack"/>
    <s v="Ross"/>
    <s v="thirty"/>
    <n v="30"/>
    <n v="1994"/>
    <n v="50000"/>
    <n v="50000"/>
    <s v="Female"/>
    <s v="sales"/>
    <x v="2"/>
    <s v="Assistant"/>
    <d v="2019-03-25T00:00:00"/>
    <d v="2019-03-25T00:00:00"/>
    <s v="B"/>
    <n v="85"/>
    <s v="jack.ross@saltcorp.com"/>
    <s v="123-456-7890"/>
    <s v="Part-Time"/>
    <x v="2"/>
    <m/>
    <x v="7"/>
    <m/>
    <n v="15"/>
    <m/>
    <m/>
    <s v="YES"/>
    <s v="Yes"/>
    <x v="0"/>
    <x v="1"/>
    <x v="1"/>
  </r>
  <r>
    <s v="EMP-2020-0764"/>
    <s v="Ivy"/>
    <s v="Desai"/>
    <m/>
    <n v="30"/>
    <n v="1994"/>
    <n v="50000"/>
    <n v="50000"/>
    <s v="Female"/>
    <s v="Marketing"/>
    <x v="4"/>
    <s v="Clerk"/>
    <d v="2020-02-20T00:00:00"/>
    <d v="2020-02-20T00:00:00"/>
    <s v="A"/>
    <n v="97"/>
    <s v="ivy.desai@saltcorp.com"/>
    <s v="555-555-5555"/>
    <s v="Full-Time"/>
    <x v="1"/>
    <s v="EMP-2020-0066"/>
    <x v="4"/>
    <m/>
    <m/>
    <m/>
    <m/>
    <s v="YES"/>
    <s v="Yes"/>
    <x v="4"/>
    <x v="0"/>
    <x v="0"/>
  </r>
  <r>
    <s v="EMP-2018-0765"/>
    <s v="Jack"/>
    <s v="Le"/>
    <n v="25"/>
    <n v="25"/>
    <n v="1999"/>
    <n v="60300"/>
    <n v="60300"/>
    <s v="Male"/>
    <s v="Marketing"/>
    <x v="4"/>
    <s v="Analyst"/>
    <d v="2018-04-05T00:00:00"/>
    <d v="2018-04-05T00:00:00"/>
    <s v="C"/>
    <n v="71"/>
    <s v="jack.le@saltcorp.com"/>
    <s v="098-765-4321"/>
    <s v="Full-Time"/>
    <x v="1"/>
    <s v="EMP-2019-0083"/>
    <x v="6"/>
    <m/>
    <m/>
    <d v="2021-10-01T00:00:00"/>
    <m/>
    <s v="YES"/>
    <s v="Yes"/>
    <x v="4"/>
    <x v="0"/>
    <x v="0"/>
  </r>
  <r>
    <s v="EMP-2018-0766"/>
    <s v="Ivy"/>
    <s v="Aguilar"/>
    <n v="35"/>
    <n v="35"/>
    <n v="1989"/>
    <n v="65000"/>
    <n v="65000"/>
    <s v="Male"/>
    <s v="it"/>
    <x v="3"/>
    <s v="Analyst"/>
    <d v="2018-04-05T00:00:00"/>
    <d v="2018-04-05T00:00:00"/>
    <s v="B"/>
    <n v="87"/>
    <s v="ivy.aguilar@saltcorp.com"/>
    <s v="555-555-5555"/>
    <s v="contract"/>
    <x v="0"/>
    <m/>
    <x v="7"/>
    <n v="12"/>
    <m/>
    <m/>
    <m/>
    <s v="YES"/>
    <s v="Yes"/>
    <x v="4"/>
    <x v="0"/>
    <x v="0"/>
  </r>
  <r>
    <s v="EMP-2020-0767"/>
    <s v="Ivy"/>
    <s v="Singh"/>
    <n v="40"/>
    <n v="40"/>
    <n v="1984"/>
    <n v="65000"/>
    <n v="65000"/>
    <s v="Female"/>
    <s v="sales"/>
    <x v="2"/>
    <s v="Clerk"/>
    <d v="2020-02-20T00:00:00"/>
    <d v="2020-02-20T00:00:00"/>
    <s v="D"/>
    <n v="63"/>
    <s v="ivy.singh@saltcorp.com"/>
    <s v="123-456-7890"/>
    <s v="Part-Time"/>
    <x v="2"/>
    <m/>
    <x v="5"/>
    <s v="N/A"/>
    <m/>
    <m/>
    <m/>
    <s v="YES"/>
    <s v="Yes"/>
    <x v="1"/>
    <x v="0"/>
    <x v="0"/>
  </r>
  <r>
    <s v="EMP-2020-0768"/>
    <s v="Frank"/>
    <s v="Matthews"/>
    <n v="35"/>
    <n v="35"/>
    <n v="1989"/>
    <s v="SIXTY THOUSAND"/>
    <n v="60000"/>
    <s v="Male"/>
    <s v="Marketing"/>
    <x v="4"/>
    <s v="Clerk"/>
    <d v="2020-01-15T00:00:00"/>
    <d v="2020-01-15T00:00:00"/>
    <s v="F"/>
    <n v="5"/>
    <s v="frank.matthews@saltcorp.com"/>
    <s v="123-456-7890"/>
    <s v="Part-Time"/>
    <x v="2"/>
    <m/>
    <x v="4"/>
    <s v="N/A"/>
    <m/>
    <d v="2022-06-20T00:00:00"/>
    <n v="55"/>
    <s v="YES"/>
    <s v="Yes"/>
    <x v="0"/>
    <x v="1"/>
    <x v="1"/>
  </r>
  <r>
    <s v="EMP-2020-0769"/>
    <s v="Hannah"/>
    <s v="Hughes"/>
    <n v="35"/>
    <n v="35"/>
    <n v="1989"/>
    <n v="60300"/>
    <n v="60300"/>
    <s v="Female"/>
    <s v="Marketing"/>
    <x v="4"/>
    <s v="Analyst"/>
    <d v="2020-02-20T00:00:00"/>
    <d v="2020-02-20T00:00:00"/>
    <s v="C"/>
    <n v="79"/>
    <s v="hannah.hughes@saltcorp.com"/>
    <s v="098-765-4321"/>
    <s v="Part-Time"/>
    <x v="2"/>
    <m/>
    <x v="1"/>
    <s v="N/A"/>
    <n v="10"/>
    <d v="2021-10-01T00:00:00"/>
    <n v="21"/>
    <s v="no"/>
    <s v="No"/>
    <x v="0"/>
    <x v="0"/>
    <x v="0"/>
  </r>
  <r>
    <s v="EMP-2020-0770"/>
    <s v="Alice"/>
    <s v="Lee"/>
    <n v="50"/>
    <n v="50"/>
    <n v="1974"/>
    <n v="58800"/>
    <n v="58800"/>
    <s v="Female"/>
    <s v="HR"/>
    <x v="0"/>
    <s v="Clerk"/>
    <d v="2020-02-20T00:00:00"/>
    <d v="2020-02-20T00:00:00"/>
    <s v="B"/>
    <n v="82"/>
    <s v="alice.lee@saltcorp.com"/>
    <s v="123-456-7890"/>
    <s v="contract"/>
    <x v="0"/>
    <m/>
    <x v="6"/>
    <s v="N/A"/>
    <m/>
    <m/>
    <m/>
    <s v="no"/>
    <s v="No"/>
    <x v="4"/>
    <x v="0"/>
    <x v="0"/>
  </r>
  <r>
    <s v="EMP-2020-0771"/>
    <s v="Jack"/>
    <s v="O'Neill"/>
    <n v="25"/>
    <n v="25"/>
    <n v="1999"/>
    <n v="65000"/>
    <n v="65000"/>
    <s v="Male"/>
    <s v="Marketing"/>
    <x v="4"/>
    <s v="Clerk"/>
    <d v="2020-01-15T00:00:00"/>
    <d v="2020-01-15T00:00:00"/>
    <s v="A"/>
    <n v="96"/>
    <s v="jack.o'neill@saltcorp.com"/>
    <m/>
    <s v="Full-Time"/>
    <x v="1"/>
    <m/>
    <x v="5"/>
    <s v="N/A"/>
    <n v="16"/>
    <d v="2021-10-01T00:00:00"/>
    <n v="41"/>
    <s v="YES"/>
    <s v="Yes"/>
    <x v="3"/>
    <x v="1"/>
    <x v="1"/>
  </r>
  <r>
    <s v="EMP-2020-0772"/>
    <s v="David"/>
    <s v="Kim"/>
    <n v="50"/>
    <n v="50"/>
    <n v="1974"/>
    <s v="SIXTY THOUSAND"/>
    <n v="60000"/>
    <s v="Male"/>
    <s v="HR"/>
    <x v="0"/>
    <s v="Assistant"/>
    <d v="2020-01-15T00:00:00"/>
    <d v="2020-01-15T00:00:00"/>
    <s v="F"/>
    <n v="35"/>
    <s v="david.kim@saltcorp.com"/>
    <s v=" "/>
    <s v="Full-Time"/>
    <x v="1"/>
    <s v="EMP-2018-0076"/>
    <x v="5"/>
    <n v="4"/>
    <n v="12"/>
    <d v="2021-10-01T00:00:00"/>
    <m/>
    <s v="YES"/>
    <s v="Yes"/>
    <x v="3"/>
    <x v="1"/>
    <x v="1"/>
  </r>
  <r>
    <s v="EMP-2019-0773"/>
    <s v="Alice"/>
    <s v="Anderson"/>
    <n v="25"/>
    <n v="25"/>
    <n v="1999"/>
    <n v="50000"/>
    <n v="50000"/>
    <s v="Female"/>
    <s v="sales"/>
    <x v="2"/>
    <s v="Manager"/>
    <d v="2019-03-25T00:00:00"/>
    <d v="2019-03-25T00:00:00"/>
    <s v="A"/>
    <n v="98"/>
    <s v="alice.anderson@saltcorp.com"/>
    <s v="555-555-5555"/>
    <s v="Part-Time"/>
    <x v="2"/>
    <s v="EMP-2018-0006"/>
    <x v="3"/>
    <n v="1"/>
    <n v="4"/>
    <d v="2021-10-01T00:00:00"/>
    <n v="8"/>
    <m/>
    <s v=""/>
    <x v="2"/>
    <x v="0"/>
    <x v="0"/>
  </r>
  <r>
    <s v="EMP-2019-0774"/>
    <s v="Hannah"/>
    <s v="Foster"/>
    <n v="25"/>
    <n v="25"/>
    <n v="1999"/>
    <n v="55000"/>
    <n v="55000"/>
    <s v="Female"/>
    <s v="sales"/>
    <x v="2"/>
    <s v="Analyst"/>
    <d v="2019-03-25T00:00:00"/>
    <d v="2019-03-25T00:00:00"/>
    <s v="B"/>
    <n v="81"/>
    <s v="hannah.foster@saltcorp.com"/>
    <m/>
    <s v="Full-Time"/>
    <x v="1"/>
    <m/>
    <x v="0"/>
    <m/>
    <m/>
    <d v="2022-06-20T00:00:00"/>
    <m/>
    <s v="YES"/>
    <s v="Yes"/>
    <x v="0"/>
    <x v="0"/>
    <x v="0"/>
  </r>
  <r>
    <s v="EMP-2020-0775"/>
    <s v="Alice"/>
    <s v="Martinez"/>
    <s v="thirty"/>
    <n v="30"/>
    <n v="1994"/>
    <n v="70000"/>
    <n v="70000"/>
    <s v="Female"/>
    <s v="sales"/>
    <x v="2"/>
    <s v="Assistant"/>
    <d v="2020-01-15T00:00:00"/>
    <d v="2020-01-15T00:00:00"/>
    <s v="B"/>
    <n v="82"/>
    <s v="alice.martinez@saltcorp.com"/>
    <s v="555-555-5555"/>
    <s v="contract"/>
    <x v="0"/>
    <m/>
    <x v="2"/>
    <m/>
    <m/>
    <d v="2023-03-05T00:00:00"/>
    <m/>
    <s v="YES"/>
    <s v="Yes"/>
    <x v="0"/>
    <x v="1"/>
    <x v="1"/>
  </r>
  <r>
    <s v="EMP-2018-0776"/>
    <s v="Charlie"/>
    <s v="Lucas"/>
    <m/>
    <n v="46"/>
    <n v="1978"/>
    <n v="50000"/>
    <n v="50000"/>
    <s v="Male"/>
    <s v="finance"/>
    <x v="1"/>
    <s v="Manager"/>
    <d v="2018-04-05T00:00:00"/>
    <d v="2018-04-05T00:00:00"/>
    <s v="C"/>
    <n v="79"/>
    <s v="charlie.lucas@saltcorp.com"/>
    <m/>
    <s v="Part-Time"/>
    <x v="2"/>
    <m/>
    <x v="5"/>
    <n v="3"/>
    <m/>
    <d v="2023-03-05T00:00:00"/>
    <m/>
    <s v="no"/>
    <s v="No"/>
    <x v="1"/>
    <x v="0"/>
    <x v="0"/>
  </r>
  <r>
    <s v="EMP-2018-0777"/>
    <s v="David"/>
    <s v="Cohen"/>
    <s v="thirty"/>
    <n v="30"/>
    <n v="1994"/>
    <n v="65000"/>
    <n v="65000"/>
    <s v="Male"/>
    <s v="sales"/>
    <x v="2"/>
    <s v="Clerk"/>
    <d v="2018-04-05T00:00:00"/>
    <d v="2018-04-05T00:00:00"/>
    <s v="D"/>
    <n v="63"/>
    <s v="david.cohen@saltcorp.com"/>
    <s v="555-555-5555"/>
    <s v="Full-Time"/>
    <x v="1"/>
    <m/>
    <x v="7"/>
    <s v="N/A"/>
    <m/>
    <m/>
    <m/>
    <s v="YES"/>
    <s v="Yes"/>
    <x v="1"/>
    <x v="0"/>
    <x v="0"/>
  </r>
  <r>
    <s v="EMP-2020-0778"/>
    <s v="Hannah"/>
    <s v="Perry"/>
    <m/>
    <n v="36"/>
    <n v="1988"/>
    <n v="70000"/>
    <n v="70000"/>
    <s v="Female"/>
    <s v="Marketing"/>
    <x v="4"/>
    <s v="Clerk"/>
    <d v="2020-02-20T00:00:00"/>
    <d v="2020-02-20T00:00:00"/>
    <s v="A"/>
    <n v="100"/>
    <s v="hannah.perry@saltcorp.com"/>
    <s v="098-765-4321"/>
    <s v="Full-Time"/>
    <x v="1"/>
    <m/>
    <x v="6"/>
    <s v="N/A"/>
    <m/>
    <d v="2021-10-01T00:00:00"/>
    <m/>
    <s v="no"/>
    <s v="No"/>
    <x v="2"/>
    <x v="0"/>
    <x v="0"/>
  </r>
  <r>
    <s v="EMP-2019-0779"/>
    <s v="Frank"/>
    <s v="Hoffman"/>
    <n v="50"/>
    <n v="50"/>
    <n v="1974"/>
    <n v="55000"/>
    <n v="55000"/>
    <s v="Male"/>
    <s v="it"/>
    <x v="3"/>
    <s v="Assistant"/>
    <d v="2019-12-01T00:00:00"/>
    <d v="2019-12-01T00:00:00"/>
    <s v="C"/>
    <n v="70"/>
    <s v="frank.hoffman@saltcorp.com"/>
    <s v="123-456-7890"/>
    <s v="Part-Time"/>
    <x v="2"/>
    <m/>
    <x v="6"/>
    <n v="10"/>
    <n v="1"/>
    <s v="N/A"/>
    <m/>
    <m/>
    <s v=""/>
    <x v="0"/>
    <x v="0"/>
    <x v="0"/>
  </r>
  <r>
    <s v="EMP-2020-0780"/>
    <s v="Jack"/>
    <s v="Jordan"/>
    <m/>
    <n v="30"/>
    <n v="1994"/>
    <n v="55000"/>
    <n v="55000"/>
    <s v="Male"/>
    <s v="HR"/>
    <x v="0"/>
    <s v="Clerk"/>
    <d v="2020-02-20T00:00:00"/>
    <d v="2020-02-20T00:00:00"/>
    <s v="F"/>
    <n v="31"/>
    <s v="jack.jordan@saltcorp.com"/>
    <s v="123-456-7890"/>
    <s v="Full-Time"/>
    <x v="1"/>
    <m/>
    <x v="3"/>
    <n v="5"/>
    <n v="19"/>
    <m/>
    <m/>
    <s v="no"/>
    <s v="No"/>
    <x v="1"/>
    <x v="1"/>
    <x v="1"/>
  </r>
  <r>
    <s v="EMP-2020-0781"/>
    <s v="Grace"/>
    <s v="Bell"/>
    <n v="50"/>
    <n v="50"/>
    <n v="1974"/>
    <s v="SIXTY THOUSAND"/>
    <n v="60000"/>
    <s v="Female"/>
    <s v="finance"/>
    <x v="1"/>
    <s v="Director"/>
    <d v="2020-02-20T00:00:00"/>
    <d v="2020-02-20T00:00:00"/>
    <s v="D"/>
    <n v="62"/>
    <s v="grace.bell@saltcorp.com"/>
    <s v="098-765-4321"/>
    <s v="Part-Time"/>
    <x v="2"/>
    <m/>
    <x v="7"/>
    <n v="13"/>
    <m/>
    <m/>
    <m/>
    <s v="YES"/>
    <s v="Yes"/>
    <x v="3"/>
    <x v="1"/>
    <x v="1"/>
  </r>
  <r>
    <s v="EMP-2019-0782"/>
    <s v="Hannah"/>
    <s v="Williamson"/>
    <n v="35"/>
    <n v="35"/>
    <n v="1989"/>
    <n v="70000"/>
    <n v="70000"/>
    <s v="Female"/>
    <s v="sales"/>
    <x v="2"/>
    <s v="Assistant"/>
    <d v="2019-12-01T00:00:00"/>
    <d v="2019-12-01T00:00:00"/>
    <s v="C"/>
    <n v="74"/>
    <s v="hannah.williamson@saltcorp.com"/>
    <m/>
    <s v="contract"/>
    <x v="0"/>
    <s v="EMP-2018-0008"/>
    <x v="4"/>
    <s v="N/A"/>
    <n v="15"/>
    <m/>
    <m/>
    <s v="no"/>
    <s v="No"/>
    <x v="3"/>
    <x v="0"/>
    <x v="0"/>
  </r>
  <r>
    <s v="EMP-2020-0783"/>
    <s v="Bob"/>
    <s v="Smith"/>
    <n v="35"/>
    <n v="35"/>
    <n v="1989"/>
    <s v="SIXTY THOUSAND"/>
    <n v="60000"/>
    <s v="Male"/>
    <s v="sales"/>
    <x v="2"/>
    <s v="Manager"/>
    <d v="2020-01-15T00:00:00"/>
    <d v="2020-01-15T00:00:00"/>
    <s v="A"/>
    <n v="92"/>
    <s v="bob.smith@saltcorp.com"/>
    <s v=" "/>
    <s v="Full-Time"/>
    <x v="1"/>
    <m/>
    <x v="1"/>
    <n v="1"/>
    <n v="9"/>
    <m/>
    <m/>
    <s v="YES"/>
    <s v="Yes"/>
    <x v="2"/>
    <x v="0"/>
    <x v="0"/>
  </r>
  <r>
    <s v="EMP-2018-0784"/>
    <s v="Jack"/>
    <s v="Ryan"/>
    <m/>
    <n v="33"/>
    <n v="1991"/>
    <n v="50000"/>
    <n v="50000"/>
    <s v="Male"/>
    <s v="it"/>
    <x v="3"/>
    <s v="Assistant"/>
    <d v="2018-04-05T00:00:00"/>
    <d v="2018-04-05T00:00:00"/>
    <s v="B"/>
    <n v="84"/>
    <s v="jack.ryan@saltcorp.com"/>
    <m/>
    <s v="Full-Time"/>
    <x v="1"/>
    <m/>
    <x v="1"/>
    <m/>
    <m/>
    <m/>
    <m/>
    <s v="YES"/>
    <s v="Yes"/>
    <x v="1"/>
    <x v="1"/>
    <x v="1"/>
  </r>
  <r>
    <s v="EMP-2020-0785"/>
    <s v="Hannah"/>
    <s v="Long"/>
    <m/>
    <n v="27"/>
    <n v="1997"/>
    <n v="59300"/>
    <n v="59300"/>
    <s v="Male"/>
    <s v="it"/>
    <x v="3"/>
    <s v="Analyst"/>
    <d v="2020-02-20T00:00:00"/>
    <d v="2020-02-20T00:00:00"/>
    <s v="F"/>
    <n v="17"/>
    <s v="hannah.long@saltcorp.com"/>
    <s v="123-456-7890"/>
    <s v="Full-Time"/>
    <x v="1"/>
    <s v="EMP-2020-0023"/>
    <x v="7"/>
    <m/>
    <m/>
    <m/>
    <m/>
    <m/>
    <s v=""/>
    <x v="3"/>
    <x v="0"/>
    <x v="0"/>
  </r>
  <r>
    <s v="EMP-2019-0786"/>
    <s v="Charlie"/>
    <s v="Jordan"/>
    <n v="50"/>
    <n v="50"/>
    <n v="1974"/>
    <n v="58500"/>
    <n v="58500"/>
    <s v="Male"/>
    <s v="finance"/>
    <x v="1"/>
    <s v="Assistant"/>
    <d v="2019-12-01T00:00:00"/>
    <d v="2019-12-01T00:00:00"/>
    <s v="A"/>
    <n v="96"/>
    <s v="charlie.jordan@saltcorp.com"/>
    <s v=" "/>
    <s v="contract"/>
    <x v="0"/>
    <s v="EMP-2018-0090"/>
    <x v="0"/>
    <m/>
    <m/>
    <m/>
    <m/>
    <m/>
    <s v=""/>
    <x v="3"/>
    <x v="0"/>
    <x v="0"/>
  </r>
  <r>
    <s v="EMP-2019-0787"/>
    <s v="Grace"/>
    <s v="Yang"/>
    <s v="thirty"/>
    <n v="30"/>
    <n v="1994"/>
    <n v="58800"/>
    <n v="58800"/>
    <s v="Male"/>
    <s v="HR"/>
    <x v="0"/>
    <s v="Clerk"/>
    <d v="2019-03-25T00:00:00"/>
    <d v="2019-03-25T00:00:00"/>
    <s v="D"/>
    <n v="60"/>
    <s v="grace.yang@saltcorp.com"/>
    <s v="555-555-5555"/>
    <s v="Full-Time"/>
    <x v="1"/>
    <m/>
    <x v="3"/>
    <s v="N/A"/>
    <n v="5"/>
    <d v="2021-10-01T00:00:00"/>
    <m/>
    <m/>
    <s v=""/>
    <x v="0"/>
    <x v="0"/>
    <x v="0"/>
  </r>
  <r>
    <s v="EMP-2020-0788"/>
    <s v="Charlie"/>
    <s v="Gomez"/>
    <n v="50"/>
    <n v="50"/>
    <n v="1974"/>
    <n v="70000"/>
    <n v="70000"/>
    <s v="Male"/>
    <s v="sales"/>
    <x v="2"/>
    <s v="Clerk"/>
    <d v="2020-02-20T00:00:00"/>
    <d v="2020-02-20T00:00:00"/>
    <s v="D"/>
    <n v="67"/>
    <s v="charlie.gomez@saltcorp.com"/>
    <s v=" "/>
    <s v="Part-Time"/>
    <x v="2"/>
    <s v="EMP-2020-0034"/>
    <x v="0"/>
    <s v="N/A"/>
    <n v="8"/>
    <d v="2021-10-01T00:00:00"/>
    <m/>
    <s v="YES"/>
    <s v="Yes"/>
    <x v="1"/>
    <x v="0"/>
    <x v="0"/>
  </r>
  <r>
    <s v="EMP-2018-0789"/>
    <s v="Grace"/>
    <s v="Figueroa"/>
    <s v="thirty"/>
    <n v="30"/>
    <n v="1994"/>
    <n v="60300"/>
    <n v="60300"/>
    <s v="Male"/>
    <s v="finance"/>
    <x v="1"/>
    <s v="Director"/>
    <d v="2018-04-05T00:00:00"/>
    <d v="2018-04-05T00:00:00"/>
    <s v="B"/>
    <n v="88"/>
    <s v="grace.figueroa@saltcorp.com"/>
    <m/>
    <s v="Full-Time"/>
    <x v="1"/>
    <m/>
    <x v="7"/>
    <n v="5"/>
    <n v="3"/>
    <m/>
    <m/>
    <s v="no"/>
    <s v="No"/>
    <x v="2"/>
    <x v="0"/>
    <x v="0"/>
  </r>
  <r>
    <s v="EMP-2020-0790"/>
    <s v="Bob"/>
    <s v="Rodriguez"/>
    <n v="35"/>
    <n v="35"/>
    <n v="1989"/>
    <n v="50000"/>
    <n v="50000"/>
    <s v="Male"/>
    <s v="Marketing"/>
    <x v="4"/>
    <s v="Director"/>
    <d v="2020-01-15T00:00:00"/>
    <d v="2020-01-15T00:00:00"/>
    <s v="B"/>
    <n v="80"/>
    <s v="bob.rodriguez@saltcorp.com"/>
    <s v="098-765-4321"/>
    <s v="contract"/>
    <x v="0"/>
    <s v="EMP-2018-0099"/>
    <x v="0"/>
    <s v="N/A"/>
    <n v="12"/>
    <m/>
    <m/>
    <s v="no"/>
    <s v="No"/>
    <x v="3"/>
    <x v="1"/>
    <x v="1"/>
  </r>
  <r>
    <s v="EMP-2020-0791"/>
    <s v="Jack"/>
    <s v="Andrews"/>
    <n v="25"/>
    <n v="25"/>
    <n v="1999"/>
    <s v="SIXTY THOUSAND"/>
    <n v="60000"/>
    <s v="Male"/>
    <s v="Marketing"/>
    <x v="4"/>
    <s v="Director"/>
    <d v="2020-02-20T00:00:00"/>
    <d v="2020-02-20T00:00:00"/>
    <s v="F"/>
    <n v="33"/>
    <s v="jack.andrews@saltcorp.com"/>
    <s v="555-555-5555"/>
    <s v="contract"/>
    <x v="0"/>
    <m/>
    <x v="4"/>
    <m/>
    <m/>
    <m/>
    <m/>
    <s v="YES"/>
    <s v="Yes"/>
    <x v="2"/>
    <x v="0"/>
    <x v="0"/>
  </r>
  <r>
    <s v="EMP-2020-0792"/>
    <s v="Frank"/>
    <s v="Flores"/>
    <m/>
    <n v="36"/>
    <n v="1988"/>
    <n v="70000"/>
    <n v="70000"/>
    <s v="Male"/>
    <s v="finance"/>
    <x v="1"/>
    <s v="Manager"/>
    <d v="2020-02-20T00:00:00"/>
    <d v="2020-02-20T00:00:00"/>
    <s v="F"/>
    <n v="6"/>
    <s v="frank.flores@saltcorp.com"/>
    <m/>
    <s v="Full-Time"/>
    <x v="1"/>
    <m/>
    <x v="7"/>
    <n v="0"/>
    <m/>
    <m/>
    <n v="28"/>
    <s v="no"/>
    <s v="No"/>
    <x v="1"/>
    <x v="1"/>
    <x v="1"/>
  </r>
  <r>
    <s v="EMP-2019-0793"/>
    <s v="Charlie"/>
    <s v="Santos"/>
    <s v="thirty"/>
    <n v="30"/>
    <n v="1994"/>
    <s v="SIXTY THOUSAND"/>
    <n v="60000"/>
    <s v="Male"/>
    <s v="sales"/>
    <x v="2"/>
    <s v="Director"/>
    <d v="2019-12-01T00:00:00"/>
    <d v="2019-12-01T00:00:00"/>
    <s v="B"/>
    <n v="83"/>
    <s v="charlie.santos@saltcorp.com"/>
    <s v="555-555-5555"/>
    <s v="Full-Time"/>
    <x v="1"/>
    <m/>
    <x v="2"/>
    <m/>
    <m/>
    <m/>
    <m/>
    <m/>
    <s v=""/>
    <x v="3"/>
    <x v="0"/>
    <x v="0"/>
  </r>
  <r>
    <s v="EMP-2019-0794"/>
    <s v="Charlie"/>
    <s v="Knight"/>
    <n v="50"/>
    <n v="50"/>
    <n v="1974"/>
    <n v="70000"/>
    <n v="70000"/>
    <s v="Female"/>
    <s v="finance"/>
    <x v="1"/>
    <s v="Manager"/>
    <d v="2019-03-25T00:00:00"/>
    <d v="2019-03-25T00:00:00"/>
    <s v="B"/>
    <n v="83"/>
    <s v="charlie.knight@saltcorp.com"/>
    <s v=" "/>
    <s v="Part-Time"/>
    <x v="2"/>
    <m/>
    <x v="0"/>
    <m/>
    <n v="16"/>
    <m/>
    <m/>
    <m/>
    <s v=""/>
    <x v="0"/>
    <x v="0"/>
    <x v="0"/>
  </r>
  <r>
    <s v="EMP-2019-0795"/>
    <s v="Ivy"/>
    <s v="Kumar"/>
    <n v="35"/>
    <n v="35"/>
    <n v="1989"/>
    <s v="SIXTY THOUSAND"/>
    <n v="60000"/>
    <s v="Male"/>
    <s v="sales"/>
    <x v="2"/>
    <s v="Director"/>
    <d v="2019-03-25T00:00:00"/>
    <d v="2019-03-25T00:00:00"/>
    <s v="D"/>
    <n v="69"/>
    <s v="ivy.kumar@saltcorp.com"/>
    <s v="123-456-7890"/>
    <s v="Full-Time"/>
    <x v="1"/>
    <m/>
    <x v="7"/>
    <s v="N/A"/>
    <n v="1"/>
    <d v="2023-01-15T00:00:00"/>
    <m/>
    <m/>
    <s v=""/>
    <x v="3"/>
    <x v="1"/>
    <x v="1"/>
  </r>
  <r>
    <s v="EMP-2020-0796"/>
    <s v="Grace"/>
    <s v="West"/>
    <s v="thirty"/>
    <n v="30"/>
    <n v="1994"/>
    <n v="55000"/>
    <n v="55000"/>
    <s v="Male"/>
    <s v="it"/>
    <x v="3"/>
    <s v="Manager"/>
    <d v="2020-01-15T00:00:00"/>
    <d v="2020-01-15T00:00:00"/>
    <s v="B"/>
    <n v="89"/>
    <s v="grace.west@saltcorp.com"/>
    <m/>
    <s v="contract"/>
    <x v="0"/>
    <m/>
    <x v="4"/>
    <m/>
    <n v="7"/>
    <d v="2021-10-01T00:00:00"/>
    <n v="20"/>
    <s v="YES"/>
    <s v="Yes"/>
    <x v="4"/>
    <x v="0"/>
    <x v="0"/>
  </r>
  <r>
    <s v="EMP-2018-0797"/>
    <s v="Eve"/>
    <s v="Carter"/>
    <n v="50"/>
    <n v="50"/>
    <n v="1974"/>
    <s v="SIXTY THOUSAND"/>
    <n v="60000"/>
    <s v="Female"/>
    <s v="finance"/>
    <x v="1"/>
    <s v="Assistant"/>
    <d v="2018-04-05T00:00:00"/>
    <d v="2018-04-05T00:00:00"/>
    <s v="C"/>
    <n v="79"/>
    <s v="eve.carter@saltcorp.com"/>
    <s v="098-765-4321"/>
    <s v="Part-Time"/>
    <x v="2"/>
    <s v="EMP-2018-0032"/>
    <x v="5"/>
    <m/>
    <n v="9"/>
    <m/>
    <m/>
    <s v="YES"/>
    <s v="Yes"/>
    <x v="4"/>
    <x v="0"/>
    <x v="0"/>
  </r>
  <r>
    <s v="EMP-2020-0798"/>
    <s v="Jack"/>
    <s v="Sullivan"/>
    <m/>
    <n v="32"/>
    <n v="1992"/>
    <n v="58300"/>
    <n v="58300"/>
    <s v="Male"/>
    <s v="sales"/>
    <x v="2"/>
    <s v="Assistant"/>
    <d v="2020-01-15T00:00:00"/>
    <d v="2020-01-15T00:00:00"/>
    <s v="A"/>
    <n v="97"/>
    <s v="jack.sullivan@saltcorp.com"/>
    <s v=" "/>
    <s v="contract"/>
    <x v="0"/>
    <s v="EMP-2019-0020"/>
    <x v="3"/>
    <n v="9"/>
    <m/>
    <m/>
    <m/>
    <s v="YES"/>
    <s v="Yes"/>
    <x v="0"/>
    <x v="0"/>
    <x v="0"/>
  </r>
  <r>
    <s v="EMP-2020-0799"/>
    <s v="Grace"/>
    <s v="Le"/>
    <m/>
    <n v="33"/>
    <n v="1991"/>
    <n v="55000"/>
    <n v="55000"/>
    <s v="Male"/>
    <s v="finance"/>
    <x v="1"/>
    <s v="Clerk"/>
    <d v="2020-02-20T00:00:00"/>
    <d v="2020-02-20T00:00:00"/>
    <s v="B"/>
    <n v="81"/>
    <s v="grace.le@saltcorp.com"/>
    <m/>
    <s v="Full-Time"/>
    <x v="1"/>
    <m/>
    <x v="6"/>
    <m/>
    <m/>
    <d v="2023-01-15T00:00:00"/>
    <n v="37"/>
    <s v="YES"/>
    <s v="Yes"/>
    <x v="3"/>
    <x v="1"/>
    <x v="1"/>
  </r>
  <r>
    <s v="EMP-2020-0800"/>
    <s v="Ivy"/>
    <s v="Sharma"/>
    <n v="40"/>
    <n v="40"/>
    <n v="1984"/>
    <s v="SIXTY THOUSAND"/>
    <n v="60000"/>
    <s v="Female"/>
    <s v="finance"/>
    <x v="1"/>
    <s v="Manager"/>
    <d v="2020-02-20T00:00:00"/>
    <d v="2020-02-20T00:00:00"/>
    <s v="F"/>
    <n v="0"/>
    <s v="ivy.sharma@saltcorp.com"/>
    <s v="098-765-4321"/>
    <s v="Full-Time"/>
    <x v="1"/>
    <m/>
    <x v="2"/>
    <n v="9"/>
    <n v="17"/>
    <m/>
    <m/>
    <m/>
    <s v=""/>
    <x v="3"/>
    <x v="1"/>
    <x v="1"/>
  </r>
  <r>
    <s v="EMP-2019-0801"/>
    <s v="Alice"/>
    <s v="Pearson"/>
    <n v="25"/>
    <n v="25"/>
    <n v="1999"/>
    <n v="70000"/>
    <n v="70000"/>
    <s v="Male"/>
    <s v="sales"/>
    <x v="2"/>
    <s v="Analyst"/>
    <d v="2019-03-25T00:00:00"/>
    <d v="2019-03-25T00:00:00"/>
    <s v="C"/>
    <n v="73"/>
    <s v="alice.pearson@saltcorp.com"/>
    <m/>
    <s v="contract"/>
    <x v="0"/>
    <m/>
    <x v="6"/>
    <n v="3"/>
    <n v="3"/>
    <m/>
    <m/>
    <s v="YES"/>
    <s v="Yes"/>
    <x v="1"/>
    <x v="0"/>
    <x v="0"/>
  </r>
  <r>
    <s v="EMP-2018-0802"/>
    <s v="Grace"/>
    <s v="Vega"/>
    <n v="40"/>
    <n v="40"/>
    <n v="1984"/>
    <n v="70000"/>
    <n v="70000"/>
    <s v="Male"/>
    <s v="sales"/>
    <x v="2"/>
    <s v="Clerk"/>
    <d v="2018-04-05T00:00:00"/>
    <d v="2018-04-05T00:00:00"/>
    <s v="F"/>
    <n v="9"/>
    <s v="grace.vega@saltcorp.com"/>
    <s v=" "/>
    <s v="contract"/>
    <x v="0"/>
    <m/>
    <x v="6"/>
    <s v="N/A"/>
    <m/>
    <m/>
    <n v="59"/>
    <s v="YES"/>
    <s v="Yes"/>
    <x v="0"/>
    <x v="0"/>
    <x v="0"/>
  </r>
  <r>
    <s v="EMP-2019-0803"/>
    <s v="Frank"/>
    <s v="Sanchez"/>
    <n v="35"/>
    <n v="35"/>
    <n v="1989"/>
    <n v="70000"/>
    <n v="70000"/>
    <s v="Female"/>
    <s v="HR"/>
    <x v="0"/>
    <s v="Assistant"/>
    <d v="2019-12-01T00:00:00"/>
    <d v="2019-12-01T00:00:00"/>
    <s v="C"/>
    <n v="71"/>
    <s v="frank.sanchez@saltcorp.com"/>
    <m/>
    <s v="Part-Time"/>
    <x v="2"/>
    <m/>
    <x v="0"/>
    <n v="15"/>
    <m/>
    <m/>
    <n v="54"/>
    <s v="YES"/>
    <s v="Yes"/>
    <x v="0"/>
    <x v="0"/>
    <x v="0"/>
  </r>
  <r>
    <s v="EMP-2018-0804"/>
    <s v="Jack"/>
    <s v="Sullivan"/>
    <s v="thirty"/>
    <n v="30"/>
    <n v="1994"/>
    <n v="65000"/>
    <n v="65000"/>
    <s v="Male"/>
    <s v="finance"/>
    <x v="1"/>
    <s v="Manager"/>
    <d v="2018-04-05T00:00:00"/>
    <d v="2018-04-05T00:00:00"/>
    <s v="B"/>
    <n v="81"/>
    <s v="jack.sullivan@saltcorp.com"/>
    <s v="555-555-5555"/>
    <s v="contract"/>
    <x v="0"/>
    <m/>
    <x v="7"/>
    <m/>
    <m/>
    <d v="2023-03-05T00:00:00"/>
    <n v="20"/>
    <s v="YES"/>
    <s v="Yes"/>
    <x v="1"/>
    <x v="1"/>
    <x v="1"/>
  </r>
  <r>
    <s v="EMP-2020-0805"/>
    <s v="Ivy"/>
    <s v="Desai"/>
    <n v="35"/>
    <n v="35"/>
    <n v="1989"/>
    <n v="50000"/>
    <n v="50000"/>
    <s v="Male"/>
    <s v="Marketing"/>
    <x v="4"/>
    <s v="Director"/>
    <d v="2020-02-20T00:00:00"/>
    <d v="2020-02-20T00:00:00"/>
    <s v="A"/>
    <n v="91"/>
    <s v="ivy.desai@saltcorp.com"/>
    <s v=" "/>
    <s v="contract"/>
    <x v="0"/>
    <s v="EMP-2020-0007"/>
    <x v="5"/>
    <m/>
    <m/>
    <d v="2024-08-12T00:00:00"/>
    <n v="13"/>
    <s v="YES"/>
    <s v="Yes"/>
    <x v="2"/>
    <x v="0"/>
    <x v="0"/>
  </r>
  <r>
    <s v="EMP-2019-0806"/>
    <s v="Alice"/>
    <s v="Medina"/>
    <n v="50"/>
    <n v="50"/>
    <n v="1974"/>
    <n v="70000"/>
    <n v="70000"/>
    <s v="Female"/>
    <s v="finance"/>
    <x v="1"/>
    <s v="Analyst"/>
    <d v="2019-12-01T00:00:00"/>
    <d v="2019-12-01T00:00:00"/>
    <s v="F"/>
    <n v="11"/>
    <s v="alice.medina@saltcorp.com"/>
    <m/>
    <s v="contract"/>
    <x v="0"/>
    <m/>
    <x v="5"/>
    <n v="15"/>
    <n v="4"/>
    <m/>
    <n v="39"/>
    <s v="YES"/>
    <s v="Yes"/>
    <x v="2"/>
    <x v="0"/>
    <x v="0"/>
  </r>
  <r>
    <s v="EMP-2018-0807"/>
    <s v="David"/>
    <s v="Ross"/>
    <m/>
    <n v="40"/>
    <n v="1984"/>
    <n v="55000"/>
    <n v="55000"/>
    <s v="Male"/>
    <s v="finance"/>
    <x v="1"/>
    <s v="Assistant"/>
    <d v="2018-04-05T00:00:00"/>
    <d v="2018-04-05T00:00:00"/>
    <s v="C"/>
    <n v="75"/>
    <s v="david.ross@saltcorp.com"/>
    <s v="123-456-7890"/>
    <s v="Part-Time"/>
    <x v="2"/>
    <m/>
    <x v="3"/>
    <m/>
    <n v="6"/>
    <d v="2021-10-01T00:00:00"/>
    <m/>
    <s v="no"/>
    <s v="No"/>
    <x v="0"/>
    <x v="0"/>
    <x v="0"/>
  </r>
  <r>
    <s v="EMP-2018-0808"/>
    <s v="Ivy"/>
    <s v="Thomas"/>
    <n v="40"/>
    <n v="40"/>
    <n v="1984"/>
    <n v="70000"/>
    <n v="70000"/>
    <s v="Female"/>
    <s v="sales"/>
    <x v="2"/>
    <s v="Clerk"/>
    <d v="2018-04-05T00:00:00"/>
    <d v="2018-04-05T00:00:00"/>
    <s v="D"/>
    <n v="64"/>
    <s v="ivy.thomas@saltcorp.com"/>
    <m/>
    <s v="Full-Time"/>
    <x v="1"/>
    <s v="EMP-2020-0059"/>
    <x v="2"/>
    <m/>
    <m/>
    <d v="2024-08-12T00:00:00"/>
    <m/>
    <s v="no"/>
    <s v="No"/>
    <x v="3"/>
    <x v="1"/>
    <x v="1"/>
  </r>
  <r>
    <s v="EMP-2019-0809"/>
    <s v="David"/>
    <s v="Powers"/>
    <n v="40"/>
    <n v="40"/>
    <n v="1984"/>
    <n v="65000"/>
    <n v="65000"/>
    <s v="Female"/>
    <s v="finance"/>
    <x v="1"/>
    <s v="Manager"/>
    <d v="2019-12-01T00:00:00"/>
    <d v="2019-12-01T00:00:00"/>
    <s v="B"/>
    <n v="82"/>
    <s v="david.powers@saltcorp.com"/>
    <s v="555-555-5555"/>
    <s v="Part-Time"/>
    <x v="2"/>
    <m/>
    <x v="2"/>
    <s v="N/A"/>
    <m/>
    <s v="N/A"/>
    <n v="77"/>
    <s v="no"/>
    <s v="No"/>
    <x v="3"/>
    <x v="1"/>
    <x v="1"/>
  </r>
  <r>
    <s v="EMP-2020-0810"/>
    <s v="Jack"/>
    <s v="Gibson"/>
    <n v="40"/>
    <n v="40"/>
    <n v="1984"/>
    <n v="60800"/>
    <n v="60800"/>
    <s v="Male"/>
    <s v="finance"/>
    <x v="1"/>
    <s v="Analyst"/>
    <d v="2020-02-20T00:00:00"/>
    <d v="2020-02-20T00:00:00"/>
    <s v="A"/>
    <n v="99"/>
    <s v="jack.gibson@saltcorp.com"/>
    <s v="098-765-4321"/>
    <s v="Part-Time"/>
    <x v="2"/>
    <m/>
    <x v="3"/>
    <m/>
    <n v="13"/>
    <m/>
    <n v="41"/>
    <s v="no"/>
    <s v="No"/>
    <x v="3"/>
    <x v="1"/>
    <x v="1"/>
  </r>
  <r>
    <s v="EMP-2018-0811"/>
    <s v="Charlie"/>
    <s v="Clark"/>
    <n v="35"/>
    <n v="35"/>
    <n v="1989"/>
    <n v="55000"/>
    <n v="55000"/>
    <s v="Male"/>
    <s v="Marketing"/>
    <x v="4"/>
    <s v="Manager"/>
    <d v="2018-04-05T00:00:00"/>
    <d v="2018-04-05T00:00:00"/>
    <s v="B"/>
    <n v="85"/>
    <s v="charlie.clark@saltcorp.com"/>
    <s v="098-765-4321"/>
    <s v="Part-Time"/>
    <x v="2"/>
    <s v="EMP-2019-0099"/>
    <x v="0"/>
    <m/>
    <n v="0"/>
    <m/>
    <m/>
    <s v="YES"/>
    <s v="Yes"/>
    <x v="2"/>
    <x v="0"/>
    <x v="0"/>
  </r>
  <r>
    <s v="EMP-2019-0812"/>
    <s v="Ivy"/>
    <s v="Desai"/>
    <m/>
    <n v="51"/>
    <n v="1973"/>
    <n v="65000"/>
    <n v="65000"/>
    <s v="Female"/>
    <s v="sales"/>
    <x v="2"/>
    <s v="Director"/>
    <d v="2019-12-01T00:00:00"/>
    <d v="2019-12-01T00:00:00"/>
    <s v="D"/>
    <n v="62"/>
    <s v="ivy.desai@saltcorp.com"/>
    <s v="098-765-4321"/>
    <s v="Full-Time"/>
    <x v="1"/>
    <s v="EMP-2020-0098"/>
    <x v="0"/>
    <n v="1"/>
    <n v="20"/>
    <m/>
    <m/>
    <s v="no"/>
    <s v="No"/>
    <x v="4"/>
    <x v="0"/>
    <x v="0"/>
  </r>
  <r>
    <s v="EMP-2020-0813"/>
    <s v="Bob"/>
    <s v="Harrison"/>
    <s v="thirty"/>
    <n v="30"/>
    <n v="1994"/>
    <n v="61300"/>
    <n v="61300"/>
    <s v="Male"/>
    <s v="finance"/>
    <x v="1"/>
    <s v="Clerk"/>
    <d v="2020-02-20T00:00:00"/>
    <d v="2020-02-20T00:00:00"/>
    <s v="A"/>
    <n v="91"/>
    <s v="bob.harrison@saltcorp.com"/>
    <s v="123-456-7890"/>
    <s v="contract"/>
    <x v="0"/>
    <s v="EMP-2019-0004"/>
    <x v="1"/>
    <n v="7"/>
    <n v="8"/>
    <m/>
    <n v="35"/>
    <m/>
    <s v=""/>
    <x v="2"/>
    <x v="0"/>
    <x v="0"/>
  </r>
  <r>
    <s v="EMP-2019-0814"/>
    <s v="David"/>
    <s v="Harrison"/>
    <n v="50"/>
    <n v="50"/>
    <n v="1974"/>
    <n v="55000"/>
    <n v="55000"/>
    <s v="Male"/>
    <s v="it"/>
    <x v="3"/>
    <s v="Manager"/>
    <d v="2019-12-01T00:00:00"/>
    <d v="2019-12-01T00:00:00"/>
    <s v="D"/>
    <n v="67"/>
    <s v="david.harrison@saltcorp.com"/>
    <s v="555-555-5555"/>
    <s v="Part-Time"/>
    <x v="2"/>
    <s v="EMP-2020-0089"/>
    <x v="6"/>
    <m/>
    <m/>
    <d v="2022-06-20T00:00:00"/>
    <m/>
    <s v="YES"/>
    <s v="Yes"/>
    <x v="3"/>
    <x v="1"/>
    <x v="1"/>
  </r>
  <r>
    <s v="EMP-2019-0815"/>
    <s v="Frank"/>
    <s v="Perez"/>
    <s v="thirty"/>
    <n v="30"/>
    <n v="1994"/>
    <s v="SIXTY THOUSAND"/>
    <n v="60000"/>
    <s v="Female"/>
    <s v="HR"/>
    <x v="0"/>
    <s v="Assistant"/>
    <d v="2019-12-01T00:00:00"/>
    <d v="2019-12-01T00:00:00"/>
    <s v="B"/>
    <n v="83"/>
    <s v="frank.perez@saltcorp.com"/>
    <s v=" "/>
    <s v="contract"/>
    <x v="0"/>
    <m/>
    <x v="7"/>
    <m/>
    <n v="8"/>
    <d v="2022-06-20T00:00:00"/>
    <m/>
    <s v="YES"/>
    <s v="Yes"/>
    <x v="4"/>
    <x v="0"/>
    <x v="0"/>
  </r>
  <r>
    <s v="EMP-2018-0816"/>
    <s v="Bob"/>
    <s v="Garcia"/>
    <n v="35"/>
    <n v="35"/>
    <n v="1989"/>
    <n v="50000"/>
    <n v="50000"/>
    <s v="Male"/>
    <s v="Marketing"/>
    <x v="4"/>
    <s v="Clerk"/>
    <d v="2018-04-05T00:00:00"/>
    <d v="2018-04-05T00:00:00"/>
    <s v="C"/>
    <n v="70"/>
    <s v="bob.garcia@saltcorp.com"/>
    <s v="098-765-4321"/>
    <s v="Part-Time"/>
    <x v="2"/>
    <m/>
    <x v="3"/>
    <s v="N/A"/>
    <m/>
    <m/>
    <m/>
    <s v="no"/>
    <s v="No"/>
    <x v="1"/>
    <x v="1"/>
    <x v="1"/>
  </r>
  <r>
    <s v="EMP-2020-0817"/>
    <s v="Hannah"/>
    <s v="Rivera"/>
    <n v="50"/>
    <n v="50"/>
    <n v="1974"/>
    <n v="50000"/>
    <n v="50000"/>
    <s v="Male"/>
    <s v="finance"/>
    <x v="1"/>
    <s v="Assistant"/>
    <d v="2020-02-20T00:00:00"/>
    <d v="2020-02-20T00:00:00"/>
    <s v="B"/>
    <n v="86"/>
    <s v="hannah.rivera@saltcorp.com"/>
    <s v="555-555-5555"/>
    <s v="Full-Time"/>
    <x v="1"/>
    <m/>
    <x v="4"/>
    <m/>
    <n v="13"/>
    <d v="2023-01-15T00:00:00"/>
    <n v="7"/>
    <s v="no"/>
    <s v="No"/>
    <x v="3"/>
    <x v="1"/>
    <x v="1"/>
  </r>
  <r>
    <s v="EMP-2018-0818"/>
    <s v="Hannah"/>
    <s v="Andrews"/>
    <n v="40"/>
    <n v="40"/>
    <n v="1984"/>
    <n v="65000"/>
    <n v="65000"/>
    <s v="Female"/>
    <s v="it"/>
    <x v="3"/>
    <s v="Manager"/>
    <d v="2018-04-05T00:00:00"/>
    <d v="2018-04-05T00:00:00"/>
    <s v="B"/>
    <n v="85"/>
    <s v="hannah.andrews@saltcorp.com"/>
    <m/>
    <s v="Full-Time"/>
    <x v="1"/>
    <m/>
    <x v="6"/>
    <s v="N/A"/>
    <m/>
    <d v="2021-10-01T00:00:00"/>
    <n v="39"/>
    <s v="no"/>
    <s v="No"/>
    <x v="0"/>
    <x v="1"/>
    <x v="1"/>
  </r>
  <r>
    <s v="EMP-2020-0819"/>
    <s v="Alice"/>
    <s v="Davidson"/>
    <n v="25"/>
    <n v="25"/>
    <n v="1999"/>
    <n v="61300"/>
    <n v="61300"/>
    <s v="Female"/>
    <s v="finance"/>
    <x v="1"/>
    <s v="Clerk"/>
    <d v="2020-01-15T00:00:00"/>
    <d v="2020-01-15T00:00:00"/>
    <s v="B"/>
    <n v="89"/>
    <s v="alice.davidson@saltcorp.com"/>
    <s v="123-456-7890"/>
    <s v="Full-Time"/>
    <x v="1"/>
    <m/>
    <x v="5"/>
    <m/>
    <m/>
    <m/>
    <m/>
    <s v="YES"/>
    <s v="Yes"/>
    <x v="0"/>
    <x v="1"/>
    <x v="1"/>
  </r>
  <r>
    <s v="EMP-2020-0820"/>
    <s v="Charlie"/>
    <s v="Bennett"/>
    <n v="35"/>
    <n v="35"/>
    <n v="1989"/>
    <n v="50000"/>
    <n v="50000"/>
    <s v="Male"/>
    <s v="finance"/>
    <x v="1"/>
    <s v="Assistant"/>
    <d v="2020-01-15T00:00:00"/>
    <d v="2020-01-15T00:00:00"/>
    <s v="F"/>
    <n v="20"/>
    <s v="charlie.bennett@saltcorp.com"/>
    <s v="555-555-5555"/>
    <s v="contract"/>
    <x v="0"/>
    <m/>
    <x v="5"/>
    <s v="N/A"/>
    <m/>
    <m/>
    <m/>
    <s v="no"/>
    <s v="No"/>
    <x v="0"/>
    <x v="0"/>
    <x v="0"/>
  </r>
  <r>
    <s v="EMP-2020-0821"/>
    <s v="Jack"/>
    <s v="O'Neill"/>
    <n v="35"/>
    <n v="35"/>
    <n v="1989"/>
    <n v="63000"/>
    <n v="63000"/>
    <s v="Male"/>
    <s v="sales"/>
    <x v="2"/>
    <s v="Director"/>
    <d v="2020-02-20T00:00:00"/>
    <d v="2020-02-20T00:00:00"/>
    <s v="D"/>
    <n v="65"/>
    <s v="jack.o'neill@saltcorp.com"/>
    <s v="555-555-5555"/>
    <s v="Part-Time"/>
    <x v="2"/>
    <m/>
    <x v="3"/>
    <n v="5"/>
    <m/>
    <m/>
    <m/>
    <s v="no"/>
    <s v="No"/>
    <x v="0"/>
    <x v="0"/>
    <x v="0"/>
  </r>
  <r>
    <s v="EMP-2019-0822"/>
    <s v="Ivy"/>
    <s v="Gupta"/>
    <m/>
    <n v="43"/>
    <n v="1981"/>
    <n v="63000"/>
    <n v="63000"/>
    <s v="Female"/>
    <s v="sales"/>
    <x v="2"/>
    <s v="Director"/>
    <d v="2019-12-01T00:00:00"/>
    <d v="2019-12-01T00:00:00"/>
    <s v="D"/>
    <n v="68"/>
    <s v="ivy.gupta@saltcorp.com"/>
    <s v=" "/>
    <s v="Full-Time"/>
    <x v="1"/>
    <s v="EMP-2018-0065"/>
    <x v="2"/>
    <s v="N/A"/>
    <m/>
    <d v="2023-01-15T00:00:00"/>
    <m/>
    <s v="no"/>
    <s v="No"/>
    <x v="3"/>
    <x v="0"/>
    <x v="0"/>
  </r>
  <r>
    <s v="EMP-2018-0823"/>
    <s v="Eve"/>
    <s v="Graham"/>
    <s v="thirty"/>
    <n v="30"/>
    <n v="1994"/>
    <n v="65000"/>
    <n v="65000"/>
    <s v="Female"/>
    <s v="sales"/>
    <x v="2"/>
    <s v="Manager"/>
    <d v="2018-04-05T00:00:00"/>
    <d v="2018-04-05T00:00:00"/>
    <s v="D"/>
    <n v="69"/>
    <s v="eve.graham@saltcorp.com"/>
    <s v="555-555-5555"/>
    <s v="Full-Time"/>
    <x v="1"/>
    <m/>
    <x v="5"/>
    <m/>
    <m/>
    <d v="2024-08-12T00:00:00"/>
    <n v="57"/>
    <m/>
    <s v=""/>
    <x v="0"/>
    <x v="0"/>
    <x v="0"/>
  </r>
  <r>
    <s v="EMP-2018-0824"/>
    <s v="Frank"/>
    <s v="Thomas"/>
    <n v="35"/>
    <n v="35"/>
    <n v="1989"/>
    <n v="65000"/>
    <n v="65000"/>
    <s v="Female"/>
    <s v="it"/>
    <x v="3"/>
    <s v="Clerk"/>
    <d v="2018-04-05T00:00:00"/>
    <d v="2018-04-05T00:00:00"/>
    <s v="F"/>
    <n v="38"/>
    <s v="frank.thomas@saltcorp.com"/>
    <s v=" "/>
    <s v="Full-Time"/>
    <x v="1"/>
    <s v="EMP-2019-0085"/>
    <x v="3"/>
    <m/>
    <m/>
    <m/>
    <n v="54"/>
    <m/>
    <s v=""/>
    <x v="2"/>
    <x v="1"/>
    <x v="1"/>
  </r>
  <r>
    <s v="EMP-2020-0825"/>
    <s v="David"/>
    <s v="Ross"/>
    <n v="35"/>
    <n v="35"/>
    <n v="1989"/>
    <n v="65000"/>
    <n v="65000"/>
    <s v="Female"/>
    <s v="finance"/>
    <x v="1"/>
    <s v="Analyst"/>
    <d v="2020-02-20T00:00:00"/>
    <d v="2020-02-20T00:00:00"/>
    <s v="C"/>
    <n v="70"/>
    <s v="david.ross@saltcorp.com"/>
    <s v="123-456-7890"/>
    <s v="Part-Time"/>
    <x v="2"/>
    <m/>
    <x v="3"/>
    <n v="13"/>
    <n v="3"/>
    <s v="N/A"/>
    <n v="31"/>
    <m/>
    <s v=""/>
    <x v="4"/>
    <x v="0"/>
    <x v="0"/>
  </r>
  <r>
    <s v="EMP-2020-0826"/>
    <s v="Jack"/>
    <s v="Murphy"/>
    <n v="40"/>
    <n v="40"/>
    <n v="1984"/>
    <n v="50000"/>
    <n v="50000"/>
    <s v="Male"/>
    <s v="HR"/>
    <x v="0"/>
    <s v="Clerk"/>
    <d v="2020-02-20T00:00:00"/>
    <d v="2020-02-20T00:00:00"/>
    <s v="B"/>
    <n v="83"/>
    <s v="jack.murphy@saltcorp.com"/>
    <s v="123-456-7890"/>
    <s v="Full-Time"/>
    <x v="1"/>
    <m/>
    <x v="1"/>
    <s v="N/A"/>
    <m/>
    <s v="N/A"/>
    <m/>
    <s v="no"/>
    <s v="No"/>
    <x v="1"/>
    <x v="0"/>
    <x v="0"/>
  </r>
  <r>
    <s v="EMP-2020-0827"/>
    <s v="Bob"/>
    <s v="Brown"/>
    <n v="40"/>
    <n v="40"/>
    <n v="1984"/>
    <n v="65000"/>
    <n v="65000"/>
    <s v="Male"/>
    <s v="Marketing"/>
    <x v="4"/>
    <s v="Director"/>
    <d v="2020-01-15T00:00:00"/>
    <d v="2020-01-15T00:00:00"/>
    <s v="C"/>
    <n v="74"/>
    <s v="bob.brown@saltcorp.com"/>
    <m/>
    <s v="Full-Time"/>
    <x v="1"/>
    <s v="EMP-2018-0010"/>
    <x v="6"/>
    <m/>
    <n v="20"/>
    <m/>
    <n v="54"/>
    <m/>
    <s v=""/>
    <x v="1"/>
    <x v="1"/>
    <x v="1"/>
  </r>
  <r>
    <s v="EMP-2019-0828"/>
    <s v="Hannah"/>
    <s v="Garrett"/>
    <n v="50"/>
    <n v="50"/>
    <n v="1974"/>
    <n v="50000"/>
    <n v="50000"/>
    <s v="Female"/>
    <s v="sales"/>
    <x v="2"/>
    <s v="Assistant"/>
    <d v="2019-03-25T00:00:00"/>
    <d v="2019-03-25T00:00:00"/>
    <s v="F"/>
    <n v="35"/>
    <s v="hannah.garrett@saltcorp.com"/>
    <s v=" "/>
    <s v="Full-Time"/>
    <x v="1"/>
    <s v="EMP-2020-0014"/>
    <x v="1"/>
    <m/>
    <m/>
    <m/>
    <n v="52"/>
    <s v="YES"/>
    <s v="Yes"/>
    <x v="0"/>
    <x v="0"/>
    <x v="0"/>
  </r>
  <r>
    <s v="EMP-2020-0829"/>
    <s v="Frank"/>
    <s v="Ross"/>
    <n v="25"/>
    <n v="25"/>
    <n v="1999"/>
    <n v="65000"/>
    <n v="65000"/>
    <s v="Male"/>
    <s v="sales"/>
    <x v="2"/>
    <s v="Analyst"/>
    <d v="2020-02-20T00:00:00"/>
    <d v="2020-02-20T00:00:00"/>
    <s v="D"/>
    <n v="65"/>
    <s v="frank.ross@saltcorp.com"/>
    <s v=" "/>
    <s v="Full-Time"/>
    <x v="1"/>
    <m/>
    <x v="0"/>
    <m/>
    <m/>
    <m/>
    <n v="26"/>
    <s v="no"/>
    <s v="No"/>
    <x v="2"/>
    <x v="0"/>
    <x v="0"/>
  </r>
  <r>
    <s v="EMP-2019-0830"/>
    <s v="Eve"/>
    <s v="Olson"/>
    <m/>
    <n v="46"/>
    <n v="1978"/>
    <n v="70000"/>
    <n v="70000"/>
    <s v="Male"/>
    <s v="finance"/>
    <x v="1"/>
    <s v="Manager"/>
    <d v="2019-03-25T00:00:00"/>
    <d v="2019-03-25T00:00:00"/>
    <s v="B"/>
    <n v="81"/>
    <s v="eve.olson@saltcorp.com"/>
    <s v="098-765-4321"/>
    <s v="Part-Time"/>
    <x v="2"/>
    <s v="EMP-2020-0046"/>
    <x v="2"/>
    <m/>
    <m/>
    <d v="2021-10-01T00:00:00"/>
    <n v="50"/>
    <s v="no"/>
    <s v="No"/>
    <x v="3"/>
    <x v="0"/>
    <x v="0"/>
  </r>
  <r>
    <s v="EMP-2020-0831"/>
    <s v="Ivy"/>
    <s v="Shah"/>
    <n v="25"/>
    <n v="25"/>
    <n v="1999"/>
    <n v="60800"/>
    <n v="60800"/>
    <s v="Female"/>
    <s v="finance"/>
    <x v="1"/>
    <s v="Analyst"/>
    <d v="2020-02-20T00:00:00"/>
    <d v="2020-02-20T00:00:00"/>
    <s v="A"/>
    <n v="93"/>
    <s v="ivy.shah@saltcorp.com"/>
    <s v="098-765-4321"/>
    <s v="contract"/>
    <x v="0"/>
    <s v="EMP-2019-0034"/>
    <x v="1"/>
    <m/>
    <m/>
    <m/>
    <n v="34"/>
    <s v="no"/>
    <s v="No"/>
    <x v="4"/>
    <x v="0"/>
    <x v="0"/>
  </r>
  <r>
    <s v="EMP-2019-0832"/>
    <s v="Alice"/>
    <s v="Schmidt"/>
    <n v="50"/>
    <n v="50"/>
    <n v="1974"/>
    <n v="65000"/>
    <n v="65000"/>
    <s v="Male"/>
    <s v="it"/>
    <x v="3"/>
    <s v="Manager"/>
    <d v="2019-12-01T00:00:00"/>
    <d v="2019-12-01T00:00:00"/>
    <s v="A"/>
    <n v="100"/>
    <s v="alice.schmidt@saltcorp.com"/>
    <m/>
    <s v="Full-Time"/>
    <x v="1"/>
    <m/>
    <x v="1"/>
    <s v="N/A"/>
    <m/>
    <m/>
    <m/>
    <s v="no"/>
    <s v="No"/>
    <x v="2"/>
    <x v="0"/>
    <x v="0"/>
  </r>
  <r>
    <s v="EMP-2019-0833"/>
    <s v="Eve"/>
    <s v="Weber"/>
    <n v="40"/>
    <n v="40"/>
    <n v="1984"/>
    <n v="55000"/>
    <n v="55000"/>
    <s v="Female"/>
    <s v="it"/>
    <x v="3"/>
    <s v="Analyst"/>
    <d v="2019-12-01T00:00:00"/>
    <d v="2019-12-01T00:00:00"/>
    <s v="C"/>
    <n v="76"/>
    <s v="eve.weber@saltcorp.com"/>
    <s v="123-456-7890"/>
    <s v="Full-Time"/>
    <x v="1"/>
    <m/>
    <x v="7"/>
    <n v="3"/>
    <n v="9"/>
    <m/>
    <n v="13"/>
    <m/>
    <s v=""/>
    <x v="0"/>
    <x v="1"/>
    <x v="1"/>
  </r>
  <r>
    <s v="EMP-2020-0834"/>
    <s v="Frank"/>
    <s v="McCoy"/>
    <s v="thirty"/>
    <n v="30"/>
    <n v="1994"/>
    <n v="61500"/>
    <n v="61500"/>
    <s v="Female"/>
    <s v="sales"/>
    <x v="2"/>
    <s v="Manager"/>
    <d v="2020-01-15T00:00:00"/>
    <d v="2020-01-15T00:00:00"/>
    <s v="D"/>
    <n v="68"/>
    <s v="frank.mccoy@saltcorp.com"/>
    <s v="098-765-4321"/>
    <s v="Full-Time"/>
    <x v="1"/>
    <m/>
    <x v="1"/>
    <s v="N/A"/>
    <n v="14"/>
    <d v="2023-01-15T00:00:00"/>
    <n v="51"/>
    <s v="no"/>
    <s v="No"/>
    <x v="1"/>
    <x v="1"/>
    <x v="1"/>
  </r>
  <r>
    <s v="EMP-2020-0835"/>
    <s v="Eve"/>
    <s v="Reed"/>
    <n v="40"/>
    <n v="40"/>
    <n v="1984"/>
    <n v="59500"/>
    <n v="59500"/>
    <s v="Female"/>
    <s v="finance"/>
    <x v="1"/>
    <s v="Manager"/>
    <d v="2020-01-15T00:00:00"/>
    <d v="2020-01-15T00:00:00"/>
    <s v="A"/>
    <n v="92"/>
    <s v="eve.reed@saltcorp.com"/>
    <s v="555-555-5555"/>
    <s v="Part-Time"/>
    <x v="2"/>
    <m/>
    <x v="5"/>
    <s v="N/A"/>
    <n v="17"/>
    <d v="2024-08-12T00:00:00"/>
    <n v="62"/>
    <s v="YES"/>
    <s v="Yes"/>
    <x v="2"/>
    <x v="0"/>
    <x v="0"/>
  </r>
  <r>
    <s v="EMP-2019-0836"/>
    <s v="Frank"/>
    <s v="Gonzalez"/>
    <m/>
    <n v="39"/>
    <n v="1985"/>
    <n v="65000"/>
    <n v="65000"/>
    <s v="Female"/>
    <s v="HR"/>
    <x v="0"/>
    <s v="Analyst"/>
    <d v="2019-03-25T00:00:00"/>
    <d v="2019-03-25T00:00:00"/>
    <s v="C"/>
    <n v="74"/>
    <s v="frank.gonzalez@saltcorp.com"/>
    <s v="123-456-7890"/>
    <s v="Full-Time"/>
    <x v="1"/>
    <m/>
    <x v="3"/>
    <m/>
    <m/>
    <s v="N/A"/>
    <m/>
    <s v="no"/>
    <s v="No"/>
    <x v="4"/>
    <x v="0"/>
    <x v="0"/>
  </r>
  <r>
    <s v="EMP-2020-0837"/>
    <s v="Frank"/>
    <s v="Johnston"/>
    <n v="40"/>
    <n v="40"/>
    <n v="1984"/>
    <s v="SIXTY THOUSAND"/>
    <n v="60000"/>
    <s v="Male"/>
    <s v="Marketing"/>
    <x v="4"/>
    <s v="Analyst"/>
    <d v="2020-02-20T00:00:00"/>
    <d v="2020-02-20T00:00:00"/>
    <s v="F"/>
    <n v="3"/>
    <s v="frank.johnston@saltcorp.com"/>
    <s v="555-555-5555"/>
    <s v="Full-Time"/>
    <x v="1"/>
    <m/>
    <x v="5"/>
    <n v="4"/>
    <m/>
    <s v="N/A"/>
    <m/>
    <s v="YES"/>
    <s v="Yes"/>
    <x v="1"/>
    <x v="0"/>
    <x v="0"/>
  </r>
  <r>
    <s v="EMP-2018-0838"/>
    <s v="Grace"/>
    <s v="Williamson"/>
    <m/>
    <n v="46"/>
    <n v="1978"/>
    <n v="65000"/>
    <n v="65000"/>
    <s v="Female"/>
    <s v="finance"/>
    <x v="1"/>
    <s v="Manager"/>
    <d v="2018-04-05T00:00:00"/>
    <d v="2018-04-05T00:00:00"/>
    <s v="C"/>
    <n v="71"/>
    <s v="grace.williamson@saltcorp.com"/>
    <s v=" "/>
    <s v="Full-Time"/>
    <x v="1"/>
    <s v="EMP-2020-0032"/>
    <x v="6"/>
    <m/>
    <n v="9"/>
    <d v="2022-06-20T00:00:00"/>
    <m/>
    <s v="no"/>
    <s v="No"/>
    <x v="0"/>
    <x v="0"/>
    <x v="0"/>
  </r>
  <r>
    <s v="EMP-2020-0839"/>
    <s v="David"/>
    <s v="Murphy"/>
    <m/>
    <n v="59"/>
    <n v="1965"/>
    <n v="60300"/>
    <n v="60300"/>
    <s v="Female"/>
    <s v="finance"/>
    <x v="1"/>
    <s v="Director"/>
    <d v="2020-01-15T00:00:00"/>
    <d v="2020-01-15T00:00:00"/>
    <s v="C"/>
    <n v="79"/>
    <s v="david.murphy@saltcorp.com"/>
    <s v="123-456-7890"/>
    <s v="contract"/>
    <x v="0"/>
    <s v="EMP-2018-0016"/>
    <x v="0"/>
    <s v="N/A"/>
    <n v="19"/>
    <m/>
    <m/>
    <s v="YES"/>
    <s v="Yes"/>
    <x v="4"/>
    <x v="0"/>
    <x v="0"/>
  </r>
  <r>
    <s v="EMP-2018-0840"/>
    <s v="Hannah"/>
    <s v="Powell"/>
    <m/>
    <n v="39"/>
    <n v="1985"/>
    <n v="55000"/>
    <n v="55000"/>
    <s v="Male"/>
    <s v="it"/>
    <x v="3"/>
    <s v="Analyst"/>
    <d v="2018-04-05T00:00:00"/>
    <d v="2018-04-05T00:00:00"/>
    <s v="C"/>
    <n v="78"/>
    <s v="hannah.powell@saltcorp.com"/>
    <m/>
    <s v="contract"/>
    <x v="0"/>
    <s v="EMP-2018-0017"/>
    <x v="0"/>
    <m/>
    <m/>
    <d v="2023-01-15T00:00:00"/>
    <m/>
    <s v="no"/>
    <s v="No"/>
    <x v="4"/>
    <x v="1"/>
    <x v="1"/>
  </r>
  <r>
    <s v="EMP-2018-0841"/>
    <s v="Grace"/>
    <s v="Wu"/>
    <n v="50"/>
    <n v="50"/>
    <n v="1974"/>
    <n v="58600"/>
    <n v="58600"/>
    <s v="Male"/>
    <s v="Marketing"/>
    <x v="4"/>
    <s v="Clerk"/>
    <d v="2018-04-05T00:00:00"/>
    <d v="2018-04-05T00:00:00"/>
    <s v="B"/>
    <n v="87"/>
    <s v="grace.wu@saltcorp.com"/>
    <s v=" "/>
    <s v="Full-Time"/>
    <x v="1"/>
    <m/>
    <x v="2"/>
    <m/>
    <n v="0"/>
    <m/>
    <m/>
    <s v="YES"/>
    <s v="Yes"/>
    <x v="3"/>
    <x v="1"/>
    <x v="1"/>
  </r>
  <r>
    <s v="EMP-2020-0842"/>
    <s v="Ivy"/>
    <s v="Ross"/>
    <m/>
    <n v="34"/>
    <n v="1990"/>
    <n v="55000"/>
    <n v="55000"/>
    <s v="Female"/>
    <s v="sales"/>
    <x v="2"/>
    <s v="Assistant"/>
    <d v="2020-02-20T00:00:00"/>
    <d v="2020-02-20T00:00:00"/>
    <s v="C"/>
    <n v="76"/>
    <s v="ivy.ross@saltcorp.com"/>
    <s v=" "/>
    <s v="Full-Time"/>
    <x v="1"/>
    <m/>
    <x v="6"/>
    <s v="N/A"/>
    <n v="19"/>
    <m/>
    <m/>
    <s v="no"/>
    <s v="No"/>
    <x v="4"/>
    <x v="0"/>
    <x v="0"/>
  </r>
  <r>
    <s v="EMP-2019-0843"/>
    <s v="Grace"/>
    <s v="Huang"/>
    <m/>
    <n v="39"/>
    <n v="1985"/>
    <n v="50000"/>
    <n v="50000"/>
    <s v="Female"/>
    <s v="finance"/>
    <x v="1"/>
    <s v="Manager"/>
    <d v="2019-03-25T00:00:00"/>
    <d v="2019-03-25T00:00:00"/>
    <s v="C"/>
    <n v="79"/>
    <s v="grace.huang@saltcorp.com"/>
    <s v="555-555-5555"/>
    <s v="Full-Time"/>
    <x v="1"/>
    <s v="EMP-2020-0034"/>
    <x v="2"/>
    <n v="1"/>
    <n v="16"/>
    <m/>
    <m/>
    <s v="no"/>
    <s v="No"/>
    <x v="1"/>
    <x v="1"/>
    <x v="1"/>
  </r>
  <r>
    <s v="EMP-2020-0844"/>
    <s v="Charlie"/>
    <s v="Clark"/>
    <s v="thirty"/>
    <n v="30"/>
    <n v="1994"/>
    <n v="70000"/>
    <n v="70000"/>
    <s v="Male"/>
    <s v="sales"/>
    <x v="2"/>
    <s v="Manager"/>
    <d v="2020-02-20T00:00:00"/>
    <d v="2020-02-20T00:00:00"/>
    <s v="B"/>
    <n v="87"/>
    <s v="charlie.clark@saltcorp.com"/>
    <s v=" "/>
    <s v="Full-Time"/>
    <x v="1"/>
    <m/>
    <x v="7"/>
    <s v="N/A"/>
    <m/>
    <m/>
    <m/>
    <m/>
    <s v=""/>
    <x v="3"/>
    <x v="0"/>
    <x v="0"/>
  </r>
  <r>
    <s v="EMP-2020-0845"/>
    <s v="Charlie"/>
    <s v="Harris"/>
    <n v="25"/>
    <n v="25"/>
    <n v="1999"/>
    <n v="58500"/>
    <n v="58500"/>
    <s v="Male"/>
    <s v="finance"/>
    <x v="1"/>
    <s v="Assistant"/>
    <d v="2020-01-15T00:00:00"/>
    <d v="2020-01-15T00:00:00"/>
    <s v="B"/>
    <n v="82"/>
    <s v="charlie.harris@saltcorp.com"/>
    <s v="098-765-4321"/>
    <s v="Full-Time"/>
    <x v="1"/>
    <m/>
    <x v="3"/>
    <m/>
    <m/>
    <m/>
    <n v="44"/>
    <m/>
    <s v=""/>
    <x v="2"/>
    <x v="0"/>
    <x v="0"/>
  </r>
  <r>
    <s v="EMP-2018-0846"/>
    <s v="Hannah"/>
    <s v="Gibson"/>
    <n v="35"/>
    <n v="35"/>
    <n v="1989"/>
    <n v="65000"/>
    <n v="65000"/>
    <s v="Male"/>
    <s v="sales"/>
    <x v="2"/>
    <s v="Director"/>
    <d v="2018-04-05T00:00:00"/>
    <d v="2018-04-05T00:00:00"/>
    <s v="F"/>
    <n v="53"/>
    <s v="hannah.gibson@saltcorp.com"/>
    <s v="123-456-7890"/>
    <s v="Part-Time"/>
    <x v="2"/>
    <s v="EMP-2019-0007"/>
    <x v="0"/>
    <m/>
    <n v="6"/>
    <d v="2024-08-12T00:00:00"/>
    <m/>
    <s v="YES"/>
    <s v="Yes"/>
    <x v="2"/>
    <x v="0"/>
    <x v="0"/>
  </r>
  <r>
    <s v="EMP-2020-0847"/>
    <s v="Eve"/>
    <s v="Stevens"/>
    <n v="25"/>
    <n v="25"/>
    <n v="1999"/>
    <n v="50000"/>
    <n v="50000"/>
    <s v="Female"/>
    <s v="Marketing"/>
    <x v="4"/>
    <s v="Assistant"/>
    <d v="2020-02-20T00:00:00"/>
    <d v="2020-02-20T00:00:00"/>
    <s v="D"/>
    <n v="61"/>
    <s v="eve.stevens@saltcorp.com"/>
    <s v="098-765-4321"/>
    <s v="contract"/>
    <x v="0"/>
    <m/>
    <x v="3"/>
    <n v="3"/>
    <m/>
    <m/>
    <m/>
    <s v="no"/>
    <s v="No"/>
    <x v="3"/>
    <x v="1"/>
    <x v="1"/>
  </r>
  <r>
    <s v="EMP-2020-0848"/>
    <s v="David"/>
    <s v="Kim"/>
    <m/>
    <n v="34"/>
    <n v="1990"/>
    <n v="70000"/>
    <n v="70000"/>
    <s v="Female"/>
    <s v="it"/>
    <x v="3"/>
    <s v="Analyst"/>
    <d v="2020-02-20T00:00:00"/>
    <d v="2020-02-20T00:00:00"/>
    <s v="A"/>
    <n v="96"/>
    <s v="david.kim@saltcorp.com"/>
    <s v="555-555-5555"/>
    <s v="contract"/>
    <x v="0"/>
    <m/>
    <x v="5"/>
    <s v="N/A"/>
    <n v="13"/>
    <s v="N/A"/>
    <n v="30"/>
    <s v="no"/>
    <s v="No"/>
    <x v="3"/>
    <x v="0"/>
    <x v="0"/>
  </r>
  <r>
    <s v="EMP-2020-0849"/>
    <s v="Hannah"/>
    <s v="Foster"/>
    <s v="thirty"/>
    <n v="30"/>
    <n v="1994"/>
    <n v="65000"/>
    <n v="65000"/>
    <s v="Female"/>
    <s v="Marketing"/>
    <x v="4"/>
    <s v="Assistant"/>
    <d v="2020-02-20T00:00:00"/>
    <d v="2020-02-20T00:00:00"/>
    <s v="A"/>
    <n v="94"/>
    <s v="hannah.foster@saltcorp.com"/>
    <s v="555-555-5555"/>
    <s v="Part-Time"/>
    <x v="2"/>
    <s v="EMP-2020-0055"/>
    <x v="6"/>
    <m/>
    <m/>
    <d v="2023-01-15T00:00:00"/>
    <m/>
    <m/>
    <s v=""/>
    <x v="0"/>
    <x v="0"/>
    <x v="0"/>
  </r>
  <r>
    <s v="EMP-2020-0850"/>
    <s v="Frank"/>
    <s v="Garrett"/>
    <n v="40"/>
    <n v="40"/>
    <n v="1984"/>
    <s v="SIXTY THOUSAND"/>
    <n v="60000"/>
    <s v="Male"/>
    <s v="HR"/>
    <x v="0"/>
    <s v="Manager"/>
    <d v="2020-01-15T00:00:00"/>
    <d v="2020-01-15T00:00:00"/>
    <s v="C"/>
    <n v="78"/>
    <s v="frank.garrett@saltcorp.com"/>
    <s v="123-456-7890"/>
    <s v="Full-Time"/>
    <x v="1"/>
    <m/>
    <x v="2"/>
    <m/>
    <n v="9"/>
    <m/>
    <n v="27"/>
    <m/>
    <s v=""/>
    <x v="3"/>
    <x v="1"/>
    <x v="1"/>
  </r>
  <r>
    <s v="EMP-2019-0851"/>
    <s v="Bob"/>
    <s v="Rogers"/>
    <s v="thirty"/>
    <n v="30"/>
    <n v="1994"/>
    <n v="65000"/>
    <n v="65000"/>
    <s v="Male"/>
    <s v="it"/>
    <x v="3"/>
    <s v="Assistant"/>
    <d v="2019-03-25T00:00:00"/>
    <d v="2019-03-25T00:00:00"/>
    <s v="F"/>
    <n v="37"/>
    <s v="bob.rogers@saltcorp.com"/>
    <s v=" "/>
    <s v="Part-Time"/>
    <x v="2"/>
    <m/>
    <x v="5"/>
    <m/>
    <n v="0"/>
    <m/>
    <m/>
    <s v="no"/>
    <s v="No"/>
    <x v="3"/>
    <x v="1"/>
    <x v="1"/>
  </r>
  <r>
    <s v="EMP-2020-0852"/>
    <s v="David"/>
    <s v="Jordan"/>
    <m/>
    <n v="30"/>
    <n v="1994"/>
    <n v="55000"/>
    <n v="55000"/>
    <s v="Male"/>
    <s v="Marketing"/>
    <x v="4"/>
    <s v="Clerk"/>
    <d v="2020-02-20T00:00:00"/>
    <d v="2020-02-20T00:00:00"/>
    <s v="C"/>
    <n v="71"/>
    <s v="david.jordan@saltcorp.com"/>
    <m/>
    <s v="Part-Time"/>
    <x v="2"/>
    <m/>
    <x v="4"/>
    <m/>
    <m/>
    <m/>
    <m/>
    <m/>
    <s v=""/>
    <x v="4"/>
    <x v="1"/>
    <x v="1"/>
  </r>
  <r>
    <s v="EMP-2020-0853"/>
    <s v="David"/>
    <s v="O'Brien"/>
    <s v="thirty"/>
    <n v="30"/>
    <n v="1994"/>
    <n v="55000"/>
    <n v="55000"/>
    <s v="Female"/>
    <s v="HR"/>
    <x v="0"/>
    <s v="Analyst"/>
    <d v="2020-01-15T00:00:00"/>
    <d v="2020-01-15T00:00:00"/>
    <s v="A"/>
    <n v="91"/>
    <s v="david.o'brien@saltcorp.com"/>
    <s v="555-555-5555"/>
    <s v="Full-Time"/>
    <x v="1"/>
    <s v="EMP-2020-0062"/>
    <x v="1"/>
    <m/>
    <m/>
    <d v="2022-06-20T00:00:00"/>
    <n v="28"/>
    <m/>
    <s v=""/>
    <x v="0"/>
    <x v="0"/>
    <x v="0"/>
  </r>
  <r>
    <s v="EMP-2018-0854"/>
    <s v="Frank"/>
    <s v="Lopez"/>
    <s v="thirty"/>
    <n v="30"/>
    <n v="1994"/>
    <s v="SIXTY THOUSAND"/>
    <n v="60000"/>
    <s v="Female"/>
    <s v="finance"/>
    <x v="1"/>
    <s v="Assistant"/>
    <d v="2018-04-05T00:00:00"/>
    <d v="2018-04-05T00:00:00"/>
    <s v="B"/>
    <n v="84"/>
    <s v="frank.lopez@saltcorp.com"/>
    <s v="123-456-7890"/>
    <s v="Part-Time"/>
    <x v="2"/>
    <m/>
    <x v="2"/>
    <s v="N/A"/>
    <n v="6"/>
    <d v="2021-10-01T00:00:00"/>
    <n v="26"/>
    <s v="YES"/>
    <s v="Yes"/>
    <x v="1"/>
    <x v="1"/>
    <x v="1"/>
  </r>
  <r>
    <s v="EMP-2019-0855"/>
    <s v="Frank"/>
    <s v="Olson"/>
    <m/>
    <n v="45"/>
    <n v="1979"/>
    <n v="50000"/>
    <n v="50000"/>
    <s v="Male"/>
    <s v="finance"/>
    <x v="1"/>
    <s v="Manager"/>
    <d v="2019-12-01T00:00:00"/>
    <d v="2019-12-01T00:00:00"/>
    <s v="D"/>
    <n v="62"/>
    <s v="frank.olson@saltcorp.com"/>
    <m/>
    <s v="contract"/>
    <x v="0"/>
    <m/>
    <x v="2"/>
    <s v="N/A"/>
    <m/>
    <m/>
    <m/>
    <s v="YES"/>
    <s v="Yes"/>
    <x v="4"/>
    <x v="1"/>
    <x v="1"/>
  </r>
  <r>
    <s v="EMP-2020-0856"/>
    <s v="Alice"/>
    <s v="Lee"/>
    <n v="50"/>
    <n v="50"/>
    <n v="1974"/>
    <n v="70000"/>
    <n v="70000"/>
    <s v="Male"/>
    <s v="sales"/>
    <x v="2"/>
    <s v="Analyst"/>
    <d v="2020-01-15T00:00:00"/>
    <d v="2020-01-15T00:00:00"/>
    <s v="F"/>
    <n v="43"/>
    <s v="alice.lee@saltcorp.com"/>
    <s v=" "/>
    <s v="Full-Time"/>
    <x v="1"/>
    <m/>
    <x v="0"/>
    <m/>
    <m/>
    <m/>
    <m/>
    <s v="YES"/>
    <s v="Yes"/>
    <x v="2"/>
    <x v="0"/>
    <x v="0"/>
  </r>
  <r>
    <s v="EMP-2019-0857"/>
    <s v="Hannah"/>
    <s v="Mason"/>
    <s v="thirty"/>
    <n v="30"/>
    <n v="1994"/>
    <n v="65000"/>
    <n v="65000"/>
    <s v="Female"/>
    <s v="it"/>
    <x v="3"/>
    <s v="Manager"/>
    <d v="2019-12-01T00:00:00"/>
    <d v="2019-12-01T00:00:00"/>
    <s v="B"/>
    <n v="80"/>
    <s v="hannah.mason@saltcorp.com"/>
    <s v="555-555-5555"/>
    <s v="Full-Time"/>
    <x v="1"/>
    <m/>
    <x v="3"/>
    <m/>
    <n v="20"/>
    <d v="2024-08-12T00:00:00"/>
    <m/>
    <s v="no"/>
    <s v="No"/>
    <x v="0"/>
    <x v="1"/>
    <x v="1"/>
  </r>
  <r>
    <s v="EMP-2020-0858"/>
    <s v="Frank"/>
    <s v="Jordan"/>
    <n v="35"/>
    <n v="35"/>
    <n v="1989"/>
    <n v="55000"/>
    <n v="55000"/>
    <s v="Female"/>
    <s v="finance"/>
    <x v="1"/>
    <s v="Director"/>
    <d v="2020-02-20T00:00:00"/>
    <d v="2020-02-20T00:00:00"/>
    <s v="D"/>
    <n v="64"/>
    <s v="frank.jordan@saltcorp.com"/>
    <s v="123-456-7890"/>
    <s v="Full-Time"/>
    <x v="1"/>
    <m/>
    <x v="4"/>
    <m/>
    <m/>
    <s v="N/A"/>
    <n v="63"/>
    <s v="YES"/>
    <s v="Yes"/>
    <x v="3"/>
    <x v="0"/>
    <x v="0"/>
  </r>
  <r>
    <s v="EMP-2020-0859"/>
    <s v="Charlie"/>
    <s v="Graham"/>
    <n v="35"/>
    <n v="35"/>
    <n v="1989"/>
    <n v="50000"/>
    <n v="50000"/>
    <s v="Female"/>
    <s v="it"/>
    <x v="3"/>
    <s v="Clerk"/>
    <d v="2020-02-20T00:00:00"/>
    <d v="2020-02-20T00:00:00"/>
    <s v="F"/>
    <n v="19"/>
    <s v="charlie.graham@saltcorp.com"/>
    <s v="123-456-7890"/>
    <s v="Full-Time"/>
    <x v="1"/>
    <m/>
    <x v="0"/>
    <m/>
    <m/>
    <m/>
    <m/>
    <s v="YES"/>
    <s v="Yes"/>
    <x v="1"/>
    <x v="1"/>
    <x v="1"/>
  </r>
  <r>
    <s v="EMP-2020-0860"/>
    <s v="Ivy"/>
    <s v="Patel"/>
    <s v="thirty"/>
    <n v="30"/>
    <n v="1994"/>
    <s v="SIXTY THOUSAND"/>
    <n v="60000"/>
    <s v="Male"/>
    <s v="finance"/>
    <x v="1"/>
    <s v="Director"/>
    <d v="2020-01-15T00:00:00"/>
    <d v="2020-01-15T00:00:00"/>
    <s v="F"/>
    <n v="8"/>
    <s v="ivy.patel@saltcorp.com"/>
    <s v="123-456-7890"/>
    <s v="contract"/>
    <x v="0"/>
    <s v="EMP-2019-0035"/>
    <x v="1"/>
    <m/>
    <n v="3"/>
    <s v="N/A"/>
    <n v="13"/>
    <s v="no"/>
    <s v="No"/>
    <x v="0"/>
    <x v="0"/>
    <x v="0"/>
  </r>
  <r>
    <s v="EMP-2019-0861"/>
    <s v="Bob"/>
    <s v="Wilson"/>
    <n v="50"/>
    <n v="50"/>
    <n v="1974"/>
    <n v="63000"/>
    <n v="63000"/>
    <s v="Female"/>
    <s v="sales"/>
    <x v="2"/>
    <s v="Clerk"/>
    <d v="2019-12-01T00:00:00"/>
    <d v="2019-12-01T00:00:00"/>
    <s v="A"/>
    <n v="94"/>
    <s v="bob.wilson@saltcorp.com"/>
    <s v="555-555-5555"/>
    <s v="contract"/>
    <x v="0"/>
    <s v="EMP-2020-0029"/>
    <x v="0"/>
    <m/>
    <m/>
    <m/>
    <n v="63"/>
    <s v="YES"/>
    <s v="Yes"/>
    <x v="1"/>
    <x v="1"/>
    <x v="1"/>
  </r>
  <r>
    <s v="EMP-2020-0862"/>
    <s v="Hannah"/>
    <s v="Young"/>
    <n v="40"/>
    <n v="40"/>
    <n v="1984"/>
    <n v="55000"/>
    <n v="55000"/>
    <s v="Female"/>
    <s v="Marketing"/>
    <x v="4"/>
    <s v="Assistant"/>
    <d v="2020-02-20T00:00:00"/>
    <d v="2020-02-20T00:00:00"/>
    <s v="B"/>
    <n v="89"/>
    <s v="hannah.young@saltcorp.com"/>
    <m/>
    <s v="contract"/>
    <x v="0"/>
    <m/>
    <x v="0"/>
    <n v="1"/>
    <m/>
    <d v="2021-10-01T00:00:00"/>
    <m/>
    <s v="no"/>
    <s v="No"/>
    <x v="4"/>
    <x v="1"/>
    <x v="1"/>
  </r>
  <r>
    <s v="EMP-2018-0863"/>
    <s v="Jack"/>
    <s v="Oliver"/>
    <m/>
    <n v="33"/>
    <n v="1991"/>
    <s v="SIXTY THOUSAND"/>
    <n v="60000"/>
    <s v="Male"/>
    <s v="sales"/>
    <x v="2"/>
    <s v="Analyst"/>
    <d v="2018-04-05T00:00:00"/>
    <d v="2018-04-05T00:00:00"/>
    <s v="F"/>
    <n v="55"/>
    <s v="jack.oliver@saltcorp.com"/>
    <s v="123-456-7890"/>
    <s v="Full-Time"/>
    <x v="1"/>
    <m/>
    <x v="0"/>
    <m/>
    <n v="10"/>
    <m/>
    <n v="56"/>
    <s v="no"/>
    <s v="No"/>
    <x v="3"/>
    <x v="1"/>
    <x v="1"/>
  </r>
  <r>
    <s v="EMP-2019-0864"/>
    <s v="Charlie"/>
    <s v="Matthews"/>
    <n v="35"/>
    <n v="35"/>
    <n v="1989"/>
    <n v="65000"/>
    <n v="65000"/>
    <s v="Male"/>
    <s v="HR"/>
    <x v="0"/>
    <s v="Assistant"/>
    <d v="2019-03-25T00:00:00"/>
    <d v="2019-03-25T00:00:00"/>
    <s v="F"/>
    <n v="4"/>
    <s v="charlie.matthews@saltcorp.com"/>
    <s v=" "/>
    <s v="Full-Time"/>
    <x v="1"/>
    <s v="EMP-2020-0030"/>
    <x v="3"/>
    <m/>
    <m/>
    <m/>
    <m/>
    <m/>
    <s v=""/>
    <x v="1"/>
    <x v="1"/>
    <x v="1"/>
  </r>
  <r>
    <s v="EMP-2019-0865"/>
    <s v="Eve"/>
    <s v="Davidson"/>
    <n v="40"/>
    <n v="40"/>
    <n v="1984"/>
    <n v="70000"/>
    <n v="70000"/>
    <s v="Female"/>
    <s v="finance"/>
    <x v="1"/>
    <s v="Clerk"/>
    <d v="2019-03-25T00:00:00"/>
    <d v="2019-03-25T00:00:00"/>
    <s v="D"/>
    <n v="62"/>
    <s v="eve.davidson@saltcorp.com"/>
    <s v="123-456-7890"/>
    <s v="contract"/>
    <x v="0"/>
    <m/>
    <x v="0"/>
    <m/>
    <n v="2"/>
    <m/>
    <m/>
    <s v="YES"/>
    <s v="Yes"/>
    <x v="0"/>
    <x v="0"/>
    <x v="0"/>
  </r>
  <r>
    <s v="EMP-2020-0866"/>
    <s v="Frank"/>
    <s v="Ward"/>
    <s v="thirty"/>
    <n v="30"/>
    <n v="1994"/>
    <n v="55000"/>
    <n v="55000"/>
    <s v="Male"/>
    <s v="HR"/>
    <x v="0"/>
    <s v="Clerk"/>
    <d v="2020-02-20T00:00:00"/>
    <d v="2020-02-20T00:00:00"/>
    <s v="A"/>
    <n v="98"/>
    <s v="frank.ward@saltcorp.com"/>
    <m/>
    <s v="Part-Time"/>
    <x v="2"/>
    <s v="EMP-2020-0008"/>
    <x v="0"/>
    <s v="N/A"/>
    <m/>
    <d v="2022-06-20T00:00:00"/>
    <m/>
    <m/>
    <s v=""/>
    <x v="0"/>
    <x v="1"/>
    <x v="1"/>
  </r>
  <r>
    <s v="EMP-2019-0867"/>
    <s v="Jack"/>
    <s v="Ryan"/>
    <n v="40"/>
    <n v="40"/>
    <n v="1984"/>
    <n v="55000"/>
    <n v="55000"/>
    <s v="Female"/>
    <s v="HR"/>
    <x v="0"/>
    <s v="Clerk"/>
    <d v="2019-12-01T00:00:00"/>
    <d v="2019-12-01T00:00:00"/>
    <s v="C"/>
    <n v="73"/>
    <s v="jack.ryan@saltcorp.com"/>
    <s v="555-555-5555"/>
    <s v="Full-Time"/>
    <x v="1"/>
    <s v="EMP-2019-0046"/>
    <x v="0"/>
    <m/>
    <m/>
    <d v="2024-08-12T00:00:00"/>
    <n v="26"/>
    <s v="YES"/>
    <s v="Yes"/>
    <x v="0"/>
    <x v="0"/>
    <x v="0"/>
  </r>
  <r>
    <s v="EMP-2020-0868"/>
    <s v="Frank"/>
    <s v="Weber"/>
    <n v="25"/>
    <n v="25"/>
    <n v="1999"/>
    <n v="65000"/>
    <n v="65000"/>
    <s v="Male"/>
    <s v="it"/>
    <x v="3"/>
    <s v="Manager"/>
    <d v="2020-02-20T00:00:00"/>
    <d v="2020-02-20T00:00:00"/>
    <s v="A"/>
    <n v="90"/>
    <s v="frank.weber@saltcorp.com"/>
    <s v="123-456-7890"/>
    <s v="Full-Time"/>
    <x v="1"/>
    <m/>
    <x v="0"/>
    <m/>
    <m/>
    <d v="2023-01-15T00:00:00"/>
    <n v="9"/>
    <s v="no"/>
    <s v="No"/>
    <x v="4"/>
    <x v="1"/>
    <x v="1"/>
  </r>
  <r>
    <s v="EMP-2019-0869"/>
    <s v="David"/>
    <s v="O'Brien"/>
    <n v="35"/>
    <n v="35"/>
    <n v="1989"/>
    <n v="60800"/>
    <n v="60800"/>
    <s v="Female"/>
    <s v="finance"/>
    <x v="1"/>
    <s v="Analyst"/>
    <d v="2019-12-01T00:00:00"/>
    <d v="2019-12-01T00:00:00"/>
    <s v="C"/>
    <n v="76"/>
    <s v="david.o'brien@saltcorp.com"/>
    <s v="123-456-7890"/>
    <s v="Part-Time"/>
    <x v="2"/>
    <m/>
    <x v="2"/>
    <s v="N/A"/>
    <m/>
    <d v="2024-08-12T00:00:00"/>
    <n v="52"/>
    <s v="no"/>
    <s v="No"/>
    <x v="1"/>
    <x v="1"/>
    <x v="1"/>
  </r>
  <r>
    <s v="EMP-2018-0870"/>
    <s v="Charlie"/>
    <s v="Armstrong"/>
    <s v="thirty"/>
    <n v="30"/>
    <n v="1994"/>
    <n v="50000"/>
    <n v="50000"/>
    <s v="Male"/>
    <s v="HR"/>
    <x v="0"/>
    <s v="Assistant"/>
    <d v="2018-04-05T00:00:00"/>
    <d v="2018-04-05T00:00:00"/>
    <s v="B"/>
    <n v="83"/>
    <s v="charlie.armstrong@saltcorp.com"/>
    <s v=" "/>
    <s v="Part-Time"/>
    <x v="2"/>
    <s v="EMP-2020-0073"/>
    <x v="4"/>
    <n v="13"/>
    <n v="20"/>
    <m/>
    <n v="53"/>
    <s v="YES"/>
    <s v="Yes"/>
    <x v="0"/>
    <x v="0"/>
    <x v="0"/>
  </r>
  <r>
    <s v="EMP-2019-0871"/>
    <s v="David"/>
    <s v="Walker"/>
    <m/>
    <n v="32"/>
    <n v="1992"/>
    <n v="70000"/>
    <n v="70000"/>
    <s v="Male"/>
    <s v="Marketing"/>
    <x v="4"/>
    <s v="Assistant"/>
    <d v="2019-12-01T00:00:00"/>
    <d v="2019-12-01T00:00:00"/>
    <s v="B"/>
    <n v="82"/>
    <s v="david.walker@saltcorp.com"/>
    <s v=" "/>
    <s v="Part-Time"/>
    <x v="2"/>
    <m/>
    <x v="5"/>
    <s v="N/A"/>
    <n v="19"/>
    <m/>
    <n v="45"/>
    <m/>
    <s v=""/>
    <x v="1"/>
    <x v="0"/>
    <x v="0"/>
  </r>
  <r>
    <s v="EMP-2020-0872"/>
    <s v="Alice"/>
    <s v="Gibson"/>
    <n v="50"/>
    <n v="50"/>
    <n v="1974"/>
    <n v="55000"/>
    <n v="55000"/>
    <s v="Male"/>
    <s v="HR"/>
    <x v="0"/>
    <s v="Director"/>
    <d v="2020-02-20T00:00:00"/>
    <d v="2020-02-20T00:00:00"/>
    <s v="F"/>
    <n v="47"/>
    <s v="alice.gibson@saltcorp.com"/>
    <s v="123-456-7890"/>
    <s v="Full-Time"/>
    <x v="1"/>
    <s v="EMP-2019-0005"/>
    <x v="5"/>
    <n v="2"/>
    <n v="8"/>
    <m/>
    <n v="32"/>
    <m/>
    <s v=""/>
    <x v="2"/>
    <x v="0"/>
    <x v="0"/>
  </r>
  <r>
    <s v="EMP-2018-0873"/>
    <s v="David"/>
    <s v="McCoy"/>
    <s v="thirty"/>
    <n v="30"/>
    <n v="1994"/>
    <n v="70000"/>
    <n v="70000"/>
    <s v="Female"/>
    <s v="Marketing"/>
    <x v="4"/>
    <s v="Clerk"/>
    <d v="2018-04-05T00:00:00"/>
    <d v="2018-04-05T00:00:00"/>
    <s v="B"/>
    <n v="84"/>
    <s v="david.mccoy@saltcorp.com"/>
    <s v="123-456-7890"/>
    <s v="Full-Time"/>
    <x v="1"/>
    <s v="EMP-2020-0029"/>
    <x v="5"/>
    <m/>
    <n v="6"/>
    <m/>
    <m/>
    <s v="YES"/>
    <s v="Yes"/>
    <x v="0"/>
    <x v="0"/>
    <x v="0"/>
  </r>
  <r>
    <s v="EMP-2020-0874"/>
    <s v="Alice"/>
    <s v="Johnston"/>
    <m/>
    <n v="31"/>
    <n v="1993"/>
    <n v="55000"/>
    <n v="55000"/>
    <s v="Female"/>
    <s v="it"/>
    <x v="3"/>
    <s v="Clerk"/>
    <d v="2020-01-15T00:00:00"/>
    <d v="2020-01-15T00:00:00"/>
    <s v="F"/>
    <n v="41"/>
    <s v="alice.johnston@saltcorp.com"/>
    <s v=" "/>
    <s v="Part-Time"/>
    <x v="2"/>
    <m/>
    <x v="1"/>
    <m/>
    <n v="0"/>
    <m/>
    <m/>
    <s v="YES"/>
    <s v="Yes"/>
    <x v="4"/>
    <x v="0"/>
    <x v="0"/>
  </r>
  <r>
    <s v="EMP-2019-0875"/>
    <s v="Alice"/>
    <s v="Riley"/>
    <n v="50"/>
    <n v="50"/>
    <n v="1974"/>
    <n v="70000"/>
    <n v="70000"/>
    <s v="Female"/>
    <s v="HR"/>
    <x v="0"/>
    <s v="Clerk"/>
    <d v="2019-03-25T00:00:00"/>
    <d v="2019-03-25T00:00:00"/>
    <s v="A"/>
    <n v="93"/>
    <s v="alice.riley@saltcorp.com"/>
    <m/>
    <s v="Part-Time"/>
    <x v="2"/>
    <m/>
    <x v="7"/>
    <m/>
    <m/>
    <d v="2024-08-12T00:00:00"/>
    <m/>
    <s v="no"/>
    <s v="No"/>
    <x v="1"/>
    <x v="0"/>
    <x v="0"/>
  </r>
  <r>
    <s v="EMP-2020-0876"/>
    <s v="Jack"/>
    <s v="O'Neill"/>
    <n v="50"/>
    <n v="50"/>
    <n v="1974"/>
    <s v="SIXTY THOUSAND"/>
    <n v="60000"/>
    <s v="Male"/>
    <s v="sales"/>
    <x v="2"/>
    <s v="Assistant"/>
    <d v="2020-02-20T00:00:00"/>
    <d v="2020-02-20T00:00:00"/>
    <s v="B"/>
    <n v="80"/>
    <s v="jack.o'neill@saltcorp.com"/>
    <s v="098-765-4321"/>
    <s v="contract"/>
    <x v="0"/>
    <s v="EMP-2019-0008"/>
    <x v="7"/>
    <m/>
    <n v="10"/>
    <m/>
    <m/>
    <s v="no"/>
    <s v="No"/>
    <x v="3"/>
    <x v="0"/>
    <x v="0"/>
  </r>
  <r>
    <s v="EMP-2020-0877"/>
    <s v="Frank"/>
    <s v="Andrews"/>
    <s v="thirty"/>
    <n v="30"/>
    <n v="1994"/>
    <n v="55000"/>
    <n v="55000"/>
    <s v="Male"/>
    <s v="it"/>
    <x v="3"/>
    <s v="Director"/>
    <d v="2020-02-20T00:00:00"/>
    <d v="2020-02-20T00:00:00"/>
    <s v="A"/>
    <n v="92"/>
    <s v="frank.andrews@saltcorp.com"/>
    <s v="098-765-4321"/>
    <s v="Full-Time"/>
    <x v="1"/>
    <s v="EMP-2020-0019"/>
    <x v="1"/>
    <m/>
    <m/>
    <d v="2023-03-05T00:00:00"/>
    <m/>
    <s v="YES"/>
    <s v="Yes"/>
    <x v="3"/>
    <x v="0"/>
    <x v="0"/>
  </r>
  <r>
    <s v="EMP-2020-0878"/>
    <s v="Eve"/>
    <s v="Parker"/>
    <n v="40"/>
    <n v="40"/>
    <n v="1984"/>
    <n v="70000"/>
    <n v="70000"/>
    <s v="Female"/>
    <s v="Marketing"/>
    <x v="4"/>
    <s v="Manager"/>
    <d v="2020-02-20T00:00:00"/>
    <d v="2020-02-20T00:00:00"/>
    <s v="A"/>
    <n v="99"/>
    <s v="eve.parker@saltcorp.com"/>
    <s v="123-456-7890"/>
    <s v="Full-Time"/>
    <x v="1"/>
    <m/>
    <x v="2"/>
    <s v="N/A"/>
    <n v="0"/>
    <m/>
    <n v="64"/>
    <s v="no"/>
    <s v="No"/>
    <x v="0"/>
    <x v="0"/>
    <x v="0"/>
  </r>
  <r>
    <s v="EMP-2018-0879"/>
    <s v="David"/>
    <s v="Dixon"/>
    <n v="40"/>
    <n v="40"/>
    <n v="1984"/>
    <n v="50000"/>
    <n v="50000"/>
    <s v="Male"/>
    <s v="it"/>
    <x v="3"/>
    <s v="Analyst"/>
    <d v="2018-04-05T00:00:00"/>
    <d v="2018-04-05T00:00:00"/>
    <s v="B"/>
    <n v="85"/>
    <s v="david.dixon@saltcorp.com"/>
    <s v=" "/>
    <s v="contract"/>
    <x v="0"/>
    <m/>
    <x v="2"/>
    <n v="2"/>
    <n v="11"/>
    <s v="N/A"/>
    <m/>
    <s v="no"/>
    <s v="No"/>
    <x v="1"/>
    <x v="1"/>
    <x v="1"/>
  </r>
  <r>
    <s v="EMP-2020-0880"/>
    <s v="Charlie"/>
    <s v="White"/>
    <n v="50"/>
    <n v="50"/>
    <n v="1974"/>
    <s v="SIXTY THOUSAND"/>
    <n v="60000"/>
    <s v="Female"/>
    <s v="HR"/>
    <x v="0"/>
    <s v="Manager"/>
    <d v="2020-01-15T00:00:00"/>
    <d v="2020-01-15T00:00:00"/>
    <s v="A"/>
    <n v="97"/>
    <s v="charlie.white@saltcorp.com"/>
    <s v="555-555-5555"/>
    <s v="Full-Time"/>
    <x v="1"/>
    <s v="EMP-2019-0042"/>
    <x v="1"/>
    <n v="4"/>
    <m/>
    <m/>
    <m/>
    <s v="YES"/>
    <s v="Yes"/>
    <x v="1"/>
    <x v="1"/>
    <x v="1"/>
  </r>
  <r>
    <s v="EMP-2019-0881"/>
    <s v="Alice"/>
    <s v="Lee"/>
    <n v="40"/>
    <n v="40"/>
    <n v="1984"/>
    <s v="SIXTY THOUSAND"/>
    <n v="60000"/>
    <s v="Female"/>
    <s v="finance"/>
    <x v="1"/>
    <s v="Assistant"/>
    <d v="2019-12-01T00:00:00"/>
    <d v="2019-12-01T00:00:00"/>
    <s v="B"/>
    <n v="81"/>
    <s v="alice.lee@saltcorp.com"/>
    <s v="555-555-5555"/>
    <s v="Part-Time"/>
    <x v="2"/>
    <m/>
    <x v="3"/>
    <m/>
    <m/>
    <d v="2021-10-01T00:00:00"/>
    <m/>
    <s v="YES"/>
    <s v="Yes"/>
    <x v="0"/>
    <x v="0"/>
    <x v="0"/>
  </r>
  <r>
    <s v="EMP-2020-0882"/>
    <s v="Frank"/>
    <s v="Harrison"/>
    <n v="25"/>
    <n v="25"/>
    <n v="1999"/>
    <n v="50000"/>
    <n v="50000"/>
    <s v="Female"/>
    <s v="finance"/>
    <x v="1"/>
    <s v="Clerk"/>
    <d v="2020-01-15T00:00:00"/>
    <d v="2020-01-15T00:00:00"/>
    <s v="B"/>
    <n v="88"/>
    <s v="frank.harrison@saltcorp.com"/>
    <s v="098-765-4321"/>
    <s v="Full-Time"/>
    <x v="1"/>
    <m/>
    <x v="1"/>
    <m/>
    <m/>
    <d v="2023-01-15T00:00:00"/>
    <m/>
    <s v="YES"/>
    <s v="Yes"/>
    <x v="1"/>
    <x v="1"/>
    <x v="1"/>
  </r>
  <r>
    <s v="EMP-2018-0883"/>
    <s v="Bob"/>
    <s v="Johnson"/>
    <n v="50"/>
    <n v="50"/>
    <n v="1974"/>
    <n v="70000"/>
    <n v="70000"/>
    <s v="Male"/>
    <s v="Marketing"/>
    <x v="4"/>
    <s v="Analyst"/>
    <d v="2018-04-05T00:00:00"/>
    <d v="2018-04-05T00:00:00"/>
    <s v="B"/>
    <n v="81"/>
    <s v="bob.johnson@saltcorp.com"/>
    <m/>
    <s v="Full-Time"/>
    <x v="1"/>
    <m/>
    <x v="4"/>
    <s v="N/A"/>
    <n v="0"/>
    <m/>
    <n v="49"/>
    <s v="YES"/>
    <s v="Yes"/>
    <x v="3"/>
    <x v="0"/>
    <x v="0"/>
  </r>
  <r>
    <s v="EMP-2020-0884"/>
    <s v="Hannah"/>
    <s v="Long"/>
    <n v="50"/>
    <n v="50"/>
    <n v="1974"/>
    <n v="65000"/>
    <n v="65000"/>
    <s v="Female"/>
    <s v="Marketing"/>
    <x v="4"/>
    <s v="Assistant"/>
    <d v="2020-02-20T00:00:00"/>
    <d v="2020-02-20T00:00:00"/>
    <s v="C"/>
    <n v="74"/>
    <s v="hannah.long@saltcorp.com"/>
    <s v="098-765-4321"/>
    <s v="Part-Time"/>
    <x v="2"/>
    <s v="EMP-2020-0046"/>
    <x v="3"/>
    <m/>
    <m/>
    <m/>
    <m/>
    <s v="no"/>
    <s v="No"/>
    <x v="4"/>
    <x v="0"/>
    <x v="0"/>
  </r>
  <r>
    <s v="EMP-2019-0885"/>
    <s v="Jack"/>
    <s v="Sullivan"/>
    <m/>
    <n v="41"/>
    <n v="1983"/>
    <n v="50000"/>
    <n v="50000"/>
    <s v="Male"/>
    <s v="finance"/>
    <x v="1"/>
    <s v="Assistant"/>
    <d v="2019-03-25T00:00:00"/>
    <d v="2019-03-25T00:00:00"/>
    <s v="A"/>
    <n v="100"/>
    <s v="jack.sullivan@saltcorp.com"/>
    <s v="123-456-7890"/>
    <s v="Full-Time"/>
    <x v="1"/>
    <m/>
    <x v="6"/>
    <m/>
    <m/>
    <m/>
    <m/>
    <s v="YES"/>
    <s v="Yes"/>
    <x v="1"/>
    <x v="0"/>
    <x v="0"/>
  </r>
  <r>
    <s v="EMP-2020-0886"/>
    <s v="Eve"/>
    <s v="Mitchell"/>
    <n v="40"/>
    <n v="40"/>
    <n v="1984"/>
    <n v="70000"/>
    <n v="70000"/>
    <s v="Female"/>
    <s v="Marketing"/>
    <x v="4"/>
    <s v="Assistant"/>
    <d v="2020-02-20T00:00:00"/>
    <d v="2020-02-20T00:00:00"/>
    <s v="D"/>
    <n v="66"/>
    <s v="eve.mitchell@saltcorp.com"/>
    <m/>
    <s v="contract"/>
    <x v="0"/>
    <s v="EMP-2019-0017"/>
    <x v="0"/>
    <m/>
    <m/>
    <m/>
    <m/>
    <s v="no"/>
    <s v="No"/>
    <x v="1"/>
    <x v="0"/>
    <x v="0"/>
  </r>
  <r>
    <s v="EMP-2019-0887"/>
    <s v="Grace"/>
    <s v="Wang"/>
    <n v="50"/>
    <n v="50"/>
    <n v="1974"/>
    <n v="50000"/>
    <n v="50000"/>
    <s v="Female"/>
    <s v="it"/>
    <x v="3"/>
    <s v="Analyst"/>
    <d v="2019-12-01T00:00:00"/>
    <d v="2019-12-01T00:00:00"/>
    <s v="B"/>
    <n v="82"/>
    <s v="grace.wang@saltcorp.com"/>
    <s v="555-555-5555"/>
    <s v="Full-Time"/>
    <x v="1"/>
    <m/>
    <x v="4"/>
    <m/>
    <m/>
    <m/>
    <n v="50"/>
    <s v="no"/>
    <s v="No"/>
    <x v="4"/>
    <x v="0"/>
    <x v="0"/>
  </r>
  <r>
    <s v="EMP-2019-0888"/>
    <s v="Jack"/>
    <s v="Navarro"/>
    <n v="25"/>
    <n v="25"/>
    <n v="1999"/>
    <n v="50000"/>
    <n v="50000"/>
    <s v="Male"/>
    <s v="sales"/>
    <x v="2"/>
    <s v="Analyst"/>
    <d v="2019-03-25T00:00:00"/>
    <d v="2019-03-25T00:00:00"/>
    <s v="A"/>
    <n v="94"/>
    <s v="jack.navarro@saltcorp.com"/>
    <s v=" "/>
    <s v="contract"/>
    <x v="0"/>
    <m/>
    <x v="7"/>
    <m/>
    <n v="9"/>
    <m/>
    <m/>
    <m/>
    <s v=""/>
    <x v="1"/>
    <x v="1"/>
    <x v="1"/>
  </r>
  <r>
    <s v="EMP-2020-0889"/>
    <s v="Bob"/>
    <s v="Lucas"/>
    <m/>
    <n v="47"/>
    <n v="1977"/>
    <n v="55000"/>
    <n v="55000"/>
    <s v="Female"/>
    <s v="sales"/>
    <x v="2"/>
    <s v="Director"/>
    <d v="2020-02-20T00:00:00"/>
    <d v="2020-02-20T00:00:00"/>
    <s v="F"/>
    <n v="21"/>
    <s v="bob.lucas@saltcorp.com"/>
    <s v=" "/>
    <s v="Part-Time"/>
    <x v="2"/>
    <s v="EMP-2020-0005"/>
    <x v="6"/>
    <m/>
    <n v="13"/>
    <s v="N/A"/>
    <m/>
    <s v="YES"/>
    <s v="Yes"/>
    <x v="1"/>
    <x v="1"/>
    <x v="1"/>
  </r>
  <r>
    <s v="EMP-2019-0890"/>
    <s v="Hannah"/>
    <s v="Hanson"/>
    <s v="thirty"/>
    <n v="30"/>
    <n v="1994"/>
    <n v="70000"/>
    <n v="70000"/>
    <s v="Male"/>
    <s v="it"/>
    <x v="3"/>
    <s v="Director"/>
    <d v="2019-03-25T00:00:00"/>
    <d v="2019-03-25T00:00:00"/>
    <s v="B"/>
    <n v="88"/>
    <s v="hannah.hanson@saltcorp.com"/>
    <s v="123-456-7890"/>
    <s v="Full-Time"/>
    <x v="1"/>
    <m/>
    <x v="1"/>
    <m/>
    <m/>
    <m/>
    <m/>
    <s v="no"/>
    <s v="No"/>
    <x v="2"/>
    <x v="1"/>
    <x v="1"/>
  </r>
  <r>
    <s v="EMP-2020-0891"/>
    <s v="Bob"/>
    <s v="Garcia"/>
    <n v="50"/>
    <n v="50"/>
    <n v="1974"/>
    <n v="65000"/>
    <n v="65000"/>
    <s v="Female"/>
    <s v="sales"/>
    <x v="2"/>
    <s v="Manager"/>
    <d v="2020-01-15T00:00:00"/>
    <d v="2020-01-15T00:00:00"/>
    <s v="B"/>
    <n v="82"/>
    <s v="bob.garcia@saltcorp.com"/>
    <s v="098-765-4321"/>
    <s v="contract"/>
    <x v="0"/>
    <m/>
    <x v="7"/>
    <n v="6"/>
    <n v="8"/>
    <d v="2023-03-05T00:00:00"/>
    <m/>
    <m/>
    <s v=""/>
    <x v="1"/>
    <x v="1"/>
    <x v="1"/>
  </r>
  <r>
    <s v="EMP-2018-0892"/>
    <s v="David"/>
    <s v="Knight"/>
    <n v="25"/>
    <n v="25"/>
    <n v="1999"/>
    <n v="55000"/>
    <n v="55000"/>
    <s v="Male"/>
    <s v="HR"/>
    <x v="0"/>
    <s v="Analyst"/>
    <d v="2018-04-05T00:00:00"/>
    <d v="2018-04-05T00:00:00"/>
    <s v="D"/>
    <n v="64"/>
    <s v="david.knight@saltcorp.com"/>
    <s v="123-456-7890"/>
    <s v="contract"/>
    <x v="0"/>
    <m/>
    <x v="2"/>
    <n v="5"/>
    <m/>
    <m/>
    <n v="47"/>
    <s v="YES"/>
    <s v="Yes"/>
    <x v="2"/>
    <x v="0"/>
    <x v="0"/>
  </r>
  <r>
    <s v="EMP-2020-0893"/>
    <s v="Alice"/>
    <s v="Aguilar"/>
    <n v="35"/>
    <n v="35"/>
    <n v="1989"/>
    <n v="50000"/>
    <n v="50000"/>
    <s v="Male"/>
    <s v="it"/>
    <x v="3"/>
    <s v="Analyst"/>
    <d v="2020-02-20T00:00:00"/>
    <d v="2020-02-20T00:00:00"/>
    <s v="C"/>
    <n v="75"/>
    <s v="alice.aguilar@saltcorp.com"/>
    <s v=" "/>
    <s v="Full-Time"/>
    <x v="1"/>
    <m/>
    <x v="6"/>
    <m/>
    <m/>
    <d v="2024-08-12T00:00:00"/>
    <m/>
    <s v="no"/>
    <s v="No"/>
    <x v="0"/>
    <x v="0"/>
    <x v="0"/>
  </r>
  <r>
    <s v="EMP-2019-0894"/>
    <s v="Eve"/>
    <s v="Turner"/>
    <n v="25"/>
    <n v="25"/>
    <n v="1999"/>
    <n v="60300"/>
    <n v="60300"/>
    <s v="Male"/>
    <s v="Marketing"/>
    <x v="4"/>
    <s v="Analyst"/>
    <d v="2019-12-01T00:00:00"/>
    <d v="2019-12-01T00:00:00"/>
    <s v="C"/>
    <n v="74"/>
    <s v="eve.turner@saltcorp.com"/>
    <s v="555-555-5555"/>
    <s v="Full-Time"/>
    <x v="1"/>
    <s v="EMP-2019-0058"/>
    <x v="4"/>
    <m/>
    <m/>
    <m/>
    <n v="71"/>
    <s v="no"/>
    <s v="No"/>
    <x v="3"/>
    <x v="0"/>
    <x v="0"/>
  </r>
  <r>
    <s v="EMP-2020-0895"/>
    <s v="Ivy"/>
    <s v="Kumar"/>
    <n v="25"/>
    <n v="25"/>
    <n v="1999"/>
    <n v="50000"/>
    <n v="50000"/>
    <s v="Male"/>
    <s v="it"/>
    <x v="3"/>
    <s v="Director"/>
    <d v="2020-01-15T00:00:00"/>
    <d v="2020-01-15T00:00:00"/>
    <s v="B"/>
    <n v="85"/>
    <s v="ivy.kumar@saltcorp.com"/>
    <s v=" "/>
    <s v="contract"/>
    <x v="0"/>
    <s v="EMP-2018-0089"/>
    <x v="1"/>
    <m/>
    <m/>
    <m/>
    <m/>
    <s v="no"/>
    <s v="No"/>
    <x v="1"/>
    <x v="0"/>
    <x v="0"/>
  </r>
  <r>
    <s v="EMP-2020-0896"/>
    <s v="Alice"/>
    <s v="Castillo"/>
    <m/>
    <n v="38"/>
    <n v="1986"/>
    <n v="50000"/>
    <n v="50000"/>
    <s v="Female"/>
    <s v="finance"/>
    <x v="1"/>
    <s v="Assistant"/>
    <d v="2020-02-20T00:00:00"/>
    <d v="2020-02-20T00:00:00"/>
    <s v="A"/>
    <n v="97"/>
    <s v="alice.castillo@saltcorp.com"/>
    <m/>
    <s v="Full-Time"/>
    <x v="1"/>
    <s v="EMP-2018-0093"/>
    <x v="5"/>
    <s v="N/A"/>
    <m/>
    <m/>
    <m/>
    <m/>
    <s v=""/>
    <x v="0"/>
    <x v="0"/>
    <x v="0"/>
  </r>
  <r>
    <s v="EMP-2020-0897"/>
    <s v="Ivy"/>
    <s v="Dominguez"/>
    <s v="thirty"/>
    <n v="30"/>
    <n v="1994"/>
    <n v="70000"/>
    <n v="70000"/>
    <s v="Female"/>
    <s v="Marketing"/>
    <x v="4"/>
    <s v="Clerk"/>
    <d v="2020-01-15T00:00:00"/>
    <d v="2020-01-15T00:00:00"/>
    <s v="F"/>
    <n v="4"/>
    <s v="ivy.dominguez@saltcorp.com"/>
    <s v=" "/>
    <s v="Full-Time"/>
    <x v="1"/>
    <m/>
    <x v="1"/>
    <m/>
    <n v="12"/>
    <m/>
    <n v="70"/>
    <m/>
    <s v=""/>
    <x v="2"/>
    <x v="0"/>
    <x v="0"/>
  </r>
  <r>
    <s v="EMP-2019-0898"/>
    <s v="Hannah"/>
    <s v="Santos"/>
    <n v="35"/>
    <n v="35"/>
    <n v="1989"/>
    <n v="70000"/>
    <n v="70000"/>
    <s v="Female"/>
    <s v="finance"/>
    <x v="1"/>
    <s v="Director"/>
    <d v="2019-12-01T00:00:00"/>
    <d v="2019-12-01T00:00:00"/>
    <s v="F"/>
    <n v="55"/>
    <s v="hannah.santos@saltcorp.com"/>
    <s v=" "/>
    <s v="Full-Time"/>
    <x v="1"/>
    <m/>
    <x v="2"/>
    <m/>
    <n v="11"/>
    <m/>
    <m/>
    <s v="YES"/>
    <s v="Yes"/>
    <x v="0"/>
    <x v="0"/>
    <x v="0"/>
  </r>
  <r>
    <s v="EMP-2020-0899"/>
    <s v="Frank"/>
    <s v="Schmidt"/>
    <n v="40"/>
    <n v="40"/>
    <n v="1984"/>
    <n v="55000"/>
    <n v="55000"/>
    <s v="Male"/>
    <s v="Marketing"/>
    <x v="4"/>
    <s v="Analyst"/>
    <d v="2020-02-20T00:00:00"/>
    <d v="2020-02-20T00:00:00"/>
    <s v="A"/>
    <n v="100"/>
    <s v="frank.schmidt@saltcorp.com"/>
    <m/>
    <s v="contract"/>
    <x v="0"/>
    <m/>
    <x v="7"/>
    <m/>
    <m/>
    <d v="2023-01-15T00:00:00"/>
    <n v="47"/>
    <s v="YES"/>
    <s v="Yes"/>
    <x v="3"/>
    <x v="1"/>
    <x v="1"/>
  </r>
  <r>
    <s v="EMP-2019-0900"/>
    <s v="Grace"/>
    <s v="Wu"/>
    <n v="40"/>
    <n v="40"/>
    <n v="1984"/>
    <n v="65000"/>
    <n v="65000"/>
    <s v="Female"/>
    <s v="sales"/>
    <x v="2"/>
    <s v="Director"/>
    <d v="2019-12-01T00:00:00"/>
    <d v="2019-12-01T00:00:00"/>
    <s v="B"/>
    <n v="82"/>
    <s v="grace.wu@saltcorp.com"/>
    <s v="098-765-4321"/>
    <s v="Full-Time"/>
    <x v="1"/>
    <m/>
    <x v="7"/>
    <m/>
    <m/>
    <m/>
    <m/>
    <s v="YES"/>
    <s v="Yes"/>
    <x v="0"/>
    <x v="1"/>
    <x v="1"/>
  </r>
  <r>
    <s v="EMP-2019-0901"/>
    <s v="Charlie"/>
    <s v="Walker"/>
    <n v="25"/>
    <n v="25"/>
    <n v="1999"/>
    <n v="55000"/>
    <n v="55000"/>
    <s v="Male"/>
    <s v="it"/>
    <x v="3"/>
    <s v="Manager"/>
    <d v="2019-03-25T00:00:00"/>
    <d v="2019-03-25T00:00:00"/>
    <s v="F"/>
    <n v="20"/>
    <s v="charlie.walker@saltcorp.com"/>
    <s v=" "/>
    <s v="Full-Time"/>
    <x v="1"/>
    <m/>
    <x v="0"/>
    <m/>
    <m/>
    <s v="N/A"/>
    <m/>
    <s v="no"/>
    <s v="No"/>
    <x v="2"/>
    <x v="0"/>
    <x v="0"/>
  </r>
  <r>
    <s v="EMP-2019-0902"/>
    <s v="Alice"/>
    <s v="Chen"/>
    <m/>
    <n v="35"/>
    <n v="1989"/>
    <s v="SIXTY THOUSAND"/>
    <n v="60000"/>
    <s v="Male"/>
    <s v="HR"/>
    <x v="0"/>
    <s v="Analyst"/>
    <d v="2019-12-01T00:00:00"/>
    <d v="2019-12-01T00:00:00"/>
    <s v="C"/>
    <n v="77"/>
    <s v="alice.chen@saltcorp.com"/>
    <s v="123-456-7890"/>
    <s v="Full-Time"/>
    <x v="1"/>
    <m/>
    <x v="6"/>
    <m/>
    <m/>
    <s v="N/A"/>
    <n v="40"/>
    <s v="no"/>
    <s v="No"/>
    <x v="0"/>
    <x v="0"/>
    <x v="0"/>
  </r>
  <r>
    <s v="EMP-2019-0903"/>
    <s v="Eve"/>
    <s v="Turner"/>
    <m/>
    <n v="43"/>
    <n v="1981"/>
    <n v="50000"/>
    <n v="50000"/>
    <s v="Male"/>
    <s v="Marketing"/>
    <x v="4"/>
    <s v="Manager"/>
    <d v="2019-03-25T00:00:00"/>
    <d v="2019-03-25T00:00:00"/>
    <s v="A"/>
    <n v="92"/>
    <s v="eve.turner@saltcorp.com"/>
    <s v=" "/>
    <s v="Full-Time"/>
    <x v="1"/>
    <s v="EMP-2018-0038"/>
    <x v="5"/>
    <m/>
    <m/>
    <d v="2021-10-01T00:00:00"/>
    <n v="10"/>
    <s v="YES"/>
    <s v="Yes"/>
    <x v="3"/>
    <x v="0"/>
    <x v="0"/>
  </r>
  <r>
    <s v="EMP-2020-0904"/>
    <s v="Bob"/>
    <s v="Johnson"/>
    <n v="40"/>
    <n v="40"/>
    <n v="1984"/>
    <n v="60300"/>
    <n v="60300"/>
    <s v="Male"/>
    <s v="Marketing"/>
    <x v="4"/>
    <s v="Analyst"/>
    <d v="2020-02-20T00:00:00"/>
    <d v="2020-02-20T00:00:00"/>
    <s v="D"/>
    <n v="69"/>
    <s v="bob.johnson@saltcorp.com"/>
    <s v="123-456-7890"/>
    <s v="contract"/>
    <x v="0"/>
    <m/>
    <x v="2"/>
    <m/>
    <m/>
    <m/>
    <m/>
    <s v="YES"/>
    <s v="Yes"/>
    <x v="0"/>
    <x v="0"/>
    <x v="0"/>
  </r>
  <r>
    <s v="EMP-2019-0905"/>
    <s v="Eve"/>
    <s v="Castillo"/>
    <n v="35"/>
    <n v="35"/>
    <n v="1989"/>
    <n v="50000"/>
    <n v="50000"/>
    <s v="Female"/>
    <s v="finance"/>
    <x v="1"/>
    <s v="Director"/>
    <d v="2019-03-25T00:00:00"/>
    <d v="2019-03-25T00:00:00"/>
    <s v="B"/>
    <n v="87"/>
    <s v="eve.castillo@saltcorp.com"/>
    <m/>
    <s v="Part-Time"/>
    <x v="2"/>
    <m/>
    <x v="2"/>
    <m/>
    <m/>
    <d v="2023-01-15T00:00:00"/>
    <n v="29"/>
    <s v="no"/>
    <s v="No"/>
    <x v="3"/>
    <x v="0"/>
    <x v="0"/>
  </r>
  <r>
    <s v="EMP-2020-0906"/>
    <s v="Hannah"/>
    <s v="Thomas"/>
    <s v="thirty"/>
    <n v="30"/>
    <n v="1994"/>
    <n v="50000"/>
    <n v="50000"/>
    <s v="Female"/>
    <s v="sales"/>
    <x v="2"/>
    <s v="Assistant"/>
    <d v="2020-02-20T00:00:00"/>
    <d v="2020-02-20T00:00:00"/>
    <s v="A"/>
    <n v="96"/>
    <s v="hannah.thomas@saltcorp.com"/>
    <s v=" "/>
    <s v="Full-Time"/>
    <x v="1"/>
    <m/>
    <x v="3"/>
    <n v="14"/>
    <m/>
    <m/>
    <m/>
    <m/>
    <s v=""/>
    <x v="3"/>
    <x v="0"/>
    <x v="0"/>
  </r>
  <r>
    <s v="EMP-2020-0907"/>
    <s v="Ivy"/>
    <s v="McCoy"/>
    <n v="35"/>
    <n v="35"/>
    <n v="1989"/>
    <n v="55000"/>
    <n v="55000"/>
    <s v="Male"/>
    <s v="finance"/>
    <x v="1"/>
    <s v="Clerk"/>
    <d v="2020-02-20T00:00:00"/>
    <d v="2020-02-20T00:00:00"/>
    <s v="F"/>
    <n v="12"/>
    <s v="ivy.mccoy@saltcorp.com"/>
    <m/>
    <s v="contract"/>
    <x v="0"/>
    <m/>
    <x v="4"/>
    <m/>
    <m/>
    <d v="2022-06-20T00:00:00"/>
    <m/>
    <s v="YES"/>
    <s v="Yes"/>
    <x v="4"/>
    <x v="1"/>
    <x v="1"/>
  </r>
  <r>
    <s v="EMP-2018-0908"/>
    <s v="Bob"/>
    <s v="Hanson"/>
    <n v="50"/>
    <n v="50"/>
    <n v="1974"/>
    <n v="59500"/>
    <n v="59500"/>
    <s v="Male"/>
    <s v="finance"/>
    <x v="1"/>
    <s v="Manager"/>
    <d v="2018-04-05T00:00:00"/>
    <d v="2018-04-05T00:00:00"/>
    <s v="B"/>
    <n v="80"/>
    <s v="bob.hanson@saltcorp.com"/>
    <m/>
    <s v="Part-Time"/>
    <x v="2"/>
    <m/>
    <x v="3"/>
    <m/>
    <m/>
    <m/>
    <m/>
    <s v="no"/>
    <s v="No"/>
    <x v="3"/>
    <x v="1"/>
    <x v="1"/>
  </r>
  <r>
    <s v="EMP-2020-0909"/>
    <s v="Charlie"/>
    <s v="Lewis"/>
    <n v="50"/>
    <n v="50"/>
    <n v="1974"/>
    <n v="63000"/>
    <n v="63000"/>
    <s v="Male"/>
    <s v="sales"/>
    <x v="2"/>
    <s v="Director"/>
    <d v="2020-02-20T00:00:00"/>
    <d v="2020-02-20T00:00:00"/>
    <s v="C"/>
    <n v="73"/>
    <s v="charlie.lewis@saltcorp.com"/>
    <s v="098-765-4321"/>
    <s v="contract"/>
    <x v="0"/>
    <s v="EMP-2019-0084"/>
    <x v="0"/>
    <s v="N/A"/>
    <n v="18"/>
    <m/>
    <n v="13"/>
    <s v="no"/>
    <s v="No"/>
    <x v="2"/>
    <x v="0"/>
    <x v="0"/>
  </r>
  <r>
    <s v="EMP-2019-0910"/>
    <s v="Charlie"/>
    <s v="White"/>
    <s v="thirty"/>
    <n v="30"/>
    <n v="1994"/>
    <n v="61500"/>
    <n v="61500"/>
    <s v="Male"/>
    <s v="HR"/>
    <x v="0"/>
    <s v="Assistant"/>
    <d v="2019-03-25T00:00:00"/>
    <d v="2019-03-25T00:00:00"/>
    <s v="B"/>
    <n v="84"/>
    <s v="charlie.white@saltcorp.com"/>
    <s v=" "/>
    <s v="Full-Time"/>
    <x v="1"/>
    <s v="EMP-2019-0021"/>
    <x v="3"/>
    <m/>
    <m/>
    <m/>
    <m/>
    <m/>
    <s v=""/>
    <x v="2"/>
    <x v="0"/>
    <x v="0"/>
  </r>
  <r>
    <s v="EMP-2018-0911"/>
    <s v="Alice"/>
    <s v="Williams"/>
    <n v="40"/>
    <n v="40"/>
    <n v="1984"/>
    <n v="55000"/>
    <n v="55000"/>
    <s v="Male"/>
    <s v="finance"/>
    <x v="1"/>
    <s v="Director"/>
    <d v="2018-04-05T00:00:00"/>
    <d v="2018-04-05T00:00:00"/>
    <s v="B"/>
    <n v="89"/>
    <s v="alice.williams@saltcorp.com"/>
    <s v="123-456-7890"/>
    <s v="Full-Time"/>
    <x v="1"/>
    <m/>
    <x v="1"/>
    <m/>
    <n v="15"/>
    <m/>
    <n v="26"/>
    <s v="YES"/>
    <s v="Yes"/>
    <x v="1"/>
    <x v="1"/>
    <x v="1"/>
  </r>
  <r>
    <s v="EMP-2018-0912"/>
    <s v="Hannah"/>
    <s v="Powell"/>
    <s v="thirty"/>
    <n v="30"/>
    <n v="1994"/>
    <n v="50000"/>
    <n v="50000"/>
    <s v="Male"/>
    <s v="finance"/>
    <x v="1"/>
    <s v="Manager"/>
    <d v="2018-04-05T00:00:00"/>
    <d v="2018-04-05T00:00:00"/>
    <s v="C"/>
    <n v="74"/>
    <s v="hannah.powell@saltcorp.com"/>
    <s v="123-456-7890"/>
    <s v="contract"/>
    <x v="0"/>
    <m/>
    <x v="2"/>
    <n v="3"/>
    <n v="8"/>
    <s v="N/A"/>
    <m/>
    <s v="YES"/>
    <s v="Yes"/>
    <x v="3"/>
    <x v="1"/>
    <x v="1"/>
  </r>
  <r>
    <s v="EMP-2020-0913"/>
    <s v="Frank"/>
    <s v="Perez"/>
    <m/>
    <n v="33"/>
    <n v="1991"/>
    <n v="55000"/>
    <n v="55000"/>
    <s v="Female"/>
    <s v="Marketing"/>
    <x v="4"/>
    <s v="Clerk"/>
    <d v="2020-02-20T00:00:00"/>
    <d v="2020-02-20T00:00:00"/>
    <s v="C"/>
    <n v="78"/>
    <s v="frank.perez@saltcorp.com"/>
    <s v=" "/>
    <s v="Full-Time"/>
    <x v="1"/>
    <s v="EMP-2019-0039"/>
    <x v="2"/>
    <s v="N/A"/>
    <m/>
    <d v="2021-10-01T00:00:00"/>
    <m/>
    <s v="YES"/>
    <s v="Yes"/>
    <x v="2"/>
    <x v="1"/>
    <x v="1"/>
  </r>
  <r>
    <s v="EMP-2019-0914"/>
    <s v="Hannah"/>
    <s v="Hansen"/>
    <n v="50"/>
    <n v="50"/>
    <n v="1974"/>
    <n v="70000"/>
    <n v="70000"/>
    <s v="Female"/>
    <s v="sales"/>
    <x v="2"/>
    <s v="Director"/>
    <d v="2019-12-01T00:00:00"/>
    <d v="2019-12-01T00:00:00"/>
    <s v="B"/>
    <n v="82"/>
    <s v="hannah.hansen@saltcorp.com"/>
    <s v="098-765-4321"/>
    <s v="Full-Time"/>
    <x v="1"/>
    <m/>
    <x v="4"/>
    <m/>
    <n v="7"/>
    <m/>
    <m/>
    <s v="no"/>
    <s v="No"/>
    <x v="2"/>
    <x v="0"/>
    <x v="0"/>
  </r>
  <r>
    <s v="EMP-2019-0915"/>
    <s v="Ivy"/>
    <s v="Singh"/>
    <n v="25"/>
    <n v="25"/>
    <n v="1999"/>
    <n v="70000"/>
    <n v="70000"/>
    <s v="Female"/>
    <s v="it"/>
    <x v="3"/>
    <s v="Analyst"/>
    <d v="2019-12-01T00:00:00"/>
    <d v="2019-12-01T00:00:00"/>
    <s v="C"/>
    <n v="76"/>
    <s v="ivy.singh@saltcorp.com"/>
    <s v="098-765-4321"/>
    <s v="Full-Time"/>
    <x v="1"/>
    <m/>
    <x v="1"/>
    <n v="3"/>
    <n v="20"/>
    <m/>
    <m/>
    <s v="no"/>
    <s v="No"/>
    <x v="2"/>
    <x v="0"/>
    <x v="0"/>
  </r>
  <r>
    <s v="EMP-2018-0916"/>
    <s v="Eve"/>
    <s v="Bishop"/>
    <n v="25"/>
    <n v="25"/>
    <n v="1999"/>
    <n v="55000"/>
    <n v="55000"/>
    <s v="Male"/>
    <s v="HR"/>
    <x v="0"/>
    <s v="Assistant"/>
    <d v="2018-04-05T00:00:00"/>
    <d v="2018-04-05T00:00:00"/>
    <s v="A"/>
    <n v="93"/>
    <s v="eve.bishop@saltcorp.com"/>
    <s v="098-765-4321"/>
    <s v="Part-Time"/>
    <x v="2"/>
    <m/>
    <x v="6"/>
    <m/>
    <m/>
    <m/>
    <m/>
    <s v="no"/>
    <s v="No"/>
    <x v="1"/>
    <x v="0"/>
    <x v="0"/>
  </r>
  <r>
    <s v="EMP-2020-0917"/>
    <s v="Charlie"/>
    <s v="Gibson"/>
    <n v="40"/>
    <n v="40"/>
    <n v="1984"/>
    <n v="60900"/>
    <n v="60900"/>
    <s v="Male"/>
    <s v="HR"/>
    <x v="0"/>
    <s v="Director"/>
    <d v="2020-02-20T00:00:00"/>
    <d v="2020-02-20T00:00:00"/>
    <s v="C"/>
    <n v="71"/>
    <s v="charlie.gibson@saltcorp.com"/>
    <s v="123-456-7890"/>
    <s v="Part-Time"/>
    <x v="2"/>
    <s v="EMP-2019-0026"/>
    <x v="0"/>
    <m/>
    <n v="12"/>
    <d v="2024-08-12T00:00:00"/>
    <m/>
    <s v="YES"/>
    <s v="Yes"/>
    <x v="4"/>
    <x v="0"/>
    <x v="0"/>
  </r>
  <r>
    <s v="EMP-2019-0918"/>
    <s v="Eve"/>
    <s v="Schmidt"/>
    <m/>
    <n v="30"/>
    <n v="1994"/>
    <n v="50000"/>
    <n v="50000"/>
    <s v="Male"/>
    <s v="sales"/>
    <x v="2"/>
    <s v="Assistant"/>
    <d v="2019-12-01T00:00:00"/>
    <d v="2019-12-01T00:00:00"/>
    <s v="C"/>
    <n v="76"/>
    <s v="eve.schmidt@saltcorp.com"/>
    <m/>
    <s v="Full-Time"/>
    <x v="1"/>
    <m/>
    <x v="6"/>
    <n v="1"/>
    <n v="2"/>
    <s v="N/A"/>
    <m/>
    <s v="YES"/>
    <s v="Yes"/>
    <x v="1"/>
    <x v="1"/>
    <x v="1"/>
  </r>
  <r>
    <s v="EMP-2020-0919"/>
    <s v="Eve"/>
    <s v="Andrews"/>
    <n v="35"/>
    <n v="35"/>
    <n v="1989"/>
    <n v="55000"/>
    <n v="55000"/>
    <s v="Female"/>
    <s v="Marketing"/>
    <x v="4"/>
    <s v="Analyst"/>
    <d v="2020-02-20T00:00:00"/>
    <d v="2020-02-20T00:00:00"/>
    <s v="B"/>
    <n v="89"/>
    <s v="eve.andrews@saltcorp.com"/>
    <s v="098-765-4321"/>
    <s v="Full-Time"/>
    <x v="1"/>
    <m/>
    <x v="2"/>
    <m/>
    <m/>
    <m/>
    <m/>
    <s v="YES"/>
    <s v="Yes"/>
    <x v="1"/>
    <x v="0"/>
    <x v="0"/>
  </r>
  <r>
    <s v="EMP-2020-0920"/>
    <s v="Eve"/>
    <s v="Bell"/>
    <m/>
    <n v="32"/>
    <n v="1992"/>
    <n v="55000"/>
    <n v="55000"/>
    <s v="Female"/>
    <s v="Marketing"/>
    <x v="4"/>
    <s v="Clerk"/>
    <d v="2020-02-20T00:00:00"/>
    <d v="2020-02-20T00:00:00"/>
    <s v="A"/>
    <n v="100"/>
    <s v="eve.bell@saltcorp.com"/>
    <s v="123-456-7890"/>
    <s v="Part-Time"/>
    <x v="2"/>
    <m/>
    <x v="2"/>
    <m/>
    <n v="11"/>
    <d v="2021-10-01T00:00:00"/>
    <m/>
    <s v="YES"/>
    <s v="Yes"/>
    <x v="4"/>
    <x v="0"/>
    <x v="0"/>
  </r>
  <r>
    <s v="EMP-2018-0921"/>
    <s v="Charlie"/>
    <s v="Taylor"/>
    <n v="25"/>
    <n v="25"/>
    <n v="1999"/>
    <n v="55000"/>
    <n v="55000"/>
    <s v="Male"/>
    <s v="sales"/>
    <x v="2"/>
    <s v="Clerk"/>
    <d v="2018-04-05T00:00:00"/>
    <d v="2018-04-05T00:00:00"/>
    <s v="D"/>
    <n v="66"/>
    <s v="charlie.taylor@saltcorp.com"/>
    <s v="123-456-7890"/>
    <s v="Part-Time"/>
    <x v="2"/>
    <s v="EMP-2020-0034"/>
    <x v="6"/>
    <n v="4"/>
    <n v="10"/>
    <d v="2022-06-20T00:00:00"/>
    <m/>
    <m/>
    <s v=""/>
    <x v="3"/>
    <x v="1"/>
    <x v="1"/>
  </r>
  <r>
    <s v="EMP-2018-0922"/>
    <s v="Jack"/>
    <s v="Gutierrez"/>
    <n v="25"/>
    <n v="25"/>
    <n v="1999"/>
    <s v="SIXTY THOUSAND"/>
    <n v="60000"/>
    <s v="Male"/>
    <s v="Marketing"/>
    <x v="4"/>
    <s v="Analyst"/>
    <d v="2018-04-05T00:00:00"/>
    <d v="2018-04-05T00:00:00"/>
    <s v="D"/>
    <n v="62"/>
    <s v="jack.gutierrez@saltcorp.com"/>
    <m/>
    <s v="Part-Time"/>
    <x v="2"/>
    <m/>
    <x v="3"/>
    <m/>
    <n v="14"/>
    <d v="2023-03-05T00:00:00"/>
    <m/>
    <m/>
    <s v=""/>
    <x v="4"/>
    <x v="1"/>
    <x v="1"/>
  </r>
  <r>
    <s v="EMP-2020-0923"/>
    <s v="David"/>
    <s v="Patel"/>
    <n v="50"/>
    <n v="50"/>
    <n v="1974"/>
    <n v="70000"/>
    <n v="70000"/>
    <s v="Male"/>
    <s v="HR"/>
    <x v="0"/>
    <s v="Assistant"/>
    <d v="2020-01-15T00:00:00"/>
    <d v="2020-01-15T00:00:00"/>
    <s v="F"/>
    <n v="42"/>
    <s v="david.patel@saltcorp.com"/>
    <s v=" "/>
    <s v="Part-Time"/>
    <x v="2"/>
    <m/>
    <x v="1"/>
    <s v="N/A"/>
    <m/>
    <d v="2022-06-20T00:00:00"/>
    <m/>
    <s v="no"/>
    <s v="No"/>
    <x v="4"/>
    <x v="1"/>
    <x v="1"/>
  </r>
  <r>
    <s v="EMP-2019-0924"/>
    <s v="Ivy"/>
    <s v="Shah"/>
    <m/>
    <n v="56"/>
    <n v="1968"/>
    <n v="60900"/>
    <n v="60900"/>
    <s v="Female"/>
    <s v="HR"/>
    <x v="0"/>
    <s v="Director"/>
    <d v="2019-12-01T00:00:00"/>
    <d v="2019-12-01T00:00:00"/>
    <s v="C"/>
    <n v="74"/>
    <s v="ivy.shah@saltcorp.com"/>
    <s v=" "/>
    <s v="Full-Time"/>
    <x v="1"/>
    <m/>
    <x v="4"/>
    <s v="N/A"/>
    <m/>
    <d v="2021-10-01T00:00:00"/>
    <m/>
    <s v="YES"/>
    <s v="Yes"/>
    <x v="0"/>
    <x v="0"/>
    <x v="0"/>
  </r>
  <r>
    <s v="EMP-2019-0925"/>
    <s v="Jack"/>
    <s v="Schmidt"/>
    <m/>
    <n v="27"/>
    <n v="1997"/>
    <n v="65000"/>
    <n v="65000"/>
    <s v="Female"/>
    <s v="it"/>
    <x v="3"/>
    <s v="Analyst"/>
    <d v="2019-12-01T00:00:00"/>
    <d v="2019-12-01T00:00:00"/>
    <s v="C"/>
    <n v="71"/>
    <s v="jack.schmidt@saltcorp.com"/>
    <s v="098-765-4321"/>
    <s v="contract"/>
    <x v="0"/>
    <m/>
    <x v="4"/>
    <m/>
    <n v="7"/>
    <m/>
    <m/>
    <s v="YES"/>
    <s v="Yes"/>
    <x v="2"/>
    <x v="0"/>
    <x v="0"/>
  </r>
  <r>
    <s v="EMP-2019-0926"/>
    <s v="Ivy"/>
    <s v="Ward"/>
    <n v="25"/>
    <n v="25"/>
    <n v="1999"/>
    <n v="61500"/>
    <n v="61500"/>
    <s v="Male"/>
    <s v="sales"/>
    <x v="2"/>
    <s v="Manager"/>
    <d v="2019-12-01T00:00:00"/>
    <d v="2019-12-01T00:00:00"/>
    <s v="A"/>
    <n v="99"/>
    <s v="ivy.ward@saltcorp.com"/>
    <s v="098-765-4321"/>
    <s v="Full-Time"/>
    <x v="1"/>
    <m/>
    <x v="0"/>
    <s v="N/A"/>
    <m/>
    <m/>
    <m/>
    <s v="YES"/>
    <s v="Yes"/>
    <x v="3"/>
    <x v="0"/>
    <x v="0"/>
  </r>
  <r>
    <s v="EMP-2019-0927"/>
    <s v="Bob"/>
    <s v="Hansen"/>
    <n v="35"/>
    <n v="35"/>
    <n v="1989"/>
    <n v="65000"/>
    <n v="65000"/>
    <s v="Male"/>
    <s v="finance"/>
    <x v="1"/>
    <s v="Assistant"/>
    <d v="2019-03-25T00:00:00"/>
    <d v="2019-03-25T00:00:00"/>
    <s v="D"/>
    <n v="69"/>
    <s v="bob.hansen@saltcorp.com"/>
    <m/>
    <s v="Part-Time"/>
    <x v="2"/>
    <m/>
    <x v="5"/>
    <m/>
    <n v="6"/>
    <m/>
    <m/>
    <s v="YES"/>
    <s v="Yes"/>
    <x v="0"/>
    <x v="1"/>
    <x v="1"/>
  </r>
  <r>
    <s v="EMP-2020-0928"/>
    <s v="Hannah"/>
    <s v="Dixon"/>
    <n v="40"/>
    <n v="40"/>
    <n v="1984"/>
    <s v="SIXTY THOUSAND"/>
    <n v="60000"/>
    <s v="Male"/>
    <s v="finance"/>
    <x v="1"/>
    <s v="Clerk"/>
    <d v="2020-02-20T00:00:00"/>
    <d v="2020-02-20T00:00:00"/>
    <s v="F"/>
    <n v="45"/>
    <s v="hannah.dixon@saltcorp.com"/>
    <s v="098-765-4321"/>
    <s v="Part-Time"/>
    <x v="2"/>
    <m/>
    <x v="3"/>
    <m/>
    <m/>
    <m/>
    <m/>
    <s v="no"/>
    <s v="No"/>
    <x v="2"/>
    <x v="0"/>
    <x v="0"/>
  </r>
  <r>
    <s v="EMP-2018-0929"/>
    <s v="Hannah"/>
    <s v="Aguilar"/>
    <n v="40"/>
    <n v="40"/>
    <n v="1984"/>
    <n v="55000"/>
    <n v="55000"/>
    <s v="Female"/>
    <s v="it"/>
    <x v="3"/>
    <s v="Analyst"/>
    <d v="2018-04-05T00:00:00"/>
    <d v="2018-04-05T00:00:00"/>
    <s v="A"/>
    <n v="96"/>
    <s v="hannah.aguilar@saltcorp.com"/>
    <m/>
    <s v="Full-Time"/>
    <x v="1"/>
    <m/>
    <x v="0"/>
    <m/>
    <m/>
    <m/>
    <n v="56"/>
    <m/>
    <s v=""/>
    <x v="1"/>
    <x v="1"/>
    <x v="1"/>
  </r>
  <r>
    <s v="EMP-2019-0930"/>
    <s v="Grace"/>
    <s v="Ward"/>
    <m/>
    <n v="28"/>
    <n v="1996"/>
    <s v="SIXTY THOUSAND"/>
    <n v="60000"/>
    <s v="Female"/>
    <s v="it"/>
    <x v="3"/>
    <s v="Clerk"/>
    <d v="2019-12-01T00:00:00"/>
    <d v="2019-12-01T00:00:00"/>
    <s v="C"/>
    <n v="77"/>
    <s v="grace.ward@saltcorp.com"/>
    <s v="123-456-7890"/>
    <s v="contract"/>
    <x v="0"/>
    <m/>
    <x v="6"/>
    <n v="5"/>
    <n v="1"/>
    <m/>
    <m/>
    <s v="no"/>
    <s v="No"/>
    <x v="3"/>
    <x v="0"/>
    <x v="0"/>
  </r>
  <r>
    <s v="EMP-2020-0931"/>
    <s v="Hannah"/>
    <s v="Hudson"/>
    <n v="40"/>
    <n v="40"/>
    <n v="1984"/>
    <s v="SIXTY THOUSAND"/>
    <n v="60000"/>
    <s v="Female"/>
    <s v="Marketing"/>
    <x v="4"/>
    <s v="Assistant"/>
    <d v="2020-01-15T00:00:00"/>
    <d v="2020-01-15T00:00:00"/>
    <s v="D"/>
    <n v="61"/>
    <s v="hannah.hudson@saltcorp.com"/>
    <s v="098-765-4321"/>
    <s v="contract"/>
    <x v="0"/>
    <m/>
    <x v="6"/>
    <m/>
    <m/>
    <d v="2024-08-12T00:00:00"/>
    <m/>
    <s v="no"/>
    <s v="No"/>
    <x v="0"/>
    <x v="0"/>
    <x v="0"/>
  </r>
  <r>
    <s v="EMP-2019-0932"/>
    <s v="Charlie"/>
    <s v="White"/>
    <n v="25"/>
    <n v="25"/>
    <n v="1999"/>
    <n v="50000"/>
    <n v="50000"/>
    <s v="Female"/>
    <s v="it"/>
    <x v="3"/>
    <s v="Clerk"/>
    <d v="2019-12-01T00:00:00"/>
    <d v="2019-12-01T00:00:00"/>
    <s v="F"/>
    <n v="49"/>
    <s v="charlie.white@saltcorp.com"/>
    <s v="123-456-7890"/>
    <s v="Full-Time"/>
    <x v="1"/>
    <m/>
    <x v="0"/>
    <m/>
    <n v="19"/>
    <m/>
    <m/>
    <s v="no"/>
    <s v="No"/>
    <x v="3"/>
    <x v="0"/>
    <x v="0"/>
  </r>
  <r>
    <s v="EMP-2020-0933"/>
    <s v="Frank"/>
    <s v="Gonzalez"/>
    <n v="25"/>
    <n v="25"/>
    <n v="1999"/>
    <n v="70000"/>
    <n v="70000"/>
    <s v="Male"/>
    <s v="it"/>
    <x v="3"/>
    <s v="Analyst"/>
    <d v="2020-02-20T00:00:00"/>
    <d v="2020-02-20T00:00:00"/>
    <s v="B"/>
    <n v="81"/>
    <s v="frank.gonzalez@saltcorp.com"/>
    <s v="555-555-5555"/>
    <s v="contract"/>
    <x v="0"/>
    <m/>
    <x v="4"/>
    <m/>
    <n v="4"/>
    <m/>
    <m/>
    <s v="YES"/>
    <s v="Yes"/>
    <x v="4"/>
    <x v="0"/>
    <x v="0"/>
  </r>
  <r>
    <s v="EMP-2020-0934"/>
    <s v="Alice"/>
    <s v="Le"/>
    <m/>
    <n v="32"/>
    <n v="1992"/>
    <n v="65000"/>
    <n v="65000"/>
    <s v="Male"/>
    <s v="finance"/>
    <x v="1"/>
    <s v="Assistant"/>
    <d v="2020-02-20T00:00:00"/>
    <d v="2020-02-20T00:00:00"/>
    <s v="D"/>
    <n v="64"/>
    <s v="alice.le@saltcorp.com"/>
    <m/>
    <s v="Part-Time"/>
    <x v="2"/>
    <m/>
    <x v="4"/>
    <n v="14"/>
    <n v="4"/>
    <m/>
    <m/>
    <m/>
    <s v=""/>
    <x v="0"/>
    <x v="1"/>
    <x v="1"/>
  </r>
  <r>
    <s v="EMP-2018-0935"/>
    <s v="Grace"/>
    <s v="Zhou"/>
    <m/>
    <n v="51"/>
    <n v="1973"/>
    <n v="55000"/>
    <n v="55000"/>
    <s v="Female"/>
    <s v="Marketing"/>
    <x v="4"/>
    <s v="Manager"/>
    <d v="2018-04-05T00:00:00"/>
    <d v="2018-04-05T00:00:00"/>
    <s v="F"/>
    <n v="54"/>
    <s v="grace.zhou@saltcorp.com"/>
    <s v="555-555-5555"/>
    <s v="Part-Time"/>
    <x v="2"/>
    <s v="EMP-2019-0023"/>
    <x v="1"/>
    <m/>
    <m/>
    <m/>
    <n v="67"/>
    <s v="no"/>
    <s v="No"/>
    <x v="4"/>
    <x v="0"/>
    <x v="0"/>
  </r>
  <r>
    <s v="EMP-2019-0936"/>
    <s v="Alice"/>
    <s v="Harrison"/>
    <n v="50"/>
    <n v="50"/>
    <n v="1974"/>
    <n v="65000"/>
    <n v="65000"/>
    <s v="Female"/>
    <s v="it"/>
    <x v="3"/>
    <s v="Analyst"/>
    <d v="2019-03-25T00:00:00"/>
    <d v="2019-03-25T00:00:00"/>
    <s v="A"/>
    <n v="94"/>
    <s v="alice.harrison@saltcorp.com"/>
    <s v="098-765-4321"/>
    <s v="Part-Time"/>
    <x v="2"/>
    <m/>
    <x v="7"/>
    <m/>
    <m/>
    <m/>
    <m/>
    <s v="no"/>
    <s v="No"/>
    <x v="3"/>
    <x v="0"/>
    <x v="0"/>
  </r>
  <r>
    <s v="EMP-2018-0937"/>
    <s v="Ivy"/>
    <s v="Oliver"/>
    <m/>
    <n v="44"/>
    <n v="1980"/>
    <n v="60100"/>
    <n v="60100"/>
    <s v="Female"/>
    <s v="it"/>
    <x v="3"/>
    <s v="Director"/>
    <d v="2018-04-05T00:00:00"/>
    <d v="2018-04-05T00:00:00"/>
    <s v="B"/>
    <n v="81"/>
    <s v="ivy.oliver@saltcorp.com"/>
    <s v="123-456-7890"/>
    <s v="contract"/>
    <x v="0"/>
    <m/>
    <x v="4"/>
    <s v="N/A"/>
    <m/>
    <m/>
    <n v="56"/>
    <s v="YES"/>
    <s v="Yes"/>
    <x v="1"/>
    <x v="1"/>
    <x v="1"/>
  </r>
  <r>
    <s v="EMP-2019-0938"/>
    <s v="Alice"/>
    <s v="Ross"/>
    <n v="35"/>
    <n v="35"/>
    <n v="1989"/>
    <n v="65000"/>
    <n v="65000"/>
    <s v="Female"/>
    <s v="Marketing"/>
    <x v="4"/>
    <s v="Analyst"/>
    <d v="2019-12-01T00:00:00"/>
    <d v="2019-12-01T00:00:00"/>
    <s v="F"/>
    <n v="57"/>
    <s v="alice.ross@saltcorp.com"/>
    <s v="098-765-4321"/>
    <s v="contract"/>
    <x v="0"/>
    <s v="EMP-2020-0056"/>
    <x v="6"/>
    <n v="15"/>
    <m/>
    <m/>
    <m/>
    <s v="no"/>
    <s v="No"/>
    <x v="0"/>
    <x v="0"/>
    <x v="0"/>
  </r>
  <r>
    <s v="EMP-2020-0939"/>
    <s v="Alice"/>
    <s v="Lee"/>
    <n v="40"/>
    <n v="40"/>
    <n v="1984"/>
    <n v="58300"/>
    <n v="58300"/>
    <s v="Male"/>
    <s v="sales"/>
    <x v="2"/>
    <s v="Assistant"/>
    <d v="2020-01-15T00:00:00"/>
    <d v="2020-01-15T00:00:00"/>
    <s v="F"/>
    <n v="23"/>
    <s v="alice.lee@saltcorp.com"/>
    <s v="555-555-5555"/>
    <s v="Full-Time"/>
    <x v="1"/>
    <m/>
    <x v="1"/>
    <s v="N/A"/>
    <m/>
    <m/>
    <m/>
    <s v="YES"/>
    <s v="Yes"/>
    <x v="3"/>
    <x v="1"/>
    <x v="1"/>
  </r>
  <r>
    <s v="EMP-2018-0940"/>
    <s v="Grace"/>
    <s v="Powers"/>
    <m/>
    <n v="32"/>
    <n v="1992"/>
    <n v="70000"/>
    <n v="70000"/>
    <s v="Female"/>
    <s v="Marketing"/>
    <x v="4"/>
    <s v="Analyst"/>
    <d v="2018-04-05T00:00:00"/>
    <d v="2018-04-05T00:00:00"/>
    <s v="C"/>
    <n v="71"/>
    <s v="grace.powers@saltcorp.com"/>
    <s v="098-765-4321"/>
    <s v="Full-Time"/>
    <x v="1"/>
    <m/>
    <x v="4"/>
    <n v="4"/>
    <n v="6"/>
    <s v="N/A"/>
    <n v="80"/>
    <s v="YES"/>
    <s v="Yes"/>
    <x v="0"/>
    <x v="0"/>
    <x v="0"/>
  </r>
  <r>
    <s v="EMP-2019-0941"/>
    <s v="Bob"/>
    <s v="Walker"/>
    <s v="thirty"/>
    <n v="30"/>
    <n v="1994"/>
    <n v="59500"/>
    <n v="59500"/>
    <s v="Male"/>
    <s v="finance"/>
    <x v="1"/>
    <s v="Manager"/>
    <d v="2019-03-25T00:00:00"/>
    <d v="2019-03-25T00:00:00"/>
    <s v="D"/>
    <n v="67"/>
    <s v="bob.walker@saltcorp.com"/>
    <s v=" "/>
    <s v="Full-Time"/>
    <x v="1"/>
    <m/>
    <x v="2"/>
    <m/>
    <m/>
    <s v="N/A"/>
    <m/>
    <s v="no"/>
    <s v="No"/>
    <x v="0"/>
    <x v="0"/>
    <x v="0"/>
  </r>
  <r>
    <s v="EMP-2018-0942"/>
    <s v="Eve"/>
    <s v="Thomas"/>
    <n v="50"/>
    <n v="50"/>
    <n v="1974"/>
    <n v="65000"/>
    <n v="65000"/>
    <s v="Female"/>
    <s v="sales"/>
    <x v="2"/>
    <s v="Manager"/>
    <d v="2018-04-05T00:00:00"/>
    <d v="2018-04-05T00:00:00"/>
    <s v="C"/>
    <n v="71"/>
    <s v="eve.thomas@saltcorp.com"/>
    <s v="555-555-5555"/>
    <s v="Part-Time"/>
    <x v="2"/>
    <m/>
    <x v="1"/>
    <n v="1"/>
    <n v="6"/>
    <d v="2021-10-01T00:00:00"/>
    <m/>
    <s v="YES"/>
    <s v="Yes"/>
    <x v="3"/>
    <x v="1"/>
    <x v="1"/>
  </r>
  <r>
    <s v="EMP-2020-0943"/>
    <s v="Hannah"/>
    <s v="Hoffman"/>
    <s v="thirty"/>
    <n v="30"/>
    <n v="1994"/>
    <n v="65000"/>
    <n v="65000"/>
    <s v="Female"/>
    <s v="HR"/>
    <x v="0"/>
    <s v="Director"/>
    <d v="2020-02-20T00:00:00"/>
    <d v="2020-02-20T00:00:00"/>
    <s v="B"/>
    <n v="82"/>
    <s v="hannah.hoffman@saltcorp.com"/>
    <s v="098-765-4321"/>
    <s v="contract"/>
    <x v="0"/>
    <m/>
    <x v="3"/>
    <n v="6"/>
    <m/>
    <d v="2023-01-15T00:00:00"/>
    <m/>
    <m/>
    <s v=""/>
    <x v="1"/>
    <x v="0"/>
    <x v="0"/>
  </r>
  <r>
    <s v="EMP-2019-0944"/>
    <s v="Hannah"/>
    <s v="Powell"/>
    <n v="25"/>
    <n v="25"/>
    <n v="1999"/>
    <n v="58600"/>
    <n v="58600"/>
    <s v="Male"/>
    <s v="Marketing"/>
    <x v="4"/>
    <s v="Clerk"/>
    <d v="2019-12-01T00:00:00"/>
    <d v="2019-12-01T00:00:00"/>
    <s v="F"/>
    <n v="11"/>
    <s v="hannah.powell@saltcorp.com"/>
    <s v="123-456-7890"/>
    <s v="Full-Time"/>
    <x v="1"/>
    <m/>
    <x v="3"/>
    <s v="N/A"/>
    <m/>
    <m/>
    <m/>
    <s v="no"/>
    <s v="No"/>
    <x v="2"/>
    <x v="1"/>
    <x v="1"/>
  </r>
  <r>
    <s v="EMP-2019-0945"/>
    <s v="Charlie"/>
    <s v="Moore"/>
    <n v="40"/>
    <n v="40"/>
    <n v="1984"/>
    <s v="SIXTY THOUSAND"/>
    <n v="60000"/>
    <s v="Male"/>
    <s v="finance"/>
    <x v="1"/>
    <s v="Assistant"/>
    <d v="2019-12-01T00:00:00"/>
    <d v="2019-12-01T00:00:00"/>
    <s v="C"/>
    <n v="75"/>
    <s v="charlie.moore@saltcorp.com"/>
    <s v="098-765-4321"/>
    <s v="Part-Time"/>
    <x v="2"/>
    <m/>
    <x v="7"/>
    <m/>
    <m/>
    <m/>
    <n v="51"/>
    <s v="YES"/>
    <s v="Yes"/>
    <x v="4"/>
    <x v="0"/>
    <x v="0"/>
  </r>
  <r>
    <s v="EMP-2019-0946"/>
    <s v="Grace"/>
    <s v="Wu"/>
    <m/>
    <n v="33"/>
    <n v="1991"/>
    <n v="70000"/>
    <n v="70000"/>
    <s v="Female"/>
    <s v="sales"/>
    <x v="2"/>
    <s v="Assistant"/>
    <d v="2019-12-01T00:00:00"/>
    <d v="2019-12-01T00:00:00"/>
    <s v="D"/>
    <n v="67"/>
    <s v="grace.wu@saltcorp.com"/>
    <s v="123-456-7890"/>
    <s v="Full-Time"/>
    <x v="1"/>
    <m/>
    <x v="6"/>
    <n v="15"/>
    <m/>
    <m/>
    <n v="44"/>
    <s v="no"/>
    <s v="No"/>
    <x v="3"/>
    <x v="0"/>
    <x v="0"/>
  </r>
  <r>
    <s v="EMP-2019-0947"/>
    <s v="Charlie"/>
    <s v="Taylor"/>
    <s v="thirty"/>
    <n v="30"/>
    <n v="1994"/>
    <n v="50000"/>
    <n v="50000"/>
    <s v="Male"/>
    <s v="Marketing"/>
    <x v="4"/>
    <s v="Clerk"/>
    <d v="2019-12-01T00:00:00"/>
    <d v="2019-12-01T00:00:00"/>
    <s v="B"/>
    <n v="87"/>
    <s v="charlie.taylor@saltcorp.com"/>
    <s v=" "/>
    <s v="contract"/>
    <x v="0"/>
    <m/>
    <x v="5"/>
    <m/>
    <n v="9"/>
    <m/>
    <n v="79"/>
    <s v="no"/>
    <s v="No"/>
    <x v="0"/>
    <x v="0"/>
    <x v="0"/>
  </r>
  <r>
    <s v="EMP-2019-0948"/>
    <s v="Frank"/>
    <s v="Sanchez"/>
    <n v="40"/>
    <n v="40"/>
    <n v="1984"/>
    <n v="55000"/>
    <n v="55000"/>
    <s v="Male"/>
    <s v="it"/>
    <x v="3"/>
    <s v="Manager"/>
    <d v="2019-12-01T00:00:00"/>
    <d v="2019-12-01T00:00:00"/>
    <s v="A"/>
    <n v="100"/>
    <s v="frank.sanchez@saltcorp.com"/>
    <s v="098-765-4321"/>
    <s v="Part-Time"/>
    <x v="2"/>
    <m/>
    <x v="4"/>
    <s v="N/A"/>
    <m/>
    <m/>
    <n v="26"/>
    <s v="no"/>
    <s v="No"/>
    <x v="3"/>
    <x v="0"/>
    <x v="0"/>
  </r>
  <r>
    <s v="EMP-2019-0949"/>
    <s v="Frank"/>
    <s v="Lopez"/>
    <n v="25"/>
    <n v="25"/>
    <n v="1999"/>
    <n v="65000"/>
    <n v="65000"/>
    <s v="Male"/>
    <s v="Marketing"/>
    <x v="4"/>
    <s v="Manager"/>
    <d v="2019-12-01T00:00:00"/>
    <d v="2019-12-01T00:00:00"/>
    <s v="C"/>
    <n v="73"/>
    <s v="frank.lopez@saltcorp.com"/>
    <s v=" "/>
    <s v="contract"/>
    <x v="0"/>
    <m/>
    <x v="7"/>
    <m/>
    <n v="12"/>
    <m/>
    <m/>
    <s v="YES"/>
    <s v="Yes"/>
    <x v="4"/>
    <x v="0"/>
    <x v="0"/>
  </r>
  <r>
    <s v="EMP-2020-0950"/>
    <s v="Charlie"/>
    <s v="Navarro"/>
    <n v="35"/>
    <n v="35"/>
    <n v="1989"/>
    <n v="55000"/>
    <n v="55000"/>
    <s v="Male"/>
    <s v="HR"/>
    <x v="0"/>
    <s v="Analyst"/>
    <d v="2020-01-15T00:00:00"/>
    <d v="2020-01-15T00:00:00"/>
    <s v="B"/>
    <n v="89"/>
    <s v="charlie.navarro@saltcorp.com"/>
    <s v="555-555-5555"/>
    <s v="Full-Time"/>
    <x v="1"/>
    <m/>
    <x v="0"/>
    <s v="N/A"/>
    <m/>
    <d v="2023-01-15T00:00:00"/>
    <m/>
    <s v="no"/>
    <s v="No"/>
    <x v="0"/>
    <x v="0"/>
    <x v="0"/>
  </r>
  <r>
    <s v="EMP-2019-0951"/>
    <s v="Grace"/>
    <s v="Huang"/>
    <n v="50"/>
    <n v="50"/>
    <n v="1974"/>
    <n v="50000"/>
    <n v="50000"/>
    <s v="Female"/>
    <s v="Marketing"/>
    <x v="4"/>
    <s v="Director"/>
    <d v="2019-03-25T00:00:00"/>
    <d v="2019-03-25T00:00:00"/>
    <s v="A"/>
    <n v="93"/>
    <s v="grace.huang@saltcorp.com"/>
    <s v="123-456-7890"/>
    <s v="Full-Time"/>
    <x v="1"/>
    <m/>
    <x v="3"/>
    <m/>
    <n v="12"/>
    <m/>
    <m/>
    <s v="YES"/>
    <s v="Yes"/>
    <x v="3"/>
    <x v="1"/>
    <x v="1"/>
  </r>
  <r>
    <s v="EMP-2019-0952"/>
    <s v="Charlie"/>
    <s v="White"/>
    <n v="40"/>
    <n v="40"/>
    <n v="1984"/>
    <n v="55000"/>
    <n v="55000"/>
    <s v="Male"/>
    <s v="sales"/>
    <x v="2"/>
    <s v="Director"/>
    <d v="2019-12-01T00:00:00"/>
    <d v="2019-12-01T00:00:00"/>
    <s v="C"/>
    <n v="70"/>
    <s v="charlie.white@saltcorp.com"/>
    <s v="555-555-5555"/>
    <s v="contract"/>
    <x v="0"/>
    <m/>
    <x v="1"/>
    <m/>
    <n v="5"/>
    <d v="2022-06-20T00:00:00"/>
    <m/>
    <m/>
    <s v=""/>
    <x v="1"/>
    <x v="1"/>
    <x v="1"/>
  </r>
  <r>
    <s v="EMP-2019-0953"/>
    <s v="Hannah"/>
    <s v="Perry"/>
    <n v="40"/>
    <n v="40"/>
    <n v="1984"/>
    <n v="50000"/>
    <n v="50000"/>
    <s v="Male"/>
    <s v="sales"/>
    <x v="2"/>
    <s v="Director"/>
    <d v="2019-03-25T00:00:00"/>
    <d v="2019-03-25T00:00:00"/>
    <s v="B"/>
    <n v="88"/>
    <s v="hannah.perry@saltcorp.com"/>
    <s v="123-456-7890"/>
    <s v="Part-Time"/>
    <x v="2"/>
    <m/>
    <x v="5"/>
    <m/>
    <m/>
    <m/>
    <n v="17"/>
    <s v="no"/>
    <s v="No"/>
    <x v="2"/>
    <x v="1"/>
    <x v="1"/>
  </r>
  <r>
    <s v="EMP-2019-0954"/>
    <s v="Jack"/>
    <s v="Walsh"/>
    <n v="35"/>
    <n v="35"/>
    <n v="1989"/>
    <n v="60300"/>
    <n v="60300"/>
    <s v="Male"/>
    <s v="Marketing"/>
    <x v="4"/>
    <s v="Analyst"/>
    <d v="2019-12-01T00:00:00"/>
    <d v="2019-12-01T00:00:00"/>
    <s v="B"/>
    <n v="81"/>
    <s v="jack.walsh@saltcorp.com"/>
    <s v=" "/>
    <s v="Full-Time"/>
    <x v="1"/>
    <m/>
    <x v="1"/>
    <m/>
    <m/>
    <m/>
    <n v="9"/>
    <s v="YES"/>
    <s v="Yes"/>
    <x v="3"/>
    <x v="0"/>
    <x v="0"/>
  </r>
  <r>
    <s v="EMP-2018-0955"/>
    <s v="David"/>
    <s v="Kim"/>
    <n v="40"/>
    <n v="40"/>
    <n v="1984"/>
    <s v="SIXTY THOUSAND"/>
    <n v="60000"/>
    <s v="Male"/>
    <s v="sales"/>
    <x v="2"/>
    <s v="Director"/>
    <d v="2018-04-05T00:00:00"/>
    <d v="2018-04-05T00:00:00"/>
    <s v="C"/>
    <n v="70"/>
    <s v="david.kim@saltcorp.com"/>
    <m/>
    <s v="Part-Time"/>
    <x v="2"/>
    <m/>
    <x v="2"/>
    <n v="3"/>
    <m/>
    <d v="2023-03-05T00:00:00"/>
    <m/>
    <s v="no"/>
    <s v="No"/>
    <x v="1"/>
    <x v="1"/>
    <x v="1"/>
  </r>
  <r>
    <s v="EMP-2019-0956"/>
    <s v="Alice"/>
    <s v="Williams"/>
    <n v="25"/>
    <n v="25"/>
    <n v="1999"/>
    <n v="65000"/>
    <n v="65000"/>
    <s v="Female"/>
    <s v="it"/>
    <x v="3"/>
    <s v="Clerk"/>
    <d v="2019-12-01T00:00:00"/>
    <d v="2019-12-01T00:00:00"/>
    <s v="B"/>
    <n v="86"/>
    <s v="alice.williams@saltcorp.com"/>
    <s v="098-765-4321"/>
    <s v="contract"/>
    <x v="0"/>
    <m/>
    <x v="3"/>
    <m/>
    <m/>
    <s v="N/A"/>
    <m/>
    <s v="no"/>
    <s v="No"/>
    <x v="0"/>
    <x v="0"/>
    <x v="0"/>
  </r>
  <r>
    <s v="EMP-2020-0957"/>
    <s v="David"/>
    <s v="Ross"/>
    <n v="25"/>
    <n v="25"/>
    <n v="1999"/>
    <n v="50000"/>
    <n v="50000"/>
    <s v="Female"/>
    <s v="Marketing"/>
    <x v="4"/>
    <s v="Analyst"/>
    <d v="2020-02-20T00:00:00"/>
    <d v="2020-02-20T00:00:00"/>
    <s v="F"/>
    <n v="5"/>
    <s v="david.ross@saltcorp.com"/>
    <s v=" "/>
    <s v="Full-Time"/>
    <x v="1"/>
    <m/>
    <x v="2"/>
    <m/>
    <n v="12"/>
    <m/>
    <m/>
    <s v="YES"/>
    <s v="Yes"/>
    <x v="1"/>
    <x v="0"/>
    <x v="0"/>
  </r>
  <r>
    <s v="EMP-2020-0958"/>
    <s v="Grace"/>
    <s v="Zhang"/>
    <n v="35"/>
    <n v="35"/>
    <n v="1989"/>
    <n v="55000"/>
    <n v="55000"/>
    <s v="Male"/>
    <s v="it"/>
    <x v="3"/>
    <s v="Clerk"/>
    <d v="2020-01-15T00:00:00"/>
    <d v="2020-01-15T00:00:00"/>
    <s v="C"/>
    <n v="75"/>
    <s v="grace.zhang@saltcorp.com"/>
    <s v="123-456-7890"/>
    <s v="contract"/>
    <x v="0"/>
    <m/>
    <x v="2"/>
    <m/>
    <m/>
    <m/>
    <m/>
    <s v="no"/>
    <s v="No"/>
    <x v="0"/>
    <x v="0"/>
    <x v="0"/>
  </r>
  <r>
    <s v="EMP-2018-0959"/>
    <s v="David"/>
    <s v="Sullivan"/>
    <n v="50"/>
    <n v="50"/>
    <n v="1974"/>
    <n v="65000"/>
    <n v="65000"/>
    <s v="Male"/>
    <s v="it"/>
    <x v="3"/>
    <s v="Analyst"/>
    <d v="2018-04-05T00:00:00"/>
    <d v="2018-04-05T00:00:00"/>
    <s v="B"/>
    <n v="80"/>
    <s v="david.sullivan@saltcorp.com"/>
    <s v="123-456-7890"/>
    <s v="Part-Time"/>
    <x v="2"/>
    <m/>
    <x v="3"/>
    <m/>
    <n v="20"/>
    <m/>
    <m/>
    <s v="YES"/>
    <s v="Yes"/>
    <x v="1"/>
    <x v="1"/>
    <x v="1"/>
  </r>
  <r>
    <s v="EMP-2018-0960"/>
    <s v="Frank"/>
    <s v="Hudson"/>
    <m/>
    <n v="58"/>
    <n v="1966"/>
    <s v="SIXTY THOUSAND"/>
    <n v="60000"/>
    <s v="Male"/>
    <s v="finance"/>
    <x v="1"/>
    <s v="Director"/>
    <d v="2018-04-05T00:00:00"/>
    <d v="2018-04-05T00:00:00"/>
    <s v="A"/>
    <n v="90"/>
    <s v="frank.hudson@saltcorp.com"/>
    <s v="123-456-7890"/>
    <s v="Full-Time"/>
    <x v="1"/>
    <s v="EMP-2020-0088"/>
    <x v="2"/>
    <m/>
    <m/>
    <d v="2023-03-05T00:00:00"/>
    <m/>
    <s v="YES"/>
    <s v="Yes"/>
    <x v="2"/>
    <x v="0"/>
    <x v="0"/>
  </r>
  <r>
    <s v="EMP-2020-0961"/>
    <s v="Ivy"/>
    <s v="Bennett"/>
    <s v="thirty"/>
    <n v="30"/>
    <n v="1994"/>
    <n v="58600"/>
    <n v="58600"/>
    <s v="Male"/>
    <s v="Marketing"/>
    <x v="4"/>
    <s v="Clerk"/>
    <d v="2020-02-20T00:00:00"/>
    <d v="2020-02-20T00:00:00"/>
    <s v="A"/>
    <n v="91"/>
    <s v="ivy.bennett@saltcorp.com"/>
    <s v="123-456-7890"/>
    <s v="contract"/>
    <x v="0"/>
    <m/>
    <x v="7"/>
    <n v="1"/>
    <m/>
    <m/>
    <m/>
    <s v="YES"/>
    <s v="Yes"/>
    <x v="2"/>
    <x v="0"/>
    <x v="0"/>
  </r>
  <r>
    <s v="EMP-2019-0962"/>
    <s v="Alice"/>
    <s v="Weber"/>
    <m/>
    <n v="28"/>
    <n v="1996"/>
    <n v="65000"/>
    <n v="65000"/>
    <s v="Female"/>
    <s v="sales"/>
    <x v="2"/>
    <s v="Clerk"/>
    <d v="2019-12-01T00:00:00"/>
    <d v="2019-12-01T00:00:00"/>
    <s v="F"/>
    <n v="21"/>
    <s v="alice.weber@saltcorp.com"/>
    <s v="098-765-4321"/>
    <s v="Full-Time"/>
    <x v="1"/>
    <m/>
    <x v="6"/>
    <n v="12"/>
    <n v="16"/>
    <m/>
    <m/>
    <s v="YES"/>
    <s v="Yes"/>
    <x v="4"/>
    <x v="0"/>
    <x v="0"/>
  </r>
  <r>
    <s v="EMP-2020-0963"/>
    <s v="Eve"/>
    <s v="Hanson"/>
    <n v="40"/>
    <n v="40"/>
    <n v="1984"/>
    <n v="50000"/>
    <n v="50000"/>
    <s v="Female"/>
    <s v="it"/>
    <x v="3"/>
    <s v="Clerk"/>
    <d v="2020-01-15T00:00:00"/>
    <d v="2020-01-15T00:00:00"/>
    <s v="C"/>
    <n v="73"/>
    <s v="eve.hanson@saltcorp.com"/>
    <s v="555-555-5555"/>
    <s v="contract"/>
    <x v="0"/>
    <m/>
    <x v="5"/>
    <m/>
    <m/>
    <m/>
    <m/>
    <s v="no"/>
    <s v="No"/>
    <x v="3"/>
    <x v="0"/>
    <x v="0"/>
  </r>
  <r>
    <s v="EMP-2018-0964"/>
    <s v="Grace"/>
    <s v="Wu"/>
    <s v="thirty"/>
    <n v="30"/>
    <n v="1994"/>
    <s v="SIXTY THOUSAND"/>
    <n v="60000"/>
    <s v="Female"/>
    <s v="finance"/>
    <x v="1"/>
    <s v="Analyst"/>
    <d v="2018-04-05T00:00:00"/>
    <d v="2018-04-05T00:00:00"/>
    <s v="B"/>
    <n v="89"/>
    <s v="grace.wu@saltcorp.com"/>
    <m/>
    <s v="Full-Time"/>
    <x v="1"/>
    <s v="EMP-2020-0012"/>
    <x v="2"/>
    <m/>
    <m/>
    <s v="N/A"/>
    <n v="12"/>
    <m/>
    <s v=""/>
    <x v="4"/>
    <x v="0"/>
    <x v="0"/>
  </r>
  <r>
    <s v="EMP-2020-0965"/>
    <s v="Alice"/>
    <s v="Thompson"/>
    <n v="35"/>
    <n v="35"/>
    <n v="1989"/>
    <n v="55000"/>
    <n v="55000"/>
    <s v="Male"/>
    <s v="Marketing"/>
    <x v="4"/>
    <s v="Assistant"/>
    <d v="2020-01-15T00:00:00"/>
    <d v="2020-01-15T00:00:00"/>
    <s v="B"/>
    <n v="85"/>
    <s v="alice.thompson@saltcorp.com"/>
    <s v="098-765-4321"/>
    <s v="contract"/>
    <x v="0"/>
    <m/>
    <x v="0"/>
    <m/>
    <m/>
    <m/>
    <m/>
    <m/>
    <s v=""/>
    <x v="4"/>
    <x v="0"/>
    <x v="0"/>
  </r>
  <r>
    <s v="EMP-2018-0966"/>
    <s v="David"/>
    <s v="Bennett"/>
    <n v="35"/>
    <n v="35"/>
    <n v="1989"/>
    <s v="SIXTY THOUSAND"/>
    <n v="60000"/>
    <s v="Female"/>
    <s v="Marketing"/>
    <x v="4"/>
    <s v="Director"/>
    <d v="2018-04-05T00:00:00"/>
    <d v="2018-04-05T00:00:00"/>
    <s v="A"/>
    <n v="100"/>
    <s v="david.bennett@saltcorp.com"/>
    <s v="123-456-7890"/>
    <s v="Part-Time"/>
    <x v="2"/>
    <m/>
    <x v="4"/>
    <n v="2"/>
    <m/>
    <m/>
    <m/>
    <s v="YES"/>
    <s v="Yes"/>
    <x v="4"/>
    <x v="0"/>
    <x v="0"/>
  </r>
  <r>
    <s v="EMP-2019-0967"/>
    <s v="Frank"/>
    <s v="Barnett"/>
    <n v="50"/>
    <n v="50"/>
    <n v="1974"/>
    <s v="SIXTY THOUSAND"/>
    <n v="60000"/>
    <s v="Male"/>
    <s v="HR"/>
    <x v="0"/>
    <s v="Clerk"/>
    <d v="2019-12-01T00:00:00"/>
    <d v="2019-12-01T00:00:00"/>
    <s v="F"/>
    <n v="23"/>
    <s v="frank.barnett@saltcorp.com"/>
    <s v="098-765-4321"/>
    <s v="Full-Time"/>
    <x v="1"/>
    <m/>
    <x v="3"/>
    <m/>
    <n v="12"/>
    <d v="2024-08-12T00:00:00"/>
    <m/>
    <s v="no"/>
    <s v="No"/>
    <x v="4"/>
    <x v="1"/>
    <x v="1"/>
  </r>
  <r>
    <s v="EMP-2018-0968"/>
    <s v="Bob"/>
    <s v="Johnson"/>
    <s v="thirty"/>
    <n v="30"/>
    <n v="1994"/>
    <n v="70000"/>
    <n v="70000"/>
    <s v="Male"/>
    <s v="HR"/>
    <x v="0"/>
    <s v="Assistant"/>
    <d v="2018-04-05T00:00:00"/>
    <d v="2018-04-05T00:00:00"/>
    <s v="A"/>
    <n v="91"/>
    <s v="bob.johnson@saltcorp.com"/>
    <s v=" "/>
    <s v="Full-Time"/>
    <x v="1"/>
    <m/>
    <x v="2"/>
    <n v="4"/>
    <n v="8"/>
    <d v="2023-01-15T00:00:00"/>
    <m/>
    <s v="no"/>
    <s v="No"/>
    <x v="4"/>
    <x v="0"/>
    <x v="0"/>
  </r>
  <r>
    <s v="EMP-2018-0969"/>
    <s v="Jack"/>
    <s v="Knight"/>
    <n v="25"/>
    <n v="25"/>
    <n v="1999"/>
    <s v="SIXTY THOUSAND"/>
    <n v="60000"/>
    <s v="Male"/>
    <s v="it"/>
    <x v="3"/>
    <s v="Director"/>
    <d v="2018-04-05T00:00:00"/>
    <d v="2018-04-05T00:00:00"/>
    <s v="A"/>
    <n v="96"/>
    <s v="jack.knight@saltcorp.com"/>
    <s v="123-456-7890"/>
    <s v="Full-Time"/>
    <x v="1"/>
    <m/>
    <x v="2"/>
    <m/>
    <m/>
    <s v="N/A"/>
    <m/>
    <m/>
    <s v=""/>
    <x v="1"/>
    <x v="1"/>
    <x v="1"/>
  </r>
  <r>
    <s v="EMP-2019-0970"/>
    <s v="Eve"/>
    <s v="Gibson"/>
    <s v="thirty"/>
    <n v="30"/>
    <n v="1994"/>
    <s v="SIXTY THOUSAND"/>
    <n v="60000"/>
    <s v="Female"/>
    <s v="HR"/>
    <x v="0"/>
    <s v="Director"/>
    <d v="2019-03-25T00:00:00"/>
    <d v="2019-03-25T00:00:00"/>
    <s v="F"/>
    <n v="29"/>
    <s v="eve.gibson@saltcorp.com"/>
    <m/>
    <s v="Part-Time"/>
    <x v="2"/>
    <s v="EMP-2018-0026"/>
    <x v="1"/>
    <m/>
    <n v="9"/>
    <s v="N/A"/>
    <m/>
    <m/>
    <s v=""/>
    <x v="0"/>
    <x v="0"/>
    <x v="0"/>
  </r>
  <r>
    <s v="EMP-2019-0971"/>
    <s v="Jack"/>
    <s v="Wells"/>
    <n v="40"/>
    <n v="40"/>
    <n v="1984"/>
    <n v="65000"/>
    <n v="65000"/>
    <s v="Male"/>
    <s v="it"/>
    <x v="3"/>
    <s v="Clerk"/>
    <d v="2019-12-01T00:00:00"/>
    <d v="2019-12-01T00:00:00"/>
    <s v="C"/>
    <n v="71"/>
    <s v="jack.wells@saltcorp.com"/>
    <s v="123-456-7890"/>
    <s v="Full-Time"/>
    <x v="1"/>
    <m/>
    <x v="1"/>
    <n v="11"/>
    <m/>
    <m/>
    <m/>
    <s v="no"/>
    <s v="No"/>
    <x v="0"/>
    <x v="0"/>
    <x v="0"/>
  </r>
  <r>
    <s v="EMP-2020-0972"/>
    <s v="Alice"/>
    <s v="Hoffman"/>
    <n v="25"/>
    <n v="25"/>
    <n v="1999"/>
    <n v="55000"/>
    <n v="55000"/>
    <s v="Female"/>
    <s v="sales"/>
    <x v="2"/>
    <s v="Clerk"/>
    <d v="2020-02-20T00:00:00"/>
    <d v="2020-02-20T00:00:00"/>
    <s v="B"/>
    <n v="89"/>
    <s v="alice.hoffman@saltcorp.com"/>
    <m/>
    <s v="Full-Time"/>
    <x v="1"/>
    <m/>
    <x v="5"/>
    <m/>
    <m/>
    <m/>
    <n v="29"/>
    <m/>
    <s v=""/>
    <x v="4"/>
    <x v="1"/>
    <x v="1"/>
  </r>
  <r>
    <s v="EMP-2020-0973"/>
    <s v="Frank"/>
    <s v="Perez"/>
    <n v="35"/>
    <n v="35"/>
    <n v="1989"/>
    <n v="65000"/>
    <n v="65000"/>
    <s v="Female"/>
    <s v="it"/>
    <x v="3"/>
    <s v="Analyst"/>
    <d v="2020-02-20T00:00:00"/>
    <d v="2020-02-20T00:00:00"/>
    <s v="C"/>
    <n v="78"/>
    <s v="frank.perez@saltcorp.com"/>
    <m/>
    <s v="contract"/>
    <x v="0"/>
    <m/>
    <x v="6"/>
    <s v="N/A"/>
    <n v="5"/>
    <m/>
    <m/>
    <s v="YES"/>
    <s v="Yes"/>
    <x v="0"/>
    <x v="1"/>
    <x v="1"/>
  </r>
  <r>
    <s v="EMP-2019-0974"/>
    <s v="Frank"/>
    <s v="Gonzalez"/>
    <s v="thirty"/>
    <n v="30"/>
    <n v="1994"/>
    <n v="65000"/>
    <n v="65000"/>
    <s v="Male"/>
    <s v="HR"/>
    <x v="0"/>
    <s v="Assistant"/>
    <d v="2019-12-01T00:00:00"/>
    <d v="2019-12-01T00:00:00"/>
    <s v="D"/>
    <n v="68"/>
    <s v="frank.gonzalez@saltcorp.com"/>
    <s v="555-555-5555"/>
    <s v="Part-Time"/>
    <x v="2"/>
    <m/>
    <x v="3"/>
    <m/>
    <m/>
    <d v="2022-06-20T00:00:00"/>
    <m/>
    <s v="no"/>
    <s v="No"/>
    <x v="3"/>
    <x v="0"/>
    <x v="0"/>
  </r>
  <r>
    <s v="EMP-2020-0975"/>
    <s v="David"/>
    <s v="Oliver"/>
    <m/>
    <n v="31"/>
    <n v="1993"/>
    <n v="50000"/>
    <n v="50000"/>
    <s v="Female"/>
    <s v="sales"/>
    <x v="2"/>
    <s v="Assistant"/>
    <d v="2020-02-20T00:00:00"/>
    <d v="2020-02-20T00:00:00"/>
    <s v="D"/>
    <n v="68"/>
    <s v="david.oliver@saltcorp.com"/>
    <s v="555-555-5555"/>
    <s v="Full-Time"/>
    <x v="1"/>
    <m/>
    <x v="1"/>
    <n v="13"/>
    <m/>
    <m/>
    <n v="46"/>
    <m/>
    <s v=""/>
    <x v="2"/>
    <x v="0"/>
    <x v="0"/>
  </r>
  <r>
    <s v="EMP-2019-0976"/>
    <s v="Hannah"/>
    <s v="Figueroa"/>
    <n v="50"/>
    <n v="50"/>
    <n v="1974"/>
    <n v="65000"/>
    <n v="65000"/>
    <s v="Female"/>
    <s v="HR"/>
    <x v="0"/>
    <s v="Clerk"/>
    <d v="2019-12-01T00:00:00"/>
    <d v="2019-12-01T00:00:00"/>
    <s v="D"/>
    <n v="62"/>
    <s v="hannah.figueroa@saltcorp.com"/>
    <s v="098-765-4321"/>
    <s v="contract"/>
    <x v="0"/>
    <m/>
    <x v="4"/>
    <m/>
    <n v="13"/>
    <m/>
    <m/>
    <s v="YES"/>
    <s v="Yes"/>
    <x v="0"/>
    <x v="0"/>
    <x v="0"/>
  </r>
  <r>
    <s v="EMP-2020-0977"/>
    <s v="David"/>
    <s v="Sullivan"/>
    <m/>
    <n v="55"/>
    <n v="1969"/>
    <n v="70000"/>
    <n v="70000"/>
    <s v="Male"/>
    <s v="it"/>
    <x v="3"/>
    <s v="Director"/>
    <d v="2020-02-20T00:00:00"/>
    <d v="2020-02-20T00:00:00"/>
    <s v="F"/>
    <n v="32"/>
    <s v="david.sullivan@saltcorp.com"/>
    <s v="098-765-4321"/>
    <s v="contract"/>
    <x v="0"/>
    <s v="EMP-2018-0037"/>
    <x v="4"/>
    <m/>
    <m/>
    <m/>
    <m/>
    <s v="YES"/>
    <s v="Yes"/>
    <x v="4"/>
    <x v="0"/>
    <x v="0"/>
  </r>
  <r>
    <s v="EMP-2019-0978"/>
    <s v="Hannah"/>
    <s v="Perry"/>
    <n v="50"/>
    <n v="50"/>
    <n v="1974"/>
    <n v="70000"/>
    <n v="70000"/>
    <s v="Female"/>
    <s v="finance"/>
    <x v="1"/>
    <s v="Clerk"/>
    <d v="2019-03-25T00:00:00"/>
    <d v="2019-03-25T00:00:00"/>
    <s v="A"/>
    <n v="96"/>
    <s v="hannah.perry@saltcorp.com"/>
    <m/>
    <s v="Full-Time"/>
    <x v="1"/>
    <s v="EMP-2018-0074"/>
    <x v="2"/>
    <s v="N/A"/>
    <m/>
    <m/>
    <m/>
    <s v="YES"/>
    <s v="Yes"/>
    <x v="4"/>
    <x v="0"/>
    <x v="0"/>
  </r>
  <r>
    <s v="EMP-2020-0979"/>
    <s v="Hannah"/>
    <s v="Rogers"/>
    <n v="40"/>
    <n v="40"/>
    <n v="1984"/>
    <n v="50000"/>
    <n v="50000"/>
    <s v="Male"/>
    <s v="Marketing"/>
    <x v="4"/>
    <s v="Director"/>
    <d v="2020-02-20T00:00:00"/>
    <d v="2020-02-20T00:00:00"/>
    <s v="C"/>
    <n v="74"/>
    <s v="hannah.rogers@saltcorp.com"/>
    <s v="123-456-7890"/>
    <s v="Part-Time"/>
    <x v="2"/>
    <m/>
    <x v="6"/>
    <s v="N/A"/>
    <m/>
    <d v="2022-06-20T00:00:00"/>
    <m/>
    <s v="no"/>
    <s v="No"/>
    <x v="3"/>
    <x v="1"/>
    <x v="1"/>
  </r>
  <r>
    <s v="EMP-2018-0980"/>
    <s v="Eve"/>
    <s v="Reed"/>
    <m/>
    <n v="41"/>
    <n v="1983"/>
    <n v="60900"/>
    <n v="60900"/>
    <s v="Female"/>
    <s v="HR"/>
    <x v="0"/>
    <s v="Director"/>
    <d v="2018-04-05T00:00:00"/>
    <d v="2018-04-05T00:00:00"/>
    <s v="B"/>
    <n v="82"/>
    <s v="eve.reed@saltcorp.com"/>
    <s v=" "/>
    <s v="contract"/>
    <x v="0"/>
    <m/>
    <x v="6"/>
    <s v="N/A"/>
    <n v="7"/>
    <d v="2023-01-15T00:00:00"/>
    <n v="37"/>
    <s v="no"/>
    <s v="No"/>
    <x v="0"/>
    <x v="1"/>
    <x v="1"/>
  </r>
  <r>
    <s v="EMP-2019-0981"/>
    <s v="David"/>
    <s v="Bell"/>
    <s v="thirty"/>
    <n v="30"/>
    <n v="1994"/>
    <n v="55000"/>
    <n v="55000"/>
    <s v="Male"/>
    <s v="it"/>
    <x v="3"/>
    <s v="Clerk"/>
    <d v="2019-12-01T00:00:00"/>
    <d v="2019-12-01T00:00:00"/>
    <s v="D"/>
    <n v="65"/>
    <s v="david.bell@saltcorp.com"/>
    <s v=" "/>
    <s v="contract"/>
    <x v="0"/>
    <m/>
    <x v="5"/>
    <n v="3"/>
    <m/>
    <m/>
    <n v="47"/>
    <s v="YES"/>
    <s v="Yes"/>
    <x v="0"/>
    <x v="0"/>
    <x v="0"/>
  </r>
  <r>
    <s v="EMP-2020-0982"/>
    <s v="Bob"/>
    <s v="Williamson"/>
    <s v="thirty"/>
    <n v="30"/>
    <n v="1994"/>
    <n v="55000"/>
    <n v="55000"/>
    <s v="Female"/>
    <s v="sales"/>
    <x v="2"/>
    <s v="Manager"/>
    <d v="2020-01-15T00:00:00"/>
    <d v="2020-01-15T00:00:00"/>
    <s v="C"/>
    <n v="73"/>
    <s v="bob.williamson@saltcorp.com"/>
    <s v="123-456-7890"/>
    <s v="Full-Time"/>
    <x v="1"/>
    <s v="EMP-2018-0083"/>
    <x v="5"/>
    <s v="N/A"/>
    <m/>
    <s v="N/A"/>
    <m/>
    <m/>
    <s v=""/>
    <x v="2"/>
    <x v="0"/>
    <x v="0"/>
  </r>
  <r>
    <s v="EMP-2020-0983"/>
    <s v="Charlie"/>
    <s v="Hudson"/>
    <m/>
    <n v="33"/>
    <n v="1991"/>
    <n v="65000"/>
    <n v="65000"/>
    <s v="Female"/>
    <s v="HR"/>
    <x v="0"/>
    <s v="Assistant"/>
    <d v="2020-01-15T00:00:00"/>
    <d v="2020-01-15T00:00:00"/>
    <s v="D"/>
    <n v="62"/>
    <s v="charlie.hudson@saltcorp.com"/>
    <s v="123-456-7890"/>
    <s v="Full-Time"/>
    <x v="1"/>
    <m/>
    <x v="4"/>
    <m/>
    <n v="5"/>
    <m/>
    <m/>
    <s v="YES"/>
    <s v="Yes"/>
    <x v="4"/>
    <x v="0"/>
    <x v="0"/>
  </r>
  <r>
    <s v="EMP-2019-0984"/>
    <s v="Charlie"/>
    <s v="White"/>
    <s v="thirty"/>
    <n v="30"/>
    <n v="1994"/>
    <n v="65000"/>
    <n v="65000"/>
    <s v="Female"/>
    <s v="HR"/>
    <x v="0"/>
    <s v="Director"/>
    <d v="2019-12-01T00:00:00"/>
    <d v="2019-12-01T00:00:00"/>
    <s v="D"/>
    <n v="65"/>
    <s v="charlie.white@saltcorp.com"/>
    <s v="555-555-5555"/>
    <s v="Full-Time"/>
    <x v="1"/>
    <m/>
    <x v="2"/>
    <m/>
    <n v="14"/>
    <m/>
    <m/>
    <m/>
    <s v=""/>
    <x v="4"/>
    <x v="1"/>
    <x v="1"/>
  </r>
  <r>
    <s v="EMP-2019-0985"/>
    <s v="David"/>
    <s v="Davidson"/>
    <n v="40"/>
    <n v="40"/>
    <n v="1984"/>
    <n v="60500"/>
    <n v="60500"/>
    <s v="Female"/>
    <s v="Marketing"/>
    <x v="4"/>
    <s v="Director"/>
    <d v="2019-03-25T00:00:00"/>
    <d v="2019-03-25T00:00:00"/>
    <s v="B"/>
    <n v="89"/>
    <s v="david.davidson@saltcorp.com"/>
    <s v=" "/>
    <s v="Full-Time"/>
    <x v="1"/>
    <m/>
    <x v="0"/>
    <n v="9"/>
    <n v="8"/>
    <m/>
    <m/>
    <m/>
    <s v=""/>
    <x v="3"/>
    <x v="0"/>
    <x v="0"/>
  </r>
  <r>
    <s v="EMP-2020-0986"/>
    <s v="David"/>
    <s v="Aguilar"/>
    <n v="25"/>
    <n v="25"/>
    <n v="1999"/>
    <n v="65000"/>
    <n v="65000"/>
    <s v="Female"/>
    <s v="it"/>
    <x v="3"/>
    <s v="Manager"/>
    <d v="2020-02-20T00:00:00"/>
    <d v="2020-02-20T00:00:00"/>
    <s v="F"/>
    <n v="33"/>
    <s v="david.aguilar@saltcorp.com"/>
    <m/>
    <s v="Full-Time"/>
    <x v="1"/>
    <m/>
    <x v="2"/>
    <n v="1"/>
    <m/>
    <m/>
    <m/>
    <s v="no"/>
    <s v="No"/>
    <x v="4"/>
    <x v="0"/>
    <x v="0"/>
  </r>
  <r>
    <s v="EMP-2019-0987"/>
    <s v="Jack"/>
    <s v="Pearson"/>
    <n v="40"/>
    <n v="40"/>
    <n v="1984"/>
    <n v="55000"/>
    <n v="55000"/>
    <s v="Female"/>
    <s v="finance"/>
    <x v="1"/>
    <s v="Analyst"/>
    <d v="2019-03-25T00:00:00"/>
    <d v="2019-03-25T00:00:00"/>
    <s v="A"/>
    <n v="91"/>
    <s v="jack.pearson@saltcorp.com"/>
    <s v="098-765-4321"/>
    <s v="Full-Time"/>
    <x v="1"/>
    <m/>
    <x v="2"/>
    <n v="13"/>
    <n v="16"/>
    <d v="2023-01-15T00:00:00"/>
    <n v="18"/>
    <s v="YES"/>
    <s v="Yes"/>
    <x v="0"/>
    <x v="0"/>
    <x v="0"/>
  </r>
  <r>
    <s v="EMP-2020-0988"/>
    <s v="Eve"/>
    <s v="Bell"/>
    <n v="50"/>
    <n v="50"/>
    <n v="1974"/>
    <s v="SIXTY THOUSAND"/>
    <n v="60000"/>
    <s v="Female"/>
    <s v="sales"/>
    <x v="2"/>
    <s v="Manager"/>
    <d v="2020-01-15T00:00:00"/>
    <d v="2020-01-15T00:00:00"/>
    <s v="F"/>
    <n v="48"/>
    <s v="eve.bell@saltcorp.com"/>
    <s v="555-555-5555"/>
    <s v="Full-Time"/>
    <x v="1"/>
    <m/>
    <x v="3"/>
    <m/>
    <n v="16"/>
    <d v="2023-01-15T00:00:00"/>
    <m/>
    <s v="YES"/>
    <s v="Yes"/>
    <x v="3"/>
    <x v="0"/>
    <x v="0"/>
  </r>
  <r>
    <s v="EMP-2019-0989"/>
    <s v="David"/>
    <s v="Ross"/>
    <n v="40"/>
    <n v="40"/>
    <n v="1984"/>
    <n v="70000"/>
    <n v="70000"/>
    <s v="Female"/>
    <s v="it"/>
    <x v="3"/>
    <s v="Manager"/>
    <d v="2019-12-01T00:00:00"/>
    <d v="2019-12-01T00:00:00"/>
    <s v="C"/>
    <n v="74"/>
    <s v="david.ross@saltcorp.com"/>
    <s v=" "/>
    <s v="contract"/>
    <x v="0"/>
    <m/>
    <x v="3"/>
    <n v="2"/>
    <m/>
    <m/>
    <m/>
    <s v="no"/>
    <s v="No"/>
    <x v="1"/>
    <x v="0"/>
    <x v="0"/>
  </r>
  <r>
    <s v="EMP-2019-0990"/>
    <s v="Jack"/>
    <s v="McCoy"/>
    <n v="50"/>
    <n v="50"/>
    <n v="1974"/>
    <s v="SIXTY THOUSAND"/>
    <n v="60000"/>
    <s v="Female"/>
    <s v="sales"/>
    <x v="2"/>
    <s v="Director"/>
    <d v="2019-12-01T00:00:00"/>
    <d v="2019-12-01T00:00:00"/>
    <s v="F"/>
    <n v="2"/>
    <s v="jack.mccoy@saltcorp.com"/>
    <s v="123-456-7890"/>
    <s v="contract"/>
    <x v="0"/>
    <s v="EMP-2018-0062"/>
    <x v="6"/>
    <m/>
    <n v="7"/>
    <m/>
    <m/>
    <m/>
    <s v=""/>
    <x v="2"/>
    <x v="1"/>
    <x v="1"/>
  </r>
  <r>
    <s v="EMP-2019-0991"/>
    <s v="Hannah"/>
    <s v="Powell"/>
    <s v="thirty"/>
    <n v="30"/>
    <n v="1994"/>
    <s v="SIXTY THOUSAND"/>
    <n v="60000"/>
    <s v="Male"/>
    <s v="HR"/>
    <x v="0"/>
    <s v="Assistant"/>
    <d v="2019-03-25T00:00:00"/>
    <d v="2019-03-25T00:00:00"/>
    <s v="C"/>
    <n v="71"/>
    <s v="hannah.powell@saltcorp.com"/>
    <s v=" "/>
    <s v="Full-Time"/>
    <x v="1"/>
    <m/>
    <x v="3"/>
    <n v="5"/>
    <n v="6"/>
    <m/>
    <m/>
    <m/>
    <s v=""/>
    <x v="3"/>
    <x v="0"/>
    <x v="0"/>
  </r>
  <r>
    <s v="EMP-2019-0992"/>
    <s v="Frank"/>
    <s v="Lopez"/>
    <n v="25"/>
    <n v="25"/>
    <n v="1999"/>
    <n v="55000"/>
    <n v="55000"/>
    <s v="Male"/>
    <s v="Marketing"/>
    <x v="4"/>
    <s v="Manager"/>
    <d v="2019-03-25T00:00:00"/>
    <d v="2019-03-25T00:00:00"/>
    <s v="C"/>
    <n v="73"/>
    <s v="frank.lopez@saltcorp.com"/>
    <m/>
    <s v="Full-Time"/>
    <x v="1"/>
    <m/>
    <x v="1"/>
    <m/>
    <n v="20"/>
    <m/>
    <m/>
    <m/>
    <s v=""/>
    <x v="3"/>
    <x v="1"/>
    <x v="1"/>
  </r>
  <r>
    <s v="EMP-2020-0993"/>
    <s v="Frank"/>
    <s v="Ramirez"/>
    <s v="thirty"/>
    <n v="30"/>
    <n v="1994"/>
    <s v="SIXTY THOUSAND"/>
    <n v="60000"/>
    <s v="Female"/>
    <s v="Marketing"/>
    <x v="4"/>
    <s v="Analyst"/>
    <d v="2020-02-20T00:00:00"/>
    <d v="2020-02-20T00:00:00"/>
    <s v="A"/>
    <n v="93"/>
    <s v="frank.ramirez@saltcorp.com"/>
    <s v="555-555-5555"/>
    <s v="contract"/>
    <x v="0"/>
    <m/>
    <x v="2"/>
    <m/>
    <m/>
    <m/>
    <m/>
    <s v="YES"/>
    <s v="Yes"/>
    <x v="3"/>
    <x v="0"/>
    <x v="0"/>
  </r>
  <r>
    <s v="EMP-2018-0994"/>
    <s v="Hannah"/>
    <s v="Harrison"/>
    <n v="35"/>
    <n v="35"/>
    <n v="1989"/>
    <n v="61300"/>
    <n v="61300"/>
    <s v="Female"/>
    <s v="finance"/>
    <x v="1"/>
    <s v="Clerk"/>
    <d v="2018-04-05T00:00:00"/>
    <d v="2018-04-05T00:00:00"/>
    <s v="B"/>
    <n v="86"/>
    <s v="hannah.harrison@saltcorp.com"/>
    <s v="123-456-7890"/>
    <s v="Part-Time"/>
    <x v="2"/>
    <s v="EMP-2020-0098"/>
    <x v="1"/>
    <s v="N/A"/>
    <m/>
    <s v="N/A"/>
    <n v="57"/>
    <s v="no"/>
    <s v="No"/>
    <x v="3"/>
    <x v="0"/>
    <x v="0"/>
  </r>
  <r>
    <s v="EMP-2018-0995"/>
    <s v="Grace"/>
    <s v="Zhang"/>
    <s v="thirty"/>
    <n v="30"/>
    <n v="1994"/>
    <n v="50000"/>
    <n v="50000"/>
    <s v="Female"/>
    <s v="Marketing"/>
    <x v="4"/>
    <s v="Manager"/>
    <d v="2018-04-05T00:00:00"/>
    <d v="2018-04-05T00:00:00"/>
    <s v="A"/>
    <n v="90"/>
    <s v="grace.zhang@saltcorp.com"/>
    <m/>
    <s v="Full-Time"/>
    <x v="1"/>
    <m/>
    <x v="6"/>
    <m/>
    <n v="10"/>
    <d v="2022-06-20T00:00:00"/>
    <m/>
    <s v="YES"/>
    <s v="Yes"/>
    <x v="2"/>
    <x v="0"/>
    <x v="0"/>
  </r>
  <r>
    <s v="EMP-2020-0996"/>
    <s v="Jack"/>
    <s v="West"/>
    <n v="50"/>
    <n v="50"/>
    <n v="1974"/>
    <n v="65000"/>
    <n v="65000"/>
    <s v="Female"/>
    <s v="HR"/>
    <x v="0"/>
    <s v="Manager"/>
    <d v="2020-02-20T00:00:00"/>
    <d v="2020-02-20T00:00:00"/>
    <s v="F"/>
    <n v="34"/>
    <s v="jack.west@saltcorp.com"/>
    <s v="098-765-4321"/>
    <s v="Part-Time"/>
    <x v="2"/>
    <m/>
    <x v="4"/>
    <m/>
    <m/>
    <d v="2024-08-12T00:00:00"/>
    <m/>
    <s v="no"/>
    <s v="No"/>
    <x v="1"/>
    <x v="0"/>
    <x v="0"/>
  </r>
  <r>
    <s v="EMP-2018-0997"/>
    <s v="Jack"/>
    <s v="Hansen"/>
    <s v="thirty"/>
    <n v="30"/>
    <n v="1994"/>
    <n v="50000"/>
    <n v="50000"/>
    <s v="Male"/>
    <s v="finance"/>
    <x v="1"/>
    <s v="Analyst"/>
    <d v="2018-04-05T00:00:00"/>
    <d v="2018-04-05T00:00:00"/>
    <s v="C"/>
    <n v="73"/>
    <s v="jack.hansen@saltcorp.com"/>
    <s v="555-555-5555"/>
    <s v="contract"/>
    <x v="0"/>
    <s v="EMP-2018-0093"/>
    <x v="4"/>
    <m/>
    <n v="16"/>
    <m/>
    <m/>
    <s v="no"/>
    <s v="No"/>
    <x v="4"/>
    <x v="1"/>
    <x v="1"/>
  </r>
  <r>
    <s v="EMP-2020-0998"/>
    <s v="Hannah"/>
    <s v="Foster"/>
    <s v="thirty"/>
    <n v="30"/>
    <n v="1994"/>
    <n v="70000"/>
    <n v="70000"/>
    <s v="Male"/>
    <s v="it"/>
    <x v="3"/>
    <s v="Assistant"/>
    <d v="2020-01-15T00:00:00"/>
    <d v="2020-01-15T00:00:00"/>
    <s v="D"/>
    <n v="62"/>
    <s v="hannah.foster@saltcorp.com"/>
    <m/>
    <s v="Part-Time"/>
    <x v="2"/>
    <m/>
    <x v="7"/>
    <n v="5"/>
    <m/>
    <d v="2022-06-20T00:00:00"/>
    <n v="38"/>
    <s v="YES"/>
    <s v="Yes"/>
    <x v="0"/>
    <x v="0"/>
    <x v="0"/>
  </r>
  <r>
    <s v="EMP-2018-0999"/>
    <s v="Bob"/>
    <s v="Smith"/>
    <n v="25"/>
    <n v="25"/>
    <n v="1999"/>
    <n v="65000"/>
    <n v="65000"/>
    <s v="Male"/>
    <s v="Marketing"/>
    <x v="4"/>
    <s v="Manager"/>
    <d v="2018-04-05T00:00:00"/>
    <d v="2018-04-05T00:00:00"/>
    <s v="D"/>
    <n v="60"/>
    <s v="bob.smith@saltcorp.com"/>
    <m/>
    <s v="contract"/>
    <x v="0"/>
    <m/>
    <x v="4"/>
    <m/>
    <m/>
    <m/>
    <m/>
    <s v="no"/>
    <s v="No"/>
    <x v="1"/>
    <x v="1"/>
    <x v="1"/>
  </r>
  <r>
    <s v="EMP-2020-1000"/>
    <s v="Ivy"/>
    <s v="Garrett"/>
    <s v="thirty"/>
    <n v="30"/>
    <n v="1994"/>
    <s v="SIXTY THOUSAND"/>
    <n v="60000"/>
    <s v="Male"/>
    <s v="finance"/>
    <x v="1"/>
    <s v="Manager"/>
    <d v="2020-02-20T00:00:00"/>
    <d v="2020-02-20T00:00:00"/>
    <s v="C"/>
    <n v="74"/>
    <s v="ivy.garrett@saltcorp.com"/>
    <s v="123-456-7890"/>
    <s v="contract"/>
    <x v="0"/>
    <m/>
    <x v="0"/>
    <s v="N/A"/>
    <m/>
    <m/>
    <m/>
    <s v="YES"/>
    <s v="Yes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Grace"/>
    <s v="Hansen"/>
    <n v="25"/>
    <x v="0"/>
    <n v="1999"/>
    <n v="50000"/>
    <x v="0"/>
    <s v="Male"/>
    <s v="HR"/>
    <s v="HR"/>
    <s v="Manager"/>
    <d v="2018-04-05T00:00:00"/>
    <d v="2018-04-05T00:00:00"/>
    <s v="D"/>
    <x v="0"/>
    <s v="grace.hansen@saltcorp.com"/>
    <m/>
    <s v="contract"/>
    <s v="Contract"/>
    <m/>
    <n v="4"/>
    <m/>
    <n v="0"/>
    <m/>
    <m/>
    <s v="YES"/>
    <s v="Yes"/>
    <n v="4"/>
    <x v="0"/>
    <x v="0"/>
  </r>
  <r>
    <x v="1"/>
    <s v="David"/>
    <s v="Cohen"/>
    <m/>
    <x v="1"/>
    <n v="1983"/>
    <n v="65000"/>
    <x v="1"/>
    <s v="Female"/>
    <s v="finance"/>
    <s v="Finance"/>
    <s v="Director"/>
    <d v="2020-02-20T00:00:00"/>
    <d v="2020-02-20T00:00:00"/>
    <s v="F"/>
    <x v="1"/>
    <s v="david.cohen@saltcorp.com"/>
    <s v="123-456-7890"/>
    <s v="Full-Time"/>
    <s v="Full-Time"/>
    <m/>
    <n v="8"/>
    <n v="3"/>
    <n v="15"/>
    <m/>
    <n v="14"/>
    <s v="N"/>
    <s v="No"/>
    <n v="1"/>
    <x v="1"/>
    <x v="1"/>
  </r>
  <r>
    <x v="2"/>
    <s v="Hannah"/>
    <s v="Matthews"/>
    <n v="35"/>
    <x v="2"/>
    <n v="1989"/>
    <s v="SIXTY THOUSAND"/>
    <x v="2"/>
    <s v="Female"/>
    <s v="sales"/>
    <s v="Sales"/>
    <s v="Director"/>
    <d v="2020-01-15T00:00:00"/>
    <d v="2020-01-15T00:00:00"/>
    <s v="C"/>
    <x v="2"/>
    <s v="hannah.matthews@saltcorp.com"/>
    <s v="098-765-4321"/>
    <s v="Full-Time"/>
    <s v="Full-Time"/>
    <m/>
    <n v="6"/>
    <n v="15"/>
    <m/>
    <d v="2024-08-12T00:00:00"/>
    <m/>
    <s v="YES"/>
    <s v="Yes"/>
    <n v="5"/>
    <x v="0"/>
    <x v="0"/>
  </r>
  <r>
    <x v="3"/>
    <s v="Eve"/>
    <s v="Parker"/>
    <m/>
    <x v="3"/>
    <n v="1976"/>
    <n v="50000"/>
    <x v="0"/>
    <s v="Female"/>
    <s v="it"/>
    <s v="IT"/>
    <s v="Manager"/>
    <d v="2018-04-05T00:00:00"/>
    <d v="2018-04-05T00:00:00"/>
    <s v="A"/>
    <x v="3"/>
    <s v="eve.parker@saltcorp.com"/>
    <s v=" "/>
    <s v="contract"/>
    <s v="Contract"/>
    <m/>
    <n v="5"/>
    <n v="12"/>
    <n v="11"/>
    <d v="2024-08-12T00:00:00"/>
    <m/>
    <s v="YES"/>
    <s v="Yes"/>
    <n v="2"/>
    <x v="1"/>
    <x v="1"/>
  </r>
  <r>
    <x v="4"/>
    <s v="Grace"/>
    <s v="Liu"/>
    <m/>
    <x v="4"/>
    <n v="1973"/>
    <n v="59500"/>
    <x v="3"/>
    <s v="Female"/>
    <s v="finance"/>
    <s v="Finance"/>
    <s v="Manager"/>
    <d v="2020-01-15T00:00:00"/>
    <d v="2020-01-15T00:00:00"/>
    <s v="F"/>
    <x v="4"/>
    <s v="grace.liu@saltcorp.com"/>
    <s v="098-765-4321"/>
    <s v="contract"/>
    <s v="Contract"/>
    <m/>
    <n v="3"/>
    <n v="4"/>
    <m/>
    <d v="2023-01-15T00:00:00"/>
    <n v="47"/>
    <m/>
    <s v=""/>
    <n v="1"/>
    <x v="0"/>
    <x v="0"/>
  </r>
  <r>
    <x v="5"/>
    <s v="Jack"/>
    <s v="Evans"/>
    <m/>
    <x v="5"/>
    <n v="1971"/>
    <n v="65000"/>
    <x v="1"/>
    <s v="Male"/>
    <s v="Marketing"/>
    <s v="Marketing"/>
    <s v="Director"/>
    <d v="2019-03-25T00:00:00"/>
    <d v="2019-03-25T00:00:00"/>
    <s v="F"/>
    <x v="5"/>
    <s v="jack.evans@saltcorp.com"/>
    <m/>
    <s v="Part-Time"/>
    <s v="Part-Time"/>
    <m/>
    <n v="3"/>
    <m/>
    <m/>
    <d v="2022-06-20T00:00:00"/>
    <m/>
    <s v="no"/>
    <s v="No"/>
    <n v="5"/>
    <x v="0"/>
    <x v="0"/>
  </r>
  <r>
    <x v="6"/>
    <s v="Charlie"/>
    <s v="Moore"/>
    <m/>
    <x v="6"/>
    <n v="1991"/>
    <n v="50000"/>
    <x v="0"/>
    <s v="Male"/>
    <s v="Marketing"/>
    <s v="Marketing"/>
    <s v="Clerk"/>
    <d v="2019-12-01T00:00:00"/>
    <d v="2019-12-01T00:00:00"/>
    <s v="B"/>
    <x v="6"/>
    <s v="charlie.moore@saltcorp.com"/>
    <s v="123-456-7890"/>
    <s v="Part-Time"/>
    <s v="Part-Time"/>
    <m/>
    <n v="5"/>
    <s v="N/A"/>
    <n v="0"/>
    <d v="2024-08-12T00:00:00"/>
    <m/>
    <s v="YES"/>
    <s v="Yes"/>
    <n v="4"/>
    <x v="1"/>
    <x v="1"/>
  </r>
  <r>
    <x v="7"/>
    <s v="Grace"/>
    <s v="Wang"/>
    <n v="40"/>
    <x v="7"/>
    <n v="1984"/>
    <n v="50000"/>
    <x v="0"/>
    <s v="Female"/>
    <s v="HR"/>
    <s v="HR"/>
    <s v="Director"/>
    <d v="2019-03-25T00:00:00"/>
    <d v="2019-03-25T00:00:00"/>
    <s v="C"/>
    <x v="7"/>
    <s v="grace.wang@saltcorp.com"/>
    <s v=" "/>
    <s v="Part-Time"/>
    <s v="Part-Time"/>
    <m/>
    <n v="2"/>
    <m/>
    <m/>
    <m/>
    <m/>
    <s v="no"/>
    <s v="No"/>
    <n v="3"/>
    <x v="0"/>
    <x v="0"/>
  </r>
  <r>
    <x v="8"/>
    <s v="Hannah"/>
    <s v="McCoy"/>
    <n v="40"/>
    <x v="7"/>
    <n v="1984"/>
    <s v="SIXTY THOUSAND"/>
    <x v="2"/>
    <s v="Female"/>
    <s v="Marketing"/>
    <s v="Marketing"/>
    <s v="Manager"/>
    <d v="2020-01-15T00:00:00"/>
    <d v="2020-01-15T00:00:00"/>
    <s v="C"/>
    <x v="8"/>
    <s v="hannah.mccoy@saltcorp.com"/>
    <s v="123-456-7890"/>
    <s v="contract"/>
    <s v="Contract"/>
    <m/>
    <n v="8"/>
    <m/>
    <m/>
    <m/>
    <m/>
    <m/>
    <s v=""/>
    <n v="2"/>
    <x v="0"/>
    <x v="0"/>
  </r>
  <r>
    <x v="9"/>
    <s v="Eve"/>
    <s v="Stevens"/>
    <s v="thirty"/>
    <x v="8"/>
    <n v="1994"/>
    <n v="58500"/>
    <x v="4"/>
    <s v="Female"/>
    <s v="finance"/>
    <s v="Finance"/>
    <s v="Assistant"/>
    <d v="2020-02-20T00:00:00"/>
    <d v="2020-02-20T00:00:00"/>
    <s v="A"/>
    <x v="9"/>
    <s v="eve.stevens@saltcorp.com"/>
    <s v=" "/>
    <s v="Full-Time"/>
    <s v="Full-Time"/>
    <s v="EMP-2020-0025"/>
    <n v="3"/>
    <m/>
    <n v="4"/>
    <d v="2024-08-12T00:00:00"/>
    <n v="65"/>
    <s v="no"/>
    <s v="No"/>
    <n v="5"/>
    <x v="0"/>
    <x v="0"/>
  </r>
  <r>
    <x v="10"/>
    <s v="David"/>
    <s v="West"/>
    <n v="25"/>
    <x v="0"/>
    <n v="1999"/>
    <n v="70000"/>
    <x v="5"/>
    <s v="Male"/>
    <s v="Marketing"/>
    <s v="Marketing"/>
    <s v="Analyst"/>
    <d v="2019-12-01T00:00:00"/>
    <d v="2019-12-01T00:00:00"/>
    <s v="B"/>
    <x v="10"/>
    <s v="david.west@saltcorp.com"/>
    <s v="123-456-7890"/>
    <s v="contract"/>
    <s v="Contract"/>
    <m/>
    <n v="5"/>
    <s v="N/A"/>
    <m/>
    <d v="2024-08-12T00:00:00"/>
    <m/>
    <s v="N"/>
    <s v="No"/>
    <n v="1"/>
    <x v="0"/>
    <x v="0"/>
  </r>
  <r>
    <x v="11"/>
    <s v="Hannah"/>
    <s v="Brooks"/>
    <m/>
    <x v="9"/>
    <n v="1987"/>
    <n v="70000"/>
    <x v="5"/>
    <s v="Female"/>
    <s v="finance"/>
    <s v="Finance"/>
    <s v="Assistant"/>
    <d v="2019-03-25T00:00:00"/>
    <d v="2019-03-25T00:00:00"/>
    <s v="A"/>
    <x v="11"/>
    <s v="hannah.brooks@saltcorp.com"/>
    <m/>
    <s v="contract"/>
    <s v="Contract"/>
    <m/>
    <n v="3"/>
    <n v="1"/>
    <n v="15"/>
    <m/>
    <m/>
    <s v="YES"/>
    <s v="Yes"/>
    <n v="3"/>
    <x v="1"/>
    <x v="1"/>
  </r>
  <r>
    <x v="12"/>
    <s v="Hannah"/>
    <s v="Gomez"/>
    <s v="thirty"/>
    <x v="8"/>
    <n v="1994"/>
    <n v="50000"/>
    <x v="0"/>
    <s v="Male"/>
    <s v="it"/>
    <s v="IT"/>
    <s v="Assistant"/>
    <d v="2018-04-05T00:00:00"/>
    <d v="2018-04-05T00:00:00"/>
    <s v="D"/>
    <x v="0"/>
    <s v="hannah.gomez@saltcorp.com"/>
    <s v=" "/>
    <s v="Part-Time"/>
    <s v="Part-Time"/>
    <s v="EMP-2019-0003"/>
    <n v="6"/>
    <m/>
    <m/>
    <d v="2021-10-01T00:00:00"/>
    <m/>
    <s v="N"/>
    <s v="No"/>
    <n v="2"/>
    <x v="0"/>
    <x v="0"/>
  </r>
  <r>
    <x v="13"/>
    <s v="Charlie"/>
    <s v="Martin"/>
    <n v="25"/>
    <x v="0"/>
    <n v="1999"/>
    <n v="55000"/>
    <x v="6"/>
    <s v="Male"/>
    <s v="HR"/>
    <s v="HR"/>
    <s v="Manager"/>
    <d v="2020-02-20T00:00:00"/>
    <d v="2020-02-20T00:00:00"/>
    <s v="F"/>
    <x v="12"/>
    <s v="charlie.martin@saltcorp.com"/>
    <s v="555-555-5555"/>
    <s v="Full-Time"/>
    <s v="Full-Time"/>
    <s v="EMP-2019-0089"/>
    <n v="2"/>
    <n v="3"/>
    <n v="18"/>
    <m/>
    <m/>
    <s v="YES"/>
    <s v="Yes"/>
    <n v="2"/>
    <x v="0"/>
    <x v="0"/>
  </r>
  <r>
    <x v="14"/>
    <s v="Frank"/>
    <s v="Young"/>
    <n v="50"/>
    <x v="10"/>
    <n v="1974"/>
    <n v="60500"/>
    <x v="7"/>
    <s v="Male"/>
    <s v="Marketing"/>
    <s v="Marketing"/>
    <s v="Director"/>
    <d v="2019-03-25T00:00:00"/>
    <d v="2019-03-25T00:00:00"/>
    <s v="A"/>
    <x v="11"/>
    <s v="frank.young@saltcorp.com"/>
    <s v="123-456-7890"/>
    <s v="Part-Time"/>
    <s v="Part-Time"/>
    <m/>
    <n v="4"/>
    <n v="7"/>
    <n v="20"/>
    <m/>
    <n v="23"/>
    <s v="no"/>
    <s v="No"/>
    <n v="4"/>
    <x v="0"/>
    <x v="0"/>
  </r>
  <r>
    <x v="15"/>
    <s v="Eve"/>
    <s v="Pearson"/>
    <n v="35"/>
    <x v="2"/>
    <n v="1989"/>
    <n v="65000"/>
    <x v="1"/>
    <s v="Male"/>
    <s v="finance"/>
    <s v="Finance"/>
    <s v="Clerk"/>
    <d v="2018-04-05T00:00:00"/>
    <d v="2018-04-05T00:00:00"/>
    <s v="F"/>
    <x v="13"/>
    <s v="eve.pearson@saltcorp.com"/>
    <s v="123-456-7890"/>
    <s v="Full-Time"/>
    <s v="Full-Time"/>
    <m/>
    <n v="6"/>
    <s v="N/A"/>
    <m/>
    <d v="2023-03-05T00:00:00"/>
    <n v="71"/>
    <s v="YES"/>
    <s v="Yes"/>
    <n v="2"/>
    <x v="0"/>
    <x v="0"/>
  </r>
  <r>
    <x v="16"/>
    <s v="Bob"/>
    <s v="Garcia"/>
    <n v="40"/>
    <x v="7"/>
    <n v="1984"/>
    <n v="55000"/>
    <x v="6"/>
    <s v="Female"/>
    <s v="sales"/>
    <s v="Sales"/>
    <s v="Assistant"/>
    <d v="2020-01-15T00:00:00"/>
    <d v="2020-01-15T00:00:00"/>
    <s v="B"/>
    <x v="14"/>
    <s v="bob.garcia@saltcorp.com"/>
    <s v="098-765-4321"/>
    <s v="Full-Time"/>
    <s v="Full-Time"/>
    <m/>
    <n v="4"/>
    <n v="9"/>
    <m/>
    <d v="2022-06-20T00:00:00"/>
    <m/>
    <m/>
    <s v=""/>
    <n v="2"/>
    <x v="0"/>
    <x v="0"/>
  </r>
  <r>
    <x v="17"/>
    <s v="Hannah"/>
    <s v="Weber"/>
    <n v="50"/>
    <x v="10"/>
    <n v="1974"/>
    <n v="55000"/>
    <x v="6"/>
    <s v="Male"/>
    <s v="HR"/>
    <s v="HR"/>
    <s v="Director"/>
    <d v="2018-04-05T00:00:00"/>
    <d v="2018-04-05T00:00:00"/>
    <s v="D"/>
    <x v="15"/>
    <s v="hannah.weber@saltcorp.com"/>
    <s v=" "/>
    <s v="Full-Time"/>
    <s v="Full-Time"/>
    <s v="EMP-2019-0030"/>
    <n v="5"/>
    <m/>
    <m/>
    <d v="2023-01-15T00:00:00"/>
    <m/>
    <m/>
    <s v=""/>
    <n v="1"/>
    <x v="1"/>
    <x v="1"/>
  </r>
  <r>
    <x v="18"/>
    <s v="Frank"/>
    <s v="Flores"/>
    <n v="25"/>
    <x v="0"/>
    <n v="1999"/>
    <n v="58600"/>
    <x v="8"/>
    <s v="Female"/>
    <s v="it"/>
    <s v="IT"/>
    <s v="Clerk"/>
    <d v="2019-03-25T00:00:00"/>
    <d v="2019-03-25T00:00:00"/>
    <s v="B"/>
    <x v="16"/>
    <s v="frank.flores@saltcorp.com"/>
    <s v="555-555-5555"/>
    <s v="Full-Time"/>
    <s v="Full-Time"/>
    <m/>
    <n v="7"/>
    <s v="N/A"/>
    <n v="15"/>
    <m/>
    <n v="26"/>
    <s v="N"/>
    <s v="No"/>
    <n v="4"/>
    <x v="0"/>
    <x v="0"/>
  </r>
  <r>
    <x v="19"/>
    <s v="Bob"/>
    <s v="Miller"/>
    <n v="50"/>
    <x v="10"/>
    <n v="1974"/>
    <n v="50000"/>
    <x v="0"/>
    <s v="Female"/>
    <s v="finance"/>
    <s v="Finance"/>
    <s v="Assistant"/>
    <d v="2019-03-25T00:00:00"/>
    <d v="2019-03-25T00:00:00"/>
    <s v="D"/>
    <x v="17"/>
    <s v="bob.miller@saltcorp.com"/>
    <m/>
    <s v="Part-Time"/>
    <s v="Part-Time"/>
    <s v="EMP-2020-0024"/>
    <n v="6"/>
    <m/>
    <n v="1"/>
    <m/>
    <n v="53"/>
    <s v="YES"/>
    <s v="Yes"/>
    <n v="3"/>
    <x v="0"/>
    <x v="0"/>
  </r>
  <r>
    <x v="20"/>
    <s v="Eve"/>
    <s v="Stevens"/>
    <n v="35"/>
    <x v="2"/>
    <n v="1989"/>
    <n v="50000"/>
    <x v="0"/>
    <s v="Female"/>
    <s v="it"/>
    <s v="IT"/>
    <s v="Clerk"/>
    <d v="2020-01-15T00:00:00"/>
    <d v="2020-01-15T00:00:00"/>
    <s v="D"/>
    <x v="18"/>
    <s v="eve.stevens@saltcorp.com"/>
    <s v="098-765-4321"/>
    <s v="Part-Time"/>
    <s v="Part-Time"/>
    <m/>
    <n v="6"/>
    <s v="N/A"/>
    <n v="10"/>
    <d v="2022-06-20T00:00:00"/>
    <m/>
    <m/>
    <s v=""/>
    <n v="1"/>
    <x v="1"/>
    <x v="1"/>
  </r>
  <r>
    <x v="21"/>
    <s v="Alice"/>
    <s v="Dixon"/>
    <n v="25"/>
    <x v="0"/>
    <n v="1999"/>
    <n v="50000"/>
    <x v="0"/>
    <s v="Female"/>
    <s v="it"/>
    <s v="IT"/>
    <s v="Director"/>
    <d v="2018-04-05T00:00:00"/>
    <d v="2018-04-05T00:00:00"/>
    <s v="F"/>
    <x v="19"/>
    <s v="alice.dixon@saltcorp.com"/>
    <s v="555-555-5555"/>
    <s v="Part-Time"/>
    <s v="Part-Time"/>
    <m/>
    <n v="5"/>
    <n v="1"/>
    <n v="13"/>
    <m/>
    <m/>
    <s v="YES"/>
    <s v="Yes"/>
    <n v="3"/>
    <x v="0"/>
    <x v="0"/>
  </r>
  <r>
    <x v="22"/>
    <s v="Jack"/>
    <s v="Barnett"/>
    <n v="50"/>
    <x v="10"/>
    <n v="1974"/>
    <n v="50000"/>
    <x v="0"/>
    <s v="Male"/>
    <s v="Marketing"/>
    <s v="Marketing"/>
    <s v="Analyst"/>
    <d v="2018-04-05T00:00:00"/>
    <d v="2018-04-05T00:00:00"/>
    <s v="B"/>
    <x v="14"/>
    <s v="jack.barnett@saltcorp.com"/>
    <s v=" "/>
    <s v="Part-Time"/>
    <s v="Part-Time"/>
    <m/>
    <n v="5"/>
    <m/>
    <m/>
    <m/>
    <m/>
    <s v="YES"/>
    <s v="Yes"/>
    <n v="2"/>
    <x v="1"/>
    <x v="1"/>
  </r>
  <r>
    <x v="23"/>
    <s v="Frank"/>
    <s v="Oliver"/>
    <n v="40"/>
    <x v="7"/>
    <n v="1984"/>
    <n v="70000"/>
    <x v="5"/>
    <s v="Male"/>
    <s v="Marketing"/>
    <s v="Marketing"/>
    <s v="Director"/>
    <d v="2020-01-15T00:00:00"/>
    <d v="2020-01-15T00:00:00"/>
    <s v="B"/>
    <x v="6"/>
    <s v="frank.oliver@saltcorp.com"/>
    <s v="555-555-5555"/>
    <s v="Full-Time"/>
    <s v="Full-Time"/>
    <m/>
    <n v="8"/>
    <s v="N/A"/>
    <m/>
    <d v="2021-10-01T00:00:00"/>
    <m/>
    <m/>
    <s v=""/>
    <n v="2"/>
    <x v="0"/>
    <x v="0"/>
  </r>
  <r>
    <x v="24"/>
    <s v="Ivy"/>
    <s v="Olson"/>
    <n v="40"/>
    <x v="7"/>
    <n v="1984"/>
    <n v="50000"/>
    <x v="0"/>
    <s v="Female"/>
    <s v="finance"/>
    <s v="Finance"/>
    <s v="Manager"/>
    <d v="2018-04-05T00:00:00"/>
    <d v="2018-04-05T00:00:00"/>
    <s v="A"/>
    <x v="3"/>
    <s v="ivy.olson@saltcorp.com"/>
    <s v="123-456-7890"/>
    <s v="Part-Time"/>
    <s v="Part-Time"/>
    <m/>
    <n v="2"/>
    <n v="3"/>
    <m/>
    <m/>
    <n v="9"/>
    <s v="no"/>
    <s v="No"/>
    <n v="1"/>
    <x v="0"/>
    <x v="0"/>
  </r>
  <r>
    <x v="25"/>
    <s v="Alice"/>
    <s v="Martinez"/>
    <s v="thirty"/>
    <x v="8"/>
    <n v="1994"/>
    <n v="70000"/>
    <x v="5"/>
    <s v="Male"/>
    <s v="sales"/>
    <s v="Sales"/>
    <s v="Clerk"/>
    <d v="2020-01-15T00:00:00"/>
    <d v="2020-01-15T00:00:00"/>
    <s v="B"/>
    <x v="10"/>
    <s v="alice.martinez@saltcorp.com"/>
    <s v="123-456-7890"/>
    <s v="Part-Time"/>
    <s v="Part-Time"/>
    <m/>
    <n v="8"/>
    <s v="N/A"/>
    <m/>
    <m/>
    <m/>
    <m/>
    <s v=""/>
    <n v="5"/>
    <x v="0"/>
    <x v="0"/>
  </r>
  <r>
    <x v="26"/>
    <s v="Jack"/>
    <s v="Sims"/>
    <n v="50"/>
    <x v="10"/>
    <n v="1974"/>
    <n v="70000"/>
    <x v="5"/>
    <s v="Male"/>
    <s v="finance"/>
    <s v="Finance"/>
    <s v="Analyst"/>
    <d v="2020-02-20T00:00:00"/>
    <d v="2020-02-20T00:00:00"/>
    <s v="A"/>
    <x v="11"/>
    <s v="jack.sims@saltcorp.com"/>
    <s v="098-765-4321"/>
    <s v="contract"/>
    <s v="Contract"/>
    <m/>
    <n v="1"/>
    <m/>
    <m/>
    <d v="2023-03-05T00:00:00"/>
    <n v="39"/>
    <m/>
    <s v=""/>
    <n v="2"/>
    <x v="1"/>
    <x v="1"/>
  </r>
  <r>
    <x v="27"/>
    <s v="Charlie"/>
    <s v="Harris"/>
    <m/>
    <x v="0"/>
    <n v="1999"/>
    <n v="50000"/>
    <x v="0"/>
    <s v="Male"/>
    <s v="sales"/>
    <s v="Sales"/>
    <s v="Clerk"/>
    <d v="2019-03-25T00:00:00"/>
    <d v="2019-03-25T00:00:00"/>
    <s v="C"/>
    <x v="20"/>
    <s v="charlie.harris@saltcorp.com"/>
    <s v=" "/>
    <s v="contract"/>
    <s v="Contract"/>
    <m/>
    <n v="2"/>
    <n v="2"/>
    <m/>
    <m/>
    <m/>
    <s v="YES"/>
    <s v="Yes"/>
    <n v="2"/>
    <x v="0"/>
    <x v="0"/>
  </r>
  <r>
    <x v="28"/>
    <s v="Grace"/>
    <s v="Hudson"/>
    <n v="50"/>
    <x v="10"/>
    <n v="1974"/>
    <s v="SIXTY THOUSAND"/>
    <x v="2"/>
    <s v="Male"/>
    <s v="it"/>
    <s v="IT"/>
    <s v="Clerk"/>
    <d v="2020-02-20T00:00:00"/>
    <d v="2020-02-20T00:00:00"/>
    <s v="C"/>
    <x v="7"/>
    <s v="grace.hudson@saltcorp.com"/>
    <s v=" "/>
    <s v="contract"/>
    <s v="Contract"/>
    <s v="EMP-2019-0044"/>
    <n v="8"/>
    <m/>
    <m/>
    <d v="2024-08-12T00:00:00"/>
    <m/>
    <s v="no"/>
    <s v="No"/>
    <n v="1"/>
    <x v="1"/>
    <x v="1"/>
  </r>
  <r>
    <x v="29"/>
    <s v="David"/>
    <s v="Kim"/>
    <n v="25"/>
    <x v="0"/>
    <n v="1999"/>
    <n v="65000"/>
    <x v="1"/>
    <s v="Male"/>
    <s v="HR"/>
    <s v="HR"/>
    <s v="Assistant"/>
    <d v="2019-12-01T00:00:00"/>
    <d v="2019-12-01T00:00:00"/>
    <s v="C"/>
    <x v="7"/>
    <s v="david.kim@saltcorp.com"/>
    <s v="555-555-5555"/>
    <s v="Part-Time"/>
    <s v="Part-Time"/>
    <m/>
    <n v="4"/>
    <s v="N/A"/>
    <m/>
    <d v="2024-08-12T00:00:00"/>
    <m/>
    <s v="no"/>
    <s v="No"/>
    <n v="3"/>
    <x v="0"/>
    <x v="0"/>
  </r>
  <r>
    <x v="30"/>
    <s v="Ivy"/>
    <s v="Williamson"/>
    <n v="25"/>
    <x v="0"/>
    <n v="1999"/>
    <n v="55000"/>
    <x v="6"/>
    <s v="Female"/>
    <s v="finance"/>
    <s v="Finance"/>
    <s v="Manager"/>
    <d v="2019-12-01T00:00:00"/>
    <d v="2019-12-01T00:00:00"/>
    <s v="B"/>
    <x v="21"/>
    <s v="ivy.williamson@saltcorp.com"/>
    <s v="098-765-4321"/>
    <s v="Full-Time"/>
    <s v="Full-Time"/>
    <s v="EMP-2019-0015"/>
    <n v="2"/>
    <n v="5"/>
    <m/>
    <s v="N/A"/>
    <m/>
    <s v="N"/>
    <s v="No"/>
    <n v="2"/>
    <x v="1"/>
    <x v="1"/>
  </r>
  <r>
    <x v="31"/>
    <s v="Charlie"/>
    <s v="Medina"/>
    <n v="50"/>
    <x v="10"/>
    <n v="1974"/>
    <n v="70000"/>
    <x v="5"/>
    <s v="Female"/>
    <s v="finance"/>
    <s v="Finance"/>
    <s v="Clerk"/>
    <d v="2019-12-01T00:00:00"/>
    <d v="2019-12-01T00:00:00"/>
    <s v="B"/>
    <x v="14"/>
    <s v="charlie.medina@saltcorp.com"/>
    <s v=" "/>
    <s v="Part-Time"/>
    <s v="Part-Time"/>
    <m/>
    <n v="7"/>
    <m/>
    <m/>
    <m/>
    <m/>
    <m/>
    <s v=""/>
    <n v="1"/>
    <x v="0"/>
    <x v="0"/>
  </r>
  <r>
    <x v="32"/>
    <s v="Eve"/>
    <s v="Cooper"/>
    <n v="35"/>
    <x v="2"/>
    <n v="1989"/>
    <n v="63000"/>
    <x v="9"/>
    <s v="Female"/>
    <s v="sales"/>
    <s v="Sales"/>
    <s v="Director"/>
    <d v="2020-01-15T00:00:00"/>
    <d v="2020-01-15T00:00:00"/>
    <s v="A"/>
    <x v="11"/>
    <s v="eve.cooper@saltcorp.com"/>
    <s v="123-456-7890"/>
    <s v="Full-Time"/>
    <s v="Full-Time"/>
    <m/>
    <n v="5"/>
    <m/>
    <m/>
    <m/>
    <m/>
    <s v="YES"/>
    <s v="Yes"/>
    <n v="5"/>
    <x v="0"/>
    <x v="0"/>
  </r>
  <r>
    <x v="33"/>
    <s v="Charlie"/>
    <s v="Hanson"/>
    <n v="40"/>
    <x v="7"/>
    <n v="1984"/>
    <n v="60100"/>
    <x v="10"/>
    <s v="Female"/>
    <s v="it"/>
    <s v="IT"/>
    <s v="Director"/>
    <d v="2018-04-05T00:00:00"/>
    <d v="2018-04-05T00:00:00"/>
    <s v="D"/>
    <x v="22"/>
    <s v="charlie.hanson@saltcorp.com"/>
    <s v="555-555-5555"/>
    <s v="Part-Time"/>
    <s v="Part-Time"/>
    <m/>
    <n v="7"/>
    <m/>
    <n v="2"/>
    <m/>
    <m/>
    <s v="YES"/>
    <s v="Yes"/>
    <n v="1"/>
    <x v="1"/>
    <x v="1"/>
  </r>
  <r>
    <x v="34"/>
    <s v="Grace"/>
    <s v="Yang"/>
    <n v="25"/>
    <x v="0"/>
    <n v="1999"/>
    <n v="65000"/>
    <x v="1"/>
    <s v="Male"/>
    <s v="it"/>
    <s v="IT"/>
    <s v="Assistant"/>
    <d v="2020-02-20T00:00:00"/>
    <d v="2020-02-20T00:00:00"/>
    <s v="A"/>
    <x v="9"/>
    <s v="grace.yang@saltcorp.com"/>
    <m/>
    <s v="contract"/>
    <s v="Contract"/>
    <m/>
    <n v="1"/>
    <s v="N/A"/>
    <n v="5"/>
    <s v="N/A"/>
    <n v="66"/>
    <m/>
    <s v=""/>
    <n v="2"/>
    <x v="1"/>
    <x v="1"/>
  </r>
  <r>
    <x v="35"/>
    <s v="Eve"/>
    <s v="Stevens"/>
    <n v="40"/>
    <x v="7"/>
    <n v="1984"/>
    <n v="61500"/>
    <x v="11"/>
    <s v="Female"/>
    <s v="sales"/>
    <s v="Sales"/>
    <s v="Manager"/>
    <d v="2020-02-20T00:00:00"/>
    <d v="2020-02-20T00:00:00"/>
    <s v="C"/>
    <x v="23"/>
    <s v="eve.stevens@saltcorp.com"/>
    <s v="123-456-7890"/>
    <s v="Full-Time"/>
    <s v="Full-Time"/>
    <m/>
    <n v="3"/>
    <m/>
    <m/>
    <m/>
    <n v="11"/>
    <s v="no"/>
    <s v="No"/>
    <n v="3"/>
    <x v="0"/>
    <x v="0"/>
  </r>
  <r>
    <x v="36"/>
    <s v="Ivy"/>
    <s v="Lucas"/>
    <n v="25"/>
    <x v="0"/>
    <n v="1999"/>
    <s v="SIXTY THOUSAND"/>
    <x v="2"/>
    <s v="Male"/>
    <s v="it"/>
    <s v="IT"/>
    <s v="Manager"/>
    <d v="2020-02-20T00:00:00"/>
    <d v="2020-02-20T00:00:00"/>
    <s v="A"/>
    <x v="3"/>
    <s v="ivy.lucas@saltcorp.com"/>
    <s v="098-765-4321"/>
    <s v="Full-Time"/>
    <s v="Full-Time"/>
    <m/>
    <n v="3"/>
    <n v="4"/>
    <n v="17"/>
    <m/>
    <n v="19"/>
    <s v="YES"/>
    <s v="Yes"/>
    <n v="5"/>
    <x v="0"/>
    <x v="0"/>
  </r>
  <r>
    <x v="37"/>
    <s v="Grace"/>
    <s v="Schmidt"/>
    <s v="thirty"/>
    <x v="8"/>
    <n v="1994"/>
    <n v="60500"/>
    <x v="7"/>
    <s v="Male"/>
    <s v="Marketing"/>
    <s v="Marketing"/>
    <s v="Director"/>
    <d v="2020-02-20T00:00:00"/>
    <d v="2020-02-20T00:00:00"/>
    <s v="D"/>
    <x v="24"/>
    <s v="grace.schmidt@saltcorp.com"/>
    <s v=" "/>
    <s v="Full-Time"/>
    <s v="Full-Time"/>
    <m/>
    <n v="4"/>
    <s v="N/A"/>
    <m/>
    <m/>
    <m/>
    <s v="no"/>
    <s v="No"/>
    <n v="4"/>
    <x v="0"/>
    <x v="0"/>
  </r>
  <r>
    <x v="38"/>
    <s v="Bob"/>
    <s v="Garcia"/>
    <m/>
    <x v="11"/>
    <n v="1985"/>
    <n v="55000"/>
    <x v="6"/>
    <s v="Male"/>
    <s v="HR"/>
    <s v="HR"/>
    <s v="Analyst"/>
    <d v="2019-12-01T00:00:00"/>
    <d v="2019-12-01T00:00:00"/>
    <s v="B"/>
    <x v="21"/>
    <s v="bob.garcia@saltcorp.com"/>
    <s v="123-456-7890"/>
    <s v="Full-Time"/>
    <s v="Full-Time"/>
    <m/>
    <n v="6"/>
    <n v="6"/>
    <n v="16"/>
    <m/>
    <n v="43"/>
    <s v="no"/>
    <s v="No"/>
    <n v="1"/>
    <x v="1"/>
    <x v="1"/>
  </r>
  <r>
    <x v="39"/>
    <s v="David"/>
    <s v="Kim"/>
    <n v="25"/>
    <x v="0"/>
    <n v="1999"/>
    <n v="55000"/>
    <x v="6"/>
    <s v="Female"/>
    <s v="finance"/>
    <s v="Finance"/>
    <s v="Assistant"/>
    <d v="2020-02-20T00:00:00"/>
    <d v="2020-02-20T00:00:00"/>
    <s v="A"/>
    <x v="25"/>
    <s v="david.kim@saltcorp.com"/>
    <m/>
    <s v="Full-Time"/>
    <s v="Full-Time"/>
    <m/>
    <n v="7"/>
    <m/>
    <m/>
    <d v="2023-01-15T00:00:00"/>
    <m/>
    <s v="YES"/>
    <s v="Yes"/>
    <n v="1"/>
    <x v="0"/>
    <x v="0"/>
  </r>
  <r>
    <x v="40"/>
    <s v="Ivy"/>
    <s v="Dixon"/>
    <n v="40"/>
    <x v="7"/>
    <n v="1984"/>
    <n v="70000"/>
    <x v="5"/>
    <s v="Female"/>
    <s v="HR"/>
    <s v="HR"/>
    <s v="Assistant"/>
    <d v="2018-04-05T00:00:00"/>
    <d v="2018-04-05T00:00:00"/>
    <s v="C"/>
    <x v="23"/>
    <s v="ivy.dixon@saltcorp.com"/>
    <m/>
    <s v="Part-Time"/>
    <s v="Part-Time"/>
    <s v="EMP-2018-0081"/>
    <n v="8"/>
    <n v="4"/>
    <m/>
    <m/>
    <m/>
    <s v="no"/>
    <s v="No"/>
    <n v="5"/>
    <x v="0"/>
    <x v="0"/>
  </r>
  <r>
    <x v="41"/>
    <s v="Bob"/>
    <s v="Dominguez"/>
    <s v="thirty"/>
    <x v="8"/>
    <n v="1994"/>
    <n v="50000"/>
    <x v="0"/>
    <s v="Female"/>
    <s v="finance"/>
    <s v="Finance"/>
    <s v="Director"/>
    <d v="2019-12-01T00:00:00"/>
    <d v="2019-12-01T00:00:00"/>
    <s v="C"/>
    <x v="20"/>
    <s v="bob.dominguez@saltcorp.com"/>
    <s v="098-765-4321"/>
    <s v="contract"/>
    <s v="Contract"/>
    <s v="EMP-2018-0021"/>
    <n v="3"/>
    <n v="12"/>
    <m/>
    <d v="2021-10-01T00:00:00"/>
    <m/>
    <m/>
    <s v=""/>
    <n v="4"/>
    <x v="1"/>
    <x v="1"/>
  </r>
  <r>
    <x v="42"/>
    <s v="Jack"/>
    <s v="O'Connor"/>
    <n v="25"/>
    <x v="0"/>
    <n v="1999"/>
    <s v="SIXTY THOUSAND"/>
    <x v="2"/>
    <s v="Male"/>
    <s v="Marketing"/>
    <s v="Marketing"/>
    <s v="Director"/>
    <d v="2020-02-20T00:00:00"/>
    <d v="2020-02-20T00:00:00"/>
    <s v="B"/>
    <x v="26"/>
    <s v="jack.o'connor@saltcorp.com"/>
    <s v="123-456-7890"/>
    <s v="Full-Time"/>
    <s v="Full-Time"/>
    <s v="EMP-2018-0021"/>
    <n v="6"/>
    <m/>
    <m/>
    <m/>
    <m/>
    <s v="YES"/>
    <s v="Yes"/>
    <n v="1"/>
    <x v="1"/>
    <x v="1"/>
  </r>
  <r>
    <x v="43"/>
    <s v="Ivy"/>
    <s v="Shah"/>
    <n v="35"/>
    <x v="2"/>
    <n v="1989"/>
    <n v="70000"/>
    <x v="5"/>
    <s v="Male"/>
    <s v="it"/>
    <s v="IT"/>
    <s v="Analyst"/>
    <d v="2020-01-15T00:00:00"/>
    <d v="2020-01-15T00:00:00"/>
    <s v="A"/>
    <x v="9"/>
    <s v="ivy.shah@saltcorp.com"/>
    <s v="555-555-5555"/>
    <s v="contract"/>
    <s v="Contract"/>
    <m/>
    <n v="3"/>
    <m/>
    <m/>
    <d v="2023-03-05T00:00:00"/>
    <m/>
    <s v="no"/>
    <s v="No"/>
    <n v="2"/>
    <x v="0"/>
    <x v="0"/>
  </r>
  <r>
    <x v="44"/>
    <s v="Jack"/>
    <s v="Byrd"/>
    <m/>
    <x v="12"/>
    <n v="1996"/>
    <s v="SIXTY THOUSAND"/>
    <x v="2"/>
    <s v="Male"/>
    <s v="sales"/>
    <s v="Sales"/>
    <s v="Analyst"/>
    <d v="2019-03-25T00:00:00"/>
    <d v="2019-03-25T00:00:00"/>
    <s v="D"/>
    <x v="27"/>
    <s v="jack.byrd@saltcorp.com"/>
    <s v="123-456-7890"/>
    <s v="contract"/>
    <s v="Contract"/>
    <m/>
    <n v="2"/>
    <n v="12"/>
    <m/>
    <m/>
    <m/>
    <s v="YES"/>
    <s v="Yes"/>
    <n v="2"/>
    <x v="0"/>
    <x v="0"/>
  </r>
  <r>
    <x v="45"/>
    <s v="Eve"/>
    <s v="Parker"/>
    <n v="25"/>
    <x v="0"/>
    <n v="1999"/>
    <n v="50000"/>
    <x v="0"/>
    <s v="Female"/>
    <s v="Marketing"/>
    <s v="Marketing"/>
    <s v="Manager"/>
    <d v="2019-03-25T00:00:00"/>
    <d v="2019-03-25T00:00:00"/>
    <s v="B"/>
    <x v="16"/>
    <s v="eve.parker@saltcorp.com"/>
    <m/>
    <s v="Part-Time"/>
    <s v="Part-Time"/>
    <m/>
    <n v="8"/>
    <s v="N/A"/>
    <n v="4"/>
    <d v="2024-08-12T00:00:00"/>
    <m/>
    <s v="YES"/>
    <s v="Yes"/>
    <n v="1"/>
    <x v="0"/>
    <x v="0"/>
  </r>
  <r>
    <x v="46"/>
    <s v="Bob"/>
    <s v="Le"/>
    <s v="thirty"/>
    <x v="8"/>
    <n v="1994"/>
    <n v="61500"/>
    <x v="11"/>
    <s v="Male"/>
    <s v="HR"/>
    <s v="HR"/>
    <s v="Assistant"/>
    <d v="2019-03-25T00:00:00"/>
    <d v="2019-03-25T00:00:00"/>
    <s v="A"/>
    <x v="3"/>
    <s v="bob.le@saltcorp.com"/>
    <s v="098-765-4321"/>
    <s v="Part-Time"/>
    <s v="Part-Time"/>
    <m/>
    <n v="6"/>
    <m/>
    <n v="14"/>
    <m/>
    <n v="28"/>
    <s v="YES"/>
    <s v="Yes"/>
    <n v="3"/>
    <x v="0"/>
    <x v="0"/>
  </r>
  <r>
    <x v="47"/>
    <s v="David"/>
    <s v="Kim"/>
    <n v="35"/>
    <x v="2"/>
    <n v="1989"/>
    <n v="58300"/>
    <x v="12"/>
    <s v="Male"/>
    <s v="sales"/>
    <s v="Sales"/>
    <s v="Assistant"/>
    <d v="2019-12-01T00:00:00"/>
    <d v="2019-12-01T00:00:00"/>
    <s v="F"/>
    <x v="28"/>
    <s v="david.kim@saltcorp.com"/>
    <s v="098-765-4321"/>
    <s v="Full-Time"/>
    <s v="Full-Time"/>
    <s v="EMP-2018-0055"/>
    <n v="3"/>
    <m/>
    <m/>
    <d v="2023-01-15T00:00:00"/>
    <n v="65"/>
    <s v="YES"/>
    <s v="Yes"/>
    <n v="3"/>
    <x v="1"/>
    <x v="1"/>
  </r>
  <r>
    <x v="48"/>
    <s v="Grace"/>
    <s v="Liu"/>
    <n v="50"/>
    <x v="10"/>
    <n v="1974"/>
    <n v="50000"/>
    <x v="0"/>
    <s v="Male"/>
    <s v="it"/>
    <s v="IT"/>
    <s v="Director"/>
    <d v="2020-02-20T00:00:00"/>
    <d v="2020-02-20T00:00:00"/>
    <s v="C"/>
    <x v="29"/>
    <s v="grace.liu@saltcorp.com"/>
    <s v="555-555-5555"/>
    <s v="contract"/>
    <s v="Contract"/>
    <m/>
    <n v="6"/>
    <m/>
    <m/>
    <s v="N/A"/>
    <m/>
    <s v="YES"/>
    <s v="Yes"/>
    <n v="2"/>
    <x v="1"/>
    <x v="1"/>
  </r>
  <r>
    <x v="49"/>
    <s v="Hannah"/>
    <s v="Armstrong"/>
    <s v="thirty"/>
    <x v="8"/>
    <n v="1994"/>
    <n v="70000"/>
    <x v="5"/>
    <s v="Female"/>
    <s v="Marketing"/>
    <s v="Marketing"/>
    <s v="Manager"/>
    <d v="2019-12-01T00:00:00"/>
    <d v="2019-12-01T00:00:00"/>
    <s v="D"/>
    <x v="30"/>
    <s v="hannah.armstrong@saltcorp.com"/>
    <s v="098-765-4321"/>
    <s v="Full-Time"/>
    <s v="Full-Time"/>
    <s v="EMP-2018-0008"/>
    <n v="1"/>
    <m/>
    <n v="3"/>
    <m/>
    <m/>
    <s v="no"/>
    <s v="No"/>
    <n v="1"/>
    <x v="0"/>
    <x v="0"/>
  </r>
  <r>
    <x v="50"/>
    <s v="Charlie"/>
    <s v="Clark"/>
    <s v="thirty"/>
    <x v="8"/>
    <n v="1994"/>
    <n v="50000"/>
    <x v="0"/>
    <s v="Female"/>
    <s v="sales"/>
    <s v="Sales"/>
    <s v="Assistant"/>
    <d v="2018-04-05T00:00:00"/>
    <d v="2018-04-05T00:00:00"/>
    <s v="D"/>
    <x v="27"/>
    <s v="charlie.clark@saltcorp.com"/>
    <s v="098-765-4321"/>
    <s v="Full-Time"/>
    <s v="Full-Time"/>
    <m/>
    <n v="1"/>
    <n v="1"/>
    <n v="5"/>
    <d v="2024-08-12T00:00:00"/>
    <m/>
    <s v="YES"/>
    <s v="Yes"/>
    <n v="1"/>
    <x v="0"/>
    <x v="0"/>
  </r>
  <r>
    <x v="51"/>
    <s v="Alice"/>
    <s v="Chen"/>
    <n v="35"/>
    <x v="2"/>
    <n v="1989"/>
    <n v="65000"/>
    <x v="1"/>
    <s v="Female"/>
    <s v="Marketing"/>
    <s v="Marketing"/>
    <s v="Manager"/>
    <d v="2020-01-15T00:00:00"/>
    <d v="2020-01-15T00:00:00"/>
    <s v="D"/>
    <x v="15"/>
    <s v="alice.chen@saltcorp.com"/>
    <s v="098-765-4321"/>
    <s v="Full-Time"/>
    <s v="Full-Time"/>
    <m/>
    <n v="8"/>
    <m/>
    <m/>
    <m/>
    <n v="45"/>
    <s v="no"/>
    <s v="No"/>
    <n v="3"/>
    <x v="0"/>
    <x v="0"/>
  </r>
  <r>
    <x v="52"/>
    <s v="David"/>
    <s v="Ross"/>
    <s v="thirty"/>
    <x v="8"/>
    <n v="1994"/>
    <n v="55000"/>
    <x v="6"/>
    <s v="Female"/>
    <s v="Marketing"/>
    <s v="Marketing"/>
    <s v="Manager"/>
    <d v="2020-01-15T00:00:00"/>
    <d v="2020-01-15T00:00:00"/>
    <s v="C"/>
    <x v="31"/>
    <s v="david.ross@saltcorp.com"/>
    <s v="098-765-4321"/>
    <s v="Full-Time"/>
    <s v="Full-Time"/>
    <m/>
    <n v="5"/>
    <m/>
    <m/>
    <m/>
    <m/>
    <s v="no"/>
    <s v="No"/>
    <n v="1"/>
    <x v="0"/>
    <x v="0"/>
  </r>
  <r>
    <x v="53"/>
    <s v="Bob"/>
    <s v="Wilson"/>
    <n v="35"/>
    <x v="2"/>
    <n v="1989"/>
    <n v="70000"/>
    <x v="5"/>
    <s v="Female"/>
    <s v="it"/>
    <s v="IT"/>
    <s v="Director"/>
    <d v="2019-03-25T00:00:00"/>
    <d v="2019-03-25T00:00:00"/>
    <s v="A"/>
    <x v="32"/>
    <s v="bob.wilson@saltcorp.com"/>
    <s v="098-765-4321"/>
    <s v="contract"/>
    <s v="Contract"/>
    <m/>
    <n v="4"/>
    <m/>
    <n v="14"/>
    <d v="2022-06-20T00:00:00"/>
    <m/>
    <s v="YES"/>
    <s v="Yes"/>
    <n v="2"/>
    <x v="1"/>
    <x v="1"/>
  </r>
  <r>
    <x v="54"/>
    <s v="Hannah"/>
    <s v="Gray"/>
    <n v="25"/>
    <x v="0"/>
    <n v="1999"/>
    <s v="SIXTY THOUSAND"/>
    <x v="2"/>
    <s v="Male"/>
    <s v="finance"/>
    <s v="Finance"/>
    <s v="Manager"/>
    <d v="2019-03-25T00:00:00"/>
    <d v="2019-03-25T00:00:00"/>
    <s v="B"/>
    <x v="10"/>
    <s v="hannah.gray@saltcorp.com"/>
    <m/>
    <s v="Full-Time"/>
    <s v="Full-Time"/>
    <s v="EMP-2018-0077"/>
    <n v="3"/>
    <m/>
    <m/>
    <m/>
    <m/>
    <s v="YES"/>
    <s v="Yes"/>
    <n v="1"/>
    <x v="1"/>
    <x v="1"/>
  </r>
  <r>
    <x v="55"/>
    <s v="David"/>
    <s v="Gibson"/>
    <n v="35"/>
    <x v="2"/>
    <n v="1989"/>
    <n v="65000"/>
    <x v="1"/>
    <s v="Female"/>
    <s v="sales"/>
    <s v="Sales"/>
    <s v="Analyst"/>
    <d v="2019-03-25T00:00:00"/>
    <d v="2019-03-25T00:00:00"/>
    <s v="A"/>
    <x v="9"/>
    <s v="david.gibson@saltcorp.com"/>
    <s v="123-456-7890"/>
    <s v="contract"/>
    <s v="Contract"/>
    <m/>
    <n v="3"/>
    <n v="8"/>
    <m/>
    <m/>
    <n v="46"/>
    <s v="no"/>
    <s v="No"/>
    <n v="1"/>
    <x v="1"/>
    <x v="1"/>
  </r>
  <r>
    <x v="56"/>
    <s v="Bob"/>
    <s v="Wilson"/>
    <n v="35"/>
    <x v="2"/>
    <n v="1989"/>
    <n v="70000"/>
    <x v="5"/>
    <s v="Female"/>
    <s v="it"/>
    <s v="IT"/>
    <s v="Analyst"/>
    <d v="2020-02-20T00:00:00"/>
    <d v="2020-02-20T00:00:00"/>
    <s v="B"/>
    <x v="21"/>
    <s v="bob.wilson@saltcorp.com"/>
    <s v=" "/>
    <s v="Part-Time"/>
    <s v="Part-Time"/>
    <s v="EMP-2020-0033"/>
    <n v="8"/>
    <n v="7"/>
    <m/>
    <m/>
    <m/>
    <s v="YES"/>
    <s v="Yes"/>
    <n v="2"/>
    <x v="0"/>
    <x v="0"/>
  </r>
  <r>
    <x v="57"/>
    <s v="Frank"/>
    <s v="Hansen"/>
    <m/>
    <x v="6"/>
    <n v="1991"/>
    <n v="50000"/>
    <x v="0"/>
    <s v="Male"/>
    <s v="Marketing"/>
    <s v="Marketing"/>
    <s v="Clerk"/>
    <d v="2018-04-05T00:00:00"/>
    <d v="2018-04-05T00:00:00"/>
    <s v="D"/>
    <x v="27"/>
    <s v="frank.hansen@saltcorp.com"/>
    <s v="098-765-4321"/>
    <s v="contract"/>
    <s v="Contract"/>
    <m/>
    <n v="2"/>
    <m/>
    <m/>
    <d v="2023-01-15T00:00:00"/>
    <m/>
    <s v="YES"/>
    <s v="Yes"/>
    <n v="2"/>
    <x v="1"/>
    <x v="1"/>
  </r>
  <r>
    <x v="58"/>
    <s v="Frank"/>
    <s v="Dominguez"/>
    <n v="35"/>
    <x v="2"/>
    <n v="1989"/>
    <n v="50000"/>
    <x v="0"/>
    <s v="Male"/>
    <s v="it"/>
    <s v="IT"/>
    <s v="Director"/>
    <d v="2018-04-05T00:00:00"/>
    <d v="2018-04-05T00:00:00"/>
    <s v="A"/>
    <x v="32"/>
    <s v="frank.dominguez@saltcorp.com"/>
    <s v=" "/>
    <s v="Full-Time"/>
    <s v="Full-Time"/>
    <m/>
    <n v="3"/>
    <m/>
    <m/>
    <m/>
    <m/>
    <m/>
    <s v=""/>
    <n v="4"/>
    <x v="0"/>
    <x v="0"/>
  </r>
  <r>
    <x v="59"/>
    <s v="Jack"/>
    <s v="Riley"/>
    <n v="35"/>
    <x v="2"/>
    <n v="1989"/>
    <n v="50000"/>
    <x v="0"/>
    <s v="Male"/>
    <s v="finance"/>
    <s v="Finance"/>
    <s v="Clerk"/>
    <d v="2018-04-05T00:00:00"/>
    <d v="2018-04-05T00:00:00"/>
    <s v="D"/>
    <x v="15"/>
    <s v="jack.riley@saltcorp.com"/>
    <s v=" "/>
    <s v="Full-Time"/>
    <s v="Full-Time"/>
    <m/>
    <n v="7"/>
    <m/>
    <m/>
    <s v="N/A"/>
    <m/>
    <m/>
    <s v=""/>
    <n v="2"/>
    <x v="1"/>
    <x v="1"/>
  </r>
  <r>
    <x v="60"/>
    <s v="David"/>
    <s v="Patel"/>
    <n v="50"/>
    <x v="10"/>
    <n v="1974"/>
    <n v="50000"/>
    <x v="0"/>
    <s v="Female"/>
    <s v="sales"/>
    <s v="Sales"/>
    <s v="Analyst"/>
    <d v="2018-04-05T00:00:00"/>
    <d v="2018-04-05T00:00:00"/>
    <s v="F"/>
    <x v="33"/>
    <s v="david.patel@saltcorp.com"/>
    <m/>
    <s v="contract"/>
    <s v="Contract"/>
    <s v="EMP-2019-0074"/>
    <n v="7"/>
    <m/>
    <n v="4"/>
    <d v="2021-10-01T00:00:00"/>
    <m/>
    <s v="no"/>
    <s v="No"/>
    <n v="2"/>
    <x v="1"/>
    <x v="1"/>
  </r>
  <r>
    <x v="61"/>
    <s v="Frank"/>
    <s v="Perez"/>
    <n v="25"/>
    <x v="0"/>
    <n v="1999"/>
    <s v="SIXTY THOUSAND"/>
    <x v="2"/>
    <s v="Male"/>
    <s v="finance"/>
    <s v="Finance"/>
    <s v="Clerk"/>
    <d v="2019-03-25T00:00:00"/>
    <d v="2019-03-25T00:00:00"/>
    <s v="D"/>
    <x v="34"/>
    <s v="frank.perez@saltcorp.com"/>
    <s v="098-765-4321"/>
    <s v="Full-Time"/>
    <s v="Full-Time"/>
    <m/>
    <n v="7"/>
    <m/>
    <m/>
    <d v="2024-08-12T00:00:00"/>
    <m/>
    <s v="no"/>
    <s v="No"/>
    <n v="1"/>
    <x v="1"/>
    <x v="1"/>
  </r>
  <r>
    <x v="62"/>
    <s v="Bob"/>
    <s v="Hoffman"/>
    <m/>
    <x v="13"/>
    <n v="1979"/>
    <n v="65000"/>
    <x v="1"/>
    <s v="Male"/>
    <s v="HR"/>
    <s v="HR"/>
    <s v="Director"/>
    <d v="2020-01-15T00:00:00"/>
    <d v="2020-01-15T00:00:00"/>
    <s v="D"/>
    <x v="27"/>
    <s v="bob.hoffman@saltcorp.com"/>
    <s v=" "/>
    <s v="Part-Time"/>
    <s v="Part-Time"/>
    <m/>
    <n v="7"/>
    <m/>
    <n v="13"/>
    <m/>
    <n v="59"/>
    <s v="YES"/>
    <s v="Yes"/>
    <n v="1"/>
    <x v="1"/>
    <x v="1"/>
  </r>
  <r>
    <x v="63"/>
    <s v="Jack"/>
    <s v="O'Neill"/>
    <n v="50"/>
    <x v="10"/>
    <n v="1974"/>
    <n v="63000"/>
    <x v="9"/>
    <s v="Male"/>
    <s v="sales"/>
    <s v="Sales"/>
    <s v="Director"/>
    <d v="2019-03-25T00:00:00"/>
    <d v="2019-03-25T00:00:00"/>
    <s v="B"/>
    <x v="35"/>
    <s v="jack.o'neill@saltcorp.com"/>
    <s v="098-765-4321"/>
    <s v="Full-Time"/>
    <s v="Full-Time"/>
    <m/>
    <n v="8"/>
    <m/>
    <m/>
    <m/>
    <m/>
    <s v="no"/>
    <s v="No"/>
    <n v="2"/>
    <x v="1"/>
    <x v="1"/>
  </r>
  <r>
    <x v="64"/>
    <s v="Bob"/>
    <s v="Powers"/>
    <n v="40"/>
    <x v="7"/>
    <n v="1984"/>
    <n v="55000"/>
    <x v="6"/>
    <s v="Female"/>
    <s v="finance"/>
    <s v="Finance"/>
    <s v="Manager"/>
    <d v="2018-04-05T00:00:00"/>
    <d v="2018-04-05T00:00:00"/>
    <s v="F"/>
    <x v="36"/>
    <s v="bob.powers@saltcorp.com"/>
    <s v="555-555-5555"/>
    <s v="Full-Time"/>
    <s v="Full-Time"/>
    <m/>
    <n v="7"/>
    <m/>
    <m/>
    <m/>
    <n v="12"/>
    <s v="YES"/>
    <s v="Yes"/>
    <n v="2"/>
    <x v="1"/>
    <x v="1"/>
  </r>
  <r>
    <x v="65"/>
    <s v="Jack"/>
    <s v="Sullivan"/>
    <n v="25"/>
    <x v="0"/>
    <n v="1999"/>
    <s v="SIXTY THOUSAND"/>
    <x v="2"/>
    <s v="Female"/>
    <s v="Marketing"/>
    <s v="Marketing"/>
    <s v="Assistant"/>
    <d v="2019-03-25T00:00:00"/>
    <d v="2019-03-25T00:00:00"/>
    <s v="D"/>
    <x v="34"/>
    <s v="jack.sullivan@saltcorp.com"/>
    <s v="555-555-5555"/>
    <s v="Full-Time"/>
    <s v="Full-Time"/>
    <m/>
    <n v="1"/>
    <m/>
    <n v="0"/>
    <m/>
    <m/>
    <s v="no"/>
    <s v="No"/>
    <n v="5"/>
    <x v="0"/>
    <x v="0"/>
  </r>
  <r>
    <x v="66"/>
    <s v="David"/>
    <s v="Garrett"/>
    <n v="25"/>
    <x v="0"/>
    <n v="1999"/>
    <s v="SIXTY THOUSAND"/>
    <x v="2"/>
    <s v="Male"/>
    <s v="sales"/>
    <s v="Sales"/>
    <s v="Manager"/>
    <d v="2018-04-05T00:00:00"/>
    <d v="2018-04-05T00:00:00"/>
    <s v="D"/>
    <x v="34"/>
    <s v="david.garrett@saltcorp.com"/>
    <s v="555-555-5555"/>
    <s v="Part-Time"/>
    <s v="Part-Time"/>
    <m/>
    <n v="1"/>
    <m/>
    <n v="0"/>
    <d v="2022-06-20T00:00:00"/>
    <m/>
    <s v="no"/>
    <s v="No"/>
    <n v="1"/>
    <x v="1"/>
    <x v="1"/>
  </r>
  <r>
    <x v="67"/>
    <s v="Hannah"/>
    <s v="Powell"/>
    <n v="40"/>
    <x v="7"/>
    <n v="1984"/>
    <n v="63000"/>
    <x v="9"/>
    <s v="Male"/>
    <s v="sales"/>
    <s v="Sales"/>
    <s v="Director"/>
    <d v="2019-12-01T00:00:00"/>
    <d v="2019-12-01T00:00:00"/>
    <s v="F"/>
    <x v="37"/>
    <s v="hannah.powell@saltcorp.com"/>
    <s v=" "/>
    <s v="contract"/>
    <s v="Contract"/>
    <m/>
    <n v="4"/>
    <n v="6"/>
    <m/>
    <d v="2022-06-20T00:00:00"/>
    <m/>
    <s v="YES"/>
    <s v="Yes"/>
    <n v="1"/>
    <x v="0"/>
    <x v="0"/>
  </r>
  <r>
    <x v="68"/>
    <s v="Grace"/>
    <s v="Zhang"/>
    <n v="35"/>
    <x v="2"/>
    <n v="1989"/>
    <n v="59300"/>
    <x v="13"/>
    <s v="Female"/>
    <s v="it"/>
    <s v="IT"/>
    <s v="Analyst"/>
    <d v="2020-01-15T00:00:00"/>
    <d v="2020-01-15T00:00:00"/>
    <s v="F"/>
    <x v="19"/>
    <s v="grace.zhang@saltcorp.com"/>
    <s v="555-555-5555"/>
    <s v="Full-Time"/>
    <s v="Full-Time"/>
    <s v="EMP-2019-0042"/>
    <n v="6"/>
    <m/>
    <m/>
    <d v="2023-03-05T00:00:00"/>
    <m/>
    <s v="YES"/>
    <s v="Yes"/>
    <n v="5"/>
    <x v="0"/>
    <x v="0"/>
  </r>
  <r>
    <x v="69"/>
    <s v="Ivy"/>
    <s v="Kumar"/>
    <n v="50"/>
    <x v="10"/>
    <n v="1974"/>
    <n v="55000"/>
    <x v="6"/>
    <s v="Female"/>
    <s v="Marketing"/>
    <s v="Marketing"/>
    <s v="Analyst"/>
    <d v="2019-12-01T00:00:00"/>
    <d v="2019-12-01T00:00:00"/>
    <s v="A"/>
    <x v="11"/>
    <s v="ivy.kumar@saltcorp.com"/>
    <m/>
    <s v="contract"/>
    <s v="Contract"/>
    <m/>
    <n v="1"/>
    <s v="N/A"/>
    <m/>
    <s v="N/A"/>
    <m/>
    <s v="no"/>
    <s v="No"/>
    <n v="3"/>
    <x v="0"/>
    <x v="0"/>
  </r>
  <r>
    <x v="70"/>
    <s v="Hannah"/>
    <s v="Bennett"/>
    <s v="thirty"/>
    <x v="8"/>
    <n v="1994"/>
    <n v="55000"/>
    <x v="6"/>
    <s v="Male"/>
    <s v="HR"/>
    <s v="HR"/>
    <s v="Manager"/>
    <d v="2020-02-20T00:00:00"/>
    <d v="2020-02-20T00:00:00"/>
    <s v="B"/>
    <x v="16"/>
    <s v="hannah.bennett@saltcorp.com"/>
    <m/>
    <s v="Part-Time"/>
    <s v="Part-Time"/>
    <m/>
    <n v="6"/>
    <m/>
    <m/>
    <s v="N/A"/>
    <n v="61"/>
    <m/>
    <s v=""/>
    <n v="4"/>
    <x v="0"/>
    <x v="0"/>
  </r>
  <r>
    <x v="71"/>
    <s v="Eve"/>
    <s v="Cooper"/>
    <m/>
    <x v="14"/>
    <n v="1980"/>
    <n v="60300"/>
    <x v="14"/>
    <s v="Male"/>
    <s v="finance"/>
    <s v="Finance"/>
    <s v="Director"/>
    <d v="2019-03-25T00:00:00"/>
    <d v="2019-03-25T00:00:00"/>
    <s v="F"/>
    <x v="38"/>
    <s v="eve.cooper@saltcorp.com"/>
    <s v=" "/>
    <s v="Full-Time"/>
    <s v="Full-Time"/>
    <m/>
    <n v="4"/>
    <m/>
    <m/>
    <d v="2022-06-20T00:00:00"/>
    <n v="46"/>
    <s v="YES"/>
    <s v="Yes"/>
    <n v="2"/>
    <x v="1"/>
    <x v="1"/>
  </r>
  <r>
    <x v="72"/>
    <s v="Bob"/>
    <s v="Garcia"/>
    <s v="thirty"/>
    <x v="8"/>
    <n v="1994"/>
    <n v="50000"/>
    <x v="0"/>
    <s v="Male"/>
    <s v="it"/>
    <s v="IT"/>
    <s v="Analyst"/>
    <d v="2020-02-20T00:00:00"/>
    <d v="2020-02-20T00:00:00"/>
    <s v="F"/>
    <x v="36"/>
    <s v="bob.garcia@saltcorp.com"/>
    <s v="098-765-4321"/>
    <s v="contract"/>
    <s v="Contract"/>
    <m/>
    <n v="1"/>
    <m/>
    <m/>
    <s v="N/A"/>
    <m/>
    <s v="no"/>
    <s v="No"/>
    <n v="1"/>
    <x v="1"/>
    <x v="1"/>
  </r>
  <r>
    <x v="73"/>
    <s v="Eve"/>
    <s v="McCoy"/>
    <n v="40"/>
    <x v="7"/>
    <n v="1984"/>
    <s v="SIXTY THOUSAND"/>
    <x v="2"/>
    <s v="Female"/>
    <s v="finance"/>
    <s v="Finance"/>
    <s v="Director"/>
    <d v="2019-03-25T00:00:00"/>
    <d v="2019-03-25T00:00:00"/>
    <s v="C"/>
    <x v="23"/>
    <s v="eve.mccoy@saltcorp.com"/>
    <s v="123-456-7890"/>
    <s v="Part-Time"/>
    <s v="Part-Time"/>
    <m/>
    <n v="1"/>
    <m/>
    <m/>
    <m/>
    <n v="54"/>
    <m/>
    <s v=""/>
    <n v="3"/>
    <x v="0"/>
    <x v="0"/>
  </r>
  <r>
    <x v="74"/>
    <s v="Hannah"/>
    <s v="Davidson"/>
    <n v="25"/>
    <x v="0"/>
    <n v="1999"/>
    <n v="70000"/>
    <x v="5"/>
    <s v="Female"/>
    <s v="HR"/>
    <s v="HR"/>
    <s v="Analyst"/>
    <s v="2019.12.01"/>
    <d v="2019-12-01T00:00:00"/>
    <s v="F"/>
    <x v="39"/>
    <s v="hannah.davidson@saltcorp.com"/>
    <s v="098-765-4321"/>
    <s v="Part-Time"/>
    <s v="Part-Time"/>
    <m/>
    <n v="4"/>
    <n v="5"/>
    <m/>
    <m/>
    <n v="80"/>
    <m/>
    <s v=""/>
    <n v="1"/>
    <x v="1"/>
    <x v="1"/>
  </r>
  <r>
    <x v="75"/>
    <s v="Jack"/>
    <s v="O'Connor"/>
    <n v="25"/>
    <x v="0"/>
    <n v="1999"/>
    <n v="55000"/>
    <x v="6"/>
    <s v="Male"/>
    <s v="HR"/>
    <s v="HR"/>
    <s v="Director"/>
    <d v="2018-04-05T00:00:00"/>
    <d v="2018-04-05T00:00:00"/>
    <s v="B"/>
    <x v="14"/>
    <s v="jack.o'connor@saltcorp.com"/>
    <s v="098-765-4321"/>
    <s v="contract"/>
    <s v="Contract"/>
    <m/>
    <n v="4"/>
    <m/>
    <m/>
    <m/>
    <m/>
    <m/>
    <s v=""/>
    <n v="1"/>
    <x v="0"/>
    <x v="0"/>
  </r>
  <r>
    <x v="76"/>
    <s v="Ivy"/>
    <s v="Sharma"/>
    <m/>
    <x v="0"/>
    <n v="1999"/>
    <n v="55000"/>
    <x v="6"/>
    <s v="Female"/>
    <s v="sales"/>
    <s v="Sales"/>
    <s v="Clerk"/>
    <d v="2018-04-05T00:00:00"/>
    <d v="2018-04-05T00:00:00"/>
    <s v="D"/>
    <x v="17"/>
    <s v="ivy.sharma@saltcorp.com"/>
    <s v="098-765-4321"/>
    <s v="Full-Time"/>
    <s v="Full-Time"/>
    <m/>
    <n v="6"/>
    <m/>
    <n v="20"/>
    <s v="N/A"/>
    <n v="19"/>
    <m/>
    <s v=""/>
    <n v="5"/>
    <x v="1"/>
    <x v="1"/>
  </r>
  <r>
    <x v="77"/>
    <s v="Ivy"/>
    <s v="Kumar"/>
    <n v="25"/>
    <x v="0"/>
    <n v="1999"/>
    <n v="60900"/>
    <x v="15"/>
    <s v="Male"/>
    <s v="HR"/>
    <s v="HR"/>
    <s v="Director"/>
    <d v="2019-03-25T00:00:00"/>
    <d v="2019-03-25T00:00:00"/>
    <s v="D"/>
    <x v="0"/>
    <s v="ivy.kumar@saltcorp.com"/>
    <s v="098-765-4321"/>
    <s v="Full-Time"/>
    <s v="Full-Time"/>
    <m/>
    <n v="5"/>
    <n v="14"/>
    <m/>
    <m/>
    <n v="46"/>
    <s v="no"/>
    <s v="No"/>
    <n v="1"/>
    <x v="0"/>
    <x v="0"/>
  </r>
  <r>
    <x v="78"/>
    <s v="Alice"/>
    <s v="Lee"/>
    <n v="25"/>
    <x v="0"/>
    <n v="1999"/>
    <n v="65000"/>
    <x v="1"/>
    <s v="Male"/>
    <s v="finance"/>
    <s v="Finance"/>
    <s v="Director"/>
    <d v="2018-04-05T00:00:00"/>
    <d v="2018-04-05T00:00:00"/>
    <s v="D"/>
    <x v="0"/>
    <s v="alice.lee@saltcorp.com"/>
    <s v="123-456-7890"/>
    <s v="contract"/>
    <s v="Contract"/>
    <s v="EMP-2020-0053"/>
    <n v="3"/>
    <m/>
    <m/>
    <m/>
    <m/>
    <m/>
    <s v=""/>
    <n v="3"/>
    <x v="1"/>
    <x v="1"/>
  </r>
  <r>
    <x v="79"/>
    <s v="Ivy"/>
    <s v="Gibson"/>
    <m/>
    <x v="15"/>
    <n v="1986"/>
    <n v="70000"/>
    <x v="5"/>
    <s v="Female"/>
    <s v="Marketing"/>
    <s v="Marketing"/>
    <s v="Manager"/>
    <s v="2019.12.01"/>
    <d v="2019-12-01T00:00:00"/>
    <s v="D"/>
    <x v="17"/>
    <s v="ivy.gibson@saltcorp.com"/>
    <s v="555-555-5555"/>
    <s v="Part-Time"/>
    <s v="Part-Time"/>
    <s v="EMP-2018-0060"/>
    <n v="2"/>
    <n v="5"/>
    <n v="10"/>
    <d v="2023-01-15T00:00:00"/>
    <m/>
    <s v="YES"/>
    <s v="Yes"/>
    <n v="2"/>
    <x v="0"/>
    <x v="0"/>
  </r>
  <r>
    <x v="80"/>
    <s v="Grace"/>
    <s v="Zhou"/>
    <n v="50"/>
    <x v="10"/>
    <n v="1974"/>
    <n v="70000"/>
    <x v="5"/>
    <s v="Female"/>
    <s v="Marketing"/>
    <s v="Marketing"/>
    <s v="Clerk"/>
    <d v="2018-04-05T00:00:00"/>
    <d v="2018-04-05T00:00:00"/>
    <s v="C"/>
    <x v="2"/>
    <s v="grace.zhou@saltcorp.com"/>
    <s v="098-765-4321"/>
    <s v="Full-Time"/>
    <s v="Full-Time"/>
    <m/>
    <n v="7"/>
    <m/>
    <m/>
    <d v="2023-03-05T00:00:00"/>
    <n v="78"/>
    <s v="no"/>
    <s v="No"/>
    <n v="5"/>
    <x v="1"/>
    <x v="1"/>
  </r>
  <r>
    <x v="81"/>
    <s v="Ivy"/>
    <s v="Reddy"/>
    <n v="50"/>
    <x v="10"/>
    <n v="1974"/>
    <n v="55000"/>
    <x v="6"/>
    <s v="Female"/>
    <s v="sales"/>
    <s v="Sales"/>
    <s v="Assistant"/>
    <s v="2019.12.01"/>
    <d v="2019-12-01T00:00:00"/>
    <s v="F"/>
    <x v="40"/>
    <s v="ivy.reddy@saltcorp.com"/>
    <m/>
    <s v="contract"/>
    <s v="Contract"/>
    <m/>
    <n v="5"/>
    <s v="N/A"/>
    <m/>
    <d v="2023-03-05T00:00:00"/>
    <m/>
    <s v="YES"/>
    <s v="Yes"/>
    <n v="2"/>
    <x v="1"/>
    <x v="1"/>
  </r>
  <r>
    <x v="82"/>
    <s v="Hannah"/>
    <s v="Jordan"/>
    <m/>
    <x v="14"/>
    <n v="1980"/>
    <n v="50000"/>
    <x v="0"/>
    <s v="Female"/>
    <s v="finance"/>
    <s v="Finance"/>
    <s v="Manager"/>
    <d v="2020-02-20T00:00:00"/>
    <d v="2020-02-20T00:00:00"/>
    <s v="D"/>
    <x v="17"/>
    <s v="hannah.jordan@saltcorp.com"/>
    <s v=" "/>
    <s v="Full-Time"/>
    <s v="Full-Time"/>
    <m/>
    <n v="3"/>
    <n v="5"/>
    <n v="20"/>
    <d v="2024-08-12T00:00:00"/>
    <m/>
    <s v="no"/>
    <s v="No"/>
    <n v="1"/>
    <x v="0"/>
    <x v="0"/>
  </r>
  <r>
    <x v="83"/>
    <s v="Alice"/>
    <s v="Martinez"/>
    <n v="40"/>
    <x v="7"/>
    <n v="1984"/>
    <n v="65000"/>
    <x v="1"/>
    <s v="Female"/>
    <s v="finance"/>
    <s v="Finance"/>
    <s v="Assistant"/>
    <s v="2019.12.01"/>
    <d v="2019-12-01T00:00:00"/>
    <s v="A"/>
    <x v="41"/>
    <s v="alice.martinez@saltcorp.com"/>
    <s v=" "/>
    <s v="Full-Time"/>
    <s v="Full-Time"/>
    <m/>
    <n v="2"/>
    <s v="N/A"/>
    <m/>
    <d v="2022-06-20T00:00:00"/>
    <m/>
    <s v="YES"/>
    <s v="Yes"/>
    <n v="4"/>
    <x v="0"/>
    <x v="0"/>
  </r>
  <r>
    <x v="84"/>
    <s v="Hannah"/>
    <s v="Knight"/>
    <n v="25"/>
    <x v="0"/>
    <n v="1999"/>
    <n v="70000"/>
    <x v="5"/>
    <s v="Female"/>
    <s v="HR"/>
    <s v="HR"/>
    <s v="Analyst"/>
    <d v="2020-01-15T00:00:00"/>
    <d v="2020-01-15T00:00:00"/>
    <s v="D"/>
    <x v="24"/>
    <s v="hannah.knight@saltcorp.com"/>
    <m/>
    <s v="Part-Time"/>
    <s v="Part-Time"/>
    <m/>
    <n v="1"/>
    <n v="3"/>
    <n v="9"/>
    <m/>
    <n v="51"/>
    <s v="YES"/>
    <s v="Yes"/>
    <n v="2"/>
    <x v="0"/>
    <x v="0"/>
  </r>
  <r>
    <x v="85"/>
    <s v="Hannah"/>
    <s v="Pearson"/>
    <n v="25"/>
    <x v="0"/>
    <n v="1999"/>
    <n v="55000"/>
    <x v="6"/>
    <s v="Male"/>
    <s v="finance"/>
    <s v="Finance"/>
    <s v="Assistant"/>
    <d v="2020-01-15T00:00:00"/>
    <d v="2020-01-15T00:00:00"/>
    <s v="F"/>
    <x v="42"/>
    <s v="hannah.pearson@saltcorp.com"/>
    <s v="098-765-4321"/>
    <s v="Full-Time"/>
    <s v="Full-Time"/>
    <m/>
    <n v="5"/>
    <n v="2"/>
    <m/>
    <d v="2024-08-12T00:00:00"/>
    <m/>
    <s v="no"/>
    <s v="No"/>
    <n v="2"/>
    <x v="0"/>
    <x v="0"/>
  </r>
  <r>
    <x v="86"/>
    <s v="Charlie"/>
    <s v="Clark"/>
    <n v="40"/>
    <x v="7"/>
    <n v="1984"/>
    <n v="70000"/>
    <x v="5"/>
    <s v="Male"/>
    <s v="it"/>
    <s v="IT"/>
    <s v="Director"/>
    <d v="2020-01-15T00:00:00"/>
    <d v="2020-01-15T00:00:00"/>
    <s v="D"/>
    <x v="43"/>
    <s v="charlie.clark@saltcorp.com"/>
    <s v="123-456-7890"/>
    <s v="Full-Time"/>
    <s v="Full-Time"/>
    <m/>
    <n v="5"/>
    <m/>
    <n v="3"/>
    <d v="2022-06-20T00:00:00"/>
    <m/>
    <s v="no"/>
    <s v="No"/>
    <n v="2"/>
    <x v="1"/>
    <x v="1"/>
  </r>
  <r>
    <x v="87"/>
    <s v="Alice"/>
    <s v="Rivera"/>
    <n v="50"/>
    <x v="10"/>
    <n v="1974"/>
    <n v="65000"/>
    <x v="1"/>
    <s v="Female"/>
    <s v="HR"/>
    <s v="HR"/>
    <s v="Assistant"/>
    <d v="2019-03-25T00:00:00"/>
    <d v="2019-03-25T00:00:00"/>
    <s v="C"/>
    <x v="44"/>
    <s v="alice.rivera@saltcorp.com"/>
    <s v="555-555-5555"/>
    <s v="Full-Time"/>
    <s v="Full-Time"/>
    <m/>
    <n v="8"/>
    <m/>
    <m/>
    <m/>
    <m/>
    <m/>
    <s v=""/>
    <n v="2"/>
    <x v="0"/>
    <x v="0"/>
  </r>
  <r>
    <x v="88"/>
    <s v="Hannah"/>
    <s v="Powell"/>
    <n v="35"/>
    <x v="2"/>
    <n v="1989"/>
    <n v="65000"/>
    <x v="1"/>
    <s v="Female"/>
    <s v="it"/>
    <s v="IT"/>
    <s v="Manager"/>
    <d v="2019-03-25T00:00:00"/>
    <d v="2019-03-25T00:00:00"/>
    <s v="B"/>
    <x v="35"/>
    <s v="hannah.powell@saltcorp.com"/>
    <s v=" "/>
    <s v="contract"/>
    <s v="Contract"/>
    <m/>
    <n v="6"/>
    <n v="6"/>
    <m/>
    <d v="2024-08-12T00:00:00"/>
    <n v="7"/>
    <s v="YES"/>
    <s v="Yes"/>
    <n v="3"/>
    <x v="0"/>
    <x v="0"/>
  </r>
  <r>
    <x v="89"/>
    <s v="Charlie"/>
    <s v="Martin"/>
    <n v="35"/>
    <x v="2"/>
    <n v="1989"/>
    <s v="SIXTY THOUSAND"/>
    <x v="2"/>
    <s v="Male"/>
    <s v="sales"/>
    <s v="Sales"/>
    <s v="Manager"/>
    <d v="2019-03-25T00:00:00"/>
    <d v="2019-03-25T00:00:00"/>
    <s v="B"/>
    <x v="45"/>
    <s v="charlie.martin@saltcorp.com"/>
    <s v="555-555-5555"/>
    <s v="Full-Time"/>
    <s v="Full-Time"/>
    <m/>
    <n v="7"/>
    <s v="N/A"/>
    <m/>
    <m/>
    <n v="55"/>
    <s v="YES"/>
    <s v="Yes"/>
    <n v="5"/>
    <x v="1"/>
    <x v="1"/>
  </r>
  <r>
    <x v="90"/>
    <s v="Charlie"/>
    <s v="Jackson"/>
    <n v="35"/>
    <x v="2"/>
    <n v="1989"/>
    <n v="61600"/>
    <x v="16"/>
    <s v="Male"/>
    <s v="Marketing"/>
    <s v="Marketing"/>
    <s v="Assistant"/>
    <s v="2019.12.01"/>
    <d v="2019-12-01T00:00:00"/>
    <s v="F"/>
    <x v="46"/>
    <s v="charlie.jackson@saltcorp.com"/>
    <s v="123-456-7890"/>
    <s v="contract"/>
    <s v="Contract"/>
    <m/>
    <n v="3"/>
    <n v="8"/>
    <m/>
    <d v="2024-08-12T00:00:00"/>
    <m/>
    <s v="no"/>
    <s v="No"/>
    <n v="2"/>
    <x v="0"/>
    <x v="0"/>
  </r>
  <r>
    <x v="91"/>
    <s v="Alice"/>
    <s v="Lucas"/>
    <n v="50"/>
    <x v="10"/>
    <n v="1974"/>
    <n v="61500"/>
    <x v="11"/>
    <s v="Female"/>
    <s v="sales"/>
    <s v="Sales"/>
    <s v="Manager"/>
    <d v="2019-03-25T00:00:00"/>
    <d v="2019-03-25T00:00:00"/>
    <s v="B"/>
    <x v="26"/>
    <s v="alice.lucas@saltcorp.com"/>
    <s v=" "/>
    <s v="Full-Time"/>
    <s v="Full-Time"/>
    <m/>
    <n v="6"/>
    <n v="2"/>
    <m/>
    <s v="N/A"/>
    <m/>
    <s v="no"/>
    <s v="No"/>
    <n v="4"/>
    <x v="0"/>
    <x v="0"/>
  </r>
  <r>
    <x v="92"/>
    <s v="Eve"/>
    <s v="Gutierrez"/>
    <n v="50"/>
    <x v="10"/>
    <n v="1974"/>
    <n v="55000"/>
    <x v="6"/>
    <s v="Male"/>
    <s v="Marketing"/>
    <s v="Marketing"/>
    <s v="Manager"/>
    <d v="2020-02-20T00:00:00"/>
    <d v="2020-02-20T00:00:00"/>
    <s v="B"/>
    <x v="26"/>
    <s v="eve.gutierrez@saltcorp.com"/>
    <s v="555-555-5555"/>
    <s v="contract"/>
    <s v="Contract"/>
    <m/>
    <n v="8"/>
    <m/>
    <m/>
    <m/>
    <n v="70"/>
    <s v="YES"/>
    <s v="Yes"/>
    <n v="5"/>
    <x v="0"/>
    <x v="0"/>
  </r>
  <r>
    <x v="93"/>
    <s v="Jack"/>
    <s v="Murphy"/>
    <n v="40"/>
    <x v="7"/>
    <n v="1984"/>
    <n v="65000"/>
    <x v="1"/>
    <s v="Male"/>
    <s v="sales"/>
    <s v="Sales"/>
    <s v="Assistant"/>
    <d v="2020-01-15T00:00:00"/>
    <d v="2020-01-15T00:00:00"/>
    <s v="A"/>
    <x v="3"/>
    <s v="jack.murphy@saltcorp.com"/>
    <s v="123-456-7890"/>
    <s v="Part-Time"/>
    <s v="Part-Time"/>
    <m/>
    <n v="6"/>
    <n v="15"/>
    <n v="16"/>
    <m/>
    <m/>
    <s v="YES"/>
    <s v="Yes"/>
    <n v="1"/>
    <x v="1"/>
    <x v="1"/>
  </r>
  <r>
    <x v="94"/>
    <s v="Grace"/>
    <s v="Weber"/>
    <n v="25"/>
    <x v="0"/>
    <n v="1999"/>
    <s v="SIXTY THOUSAND"/>
    <x v="2"/>
    <s v="Female"/>
    <s v="finance"/>
    <s v="Finance"/>
    <s v="Clerk"/>
    <s v="2019.12.01"/>
    <d v="2019-12-01T00:00:00"/>
    <s v="F"/>
    <x v="47"/>
    <s v="grace.weber@saltcorp.com"/>
    <s v="555-555-5555"/>
    <s v="contract"/>
    <s v="Contract"/>
    <s v="EMP-2020-0084"/>
    <n v="4"/>
    <m/>
    <m/>
    <s v="N/A"/>
    <m/>
    <s v="YES"/>
    <s v="Yes"/>
    <n v="1"/>
    <x v="1"/>
    <x v="1"/>
  </r>
  <r>
    <x v="95"/>
    <s v="Jack"/>
    <s v="Ryan"/>
    <n v="40"/>
    <x v="7"/>
    <n v="1984"/>
    <s v="SIXTY THOUSAND"/>
    <x v="2"/>
    <s v="Male"/>
    <s v="it"/>
    <s v="IT"/>
    <s v="Clerk"/>
    <d v="2020-01-15T00:00:00"/>
    <d v="2020-01-15T00:00:00"/>
    <s v="F"/>
    <x v="48"/>
    <s v="jack.ryan@saltcorp.com"/>
    <s v="098-765-4321"/>
    <s v="contract"/>
    <s v="Contract"/>
    <m/>
    <n v="3"/>
    <m/>
    <n v="13"/>
    <d v="2021-10-01T00:00:00"/>
    <n v="78"/>
    <s v="YES"/>
    <s v="Yes"/>
    <n v="3"/>
    <x v="0"/>
    <x v="0"/>
  </r>
  <r>
    <x v="96"/>
    <s v="Ivy"/>
    <s v="Reddy"/>
    <n v="40"/>
    <x v="7"/>
    <n v="1984"/>
    <n v="70000"/>
    <x v="5"/>
    <s v="Female"/>
    <s v="Marketing"/>
    <s v="Marketing"/>
    <s v="Analyst"/>
    <d v="2019-03-25T00:00:00"/>
    <d v="2019-03-25T00:00:00"/>
    <s v="B"/>
    <x v="35"/>
    <s v="ivy.reddy@saltcorp.com"/>
    <s v="123-456-7890"/>
    <s v="Part-Time"/>
    <s v="Part-Time"/>
    <m/>
    <n v="7"/>
    <m/>
    <m/>
    <d v="2023-03-05T00:00:00"/>
    <m/>
    <m/>
    <s v=""/>
    <n v="5"/>
    <x v="1"/>
    <x v="1"/>
  </r>
  <r>
    <x v="97"/>
    <s v="Grace"/>
    <s v="Wu"/>
    <n v="50"/>
    <x v="10"/>
    <n v="1974"/>
    <n v="70000"/>
    <x v="5"/>
    <s v="Male"/>
    <s v="HR"/>
    <s v="HR"/>
    <s v="Manager"/>
    <d v="2019-12-01T00:00:00"/>
    <d v="2019-12-01T00:00:00"/>
    <s v="B"/>
    <x v="49"/>
    <s v="grace.wu@saltcorp.com"/>
    <s v="555-555-5555"/>
    <s v="contract"/>
    <s v="Contract"/>
    <s v="EMP-2018-0057"/>
    <n v="1"/>
    <n v="8"/>
    <m/>
    <m/>
    <m/>
    <m/>
    <s v=""/>
    <n v="4"/>
    <x v="0"/>
    <x v="0"/>
  </r>
  <r>
    <x v="98"/>
    <s v="Ivy"/>
    <s v="Hoffman"/>
    <n v="35"/>
    <x v="2"/>
    <n v="1989"/>
    <s v="SIXTY THOUSAND"/>
    <x v="2"/>
    <s v="Female"/>
    <s v="it"/>
    <s v="IT"/>
    <s v="Assistant"/>
    <d v="2018-04-05T00:00:00"/>
    <d v="2018-04-05T00:00:00"/>
    <s v="B"/>
    <x v="6"/>
    <s v="ivy.hoffman@saltcorp.com"/>
    <s v="098-765-4321"/>
    <s v="contract"/>
    <s v="Contract"/>
    <m/>
    <n v="4"/>
    <n v="4"/>
    <n v="18"/>
    <d v="2021-10-01T00:00:00"/>
    <m/>
    <s v="no"/>
    <s v="No"/>
    <n v="1"/>
    <x v="0"/>
    <x v="0"/>
  </r>
  <r>
    <x v="99"/>
    <s v="Hannah"/>
    <s v="Perry"/>
    <s v="thirty"/>
    <x v="8"/>
    <n v="1994"/>
    <n v="70000"/>
    <x v="5"/>
    <s v="Male"/>
    <s v="HR"/>
    <s v="HR"/>
    <s v="Manager"/>
    <d v="2020-02-20T00:00:00"/>
    <d v="2020-02-20T00:00:00"/>
    <s v="C"/>
    <x v="29"/>
    <s v="hannah.perry@saltcorp.com"/>
    <s v="098-765-4321"/>
    <s v="contract"/>
    <s v="Contract"/>
    <s v="EMP-2020-0020"/>
    <n v="4"/>
    <m/>
    <m/>
    <m/>
    <m/>
    <m/>
    <s v=""/>
    <n v="4"/>
    <x v="1"/>
    <x v="1"/>
  </r>
  <r>
    <x v="100"/>
    <s v="Bob"/>
    <s v="Aguilar"/>
    <n v="25"/>
    <x v="0"/>
    <n v="1999"/>
    <n v="65000"/>
    <x v="1"/>
    <s v="Male"/>
    <s v="it"/>
    <s v="IT"/>
    <s v="Director"/>
    <d v="2019-03-25T00:00:00"/>
    <d v="2019-03-25T00:00:00"/>
    <s v="D"/>
    <x v="22"/>
    <s v="bob.aguilar@saltcorp.com"/>
    <s v="123-456-7890"/>
    <s v="contract"/>
    <s v="Contract"/>
    <m/>
    <n v="3"/>
    <n v="6"/>
    <n v="13"/>
    <m/>
    <n v="64"/>
    <s v="YES"/>
    <s v="Yes"/>
    <n v="1"/>
    <x v="1"/>
    <x v="1"/>
  </r>
  <r>
    <x v="101"/>
    <s v="Alice"/>
    <s v="Byrd"/>
    <n v="50"/>
    <x v="10"/>
    <n v="1974"/>
    <n v="50000"/>
    <x v="0"/>
    <s v="Male"/>
    <s v="it"/>
    <s v="IT"/>
    <s v="Manager"/>
    <d v="2019-03-25T00:00:00"/>
    <d v="2019-03-25T00:00:00"/>
    <s v="C"/>
    <x v="8"/>
    <s v="alice.byrd@saltcorp.com"/>
    <m/>
    <s v="contract"/>
    <s v="Contract"/>
    <m/>
    <n v="4"/>
    <s v="N/A"/>
    <m/>
    <d v="2021-10-01T00:00:00"/>
    <m/>
    <s v="YES"/>
    <s v="Yes"/>
    <n v="3"/>
    <x v="0"/>
    <x v="0"/>
  </r>
  <r>
    <x v="102"/>
    <s v="Grace"/>
    <s v="Walker"/>
    <n v="35"/>
    <x v="2"/>
    <n v="1989"/>
    <n v="65000"/>
    <x v="1"/>
    <s v="Female"/>
    <s v="sales"/>
    <s v="Sales"/>
    <s v="Manager"/>
    <d v="2020-02-20T00:00:00"/>
    <d v="2020-02-20T00:00:00"/>
    <s v="F"/>
    <x v="37"/>
    <s v="grace.walker@saltcorp.com"/>
    <s v=" "/>
    <s v="Full-Time"/>
    <s v="Full-Time"/>
    <m/>
    <n v="1"/>
    <m/>
    <n v="15"/>
    <d v="2024-08-12T00:00:00"/>
    <n v="64"/>
    <s v="YES"/>
    <s v="Yes"/>
    <n v="2"/>
    <x v="0"/>
    <x v="0"/>
  </r>
  <r>
    <x v="103"/>
    <s v="Grace"/>
    <s v="Gibson"/>
    <s v="thirty"/>
    <x v="8"/>
    <n v="1994"/>
    <s v="SIXTY THOUSAND"/>
    <x v="2"/>
    <s v="Female"/>
    <s v="Marketing"/>
    <s v="Marketing"/>
    <s v="Clerk"/>
    <d v="2020-02-20T00:00:00"/>
    <d v="2020-02-20T00:00:00"/>
    <s v="A"/>
    <x v="50"/>
    <s v="grace.gibson@saltcorp.com"/>
    <s v="123-456-7890"/>
    <s v="Part-Time"/>
    <s v="Part-Time"/>
    <m/>
    <n v="3"/>
    <n v="13"/>
    <n v="16"/>
    <m/>
    <m/>
    <s v="no"/>
    <s v="No"/>
    <n v="2"/>
    <x v="1"/>
    <x v="1"/>
  </r>
  <r>
    <x v="104"/>
    <s v="Hannah"/>
    <s v="West"/>
    <s v="thirty"/>
    <x v="8"/>
    <n v="1994"/>
    <s v="SIXTY THOUSAND"/>
    <x v="2"/>
    <s v="Male"/>
    <s v="Marketing"/>
    <s v="Marketing"/>
    <s v="Assistant"/>
    <d v="2018-04-05T00:00:00"/>
    <d v="2018-04-05T00:00:00"/>
    <s v="D"/>
    <x v="0"/>
    <s v="hannah.west@saltcorp.com"/>
    <s v="098-765-4321"/>
    <s v="contract"/>
    <s v="Contract"/>
    <m/>
    <n v="2"/>
    <n v="2"/>
    <n v="14"/>
    <s v="N/A"/>
    <m/>
    <s v="no"/>
    <s v="No"/>
    <n v="1"/>
    <x v="0"/>
    <x v="0"/>
  </r>
  <r>
    <x v="105"/>
    <s v="Eve"/>
    <s v="Walker"/>
    <n v="50"/>
    <x v="10"/>
    <n v="1974"/>
    <n v="65000"/>
    <x v="1"/>
    <s v="Female"/>
    <s v="it"/>
    <s v="IT"/>
    <s v="Manager"/>
    <d v="2019-03-25T00:00:00"/>
    <d v="2019-03-25T00:00:00"/>
    <s v="A"/>
    <x v="41"/>
    <s v="eve.walker@saltcorp.com"/>
    <s v="098-765-4321"/>
    <s v="Part-Time"/>
    <s v="Part-Time"/>
    <m/>
    <n v="6"/>
    <s v="N/A"/>
    <n v="17"/>
    <s v="N/A"/>
    <m/>
    <s v="no"/>
    <s v="No"/>
    <n v="4"/>
    <x v="0"/>
    <x v="0"/>
  </r>
  <r>
    <x v="106"/>
    <s v="Charlie"/>
    <s v="Pearson"/>
    <m/>
    <x v="16"/>
    <n v="2000"/>
    <n v="70000"/>
    <x v="5"/>
    <s v="Male"/>
    <s v="finance"/>
    <s v="Finance"/>
    <s v="Clerk"/>
    <d v="2019-03-25T00:00:00"/>
    <d v="2019-03-25T00:00:00"/>
    <s v="F"/>
    <x v="47"/>
    <s v="charlie.pearson@saltcorp.com"/>
    <s v="123-456-7890"/>
    <s v="Part-Time"/>
    <s v="Part-Time"/>
    <m/>
    <n v="1"/>
    <m/>
    <n v="13"/>
    <m/>
    <n v="63"/>
    <m/>
    <s v=""/>
    <n v="2"/>
    <x v="0"/>
    <x v="0"/>
  </r>
  <r>
    <x v="107"/>
    <s v="Hannah"/>
    <s v="Brooks"/>
    <n v="25"/>
    <x v="0"/>
    <n v="1999"/>
    <n v="70000"/>
    <x v="5"/>
    <s v="Female"/>
    <s v="finance"/>
    <s v="Finance"/>
    <s v="Analyst"/>
    <d v="2020-01-15T00:00:00"/>
    <d v="2020-01-15T00:00:00"/>
    <s v="F"/>
    <x v="42"/>
    <s v="hannah.brooks@saltcorp.com"/>
    <m/>
    <s v="contract"/>
    <s v="Contract"/>
    <m/>
    <n v="7"/>
    <s v="N/A"/>
    <m/>
    <d v="2024-08-12T00:00:00"/>
    <m/>
    <s v="no"/>
    <s v="No"/>
    <n v="3"/>
    <x v="0"/>
    <x v="0"/>
  </r>
  <r>
    <x v="108"/>
    <s v="Frank"/>
    <s v="Sanchez"/>
    <s v="thirty"/>
    <x v="8"/>
    <n v="1994"/>
    <n v="58800"/>
    <x v="17"/>
    <s v="Male"/>
    <s v="HR"/>
    <s v="HR"/>
    <s v="Clerk"/>
    <d v="2019-12-01T00:00:00"/>
    <d v="2019-12-01T00:00:00"/>
    <s v="A"/>
    <x v="51"/>
    <s v="frank.sanchez@saltcorp.com"/>
    <s v=" "/>
    <s v="Part-Time"/>
    <s v="Part-Time"/>
    <m/>
    <n v="5"/>
    <s v="N/A"/>
    <m/>
    <m/>
    <n v="5"/>
    <s v="no"/>
    <s v="No"/>
    <n v="1"/>
    <x v="0"/>
    <x v="0"/>
  </r>
  <r>
    <x v="109"/>
    <s v="Charlie"/>
    <s v="Clark"/>
    <n v="50"/>
    <x v="10"/>
    <n v="1974"/>
    <s v="SIXTY THOUSAND"/>
    <x v="2"/>
    <s v="Male"/>
    <s v="HR"/>
    <s v="HR"/>
    <s v="Clerk"/>
    <d v="2019-12-01T00:00:00"/>
    <d v="2019-12-01T00:00:00"/>
    <s v="A"/>
    <x v="52"/>
    <s v="charlie.clark@saltcorp.com"/>
    <s v="555-555-5555"/>
    <s v="Part-Time"/>
    <s v="Part-Time"/>
    <m/>
    <n v="1"/>
    <m/>
    <m/>
    <m/>
    <n v="46"/>
    <s v="YES"/>
    <s v="Yes"/>
    <n v="1"/>
    <x v="0"/>
    <x v="0"/>
  </r>
  <r>
    <x v="110"/>
    <s v="Alice"/>
    <s v="Wallace"/>
    <n v="50"/>
    <x v="10"/>
    <n v="1974"/>
    <n v="55000"/>
    <x v="6"/>
    <s v="Female"/>
    <s v="sales"/>
    <s v="Sales"/>
    <s v="Clerk"/>
    <d v="2020-01-15T00:00:00"/>
    <d v="2020-01-15T00:00:00"/>
    <s v="A"/>
    <x v="41"/>
    <s v="alice.wallace@saltcorp.com"/>
    <s v="123-456-7890"/>
    <s v="Full-Time"/>
    <s v="Full-Time"/>
    <s v="EMP-2018-0057"/>
    <n v="1"/>
    <m/>
    <m/>
    <m/>
    <m/>
    <s v="no"/>
    <s v="No"/>
    <n v="3"/>
    <x v="0"/>
    <x v="0"/>
  </r>
  <r>
    <x v="111"/>
    <s v="Charlie"/>
    <s v="Lewis"/>
    <n v="35"/>
    <x v="2"/>
    <n v="1989"/>
    <n v="60900"/>
    <x v="15"/>
    <s v="Male"/>
    <s v="it"/>
    <s v="IT"/>
    <s v="Manager"/>
    <d v="2019-12-01T00:00:00"/>
    <d v="2019-12-01T00:00:00"/>
    <s v="F"/>
    <x v="53"/>
    <s v="charlie.lewis@saltcorp.com"/>
    <s v=" "/>
    <s v="Full-Time"/>
    <s v="Full-Time"/>
    <m/>
    <n v="2"/>
    <m/>
    <m/>
    <d v="2023-01-15T00:00:00"/>
    <m/>
    <m/>
    <s v=""/>
    <n v="4"/>
    <x v="1"/>
    <x v="1"/>
  </r>
  <r>
    <x v="112"/>
    <s v="Eve"/>
    <s v="Hudson"/>
    <m/>
    <x v="17"/>
    <n v="1978"/>
    <n v="70000"/>
    <x v="5"/>
    <s v="Male"/>
    <s v="HR"/>
    <s v="HR"/>
    <s v="Manager"/>
    <d v="2020-02-20T00:00:00"/>
    <d v="2020-02-20T00:00:00"/>
    <s v="B"/>
    <x v="54"/>
    <s v="eve.hudson@saltcorp.com"/>
    <s v=" "/>
    <s v="contract"/>
    <s v="Contract"/>
    <m/>
    <n v="1"/>
    <m/>
    <n v="15"/>
    <m/>
    <m/>
    <s v="no"/>
    <s v="No"/>
    <n v="3"/>
    <x v="0"/>
    <x v="0"/>
  </r>
  <r>
    <x v="113"/>
    <s v="Charlie"/>
    <s v="Harrison"/>
    <n v="25"/>
    <x v="0"/>
    <n v="1999"/>
    <n v="65000"/>
    <x v="1"/>
    <s v="Female"/>
    <s v="HR"/>
    <s v="HR"/>
    <s v="Analyst"/>
    <d v="2019-12-01T00:00:00"/>
    <d v="2019-12-01T00:00:00"/>
    <s v="A"/>
    <x v="9"/>
    <s v="charlie.harrison@saltcorp.com"/>
    <s v="098-765-4321"/>
    <s v="contract"/>
    <s v="Contract"/>
    <m/>
    <n v="1"/>
    <n v="14"/>
    <n v="1"/>
    <d v="2022-06-20T00:00:00"/>
    <m/>
    <s v="no"/>
    <s v="No"/>
    <n v="1"/>
    <x v="0"/>
    <x v="0"/>
  </r>
  <r>
    <x v="114"/>
    <s v="Alice"/>
    <s v="Martinez"/>
    <n v="40"/>
    <x v="7"/>
    <n v="1984"/>
    <n v="70000"/>
    <x v="5"/>
    <s v="Female"/>
    <s v="it"/>
    <s v="IT"/>
    <s v="Director"/>
    <d v="2019-12-01T00:00:00"/>
    <d v="2019-12-01T00:00:00"/>
    <s v="D"/>
    <x v="34"/>
    <s v="alice.martinez@saltcorp.com"/>
    <s v="555-555-5555"/>
    <s v="contract"/>
    <s v="Contract"/>
    <s v="EMP-2018-0022"/>
    <n v="2"/>
    <m/>
    <n v="18"/>
    <m/>
    <m/>
    <m/>
    <s v=""/>
    <n v="4"/>
    <x v="0"/>
    <x v="0"/>
  </r>
  <r>
    <x v="115"/>
    <s v="Eve"/>
    <s v="Williamson"/>
    <n v="35"/>
    <x v="2"/>
    <n v="1989"/>
    <n v="65000"/>
    <x v="1"/>
    <s v="Female"/>
    <s v="sales"/>
    <s v="Sales"/>
    <s v="Director"/>
    <d v="2020-01-15T00:00:00"/>
    <d v="2020-01-15T00:00:00"/>
    <s v="F"/>
    <x v="55"/>
    <s v="eve.williamson@saltcorp.com"/>
    <s v="123-456-7890"/>
    <s v="Part-Time"/>
    <s v="Part-Time"/>
    <m/>
    <n v="7"/>
    <m/>
    <m/>
    <s v="N/A"/>
    <n v="17"/>
    <m/>
    <s v=""/>
    <n v="2"/>
    <x v="1"/>
    <x v="1"/>
  </r>
  <r>
    <x v="116"/>
    <s v="Jack"/>
    <s v="Powers"/>
    <s v="thirty"/>
    <x v="8"/>
    <n v="1994"/>
    <n v="60900"/>
    <x v="15"/>
    <s v="Male"/>
    <s v="HR"/>
    <s v="HR"/>
    <s v="Director"/>
    <d v="2018-04-05T00:00:00"/>
    <d v="2018-04-05T00:00:00"/>
    <s v="C"/>
    <x v="7"/>
    <s v="jack.powers@saltcorp.com"/>
    <s v="098-765-4321"/>
    <s v="Part-Time"/>
    <s v="Part-Time"/>
    <s v="EMP-2020-0019"/>
    <n v="8"/>
    <s v="N/A"/>
    <m/>
    <d v="2023-03-05T00:00:00"/>
    <m/>
    <m/>
    <s v=""/>
    <n v="4"/>
    <x v="0"/>
    <x v="0"/>
  </r>
  <r>
    <x v="117"/>
    <s v="Grace"/>
    <s v="Liu"/>
    <s v="thirty"/>
    <x v="8"/>
    <n v="1994"/>
    <s v="SIXTY THOUSAND"/>
    <x v="2"/>
    <s v="Female"/>
    <s v="sales"/>
    <s v="Sales"/>
    <s v="Analyst"/>
    <d v="2019-12-01T00:00:00"/>
    <d v="2019-12-01T00:00:00"/>
    <s v="C"/>
    <x v="20"/>
    <s v="grace.liu@saltcorp.com"/>
    <s v="098-765-4321"/>
    <s v="contract"/>
    <s v="Contract"/>
    <m/>
    <n v="7"/>
    <m/>
    <m/>
    <m/>
    <m/>
    <s v="no"/>
    <s v="No"/>
    <n v="4"/>
    <x v="1"/>
    <x v="1"/>
  </r>
  <r>
    <x v="118"/>
    <s v="Grace"/>
    <s v="Li"/>
    <n v="35"/>
    <x v="2"/>
    <n v="1989"/>
    <n v="70000"/>
    <x v="5"/>
    <s v="Female"/>
    <s v="Marketing"/>
    <s v="Marketing"/>
    <s v="Director"/>
    <d v="2019-12-01T00:00:00"/>
    <d v="2019-12-01T00:00:00"/>
    <s v="D"/>
    <x v="24"/>
    <s v="grace.li@saltcorp.com"/>
    <m/>
    <s v="contract"/>
    <s v="Contract"/>
    <m/>
    <n v="2"/>
    <m/>
    <n v="14"/>
    <m/>
    <m/>
    <s v="YES"/>
    <s v="Yes"/>
    <n v="1"/>
    <x v="0"/>
    <x v="0"/>
  </r>
  <r>
    <x v="119"/>
    <s v="Ivy"/>
    <s v="Figueroa"/>
    <n v="50"/>
    <x v="10"/>
    <n v="1974"/>
    <n v="65000"/>
    <x v="1"/>
    <s v="Female"/>
    <s v="sales"/>
    <s v="Sales"/>
    <s v="Director"/>
    <d v="2018-04-05T00:00:00"/>
    <d v="2018-04-05T00:00:00"/>
    <s v="B"/>
    <x v="14"/>
    <s v="ivy.figueroa@saltcorp.com"/>
    <s v=" "/>
    <s v="Full-Time"/>
    <s v="Full-Time"/>
    <m/>
    <n v="5"/>
    <m/>
    <n v="2"/>
    <m/>
    <m/>
    <s v="YES"/>
    <s v="Yes"/>
    <n v="4"/>
    <x v="1"/>
    <x v="1"/>
  </r>
  <r>
    <x v="120"/>
    <s v="Jack"/>
    <s v="Ryan"/>
    <s v="thirty"/>
    <x v="8"/>
    <n v="1994"/>
    <s v="SIXTY THOUSAND"/>
    <x v="2"/>
    <s v="Female"/>
    <s v="finance"/>
    <s v="Finance"/>
    <s v="Clerk"/>
    <d v="2020-01-15T00:00:00"/>
    <d v="2020-01-15T00:00:00"/>
    <s v="A"/>
    <x v="52"/>
    <s v="jack.ryan@saltcorp.com"/>
    <s v="123-456-7890"/>
    <s v="Full-Time"/>
    <s v="Full-Time"/>
    <m/>
    <n v="8"/>
    <m/>
    <n v="12"/>
    <d v="2021-10-01T00:00:00"/>
    <m/>
    <s v="no"/>
    <s v="No"/>
    <n v="3"/>
    <x v="0"/>
    <x v="0"/>
  </r>
  <r>
    <x v="121"/>
    <s v="Jack"/>
    <s v="Murphy"/>
    <m/>
    <x v="18"/>
    <n v="1977"/>
    <n v="55000"/>
    <x v="6"/>
    <s v="Female"/>
    <s v="finance"/>
    <s v="Finance"/>
    <s v="Manager"/>
    <d v="2018-04-05T00:00:00"/>
    <d v="2018-04-05T00:00:00"/>
    <s v="F"/>
    <x v="56"/>
    <s v="jack.murphy@saltcorp.com"/>
    <s v="123-456-7890"/>
    <s v="Full-Time"/>
    <s v="Full-Time"/>
    <m/>
    <n v="3"/>
    <m/>
    <m/>
    <m/>
    <n v="32"/>
    <s v="YES"/>
    <s v="Yes"/>
    <n v="2"/>
    <x v="1"/>
    <x v="1"/>
  </r>
  <r>
    <x v="122"/>
    <s v="Charlie"/>
    <s v="Harris"/>
    <n v="25"/>
    <x v="0"/>
    <n v="1999"/>
    <n v="65000"/>
    <x v="1"/>
    <s v="Female"/>
    <s v="sales"/>
    <s v="Sales"/>
    <s v="Manager"/>
    <d v="2020-01-15T00:00:00"/>
    <d v="2020-01-15T00:00:00"/>
    <s v="A"/>
    <x v="32"/>
    <s v="charlie.harris@saltcorp.com"/>
    <s v="123-456-7890"/>
    <s v="Full-Time"/>
    <s v="Full-Time"/>
    <m/>
    <n v="4"/>
    <m/>
    <m/>
    <m/>
    <n v="20"/>
    <s v="YES"/>
    <s v="Yes"/>
    <n v="4"/>
    <x v="0"/>
    <x v="0"/>
  </r>
  <r>
    <x v="123"/>
    <s v="Grace"/>
    <s v="Zhou"/>
    <m/>
    <x v="6"/>
    <n v="1991"/>
    <n v="61300"/>
    <x v="18"/>
    <s v="Male"/>
    <s v="finance"/>
    <s v="Finance"/>
    <s v="Clerk"/>
    <d v="2020-02-20T00:00:00"/>
    <d v="2020-02-20T00:00:00"/>
    <s v="F"/>
    <x v="57"/>
    <s v="grace.zhou@saltcorp.com"/>
    <s v="098-765-4321"/>
    <s v="Part-Time"/>
    <s v="Part-Time"/>
    <m/>
    <n v="1"/>
    <m/>
    <m/>
    <m/>
    <n v="31"/>
    <m/>
    <s v=""/>
    <n v="1"/>
    <x v="1"/>
    <x v="1"/>
  </r>
  <r>
    <x v="124"/>
    <s v="Alice"/>
    <s v="Williamson"/>
    <s v="thirty"/>
    <x v="8"/>
    <n v="1994"/>
    <n v="55000"/>
    <x v="6"/>
    <s v="Female"/>
    <s v="Marketing"/>
    <s v="Marketing"/>
    <s v="Clerk"/>
    <d v="2020-01-15T00:00:00"/>
    <d v="2020-01-15T00:00:00"/>
    <s v="C"/>
    <x v="23"/>
    <s v="alice.williamson@saltcorp.com"/>
    <m/>
    <s v="Full-Time"/>
    <s v="Full-Time"/>
    <m/>
    <n v="5"/>
    <m/>
    <m/>
    <d v="2024-08-12T00:00:00"/>
    <m/>
    <s v="no"/>
    <s v="No"/>
    <n v="1"/>
    <x v="1"/>
    <x v="1"/>
  </r>
  <r>
    <x v="125"/>
    <s v="David"/>
    <s v="Kim"/>
    <n v="40"/>
    <x v="7"/>
    <n v="1984"/>
    <n v="55000"/>
    <x v="6"/>
    <s v="Male"/>
    <s v="it"/>
    <s v="IT"/>
    <s v="Clerk"/>
    <d v="2020-02-20T00:00:00"/>
    <d v="2020-02-20T00:00:00"/>
    <s v="A"/>
    <x v="25"/>
    <s v="david.kim@saltcorp.com"/>
    <s v="555-555-5555"/>
    <s v="Full-Time"/>
    <s v="Full-Time"/>
    <s v="EMP-2020-0038"/>
    <n v="7"/>
    <m/>
    <n v="3"/>
    <d v="2022-06-20T00:00:00"/>
    <m/>
    <s v="YES"/>
    <s v="Yes"/>
    <n v="3"/>
    <x v="0"/>
    <x v="0"/>
  </r>
  <r>
    <x v="126"/>
    <s v="David"/>
    <s v="Weber"/>
    <n v="25"/>
    <x v="0"/>
    <n v="1999"/>
    <n v="50000"/>
    <x v="0"/>
    <s v="Male"/>
    <s v="finance"/>
    <s v="Finance"/>
    <s v="Manager"/>
    <d v="2020-02-20T00:00:00"/>
    <d v="2020-02-20T00:00:00"/>
    <s v="D"/>
    <x v="17"/>
    <s v="david.weber@saltcorp.com"/>
    <s v="098-765-4321"/>
    <s v="Full-Time"/>
    <s v="Full-Time"/>
    <m/>
    <n v="2"/>
    <m/>
    <n v="19"/>
    <m/>
    <m/>
    <s v="YES"/>
    <s v="Yes"/>
    <n v="3"/>
    <x v="0"/>
    <x v="0"/>
  </r>
  <r>
    <x v="127"/>
    <s v="Eve"/>
    <s v="Bennett"/>
    <n v="25"/>
    <x v="0"/>
    <n v="1999"/>
    <n v="70000"/>
    <x v="5"/>
    <s v="Female"/>
    <s v="finance"/>
    <s v="Finance"/>
    <s v="Director"/>
    <d v="2020-01-15T00:00:00"/>
    <d v="2020-01-15T00:00:00"/>
    <s v="B"/>
    <x v="45"/>
    <s v="eve.bennett@saltcorp.com"/>
    <s v="555-555-5555"/>
    <s v="contract"/>
    <s v="Contract"/>
    <m/>
    <n v="5"/>
    <m/>
    <m/>
    <m/>
    <n v="79"/>
    <s v="YES"/>
    <s v="Yes"/>
    <n v="4"/>
    <x v="0"/>
    <x v="0"/>
  </r>
  <r>
    <x v="128"/>
    <s v="Grace"/>
    <s v="Liu"/>
    <n v="35"/>
    <x v="2"/>
    <n v="1989"/>
    <n v="65000"/>
    <x v="1"/>
    <s v="Female"/>
    <s v="sales"/>
    <s v="Sales"/>
    <s v="Clerk"/>
    <d v="2019-03-25T00:00:00"/>
    <d v="2019-03-25T00:00:00"/>
    <s v="D"/>
    <x v="30"/>
    <s v="grace.liu@saltcorp.com"/>
    <m/>
    <s v="Full-Time"/>
    <s v="Full-Time"/>
    <m/>
    <n v="3"/>
    <m/>
    <n v="15"/>
    <m/>
    <n v="20"/>
    <s v="YES"/>
    <s v="Yes"/>
    <n v="5"/>
    <x v="0"/>
    <x v="0"/>
  </r>
  <r>
    <x v="129"/>
    <s v="Grace"/>
    <s v="Rogers"/>
    <n v="35"/>
    <x v="2"/>
    <n v="1989"/>
    <n v="55000"/>
    <x v="6"/>
    <s v="Female"/>
    <s v="Marketing"/>
    <s v="Marketing"/>
    <s v="Analyst"/>
    <d v="2020-01-15T00:00:00"/>
    <d v="2020-01-15T00:00:00"/>
    <s v="B"/>
    <x v="16"/>
    <s v="grace.rogers@saltcorp.com"/>
    <s v=" "/>
    <s v="contract"/>
    <s v="Contract"/>
    <m/>
    <n v="7"/>
    <m/>
    <n v="17"/>
    <m/>
    <m/>
    <s v="YES"/>
    <s v="Yes"/>
    <n v="2"/>
    <x v="1"/>
    <x v="1"/>
  </r>
  <r>
    <x v="130"/>
    <s v="David"/>
    <s v="Dominguez"/>
    <n v="40"/>
    <x v="7"/>
    <n v="1984"/>
    <n v="50000"/>
    <x v="0"/>
    <s v="Male"/>
    <s v="it"/>
    <s v="IT"/>
    <s v="Clerk"/>
    <d v="2019-12-01T00:00:00"/>
    <d v="2019-12-01T00:00:00"/>
    <s v="A"/>
    <x v="9"/>
    <s v="david.dominguez@saltcorp.com"/>
    <s v="123-456-7890"/>
    <s v="Full-Time"/>
    <s v="Full-Time"/>
    <s v="EMP-2019-0100"/>
    <n v="2"/>
    <m/>
    <n v="7"/>
    <s v="N/A"/>
    <m/>
    <s v="no"/>
    <s v="No"/>
    <n v="3"/>
    <x v="0"/>
    <x v="0"/>
  </r>
  <r>
    <x v="131"/>
    <s v="Grace"/>
    <s v="Wang"/>
    <n v="50"/>
    <x v="10"/>
    <n v="1974"/>
    <n v="58300"/>
    <x v="12"/>
    <s v="Male"/>
    <s v="sales"/>
    <s v="Sales"/>
    <s v="Assistant"/>
    <d v="2019-12-01T00:00:00"/>
    <d v="2019-12-01T00:00:00"/>
    <s v="A"/>
    <x v="51"/>
    <s v="grace.wang@saltcorp.com"/>
    <s v="555-555-5555"/>
    <s v="Part-Time"/>
    <s v="Part-Time"/>
    <m/>
    <n v="2"/>
    <m/>
    <m/>
    <d v="2023-03-05T00:00:00"/>
    <m/>
    <s v="YES"/>
    <s v="Yes"/>
    <n v="4"/>
    <x v="1"/>
    <x v="1"/>
  </r>
  <r>
    <x v="132"/>
    <s v="Charlie"/>
    <s v="Mason"/>
    <n v="25"/>
    <x v="0"/>
    <n v="1999"/>
    <s v="SIXTY THOUSAND"/>
    <x v="2"/>
    <s v="Male"/>
    <s v="sales"/>
    <s v="Sales"/>
    <s v="Clerk"/>
    <d v="2019-03-25T00:00:00"/>
    <d v="2019-03-25T00:00:00"/>
    <s v="B"/>
    <x v="21"/>
    <s v="charlie.mason@saltcorp.com"/>
    <s v="098-765-4321"/>
    <s v="Part-Time"/>
    <s v="Part-Time"/>
    <m/>
    <n v="5"/>
    <n v="12"/>
    <n v="1"/>
    <s v="N/A"/>
    <n v="19"/>
    <s v="YES"/>
    <s v="Yes"/>
    <n v="5"/>
    <x v="0"/>
    <x v="0"/>
  </r>
  <r>
    <x v="133"/>
    <s v="Frank"/>
    <s v="Wallace"/>
    <n v="40"/>
    <x v="7"/>
    <n v="1984"/>
    <n v="65000"/>
    <x v="1"/>
    <s v="Female"/>
    <s v="Marketing"/>
    <s v="Marketing"/>
    <s v="Manager"/>
    <d v="2020-02-20T00:00:00"/>
    <d v="2020-02-20T00:00:00"/>
    <s v="C"/>
    <x v="58"/>
    <s v="frank.wallace@saltcorp.com"/>
    <s v="555-555-5555"/>
    <s v="contract"/>
    <s v="Contract"/>
    <m/>
    <n v="2"/>
    <m/>
    <n v="5"/>
    <d v="2024-08-12T00:00:00"/>
    <n v="58"/>
    <m/>
    <s v=""/>
    <n v="4"/>
    <x v="1"/>
    <x v="1"/>
  </r>
  <r>
    <x v="134"/>
    <s v="Bob"/>
    <s v="Dixon"/>
    <n v="35"/>
    <x v="2"/>
    <n v="1989"/>
    <n v="55000"/>
    <x v="6"/>
    <s v="Female"/>
    <s v="it"/>
    <s v="IT"/>
    <s v="Clerk"/>
    <d v="2019-03-25T00:00:00"/>
    <d v="2019-03-25T00:00:00"/>
    <s v="F"/>
    <x v="59"/>
    <s v="bob.dixon@saltcorp.com"/>
    <s v=" "/>
    <s v="contract"/>
    <s v="Contract"/>
    <s v="EMP-2020-0083"/>
    <n v="2"/>
    <m/>
    <m/>
    <d v="2021-10-01T00:00:00"/>
    <m/>
    <s v="no"/>
    <s v="No"/>
    <n v="2"/>
    <x v="0"/>
    <x v="0"/>
  </r>
  <r>
    <x v="135"/>
    <s v="Jack"/>
    <s v="Ryan"/>
    <n v="35"/>
    <x v="2"/>
    <n v="1989"/>
    <n v="70000"/>
    <x v="5"/>
    <s v="Female"/>
    <s v="Marketing"/>
    <s v="Marketing"/>
    <s v="Assistant"/>
    <d v="2019-12-01T00:00:00"/>
    <d v="2019-12-01T00:00:00"/>
    <s v="D"/>
    <x v="27"/>
    <s v="jack.ryan@saltcorp.com"/>
    <s v="123-456-7890"/>
    <s v="Part-Time"/>
    <s v="Part-Time"/>
    <m/>
    <n v="8"/>
    <s v="N/A"/>
    <n v="8"/>
    <d v="2023-03-05T00:00:00"/>
    <n v="51"/>
    <s v="YES"/>
    <s v="Yes"/>
    <n v="1"/>
    <x v="0"/>
    <x v="0"/>
  </r>
  <r>
    <x v="136"/>
    <s v="Ivy"/>
    <s v="Barnett"/>
    <n v="25"/>
    <x v="0"/>
    <n v="1999"/>
    <n v="50000"/>
    <x v="0"/>
    <s v="Female"/>
    <s v="it"/>
    <s v="IT"/>
    <s v="Analyst"/>
    <d v="2019-03-25T00:00:00"/>
    <d v="2019-03-25T00:00:00"/>
    <s v="D"/>
    <x v="27"/>
    <s v="ivy.barnett@saltcorp.com"/>
    <s v="555-555-5555"/>
    <s v="contract"/>
    <s v="Contract"/>
    <m/>
    <n v="4"/>
    <m/>
    <m/>
    <d v="2023-01-15T00:00:00"/>
    <n v="43"/>
    <s v="no"/>
    <s v="No"/>
    <n v="2"/>
    <x v="1"/>
    <x v="1"/>
  </r>
  <r>
    <x v="137"/>
    <s v="Eve"/>
    <s v="Bell"/>
    <m/>
    <x v="4"/>
    <n v="1973"/>
    <n v="55000"/>
    <x v="6"/>
    <s v="Female"/>
    <s v="Marketing"/>
    <s v="Marketing"/>
    <s v="Director"/>
    <d v="2020-01-15T00:00:00"/>
    <d v="2020-01-15T00:00:00"/>
    <s v="D"/>
    <x v="18"/>
    <s v="eve.bell@saltcorp.com"/>
    <s v=" "/>
    <s v="Full-Time"/>
    <s v="Full-Time"/>
    <s v="EMP-2019-0023"/>
    <n v="4"/>
    <n v="7"/>
    <m/>
    <m/>
    <m/>
    <m/>
    <s v=""/>
    <n v="5"/>
    <x v="0"/>
    <x v="0"/>
  </r>
  <r>
    <x v="138"/>
    <s v="Frank"/>
    <s v="Bell"/>
    <s v="thirty"/>
    <x v="8"/>
    <n v="1994"/>
    <n v="70000"/>
    <x v="5"/>
    <s v="Male"/>
    <s v="sales"/>
    <s v="Sales"/>
    <s v="Clerk"/>
    <d v="2019-03-25T00:00:00"/>
    <d v="2019-03-25T00:00:00"/>
    <s v="A"/>
    <x v="9"/>
    <s v="frank.bell@saltcorp.com"/>
    <s v="098-765-4321"/>
    <s v="Full-Time"/>
    <s v="Full-Time"/>
    <m/>
    <n v="5"/>
    <n v="12"/>
    <m/>
    <m/>
    <m/>
    <m/>
    <s v=""/>
    <n v="2"/>
    <x v="0"/>
    <x v="0"/>
  </r>
  <r>
    <x v="139"/>
    <s v="David"/>
    <s v="Murphy"/>
    <n v="35"/>
    <x v="2"/>
    <n v="1989"/>
    <n v="55000"/>
    <x v="6"/>
    <s v="Male"/>
    <s v="sales"/>
    <s v="Sales"/>
    <s v="Assistant"/>
    <d v="2020-02-20T00:00:00"/>
    <d v="2020-02-20T00:00:00"/>
    <s v="D"/>
    <x v="30"/>
    <s v="david.murphy@saltcorp.com"/>
    <m/>
    <s v="contract"/>
    <s v="Contract"/>
    <m/>
    <n v="4"/>
    <m/>
    <m/>
    <d v="2021-10-01T00:00:00"/>
    <m/>
    <s v="no"/>
    <s v="No"/>
    <n v="4"/>
    <x v="0"/>
    <x v="0"/>
  </r>
  <r>
    <x v="140"/>
    <s v="Jack"/>
    <s v="McCarthy"/>
    <n v="50"/>
    <x v="10"/>
    <n v="1974"/>
    <n v="65000"/>
    <x v="1"/>
    <s v="Female"/>
    <s v="HR"/>
    <s v="HR"/>
    <s v="Assistant"/>
    <d v="2020-01-15T00:00:00"/>
    <d v="2020-01-15T00:00:00"/>
    <s v="F"/>
    <x v="60"/>
    <s v="jack.mccarthy@saltcorp.com"/>
    <s v="098-765-4321"/>
    <s v="Full-Time"/>
    <s v="Full-Time"/>
    <m/>
    <n v="6"/>
    <m/>
    <m/>
    <m/>
    <n v="40"/>
    <s v="YES"/>
    <s v="Yes"/>
    <n v="2"/>
    <x v="1"/>
    <x v="1"/>
  </r>
  <r>
    <x v="141"/>
    <s v="Grace"/>
    <s v="Liu"/>
    <n v="50"/>
    <x v="10"/>
    <n v="1974"/>
    <n v="65000"/>
    <x v="1"/>
    <s v="Female"/>
    <s v="finance"/>
    <s v="Finance"/>
    <s v="Analyst"/>
    <d v="2018-04-05T00:00:00"/>
    <d v="2018-04-05T00:00:00"/>
    <s v="F"/>
    <x v="61"/>
    <s v="grace.liu@saltcorp.com"/>
    <s v="123-456-7890"/>
    <s v="Part-Time"/>
    <s v="Part-Time"/>
    <m/>
    <n v="7"/>
    <m/>
    <n v="9"/>
    <m/>
    <n v="36"/>
    <m/>
    <s v=""/>
    <n v="1"/>
    <x v="0"/>
    <x v="0"/>
  </r>
  <r>
    <x v="142"/>
    <s v="Ivy"/>
    <s v="Gomez"/>
    <n v="35"/>
    <x v="2"/>
    <n v="1989"/>
    <n v="65000"/>
    <x v="1"/>
    <s v="Female"/>
    <s v="Marketing"/>
    <s v="Marketing"/>
    <s v="Manager"/>
    <d v="2019-12-01T00:00:00"/>
    <d v="2019-12-01T00:00:00"/>
    <s v="B"/>
    <x v="16"/>
    <s v="ivy.gomez@saltcorp.com"/>
    <s v="098-765-4321"/>
    <s v="contract"/>
    <s v="Contract"/>
    <m/>
    <n v="5"/>
    <s v="N/A"/>
    <m/>
    <d v="2022-06-20T00:00:00"/>
    <n v="22"/>
    <m/>
    <s v=""/>
    <n v="4"/>
    <x v="1"/>
    <x v="1"/>
  </r>
  <r>
    <x v="143"/>
    <s v="Grace"/>
    <s v="Ross"/>
    <m/>
    <x v="2"/>
    <n v="1989"/>
    <n v="58800"/>
    <x v="17"/>
    <s v="Female"/>
    <s v="HR"/>
    <s v="HR"/>
    <s v="Clerk"/>
    <d v="2019-12-01T00:00:00"/>
    <d v="2019-12-01T00:00:00"/>
    <s v="A"/>
    <x v="9"/>
    <s v="grace.ross@saltcorp.com"/>
    <s v="098-765-4321"/>
    <s v="Part-Time"/>
    <s v="Part-Time"/>
    <m/>
    <n v="3"/>
    <m/>
    <m/>
    <s v="N/A"/>
    <m/>
    <m/>
    <s v=""/>
    <n v="5"/>
    <x v="0"/>
    <x v="0"/>
  </r>
  <r>
    <x v="144"/>
    <s v="Alice"/>
    <s v="Evans"/>
    <m/>
    <x v="19"/>
    <n v="1995"/>
    <n v="58500"/>
    <x v="4"/>
    <s v="Female"/>
    <s v="finance"/>
    <s v="Finance"/>
    <s v="Assistant"/>
    <d v="2019-03-25T00:00:00"/>
    <d v="2019-03-25T00:00:00"/>
    <s v="F"/>
    <x v="12"/>
    <s v="alice.evans@saltcorp.com"/>
    <s v="098-765-4321"/>
    <s v="Part-Time"/>
    <s v="Part-Time"/>
    <m/>
    <n v="1"/>
    <m/>
    <m/>
    <d v="2023-03-05T00:00:00"/>
    <m/>
    <m/>
    <s v=""/>
    <n v="1"/>
    <x v="0"/>
    <x v="0"/>
  </r>
  <r>
    <x v="145"/>
    <s v="Alice"/>
    <s v="Morris"/>
    <n v="40"/>
    <x v="7"/>
    <n v="1984"/>
    <n v="50000"/>
    <x v="0"/>
    <s v="Male"/>
    <s v="Marketing"/>
    <s v="Marketing"/>
    <s v="Analyst"/>
    <d v="2020-01-15T00:00:00"/>
    <d v="2020-01-15T00:00:00"/>
    <s v="C"/>
    <x v="31"/>
    <s v="alice.morris@saltcorp.com"/>
    <s v="098-765-4321"/>
    <s v="contract"/>
    <s v="Contract"/>
    <m/>
    <n v="8"/>
    <m/>
    <n v="16"/>
    <s v="N/A"/>
    <m/>
    <s v="YES"/>
    <s v="Yes"/>
    <n v="2"/>
    <x v="1"/>
    <x v="1"/>
  </r>
  <r>
    <x v="146"/>
    <s v="Ivy"/>
    <s v="Harrison"/>
    <n v="50"/>
    <x v="10"/>
    <n v="1974"/>
    <n v="65000"/>
    <x v="1"/>
    <s v="Male"/>
    <s v="it"/>
    <s v="IT"/>
    <s v="Director"/>
    <d v="2018-04-05T00:00:00"/>
    <d v="2018-04-05T00:00:00"/>
    <s v="A"/>
    <x v="50"/>
    <s v="ivy.harrison@saltcorp.com"/>
    <s v="123-456-7890"/>
    <s v="Part-Time"/>
    <s v="Part-Time"/>
    <m/>
    <n v="4"/>
    <s v="N/A"/>
    <n v="14"/>
    <m/>
    <m/>
    <s v="no"/>
    <s v="No"/>
    <n v="5"/>
    <x v="0"/>
    <x v="0"/>
  </r>
  <r>
    <x v="147"/>
    <s v="Ivy"/>
    <s v="Desai"/>
    <n v="40"/>
    <x v="7"/>
    <n v="1984"/>
    <n v="70000"/>
    <x v="5"/>
    <s v="Female"/>
    <s v="finance"/>
    <s v="Finance"/>
    <s v="Assistant"/>
    <d v="2020-01-15T00:00:00"/>
    <d v="2020-01-15T00:00:00"/>
    <s v="A"/>
    <x v="9"/>
    <s v="ivy.desai@saltcorp.com"/>
    <s v=" "/>
    <s v="Part-Time"/>
    <s v="Part-Time"/>
    <m/>
    <n v="8"/>
    <s v="N/A"/>
    <m/>
    <m/>
    <n v="19"/>
    <s v="YES"/>
    <s v="Yes"/>
    <n v="5"/>
    <x v="0"/>
    <x v="0"/>
  </r>
  <r>
    <x v="148"/>
    <s v="David"/>
    <s v="Pearson"/>
    <n v="50"/>
    <x v="10"/>
    <n v="1974"/>
    <n v="55000"/>
    <x v="6"/>
    <s v="Female"/>
    <s v="sales"/>
    <s v="Sales"/>
    <s v="Analyst"/>
    <d v="2019-12-01T00:00:00"/>
    <d v="2019-12-01T00:00:00"/>
    <s v="F"/>
    <x v="62"/>
    <s v="david.pearson@saltcorp.com"/>
    <s v="555-555-5555"/>
    <s v="contract"/>
    <s v="Contract"/>
    <m/>
    <n v="6"/>
    <s v="N/A"/>
    <m/>
    <d v="2021-10-01T00:00:00"/>
    <m/>
    <s v="YES"/>
    <s v="Yes"/>
    <n v="1"/>
    <x v="1"/>
    <x v="1"/>
  </r>
  <r>
    <x v="149"/>
    <s v="Ivy"/>
    <s v="Weber"/>
    <s v="thirty"/>
    <x v="8"/>
    <n v="1994"/>
    <s v="SIXTY THOUSAND"/>
    <x v="2"/>
    <s v="Female"/>
    <s v="HR"/>
    <s v="HR"/>
    <s v="Manager"/>
    <d v="2020-01-15T00:00:00"/>
    <d v="2020-01-15T00:00:00"/>
    <s v="C"/>
    <x v="7"/>
    <s v="ivy.weber@saltcorp.com"/>
    <m/>
    <s v="contract"/>
    <s v="Contract"/>
    <m/>
    <n v="4"/>
    <m/>
    <n v="17"/>
    <m/>
    <m/>
    <s v="no"/>
    <s v="No"/>
    <n v="2"/>
    <x v="0"/>
    <x v="0"/>
  </r>
  <r>
    <x v="150"/>
    <s v="Charlie"/>
    <s v="Williamson"/>
    <s v="thirty"/>
    <x v="8"/>
    <n v="1994"/>
    <n v="70000"/>
    <x v="5"/>
    <s v="Male"/>
    <s v="finance"/>
    <s v="Finance"/>
    <s v="Manager"/>
    <d v="2018-04-05T00:00:00"/>
    <d v="2018-04-05T00:00:00"/>
    <s v="B"/>
    <x v="45"/>
    <s v="charlie.williamson@saltcorp.com"/>
    <s v="555-555-5555"/>
    <s v="Part-Time"/>
    <s v="Part-Time"/>
    <m/>
    <n v="1"/>
    <s v="N/A"/>
    <m/>
    <m/>
    <n v="46"/>
    <s v="YES"/>
    <s v="Yes"/>
    <n v="5"/>
    <x v="0"/>
    <x v="0"/>
  </r>
  <r>
    <x v="151"/>
    <s v="Grace"/>
    <s v="Wang"/>
    <n v="25"/>
    <x v="0"/>
    <n v="1999"/>
    <n v="58500"/>
    <x v="4"/>
    <s v="Female"/>
    <s v="finance"/>
    <s v="Finance"/>
    <s v="Assistant"/>
    <d v="2019-03-25T00:00:00"/>
    <d v="2019-03-25T00:00:00"/>
    <s v="F"/>
    <x v="39"/>
    <s v="grace.wang@saltcorp.com"/>
    <s v="555-555-5555"/>
    <s v="Full-Time"/>
    <s v="Full-Time"/>
    <m/>
    <n v="1"/>
    <s v="N/A"/>
    <n v="13"/>
    <m/>
    <m/>
    <m/>
    <s v=""/>
    <n v="4"/>
    <x v="0"/>
    <x v="0"/>
  </r>
  <r>
    <x v="152"/>
    <s v="Frank"/>
    <s v="Ramirez"/>
    <n v="40"/>
    <x v="7"/>
    <n v="1984"/>
    <n v="58300"/>
    <x v="12"/>
    <s v="Male"/>
    <s v="sales"/>
    <s v="Sales"/>
    <s v="Assistant"/>
    <d v="2020-02-20T00:00:00"/>
    <d v="2020-02-20T00:00:00"/>
    <s v="C"/>
    <x v="7"/>
    <s v="frank.ramirez@saltcorp.com"/>
    <m/>
    <s v="Part-Time"/>
    <s v="Part-Time"/>
    <m/>
    <n v="2"/>
    <m/>
    <m/>
    <d v="2021-10-01T00:00:00"/>
    <m/>
    <s v="no"/>
    <s v="No"/>
    <n v="2"/>
    <x v="0"/>
    <x v="0"/>
  </r>
  <r>
    <x v="153"/>
    <s v="Hannah"/>
    <s v="Evans"/>
    <n v="35"/>
    <x v="2"/>
    <n v="1989"/>
    <n v="70000"/>
    <x v="5"/>
    <s v="Male"/>
    <s v="Marketing"/>
    <s v="Marketing"/>
    <s v="Clerk"/>
    <d v="2020-01-15T00:00:00"/>
    <d v="2020-01-15T00:00:00"/>
    <s v="A"/>
    <x v="11"/>
    <s v="hannah.evans@saltcorp.com"/>
    <s v="123-456-7890"/>
    <s v="Full-Time"/>
    <s v="Full-Time"/>
    <m/>
    <n v="2"/>
    <s v="N/A"/>
    <m/>
    <m/>
    <m/>
    <s v="YES"/>
    <s v="Yes"/>
    <n v="1"/>
    <x v="0"/>
    <x v="0"/>
  </r>
  <r>
    <x v="154"/>
    <s v="Ivy"/>
    <s v="Kumar"/>
    <n v="40"/>
    <x v="7"/>
    <n v="1984"/>
    <n v="59300"/>
    <x v="13"/>
    <s v="Female"/>
    <s v="it"/>
    <s v="IT"/>
    <s v="Analyst"/>
    <d v="2020-02-20T00:00:00"/>
    <d v="2020-02-20T00:00:00"/>
    <s v="C"/>
    <x v="44"/>
    <s v="ivy.kumar@saltcorp.com"/>
    <m/>
    <s v="contract"/>
    <s v="Contract"/>
    <s v="EMP-2018-0018"/>
    <n v="8"/>
    <n v="2"/>
    <m/>
    <d v="2022-06-20T00:00:00"/>
    <m/>
    <s v="YES"/>
    <s v="Yes"/>
    <n v="3"/>
    <x v="0"/>
    <x v="0"/>
  </r>
  <r>
    <x v="155"/>
    <s v="Eve"/>
    <s v="Parker"/>
    <n v="35"/>
    <x v="2"/>
    <n v="1989"/>
    <n v="65000"/>
    <x v="1"/>
    <s v="Female"/>
    <s v="sales"/>
    <s v="Sales"/>
    <s v="Assistant"/>
    <d v="2019-12-01T00:00:00"/>
    <d v="2019-12-01T00:00:00"/>
    <s v="A"/>
    <x v="52"/>
    <s v="eve.parker@saltcorp.com"/>
    <s v="123-456-7890"/>
    <s v="Part-Time"/>
    <s v="Part-Time"/>
    <m/>
    <n v="3"/>
    <m/>
    <n v="17"/>
    <d v="2023-01-15T00:00:00"/>
    <n v="19"/>
    <s v="no"/>
    <s v="No"/>
    <n v="1"/>
    <x v="0"/>
    <x v="0"/>
  </r>
  <r>
    <x v="156"/>
    <s v="Alice"/>
    <s v="Oliver"/>
    <m/>
    <x v="20"/>
    <n v="1993"/>
    <n v="50000"/>
    <x v="0"/>
    <s v="Female"/>
    <s v="it"/>
    <s v="IT"/>
    <s v="Clerk"/>
    <d v="2019-03-25T00:00:00"/>
    <d v="2019-03-25T00:00:00"/>
    <s v="F"/>
    <x v="36"/>
    <s v="alice.oliver@saltcorp.com"/>
    <s v="555-555-5555"/>
    <s v="Part-Time"/>
    <s v="Part-Time"/>
    <s v="EMP-2019-0015"/>
    <n v="2"/>
    <m/>
    <m/>
    <m/>
    <n v="73"/>
    <s v="YES"/>
    <s v="Yes"/>
    <n v="3"/>
    <x v="0"/>
    <x v="0"/>
  </r>
  <r>
    <x v="157"/>
    <s v="Charlie"/>
    <s v="Dixon"/>
    <n v="40"/>
    <x v="7"/>
    <n v="1984"/>
    <n v="55000"/>
    <x v="6"/>
    <s v="Female"/>
    <s v="Marketing"/>
    <s v="Marketing"/>
    <s v="Clerk"/>
    <d v="2019-03-25T00:00:00"/>
    <d v="2019-03-25T00:00:00"/>
    <s v="F"/>
    <x v="63"/>
    <s v="charlie.dixon@saltcorp.com"/>
    <s v="123-456-7890"/>
    <s v="Part-Time"/>
    <s v="Part-Time"/>
    <m/>
    <n v="2"/>
    <m/>
    <n v="5"/>
    <d v="2023-03-05T00:00:00"/>
    <n v="44"/>
    <s v="YES"/>
    <s v="Yes"/>
    <n v="1"/>
    <x v="0"/>
    <x v="0"/>
  </r>
  <r>
    <x v="158"/>
    <s v="Jack"/>
    <s v="Lucas"/>
    <m/>
    <x v="6"/>
    <n v="1991"/>
    <n v="50000"/>
    <x v="0"/>
    <s v="Male"/>
    <s v="finance"/>
    <s v="Finance"/>
    <s v="Assistant"/>
    <d v="2020-01-15T00:00:00"/>
    <d v="2020-01-15T00:00:00"/>
    <s v="D"/>
    <x v="27"/>
    <s v="jack.lucas@saltcorp.com"/>
    <s v=" "/>
    <s v="Full-Time"/>
    <s v="Full-Time"/>
    <m/>
    <n v="2"/>
    <s v="N/A"/>
    <m/>
    <m/>
    <m/>
    <s v="YES"/>
    <s v="Yes"/>
    <n v="2"/>
    <x v="0"/>
    <x v="0"/>
  </r>
  <r>
    <x v="159"/>
    <s v="Hannah"/>
    <s v="Foster"/>
    <s v="thirty"/>
    <x v="8"/>
    <n v="1994"/>
    <n v="55000"/>
    <x v="6"/>
    <s v="Male"/>
    <s v="it"/>
    <s v="IT"/>
    <s v="Manager"/>
    <d v="2019-03-25T00:00:00"/>
    <d v="2019-03-25T00:00:00"/>
    <s v="D"/>
    <x v="15"/>
    <s v="hannah.foster@saltcorp.com"/>
    <m/>
    <s v="Full-Time"/>
    <s v="Full-Time"/>
    <m/>
    <n v="5"/>
    <n v="14"/>
    <n v="8"/>
    <d v="2024-08-12T00:00:00"/>
    <m/>
    <s v="YES"/>
    <s v="Yes"/>
    <n v="5"/>
    <x v="0"/>
    <x v="0"/>
  </r>
  <r>
    <x v="160"/>
    <s v="Frank"/>
    <s v="Vega"/>
    <s v="thirty"/>
    <x v="8"/>
    <n v="1994"/>
    <n v="55000"/>
    <x v="6"/>
    <s v="Male"/>
    <s v="HR"/>
    <s v="HR"/>
    <s v="Analyst"/>
    <d v="2020-01-15T00:00:00"/>
    <d v="2020-01-15T00:00:00"/>
    <s v="D"/>
    <x v="34"/>
    <s v="frank.vega@saltcorp.com"/>
    <s v=" "/>
    <s v="Full-Time"/>
    <s v="Full-Time"/>
    <s v="EMP-2020-0094"/>
    <n v="4"/>
    <m/>
    <m/>
    <m/>
    <n v="66"/>
    <s v="no"/>
    <s v="No"/>
    <n v="1"/>
    <x v="1"/>
    <x v="1"/>
  </r>
  <r>
    <x v="161"/>
    <s v="Hannah"/>
    <s v="Johnston"/>
    <n v="25"/>
    <x v="0"/>
    <n v="1999"/>
    <n v="50000"/>
    <x v="0"/>
    <s v="Female"/>
    <s v="HR"/>
    <s v="HR"/>
    <s v="Analyst"/>
    <d v="2020-01-15T00:00:00"/>
    <d v="2020-01-15T00:00:00"/>
    <s v="F"/>
    <x v="64"/>
    <s v="hannah.johnston@saltcorp.com"/>
    <s v="555-555-5555"/>
    <s v="Full-Time"/>
    <s v="Full-Time"/>
    <m/>
    <n v="8"/>
    <m/>
    <m/>
    <d v="2021-10-01T00:00:00"/>
    <m/>
    <s v="YES"/>
    <s v="Yes"/>
    <n v="1"/>
    <x v="1"/>
    <x v="1"/>
  </r>
  <r>
    <x v="162"/>
    <s v="Ivy"/>
    <s v="Armstrong"/>
    <n v="40"/>
    <x v="7"/>
    <n v="1984"/>
    <n v="70000"/>
    <x v="5"/>
    <s v="Male"/>
    <s v="sales"/>
    <s v="Sales"/>
    <s v="Manager"/>
    <d v="2020-02-20T00:00:00"/>
    <d v="2020-02-20T00:00:00"/>
    <s v="B"/>
    <x v="26"/>
    <s v="ivy.armstrong@saltcorp.com"/>
    <m/>
    <s v="Full-Time"/>
    <s v="Full-Time"/>
    <m/>
    <n v="5"/>
    <m/>
    <n v="16"/>
    <m/>
    <m/>
    <s v="YES"/>
    <s v="Yes"/>
    <n v="5"/>
    <x v="0"/>
    <x v="0"/>
  </r>
  <r>
    <x v="163"/>
    <s v="David"/>
    <s v="Matthews"/>
    <m/>
    <x v="15"/>
    <n v="1986"/>
    <n v="55000"/>
    <x v="6"/>
    <s v="Male"/>
    <s v="Marketing"/>
    <s v="Marketing"/>
    <s v="Assistant"/>
    <d v="2019-03-25T00:00:00"/>
    <d v="2019-03-25T00:00:00"/>
    <s v="F"/>
    <x v="65"/>
    <s v="david.matthews@saltcorp.com"/>
    <s v="555-555-5555"/>
    <s v="Full-Time"/>
    <s v="Full-Time"/>
    <m/>
    <n v="5"/>
    <m/>
    <n v="17"/>
    <d v="2023-03-05T00:00:00"/>
    <m/>
    <s v="YES"/>
    <s v="Yes"/>
    <n v="1"/>
    <x v="1"/>
    <x v="1"/>
  </r>
  <r>
    <x v="164"/>
    <s v="Alice"/>
    <s v="Williams"/>
    <n v="35"/>
    <x v="2"/>
    <n v="1989"/>
    <n v="50000"/>
    <x v="0"/>
    <s v="Male"/>
    <s v="sales"/>
    <s v="Sales"/>
    <s v="Analyst"/>
    <d v="2020-01-15T00:00:00"/>
    <d v="2020-01-15T00:00:00"/>
    <s v="C"/>
    <x v="23"/>
    <s v="alice.williams@saltcorp.com"/>
    <s v=" "/>
    <s v="Part-Time"/>
    <s v="Part-Time"/>
    <s v="EMP-2020-0048"/>
    <n v="8"/>
    <m/>
    <m/>
    <m/>
    <m/>
    <s v="no"/>
    <s v="No"/>
    <n v="4"/>
    <x v="1"/>
    <x v="1"/>
  </r>
  <r>
    <x v="165"/>
    <s v="Alice"/>
    <s v="Chen"/>
    <s v="thirty"/>
    <x v="8"/>
    <n v="1994"/>
    <n v="55000"/>
    <x v="6"/>
    <s v="Female"/>
    <s v="sales"/>
    <s v="Sales"/>
    <s v="Assistant"/>
    <d v="2020-02-20T00:00:00"/>
    <d v="2020-02-20T00:00:00"/>
    <s v="F"/>
    <x v="66"/>
    <s v="alice.chen@saltcorp.com"/>
    <s v="555-555-5555"/>
    <s v="contract"/>
    <s v="Contract"/>
    <s v="EMP-2018-0047"/>
    <n v="1"/>
    <m/>
    <m/>
    <m/>
    <n v="17"/>
    <s v="no"/>
    <s v="No"/>
    <n v="1"/>
    <x v="1"/>
    <x v="1"/>
  </r>
  <r>
    <x v="166"/>
    <s v="Jack"/>
    <s v="O'Neill"/>
    <s v="thirty"/>
    <x v="8"/>
    <n v="1994"/>
    <s v="SIXTY THOUSAND"/>
    <x v="2"/>
    <s v="Male"/>
    <s v="sales"/>
    <s v="Sales"/>
    <s v="Assistant"/>
    <d v="2018-04-05T00:00:00"/>
    <d v="2018-04-05T00:00:00"/>
    <s v="F"/>
    <x v="67"/>
    <s v="jack.o'neill@saltcorp.com"/>
    <m/>
    <s v="Part-Time"/>
    <s v="Part-Time"/>
    <m/>
    <n v="2"/>
    <m/>
    <m/>
    <m/>
    <m/>
    <m/>
    <s v=""/>
    <n v="5"/>
    <x v="0"/>
    <x v="0"/>
  </r>
  <r>
    <x v="167"/>
    <s v="David"/>
    <s v="Walsh"/>
    <n v="35"/>
    <x v="2"/>
    <n v="1989"/>
    <n v="70000"/>
    <x v="5"/>
    <s v="Male"/>
    <s v="HR"/>
    <s v="HR"/>
    <s v="Clerk"/>
    <d v="2020-02-20T00:00:00"/>
    <d v="2020-02-20T00:00:00"/>
    <s v="A"/>
    <x v="25"/>
    <s v="david.walsh@saltcorp.com"/>
    <m/>
    <s v="Full-Time"/>
    <s v="Full-Time"/>
    <s v="EMP-2020-0046"/>
    <n v="3"/>
    <m/>
    <m/>
    <m/>
    <n v="47"/>
    <s v="Y"/>
    <s v="Yes"/>
    <n v="1"/>
    <x v="1"/>
    <x v="1"/>
  </r>
  <r>
    <x v="168"/>
    <s v="Grace"/>
    <s v="Barnett"/>
    <m/>
    <x v="21"/>
    <n v="1982"/>
    <n v="65000"/>
    <x v="1"/>
    <s v="Female"/>
    <s v="HR"/>
    <s v="HR"/>
    <s v="Manager"/>
    <d v="2020-02-20T00:00:00"/>
    <d v="2020-02-20T00:00:00"/>
    <s v="A"/>
    <x v="32"/>
    <s v="grace.barnett@saltcorp.com"/>
    <s v="555-555-5555"/>
    <s v="contract"/>
    <s v="Contract"/>
    <m/>
    <n v="1"/>
    <m/>
    <m/>
    <d v="2022-06-20T00:00:00"/>
    <m/>
    <s v="no"/>
    <s v="No"/>
    <n v="4"/>
    <x v="0"/>
    <x v="0"/>
  </r>
  <r>
    <x v="169"/>
    <s v="Bob"/>
    <s v="Figueroa"/>
    <m/>
    <x v="8"/>
    <n v="1994"/>
    <n v="55000"/>
    <x v="6"/>
    <s v="Male"/>
    <s v="sales"/>
    <s v="Sales"/>
    <s v="Assistant"/>
    <d v="2020-01-15T00:00:00"/>
    <d v="2020-01-15T00:00:00"/>
    <s v="A"/>
    <x v="3"/>
    <s v="bob.figueroa@saltcorp.com"/>
    <m/>
    <s v="Full-Time"/>
    <s v="Full-Time"/>
    <m/>
    <n v="5"/>
    <m/>
    <m/>
    <d v="2024-08-12T00:00:00"/>
    <m/>
    <m/>
    <s v=""/>
    <n v="1"/>
    <x v="0"/>
    <x v="0"/>
  </r>
  <r>
    <x v="170"/>
    <s v="Charlie"/>
    <s v="Martin"/>
    <n v="40"/>
    <x v="7"/>
    <n v="1984"/>
    <s v="SIXTY THOUSAND"/>
    <x v="2"/>
    <s v="Male"/>
    <s v="HR"/>
    <s v="HR"/>
    <s v="Director"/>
    <d v="2019-12-01T00:00:00"/>
    <d v="2019-12-01T00:00:00"/>
    <s v="F"/>
    <x v="68"/>
    <s v="charlie.martin@saltcorp.com"/>
    <m/>
    <s v="Part-Time"/>
    <s v="Part-Time"/>
    <m/>
    <n v="6"/>
    <m/>
    <n v="4"/>
    <m/>
    <n v="52"/>
    <s v="YES"/>
    <s v="Yes"/>
    <n v="5"/>
    <x v="0"/>
    <x v="0"/>
  </r>
  <r>
    <x v="171"/>
    <s v="Alice"/>
    <s v="Hansen"/>
    <n v="40"/>
    <x v="7"/>
    <n v="1984"/>
    <n v="65000"/>
    <x v="1"/>
    <s v="Female"/>
    <s v="Marketing"/>
    <s v="Marketing"/>
    <s v="Manager"/>
    <d v="2019-12-01T00:00:00"/>
    <d v="2019-12-01T00:00:00"/>
    <s v="B"/>
    <x v="14"/>
    <s v="alice.hansen@saltcorp.com"/>
    <s v="555-555-5555"/>
    <s v="Full-Time"/>
    <s v="Full-Time"/>
    <s v="EMP-2018-0073"/>
    <n v="6"/>
    <m/>
    <m/>
    <m/>
    <m/>
    <s v="YES"/>
    <s v="Yes"/>
    <n v="5"/>
    <x v="0"/>
    <x v="0"/>
  </r>
  <r>
    <x v="172"/>
    <s v="Eve"/>
    <s v="Johnston"/>
    <n v="50"/>
    <x v="10"/>
    <n v="1974"/>
    <n v="65000"/>
    <x v="1"/>
    <s v="Female"/>
    <s v="sales"/>
    <s v="Sales"/>
    <s v="Analyst"/>
    <d v="2019-12-01T00:00:00"/>
    <d v="2019-12-01T00:00:00"/>
    <s v="C"/>
    <x v="29"/>
    <s v="eve.johnston@saltcorp.com"/>
    <s v=" "/>
    <s v="Full-Time"/>
    <s v="Full-Time"/>
    <m/>
    <n v="7"/>
    <s v="N/A"/>
    <n v="15"/>
    <m/>
    <m/>
    <s v="no"/>
    <s v="No"/>
    <n v="1"/>
    <x v="1"/>
    <x v="1"/>
  </r>
  <r>
    <x v="173"/>
    <s v="Alice"/>
    <s v="Williams"/>
    <n v="50"/>
    <x v="10"/>
    <n v="1974"/>
    <n v="55000"/>
    <x v="6"/>
    <s v="Male"/>
    <s v="HR"/>
    <s v="HR"/>
    <s v="Clerk"/>
    <d v="2020-02-20T00:00:00"/>
    <d v="2020-02-20T00:00:00"/>
    <s v="C"/>
    <x v="69"/>
    <s v="alice.williams@saltcorp.com"/>
    <m/>
    <s v="Full-Time"/>
    <s v="Full-Time"/>
    <s v="EMP-2018-0043"/>
    <n v="2"/>
    <n v="4"/>
    <m/>
    <m/>
    <n v="30"/>
    <s v="YES"/>
    <s v="Yes"/>
    <n v="1"/>
    <x v="0"/>
    <x v="0"/>
  </r>
  <r>
    <x v="174"/>
    <s v="Hannah"/>
    <s v="Ward"/>
    <n v="25"/>
    <x v="0"/>
    <n v="1999"/>
    <n v="50000"/>
    <x v="0"/>
    <s v="Female"/>
    <s v="it"/>
    <s v="IT"/>
    <s v="Analyst"/>
    <d v="2020-01-15T00:00:00"/>
    <d v="2020-01-15T00:00:00"/>
    <s v="B"/>
    <x v="16"/>
    <s v="hannah.ward@saltcorp.com"/>
    <m/>
    <s v="Part-Time"/>
    <s v="Part-Time"/>
    <m/>
    <n v="2"/>
    <m/>
    <n v="2"/>
    <d v="2023-03-05T00:00:00"/>
    <m/>
    <s v="YES"/>
    <s v="Yes"/>
    <n v="1"/>
    <x v="1"/>
    <x v="1"/>
  </r>
  <r>
    <x v="175"/>
    <s v="Alice"/>
    <s v="Andrews"/>
    <s v="thirty"/>
    <x v="8"/>
    <n v="1994"/>
    <n v="55000"/>
    <x v="6"/>
    <s v="Female"/>
    <s v="sales"/>
    <s v="Sales"/>
    <s v="Analyst"/>
    <d v="2019-03-25T00:00:00"/>
    <d v="2019-03-25T00:00:00"/>
    <s v="B"/>
    <x v="21"/>
    <s v="alice.andrews@saltcorp.com"/>
    <m/>
    <s v="Full-Time"/>
    <s v="Full-Time"/>
    <m/>
    <n v="1"/>
    <m/>
    <m/>
    <m/>
    <n v="78"/>
    <s v="YES"/>
    <s v="Yes"/>
    <n v="2"/>
    <x v="1"/>
    <x v="1"/>
  </r>
  <r>
    <x v="176"/>
    <s v="Alice"/>
    <s v="Rivera"/>
    <n v="40"/>
    <x v="7"/>
    <n v="1984"/>
    <s v="SIXTY THOUSAND"/>
    <x v="2"/>
    <s v="Male"/>
    <s v="sales"/>
    <s v="Sales"/>
    <s v="Manager"/>
    <d v="2020-02-20T00:00:00"/>
    <d v="2020-02-20T00:00:00"/>
    <s v="C"/>
    <x v="20"/>
    <s v="alice.rivera@saltcorp.com"/>
    <m/>
    <s v="Part-Time"/>
    <s v="Part-Time"/>
    <m/>
    <n v="1"/>
    <m/>
    <m/>
    <m/>
    <n v="29"/>
    <s v="Y"/>
    <s v="Yes"/>
    <n v="1"/>
    <x v="0"/>
    <x v="0"/>
  </r>
  <r>
    <x v="177"/>
    <s v="Bob"/>
    <s v="Wilson"/>
    <m/>
    <x v="11"/>
    <n v="1985"/>
    <n v="65000"/>
    <x v="1"/>
    <s v="Male"/>
    <s v="Marketing"/>
    <s v="Marketing"/>
    <s v="Analyst"/>
    <d v="2020-02-20T00:00:00"/>
    <d v="2020-02-20T00:00:00"/>
    <s v="D"/>
    <x v="18"/>
    <s v="bob.wilson@saltcorp.com"/>
    <s v="555-555-5555"/>
    <s v="contract"/>
    <s v="Contract"/>
    <s v="EMP-2018-0085"/>
    <n v="3"/>
    <s v="N/A"/>
    <n v="11"/>
    <m/>
    <m/>
    <s v="YES"/>
    <s v="Yes"/>
    <n v="4"/>
    <x v="0"/>
    <x v="0"/>
  </r>
  <r>
    <x v="178"/>
    <s v="Bob"/>
    <s v="Garcia"/>
    <n v="35"/>
    <x v="2"/>
    <n v="1989"/>
    <n v="55000"/>
    <x v="6"/>
    <s v="Female"/>
    <s v="finance"/>
    <s v="Finance"/>
    <s v="Assistant"/>
    <d v="2020-01-15T00:00:00"/>
    <d v="2020-01-15T00:00:00"/>
    <s v="A"/>
    <x v="50"/>
    <s v="bob.garcia@saltcorp.com"/>
    <s v=" "/>
    <s v="Part-Time"/>
    <s v="Part-Time"/>
    <m/>
    <n v="3"/>
    <n v="0"/>
    <m/>
    <m/>
    <m/>
    <s v="no"/>
    <s v="No"/>
    <n v="5"/>
    <x v="0"/>
    <x v="0"/>
  </r>
  <r>
    <x v="179"/>
    <s v="Frank"/>
    <s v="West"/>
    <m/>
    <x v="7"/>
    <n v="1984"/>
    <n v="50000"/>
    <x v="0"/>
    <s v="Female"/>
    <s v="finance"/>
    <s v="Finance"/>
    <s v="Analyst"/>
    <d v="2018-04-05T00:00:00"/>
    <d v="2018-04-05T00:00:00"/>
    <s v="A"/>
    <x v="11"/>
    <s v="frank.west@saltcorp.com"/>
    <s v=" "/>
    <s v="Full-Time"/>
    <s v="Full-Time"/>
    <s v="EMP-2018-0034"/>
    <n v="6"/>
    <m/>
    <n v="5"/>
    <d v="2022-06-20T00:00:00"/>
    <m/>
    <s v="YES"/>
    <s v="Yes"/>
    <n v="3"/>
    <x v="1"/>
    <x v="1"/>
  </r>
  <r>
    <x v="180"/>
    <s v="Grace"/>
    <s v="Zhou"/>
    <s v="thirty"/>
    <x v="8"/>
    <n v="1994"/>
    <n v="55000"/>
    <x v="6"/>
    <s v="Male"/>
    <s v="Marketing"/>
    <s v="Marketing"/>
    <s v="Clerk"/>
    <d v="2020-02-20T00:00:00"/>
    <d v="2020-02-20T00:00:00"/>
    <s v="C"/>
    <x v="7"/>
    <s v="grace.zhou@saltcorp.com"/>
    <s v="123-456-7890"/>
    <s v="Full-Time"/>
    <s v="Full-Time"/>
    <s v="EMP-2019-0068"/>
    <n v="6"/>
    <m/>
    <n v="6"/>
    <m/>
    <m/>
    <m/>
    <s v=""/>
    <n v="4"/>
    <x v="1"/>
    <x v="1"/>
  </r>
  <r>
    <x v="181"/>
    <s v="Eve"/>
    <s v="Stevens"/>
    <n v="50"/>
    <x v="10"/>
    <n v="1974"/>
    <n v="70000"/>
    <x v="5"/>
    <s v="Female"/>
    <s v="Marketing"/>
    <s v="Marketing"/>
    <s v="Clerk"/>
    <d v="2018-04-05T00:00:00"/>
    <d v="2018-04-05T00:00:00"/>
    <s v="B"/>
    <x v="6"/>
    <s v="eve.stevens@saltcorp.com"/>
    <m/>
    <s v="contract"/>
    <s v="Contract"/>
    <m/>
    <n v="8"/>
    <m/>
    <m/>
    <d v="2023-01-15T00:00:00"/>
    <n v="75"/>
    <s v="no"/>
    <s v="No"/>
    <n v="5"/>
    <x v="0"/>
    <x v="0"/>
  </r>
  <r>
    <x v="182"/>
    <s v="Alice"/>
    <s v="Walker"/>
    <m/>
    <x v="22"/>
    <n v="1970"/>
    <n v="50000"/>
    <x v="0"/>
    <s v="Female"/>
    <s v="Marketing"/>
    <s v="Marketing"/>
    <s v="Director"/>
    <d v="2018-04-05T00:00:00"/>
    <d v="2018-04-05T00:00:00"/>
    <s v="D"/>
    <x v="30"/>
    <s v="alice.walker@saltcorp.com"/>
    <m/>
    <s v="contract"/>
    <s v="Contract"/>
    <m/>
    <n v="5"/>
    <m/>
    <m/>
    <d v="2022-06-20T00:00:00"/>
    <m/>
    <s v="Y"/>
    <s v="Yes"/>
    <n v="1"/>
    <x v="1"/>
    <x v="1"/>
  </r>
  <r>
    <x v="183"/>
    <s v="Alice"/>
    <s v="West"/>
    <n v="25"/>
    <x v="0"/>
    <n v="1999"/>
    <s v="SIXTY THOUSAND"/>
    <x v="2"/>
    <s v="Female"/>
    <s v="finance"/>
    <s v="Finance"/>
    <s v="Clerk"/>
    <d v="2019-12-01T00:00:00"/>
    <d v="2019-12-01T00:00:00"/>
    <s v="C"/>
    <x v="44"/>
    <s v="alice.west@saltcorp.com"/>
    <s v="123-456-7890"/>
    <s v="Full-Time"/>
    <s v="Full-Time"/>
    <m/>
    <n v="2"/>
    <m/>
    <m/>
    <m/>
    <n v="71"/>
    <s v="no"/>
    <s v="No"/>
    <n v="4"/>
    <x v="0"/>
    <x v="0"/>
  </r>
  <r>
    <x v="184"/>
    <s v="Charlie"/>
    <s v="Clark"/>
    <s v="thirty"/>
    <x v="8"/>
    <n v="1994"/>
    <n v="65000"/>
    <x v="1"/>
    <s v="Male"/>
    <s v="Marketing"/>
    <s v="Marketing"/>
    <s v="Analyst"/>
    <d v="2020-01-15T00:00:00"/>
    <d v="2020-01-15T00:00:00"/>
    <s v="A"/>
    <x v="70"/>
    <s v="charlie.clark@saltcorp.com"/>
    <s v=" "/>
    <s v="contract"/>
    <s v="Contract"/>
    <m/>
    <n v="6"/>
    <m/>
    <n v="15"/>
    <d v="2022-06-20T00:00:00"/>
    <m/>
    <s v="no"/>
    <s v="No"/>
    <n v="3"/>
    <x v="0"/>
    <x v="0"/>
  </r>
  <r>
    <x v="185"/>
    <s v="Bob"/>
    <s v="Wilson"/>
    <n v="50"/>
    <x v="10"/>
    <n v="1974"/>
    <n v="55000"/>
    <x v="6"/>
    <s v="Female"/>
    <s v="HR"/>
    <s v="HR"/>
    <s v="Clerk"/>
    <d v="2018-04-05T00:00:00"/>
    <d v="2018-04-05T00:00:00"/>
    <s v="F"/>
    <x v="37"/>
    <s v="bob.wilson@saltcorp.com"/>
    <s v="098-765-4321"/>
    <s v="Part-Time"/>
    <s v="Part-Time"/>
    <m/>
    <n v="6"/>
    <n v="14"/>
    <n v="19"/>
    <m/>
    <m/>
    <s v="YES"/>
    <s v="Yes"/>
    <n v="5"/>
    <x v="0"/>
    <x v="0"/>
  </r>
  <r>
    <x v="186"/>
    <s v="Eve"/>
    <s v="Oliver"/>
    <n v="35"/>
    <x v="2"/>
    <n v="1989"/>
    <n v="50000"/>
    <x v="0"/>
    <s v="Male"/>
    <s v="sales"/>
    <s v="Sales"/>
    <s v="Manager"/>
    <d v="2020-01-15T00:00:00"/>
    <d v="2020-01-15T00:00:00"/>
    <s v="B"/>
    <x v="35"/>
    <s v="eve.oliver@saltcorp.com"/>
    <s v="098-765-4321"/>
    <s v="Full-Time"/>
    <s v="Full-Time"/>
    <s v="EMP-2019-0088"/>
    <n v="3"/>
    <m/>
    <n v="20"/>
    <d v="2021-10-01T00:00:00"/>
    <n v="63"/>
    <s v="Y"/>
    <s v="Yes"/>
    <n v="5"/>
    <x v="0"/>
    <x v="0"/>
  </r>
  <r>
    <x v="187"/>
    <s v="Jack"/>
    <s v="Matthews"/>
    <n v="50"/>
    <x v="10"/>
    <n v="1974"/>
    <n v="70000"/>
    <x v="5"/>
    <s v="Female"/>
    <s v="sales"/>
    <s v="Sales"/>
    <s v="Clerk"/>
    <d v="2019-12-01T00:00:00"/>
    <d v="2019-12-01T00:00:00"/>
    <s v="F"/>
    <x v="56"/>
    <s v="jack.matthews@saltcorp.com"/>
    <s v=" "/>
    <s v="contract"/>
    <s v="Contract"/>
    <s v="EMP-2019-0010"/>
    <n v="2"/>
    <n v="5"/>
    <m/>
    <d v="2023-01-15T00:00:00"/>
    <m/>
    <s v="Y"/>
    <s v="Yes"/>
    <n v="4"/>
    <x v="0"/>
    <x v="0"/>
  </r>
  <r>
    <x v="188"/>
    <s v="Frank"/>
    <s v="Sims"/>
    <n v="25"/>
    <x v="0"/>
    <n v="1999"/>
    <n v="50000"/>
    <x v="0"/>
    <s v="Male"/>
    <s v="it"/>
    <s v="IT"/>
    <s v="Assistant"/>
    <d v="2020-01-15T00:00:00"/>
    <d v="2020-01-15T00:00:00"/>
    <s v="C"/>
    <x v="23"/>
    <s v="frank.sims@saltcorp.com"/>
    <m/>
    <s v="Full-Time"/>
    <s v="Full-Time"/>
    <s v="EMP-2018-0009"/>
    <n v="7"/>
    <m/>
    <m/>
    <s v="N/A"/>
    <n v="60"/>
    <s v="no"/>
    <s v="No"/>
    <n v="2"/>
    <x v="0"/>
    <x v="0"/>
  </r>
  <r>
    <x v="189"/>
    <s v="Grace"/>
    <s v="Thomas"/>
    <s v="thirty"/>
    <x v="8"/>
    <n v="1994"/>
    <n v="60900"/>
    <x v="15"/>
    <s v="Female"/>
    <s v="it"/>
    <s v="IT"/>
    <s v="Manager"/>
    <d v="2020-02-20T00:00:00"/>
    <d v="2020-02-20T00:00:00"/>
    <s v="A"/>
    <x v="32"/>
    <s v="grace.thomas@saltcorp.com"/>
    <s v="098-765-4321"/>
    <s v="contract"/>
    <s v="Contract"/>
    <m/>
    <n v="7"/>
    <m/>
    <m/>
    <m/>
    <m/>
    <s v="YES"/>
    <s v="Yes"/>
    <n v="5"/>
    <x v="0"/>
    <x v="0"/>
  </r>
  <r>
    <x v="190"/>
    <s v="David"/>
    <s v="Mason"/>
    <n v="35"/>
    <x v="2"/>
    <n v="1989"/>
    <n v="70000"/>
    <x v="5"/>
    <s v="Female"/>
    <s v="sales"/>
    <s v="Sales"/>
    <s v="Director"/>
    <d v="2018-04-05T00:00:00"/>
    <d v="2018-04-05T00:00:00"/>
    <s v="D"/>
    <x v="15"/>
    <s v="david.mason@saltcorp.com"/>
    <s v="555-555-5555"/>
    <s v="contract"/>
    <s v="Contract"/>
    <m/>
    <n v="8"/>
    <m/>
    <m/>
    <d v="2024-08-12T00:00:00"/>
    <m/>
    <s v="no"/>
    <s v="No"/>
    <n v="2"/>
    <x v="0"/>
    <x v="0"/>
  </r>
  <r>
    <x v="191"/>
    <s v="Grace"/>
    <s v="Li"/>
    <n v="25"/>
    <x v="0"/>
    <n v="1999"/>
    <s v="SIXTY THOUSAND"/>
    <x v="2"/>
    <s v="Female"/>
    <s v="HR"/>
    <s v="HR"/>
    <s v="Assistant"/>
    <d v="2020-01-15T00:00:00"/>
    <d v="2020-01-15T00:00:00"/>
    <s v="F"/>
    <x v="59"/>
    <s v="grace.li@saltcorp.com"/>
    <s v="555-555-5555"/>
    <s v="Full-Time"/>
    <s v="Full-Time"/>
    <m/>
    <n v="5"/>
    <n v="12"/>
    <m/>
    <m/>
    <m/>
    <s v="no"/>
    <s v="No"/>
    <n v="4"/>
    <x v="0"/>
    <x v="0"/>
  </r>
  <r>
    <x v="192"/>
    <s v="Hannah"/>
    <s v="Perry"/>
    <n v="50"/>
    <x v="10"/>
    <n v="1974"/>
    <n v="65000"/>
    <x v="1"/>
    <s v="Male"/>
    <s v="finance"/>
    <s v="Finance"/>
    <s v="Analyst"/>
    <d v="2019-03-25T00:00:00"/>
    <d v="2019-03-25T00:00:00"/>
    <s v="D"/>
    <x v="27"/>
    <s v="hannah.perry@saltcorp.com"/>
    <s v="123-456-7890"/>
    <s v="contract"/>
    <s v="Contract"/>
    <m/>
    <n v="7"/>
    <m/>
    <m/>
    <m/>
    <m/>
    <s v="no"/>
    <s v="No"/>
    <n v="1"/>
    <x v="1"/>
    <x v="1"/>
  </r>
  <r>
    <x v="193"/>
    <s v="Alice"/>
    <s v="Martinez"/>
    <n v="25"/>
    <x v="0"/>
    <n v="1999"/>
    <s v="SIXTY THOUSAND"/>
    <x v="2"/>
    <s v="Female"/>
    <s v="finance"/>
    <s v="Finance"/>
    <s v="Analyst"/>
    <d v="2020-01-15T00:00:00"/>
    <d v="2020-01-15T00:00:00"/>
    <s v="A"/>
    <x v="32"/>
    <s v="alice.martinez@saltcorp.com"/>
    <s v=" "/>
    <s v="Full-Time"/>
    <s v="Full-Time"/>
    <s v="EMP-2020-0093"/>
    <n v="8"/>
    <m/>
    <n v="0"/>
    <d v="2023-01-15T00:00:00"/>
    <m/>
    <s v="YES"/>
    <s v="Yes"/>
    <n v="2"/>
    <x v="1"/>
    <x v="1"/>
  </r>
  <r>
    <x v="194"/>
    <s v="Frank"/>
    <s v="Byrd"/>
    <s v="thirty"/>
    <x v="8"/>
    <n v="1994"/>
    <n v="55000"/>
    <x v="6"/>
    <s v="Male"/>
    <s v="HR"/>
    <s v="HR"/>
    <s v="Analyst"/>
    <d v="2018-04-05T00:00:00"/>
    <d v="2018-04-05T00:00:00"/>
    <s v="F"/>
    <x v="68"/>
    <s v="frank.byrd@saltcorp.com"/>
    <s v=" "/>
    <s v="Part-Time"/>
    <s v="Part-Time"/>
    <m/>
    <n v="7"/>
    <s v="N/A"/>
    <m/>
    <d v="2023-03-05T00:00:00"/>
    <n v="24"/>
    <s v="YES"/>
    <s v="Yes"/>
    <n v="5"/>
    <x v="0"/>
    <x v="0"/>
  </r>
  <r>
    <x v="195"/>
    <s v="Hannah"/>
    <s v="Long"/>
    <n v="40"/>
    <x v="7"/>
    <n v="1984"/>
    <n v="50000"/>
    <x v="0"/>
    <s v="Male"/>
    <s v="finance"/>
    <s v="Finance"/>
    <s v="Assistant"/>
    <d v="2019-12-01T00:00:00"/>
    <d v="2019-12-01T00:00:00"/>
    <s v="D"/>
    <x v="18"/>
    <s v="hannah.long@saltcorp.com"/>
    <s v="098-765-4321"/>
    <s v="Full-Time"/>
    <s v="Full-Time"/>
    <m/>
    <n v="3"/>
    <s v="N/A"/>
    <n v="13"/>
    <m/>
    <m/>
    <s v="YES"/>
    <s v="Yes"/>
    <n v="1"/>
    <x v="1"/>
    <x v="1"/>
  </r>
  <r>
    <x v="196"/>
    <s v="Eve"/>
    <s v="Le"/>
    <n v="25"/>
    <x v="0"/>
    <n v="1999"/>
    <n v="61600"/>
    <x v="16"/>
    <s v="Male"/>
    <s v="Marketing"/>
    <s v="Marketing"/>
    <s v="Assistant"/>
    <d v="2019-12-01T00:00:00"/>
    <d v="2019-12-01T00:00:00"/>
    <s v="D"/>
    <x v="43"/>
    <s v="eve.le@saltcorp.com"/>
    <m/>
    <s v="Full-Time"/>
    <s v="Full-Time"/>
    <m/>
    <n v="2"/>
    <s v="N/A"/>
    <m/>
    <m/>
    <m/>
    <m/>
    <s v=""/>
    <n v="4"/>
    <x v="0"/>
    <x v="0"/>
  </r>
  <r>
    <x v="197"/>
    <s v="David"/>
    <s v="Kim"/>
    <n v="25"/>
    <x v="0"/>
    <n v="1999"/>
    <n v="70000"/>
    <x v="5"/>
    <s v="Male"/>
    <s v="sales"/>
    <s v="Sales"/>
    <s v="Assistant"/>
    <d v="2018-04-05T00:00:00"/>
    <d v="2018-04-05T00:00:00"/>
    <s v="F"/>
    <x v="71"/>
    <s v="david.kim@saltcorp.com"/>
    <s v=" "/>
    <s v="contract"/>
    <s v="Contract"/>
    <m/>
    <n v="3"/>
    <s v="N/A"/>
    <n v="1"/>
    <m/>
    <m/>
    <m/>
    <s v=""/>
    <n v="1"/>
    <x v="1"/>
    <x v="1"/>
  </r>
  <r>
    <x v="198"/>
    <s v="Bob"/>
    <s v="Rodriguez"/>
    <n v="50"/>
    <x v="10"/>
    <n v="1974"/>
    <n v="70000"/>
    <x v="5"/>
    <s v="Male"/>
    <s v="sales"/>
    <s v="Sales"/>
    <s v="Manager"/>
    <d v="2020-02-20T00:00:00"/>
    <d v="2020-02-20T00:00:00"/>
    <s v="A"/>
    <x v="70"/>
    <s v="bob.rodriguez@saltcorp.com"/>
    <s v="098-765-4321"/>
    <s v="contract"/>
    <s v="Contract"/>
    <m/>
    <n v="1"/>
    <m/>
    <n v="17"/>
    <d v="2023-01-15T00:00:00"/>
    <m/>
    <s v="no"/>
    <s v="No"/>
    <n v="4"/>
    <x v="0"/>
    <x v="0"/>
  </r>
  <r>
    <x v="199"/>
    <s v="Frank"/>
    <s v="Lopez"/>
    <n v="50"/>
    <x v="10"/>
    <n v="1974"/>
    <n v="50000"/>
    <x v="0"/>
    <s v="Male"/>
    <s v="HR"/>
    <s v="HR"/>
    <s v="Manager"/>
    <d v="2020-02-20T00:00:00"/>
    <d v="2020-02-20T00:00:00"/>
    <s v="D"/>
    <x v="22"/>
    <s v="frank.lopez@saltcorp.com"/>
    <s v="098-765-4321"/>
    <s v="contract"/>
    <s v="Contract"/>
    <s v="EMP-2020-0048"/>
    <n v="3"/>
    <m/>
    <m/>
    <m/>
    <m/>
    <m/>
    <s v=""/>
    <n v="5"/>
    <x v="0"/>
    <x v="0"/>
  </r>
  <r>
    <x v="200"/>
    <s v="Frank"/>
    <s v="Santos"/>
    <n v="35"/>
    <x v="2"/>
    <n v="1989"/>
    <n v="60800"/>
    <x v="19"/>
    <s v="Male"/>
    <s v="finance"/>
    <s v="Finance"/>
    <s v="Analyst"/>
    <d v="2019-12-01T00:00:00"/>
    <d v="2019-12-01T00:00:00"/>
    <s v="C"/>
    <x v="31"/>
    <s v="frank.santos@saltcorp.com"/>
    <s v=" "/>
    <s v="Part-Time"/>
    <s v="Part-Time"/>
    <m/>
    <n v="2"/>
    <m/>
    <m/>
    <m/>
    <m/>
    <m/>
    <s v=""/>
    <n v="3"/>
    <x v="0"/>
    <x v="0"/>
  </r>
  <r>
    <x v="201"/>
    <s v="Alice"/>
    <s v="Armstrong"/>
    <n v="50"/>
    <x v="10"/>
    <n v="1974"/>
    <n v="50000"/>
    <x v="0"/>
    <s v="Male"/>
    <s v="it"/>
    <s v="IT"/>
    <s v="Clerk"/>
    <d v="2019-12-01T00:00:00"/>
    <d v="2019-12-01T00:00:00"/>
    <s v="F"/>
    <x v="72"/>
    <s v="alice.armstrong@saltcorp.com"/>
    <s v="098-765-4321"/>
    <s v="Full-Time"/>
    <s v="Full-Time"/>
    <m/>
    <n v="7"/>
    <m/>
    <m/>
    <m/>
    <n v="42"/>
    <s v="YES"/>
    <s v="Yes"/>
    <n v="1"/>
    <x v="0"/>
    <x v="0"/>
  </r>
  <r>
    <x v="202"/>
    <s v="Ivy"/>
    <s v="Walker"/>
    <m/>
    <x v="15"/>
    <n v="1986"/>
    <n v="55000"/>
    <x v="6"/>
    <s v="Male"/>
    <s v="it"/>
    <s v="IT"/>
    <s v="Analyst"/>
    <d v="2018-04-05T00:00:00"/>
    <d v="2018-04-05T00:00:00"/>
    <s v="B"/>
    <x v="45"/>
    <s v="ivy.walker@saltcorp.com"/>
    <s v="123-456-7890"/>
    <s v="Part-Time"/>
    <s v="Part-Time"/>
    <m/>
    <n v="8"/>
    <s v="N/A"/>
    <m/>
    <d v="2022-06-20T00:00:00"/>
    <m/>
    <m/>
    <s v=""/>
    <n v="4"/>
    <x v="1"/>
    <x v="1"/>
  </r>
  <r>
    <x v="203"/>
    <s v="Frank"/>
    <s v="Knight"/>
    <s v="thirty"/>
    <x v="8"/>
    <n v="1994"/>
    <s v="SIXTY THOUSAND"/>
    <x v="2"/>
    <s v="Male"/>
    <s v="finance"/>
    <s v="Finance"/>
    <s v="Director"/>
    <d v="2020-02-20T00:00:00"/>
    <d v="2020-02-20T00:00:00"/>
    <s v="B"/>
    <x v="45"/>
    <s v="frank.knight@saltcorp.com"/>
    <s v="123-456-7890"/>
    <s v="Part-Time"/>
    <s v="Part-Time"/>
    <m/>
    <n v="8"/>
    <m/>
    <n v="9"/>
    <m/>
    <m/>
    <s v="YES"/>
    <s v="Yes"/>
    <n v="1"/>
    <x v="1"/>
    <x v="1"/>
  </r>
  <r>
    <x v="204"/>
    <s v="Charlie"/>
    <s v="Jackson"/>
    <s v="thirty"/>
    <x v="8"/>
    <n v="1994"/>
    <n v="70000"/>
    <x v="5"/>
    <s v="Male"/>
    <s v="it"/>
    <s v="IT"/>
    <s v="Manager"/>
    <d v="2019-12-01T00:00:00"/>
    <d v="2019-12-01T00:00:00"/>
    <s v="A"/>
    <x v="11"/>
    <s v="charlie.jackson@saltcorp.com"/>
    <s v=" "/>
    <s v="Full-Time"/>
    <s v="Full-Time"/>
    <m/>
    <n v="3"/>
    <m/>
    <m/>
    <m/>
    <m/>
    <s v="no"/>
    <s v="No"/>
    <n v="2"/>
    <x v="1"/>
    <x v="1"/>
  </r>
  <r>
    <x v="205"/>
    <s v="David"/>
    <s v="O'Brien"/>
    <n v="40"/>
    <x v="7"/>
    <n v="1984"/>
    <n v="55000"/>
    <x v="6"/>
    <s v="Male"/>
    <s v="HR"/>
    <s v="HR"/>
    <s v="Assistant"/>
    <d v="2020-02-20T00:00:00"/>
    <d v="2020-02-20T00:00:00"/>
    <s v="C"/>
    <x v="23"/>
    <s v="david.o'brien@saltcorp.com"/>
    <m/>
    <s v="Full-Time"/>
    <s v="Full-Time"/>
    <m/>
    <n v="7"/>
    <m/>
    <m/>
    <d v="2023-01-15T00:00:00"/>
    <n v="22"/>
    <s v="no"/>
    <s v="No"/>
    <n v="4"/>
    <x v="0"/>
    <x v="0"/>
  </r>
  <r>
    <x v="206"/>
    <s v="David"/>
    <s v="Vega"/>
    <n v="40"/>
    <x v="7"/>
    <n v="1984"/>
    <s v="SIXTY THOUSAND"/>
    <x v="2"/>
    <s v="Female"/>
    <s v="HR"/>
    <s v="HR"/>
    <s v="Manager"/>
    <d v="2019-12-01T00:00:00"/>
    <d v="2019-12-01T00:00:00"/>
    <s v="D"/>
    <x v="22"/>
    <s v="david.vega@saltcorp.com"/>
    <s v="123-456-7890"/>
    <s v="contract"/>
    <s v="Contract"/>
    <m/>
    <n v="6"/>
    <m/>
    <m/>
    <d v="2022-06-20T00:00:00"/>
    <m/>
    <s v="YES"/>
    <s v="Yes"/>
    <n v="3"/>
    <x v="0"/>
    <x v="0"/>
  </r>
  <r>
    <x v="207"/>
    <s v="Charlie"/>
    <s v="Riley"/>
    <s v="thirty"/>
    <x v="8"/>
    <n v="1994"/>
    <n v="55000"/>
    <x v="6"/>
    <s v="Male"/>
    <s v="finance"/>
    <s v="Finance"/>
    <s v="Assistant"/>
    <d v="2020-01-15T00:00:00"/>
    <d v="2020-01-15T00:00:00"/>
    <s v="B"/>
    <x v="16"/>
    <s v="charlie.riley@saltcorp.com"/>
    <s v="123-456-7890"/>
    <s v="contract"/>
    <s v="Contract"/>
    <m/>
    <n v="1"/>
    <n v="4"/>
    <m/>
    <d v="2023-03-05T00:00:00"/>
    <m/>
    <s v="YES"/>
    <s v="Yes"/>
    <n v="3"/>
    <x v="0"/>
    <x v="0"/>
  </r>
  <r>
    <x v="208"/>
    <s v="Jack"/>
    <s v="O'Connor"/>
    <n v="40"/>
    <x v="7"/>
    <n v="1984"/>
    <n v="60100"/>
    <x v="10"/>
    <s v="Male"/>
    <s v="it"/>
    <s v="IT"/>
    <s v="Director"/>
    <d v="2019-03-25T00:00:00"/>
    <d v="2019-03-25T00:00:00"/>
    <s v="A"/>
    <x v="70"/>
    <s v="jack.o'connor@saltcorp.com"/>
    <s v=" "/>
    <s v="Full-Time"/>
    <s v="Full-Time"/>
    <s v="EMP-2019-0074"/>
    <n v="3"/>
    <m/>
    <m/>
    <d v="2023-01-15T00:00:00"/>
    <n v="12"/>
    <s v="no"/>
    <s v="No"/>
    <n v="1"/>
    <x v="0"/>
    <x v="0"/>
  </r>
  <r>
    <x v="209"/>
    <s v="Charlie"/>
    <s v="Powers"/>
    <n v="35"/>
    <x v="2"/>
    <n v="1989"/>
    <n v="70000"/>
    <x v="5"/>
    <s v="Male"/>
    <s v="HR"/>
    <s v="HR"/>
    <s v="Director"/>
    <d v="2020-01-15T00:00:00"/>
    <d v="2020-01-15T00:00:00"/>
    <s v="C"/>
    <x v="31"/>
    <s v="charlie.powers@saltcorp.com"/>
    <s v="555-555-5555"/>
    <s v="contract"/>
    <s v="Contract"/>
    <m/>
    <n v="8"/>
    <m/>
    <n v="2"/>
    <m/>
    <m/>
    <s v="no"/>
    <s v="No"/>
    <n v="5"/>
    <x v="0"/>
    <x v="0"/>
  </r>
  <r>
    <x v="210"/>
    <s v="Charlie"/>
    <s v="Johnston"/>
    <n v="50"/>
    <x v="10"/>
    <n v="1974"/>
    <n v="50000"/>
    <x v="0"/>
    <s v="Male"/>
    <s v="HR"/>
    <s v="HR"/>
    <s v="Manager"/>
    <d v="2019-12-01T00:00:00"/>
    <d v="2019-12-01T00:00:00"/>
    <s v="C"/>
    <x v="2"/>
    <s v="charlie.johnston@saltcorp.com"/>
    <s v="098-765-4321"/>
    <s v="Part-Time"/>
    <s v="Part-Time"/>
    <s v="EMP-2020-0072"/>
    <n v="8"/>
    <m/>
    <m/>
    <d v="2023-03-05T00:00:00"/>
    <n v="58"/>
    <s v="Y"/>
    <s v="Yes"/>
    <n v="1"/>
    <x v="0"/>
    <x v="0"/>
  </r>
  <r>
    <x v="211"/>
    <s v="David"/>
    <s v="Patel"/>
    <s v="thirty"/>
    <x v="8"/>
    <n v="1994"/>
    <n v="50000"/>
    <x v="0"/>
    <s v="Female"/>
    <s v="Marketing"/>
    <s v="Marketing"/>
    <s v="Assistant"/>
    <d v="2019-03-25T00:00:00"/>
    <d v="2019-03-25T00:00:00"/>
    <s v="A"/>
    <x v="3"/>
    <s v="david.patel@saltcorp.com"/>
    <s v="123-456-7890"/>
    <s v="Part-Time"/>
    <s v="Part-Time"/>
    <m/>
    <n v="2"/>
    <m/>
    <n v="18"/>
    <m/>
    <n v="36"/>
    <s v="YES"/>
    <s v="Yes"/>
    <n v="4"/>
    <x v="0"/>
    <x v="0"/>
  </r>
  <r>
    <x v="212"/>
    <s v="Grace"/>
    <s v="Wu"/>
    <n v="40"/>
    <x v="7"/>
    <n v="1984"/>
    <s v="SIXTY THOUSAND"/>
    <x v="2"/>
    <s v="Female"/>
    <s v="Marketing"/>
    <s v="Marketing"/>
    <s v="Director"/>
    <d v="2019-03-25T00:00:00"/>
    <d v="2019-03-25T00:00:00"/>
    <s v="A"/>
    <x v="25"/>
    <s v="grace.wu@saltcorp.com"/>
    <s v="555-555-5555"/>
    <s v="Part-Time"/>
    <s v="Part-Time"/>
    <m/>
    <n v="7"/>
    <m/>
    <m/>
    <d v="2021-10-01T00:00:00"/>
    <n v="22"/>
    <s v="YES"/>
    <s v="Yes"/>
    <n v="1"/>
    <x v="0"/>
    <x v="0"/>
  </r>
  <r>
    <x v="213"/>
    <s v="David"/>
    <s v="Santos"/>
    <s v="thirty"/>
    <x v="8"/>
    <n v="1994"/>
    <n v="65000"/>
    <x v="1"/>
    <s v="Male"/>
    <s v="HR"/>
    <s v="HR"/>
    <s v="Analyst"/>
    <d v="2019-12-01T00:00:00"/>
    <d v="2019-12-01T00:00:00"/>
    <s v="D"/>
    <x v="24"/>
    <s v="david.santos@saltcorp.com"/>
    <m/>
    <s v="Part-Time"/>
    <s v="Part-Time"/>
    <m/>
    <n v="8"/>
    <n v="5"/>
    <m/>
    <d v="2024-08-12T00:00:00"/>
    <m/>
    <s v="YES"/>
    <s v="Yes"/>
    <n v="1"/>
    <x v="0"/>
    <x v="0"/>
  </r>
  <r>
    <x v="214"/>
    <s v="Ivy"/>
    <s v="Gutierrez"/>
    <m/>
    <x v="8"/>
    <n v="1994"/>
    <n v="60800"/>
    <x v="19"/>
    <s v="Female"/>
    <s v="finance"/>
    <s v="Finance"/>
    <s v="Analyst"/>
    <d v="2019-12-01T00:00:00"/>
    <d v="2019-12-01T00:00:00"/>
    <s v="A"/>
    <x v="32"/>
    <s v="ivy.gutierrez@saltcorp.com"/>
    <s v="555-555-5555"/>
    <s v="contract"/>
    <s v="Contract"/>
    <m/>
    <n v="1"/>
    <m/>
    <n v="2"/>
    <m/>
    <n v="40"/>
    <s v="no"/>
    <s v="No"/>
    <n v="2"/>
    <x v="0"/>
    <x v="0"/>
  </r>
  <r>
    <x v="215"/>
    <s v="Alice"/>
    <s v="Jordan"/>
    <n v="25"/>
    <x v="0"/>
    <n v="1999"/>
    <s v="SIXTY THOUSAND"/>
    <x v="2"/>
    <s v="Male"/>
    <s v="sales"/>
    <s v="Sales"/>
    <s v="Assistant"/>
    <d v="2020-02-20T00:00:00"/>
    <d v="2020-02-20T00:00:00"/>
    <s v="D"/>
    <x v="18"/>
    <s v="alice.jordan@saltcorp.com"/>
    <s v=" "/>
    <s v="Full-Time"/>
    <s v="Full-Time"/>
    <m/>
    <n v="2"/>
    <m/>
    <m/>
    <m/>
    <n v="71"/>
    <s v="no"/>
    <s v="No"/>
    <n v="4"/>
    <x v="0"/>
    <x v="0"/>
  </r>
  <r>
    <x v="216"/>
    <s v="Hannah"/>
    <s v="Oliver"/>
    <n v="50"/>
    <x v="10"/>
    <n v="1974"/>
    <n v="65000"/>
    <x v="1"/>
    <s v="Female"/>
    <s v="sales"/>
    <s v="Sales"/>
    <s v="Manager"/>
    <d v="2019-12-01T00:00:00"/>
    <d v="2019-12-01T00:00:00"/>
    <s v="D"/>
    <x v="34"/>
    <s v="hannah.oliver@saltcorp.com"/>
    <m/>
    <s v="Part-Time"/>
    <s v="Part-Time"/>
    <m/>
    <n v="5"/>
    <n v="7"/>
    <n v="19"/>
    <m/>
    <m/>
    <s v="YES"/>
    <s v="Yes"/>
    <n v="4"/>
    <x v="0"/>
    <x v="0"/>
  </r>
  <r>
    <x v="217"/>
    <s v="Grace"/>
    <s v="Yang"/>
    <s v="thirty"/>
    <x v="8"/>
    <n v="1994"/>
    <n v="55000"/>
    <x v="6"/>
    <s v="Female"/>
    <s v="HR"/>
    <s v="HR"/>
    <s v="Director"/>
    <d v="2018-04-05T00:00:00"/>
    <d v="2018-04-05T00:00:00"/>
    <s v="F"/>
    <x v="73"/>
    <s v="grace.yang@saltcorp.com"/>
    <m/>
    <s v="Part-Time"/>
    <s v="Part-Time"/>
    <m/>
    <n v="6"/>
    <m/>
    <n v="1"/>
    <m/>
    <m/>
    <s v="no"/>
    <s v="No"/>
    <n v="4"/>
    <x v="0"/>
    <x v="0"/>
  </r>
  <r>
    <x v="218"/>
    <s v="Bob"/>
    <s v="Rivera"/>
    <n v="25"/>
    <x v="0"/>
    <n v="1999"/>
    <n v="59000"/>
    <x v="20"/>
    <s v="Male"/>
    <s v="HR"/>
    <s v="HR"/>
    <s v="Manager"/>
    <d v="2019-12-01T00:00:00"/>
    <d v="2019-12-01T00:00:00"/>
    <s v="C"/>
    <x v="2"/>
    <s v="bob.rivera@saltcorp.com"/>
    <s v="555-555-5555"/>
    <s v="Full-Time"/>
    <s v="Full-Time"/>
    <m/>
    <n v="1"/>
    <m/>
    <n v="12"/>
    <m/>
    <m/>
    <m/>
    <s v=""/>
    <n v="5"/>
    <x v="1"/>
    <x v="1"/>
  </r>
  <r>
    <x v="219"/>
    <s v="Hannah"/>
    <s v="Long"/>
    <n v="40"/>
    <x v="7"/>
    <n v="1984"/>
    <n v="55000"/>
    <x v="6"/>
    <s v="Female"/>
    <s v="HR"/>
    <s v="HR"/>
    <s v="Analyst"/>
    <d v="2018-04-05T00:00:00"/>
    <d v="2018-04-05T00:00:00"/>
    <s v="C"/>
    <x v="44"/>
    <s v="hannah.long@saltcorp.com"/>
    <s v=" "/>
    <s v="Part-Time"/>
    <s v="Part-Time"/>
    <s v="EMP-2020-0077"/>
    <n v="4"/>
    <s v="N/A"/>
    <n v="13"/>
    <d v="2022-06-20T00:00:00"/>
    <n v="63"/>
    <s v="YES"/>
    <s v="Yes"/>
    <n v="1"/>
    <x v="1"/>
    <x v="1"/>
  </r>
  <r>
    <x v="220"/>
    <s v="Alice"/>
    <s v="Vega"/>
    <n v="25"/>
    <x v="0"/>
    <n v="1999"/>
    <n v="70000"/>
    <x v="5"/>
    <s v="Male"/>
    <s v="finance"/>
    <s v="Finance"/>
    <s v="Director"/>
    <d v="2019-12-01T00:00:00"/>
    <d v="2019-12-01T00:00:00"/>
    <s v="C"/>
    <x v="69"/>
    <s v="alice.vega@saltcorp.com"/>
    <s v="123-456-7890"/>
    <s v="Full-Time"/>
    <s v="Full-Time"/>
    <m/>
    <n v="6"/>
    <m/>
    <n v="14"/>
    <m/>
    <m/>
    <m/>
    <s v=""/>
    <n v="4"/>
    <x v="0"/>
    <x v="0"/>
  </r>
  <r>
    <x v="221"/>
    <s v="Ivy"/>
    <s v="Rivera"/>
    <n v="50"/>
    <x v="10"/>
    <n v="1974"/>
    <n v="60000"/>
    <x v="2"/>
    <s v="Female"/>
    <s v="Marketing"/>
    <s v="Marketing"/>
    <s v="Manager"/>
    <d v="2020-02-20T00:00:00"/>
    <d v="2020-02-20T00:00:00"/>
    <s v="F"/>
    <x v="12"/>
    <s v="ivy.rivera@saltcorp.com"/>
    <s v="555-555-5555"/>
    <s v="Part-Time"/>
    <s v="Part-Time"/>
    <m/>
    <n v="2"/>
    <n v="13"/>
    <m/>
    <d v="2023-03-05T00:00:00"/>
    <m/>
    <s v="Y"/>
    <s v="Yes"/>
    <n v="5"/>
    <x v="1"/>
    <x v="1"/>
  </r>
  <r>
    <x v="222"/>
    <s v="Ivy"/>
    <s v="Singh"/>
    <s v="thirty"/>
    <x v="8"/>
    <n v="1994"/>
    <n v="65000"/>
    <x v="1"/>
    <s v="Female"/>
    <s v="HR"/>
    <s v="HR"/>
    <s v="Clerk"/>
    <d v="2018-04-05T00:00:00"/>
    <d v="2018-04-05T00:00:00"/>
    <s v="D"/>
    <x v="34"/>
    <s v="ivy.singh@saltcorp.com"/>
    <s v="123-456-7890"/>
    <s v="contract"/>
    <s v="Contract"/>
    <m/>
    <n v="7"/>
    <m/>
    <n v="3"/>
    <m/>
    <m/>
    <s v="no"/>
    <s v="No"/>
    <n v="5"/>
    <x v="0"/>
    <x v="0"/>
  </r>
  <r>
    <x v="223"/>
    <s v="Bob"/>
    <s v="Davis"/>
    <m/>
    <x v="6"/>
    <n v="1991"/>
    <n v="70000"/>
    <x v="5"/>
    <s v="Male"/>
    <s v="HR"/>
    <s v="HR"/>
    <s v="Assistant"/>
    <d v="2020-01-15T00:00:00"/>
    <d v="2020-01-15T00:00:00"/>
    <s v="D"/>
    <x v="43"/>
    <s v="bob.davis@saltcorp.com"/>
    <s v="555-555-5555"/>
    <s v="Full-Time"/>
    <s v="Full-Time"/>
    <m/>
    <n v="4"/>
    <m/>
    <m/>
    <m/>
    <m/>
    <m/>
    <s v=""/>
    <n v="2"/>
    <x v="1"/>
    <x v="1"/>
  </r>
  <r>
    <x v="224"/>
    <s v="Grace"/>
    <s v="Zhang"/>
    <n v="40"/>
    <x v="7"/>
    <n v="1984"/>
    <n v="50000"/>
    <x v="0"/>
    <s v="Male"/>
    <s v="it"/>
    <s v="IT"/>
    <s v="Assistant"/>
    <d v="2018-04-05T00:00:00"/>
    <d v="2018-04-05T00:00:00"/>
    <s v="A"/>
    <x v="52"/>
    <s v="grace.zhang@saltcorp.com"/>
    <s v="123-456-7890"/>
    <s v="Full-Time"/>
    <s v="Full-Time"/>
    <m/>
    <n v="8"/>
    <m/>
    <m/>
    <m/>
    <m/>
    <s v="no"/>
    <s v="No"/>
    <n v="5"/>
    <x v="0"/>
    <x v="0"/>
  </r>
  <r>
    <x v="225"/>
    <s v="Jack"/>
    <s v="Murphy"/>
    <s v="thirty"/>
    <x v="8"/>
    <n v="1994"/>
    <n v="65000"/>
    <x v="1"/>
    <s v="Male"/>
    <s v="finance"/>
    <s v="Finance"/>
    <s v="Clerk"/>
    <d v="2020-02-20T00:00:00"/>
    <d v="2020-02-20T00:00:00"/>
    <s v="F"/>
    <x v="73"/>
    <s v="jack.murphy@saltcorp.com"/>
    <s v="555-555-5555"/>
    <s v="Full-Time"/>
    <s v="Full-Time"/>
    <m/>
    <n v="6"/>
    <s v="N/A"/>
    <m/>
    <d v="2024-08-12T00:00:00"/>
    <n v="19"/>
    <s v="YES"/>
    <s v="Yes"/>
    <n v="1"/>
    <x v="1"/>
    <x v="1"/>
  </r>
  <r>
    <x v="226"/>
    <s v="Charlie"/>
    <s v="Sims"/>
    <n v="50"/>
    <x v="10"/>
    <n v="1974"/>
    <s v="SIXTY THOUSAND"/>
    <x v="2"/>
    <s v="Male"/>
    <s v="HR"/>
    <s v="HR"/>
    <s v="Analyst"/>
    <d v="2018-04-05T00:00:00"/>
    <d v="2018-04-05T00:00:00"/>
    <s v="A"/>
    <x v="50"/>
    <s v="charlie.sims@saltcorp.com"/>
    <m/>
    <s v="contract"/>
    <s v="Contract"/>
    <m/>
    <n v="7"/>
    <m/>
    <m/>
    <m/>
    <m/>
    <s v="YES"/>
    <s v="Yes"/>
    <n v="5"/>
    <x v="0"/>
    <x v="0"/>
  </r>
  <r>
    <x v="227"/>
    <s v="Grace"/>
    <s v="Zhang"/>
    <n v="40"/>
    <x v="7"/>
    <n v="1984"/>
    <n v="50000"/>
    <x v="0"/>
    <s v="Female"/>
    <s v="it"/>
    <s v="IT"/>
    <s v="Director"/>
    <d v="2019-12-01T00:00:00"/>
    <d v="2019-12-01T00:00:00"/>
    <s v="F"/>
    <x v="74"/>
    <s v="grace.zhang@saltcorp.com"/>
    <s v="098-765-4321"/>
    <s v="Full-Time"/>
    <s v="Full-Time"/>
    <s v="EMP-2019-0077"/>
    <n v="3"/>
    <s v="N/A"/>
    <m/>
    <m/>
    <m/>
    <m/>
    <s v=""/>
    <n v="2"/>
    <x v="0"/>
    <x v="0"/>
  </r>
  <r>
    <x v="228"/>
    <s v="Jack"/>
    <s v="Murphy"/>
    <n v="35"/>
    <x v="2"/>
    <n v="1989"/>
    <n v="50000"/>
    <x v="0"/>
    <s v="Female"/>
    <s v="sales"/>
    <s v="Sales"/>
    <s v="Assistant"/>
    <d v="2019-12-01T00:00:00"/>
    <d v="2019-12-01T00:00:00"/>
    <s v="A"/>
    <x v="11"/>
    <s v="jack.murphy@saltcorp.com"/>
    <m/>
    <s v="Full-Time"/>
    <s v="Full-Time"/>
    <s v="EMP-2019-0028"/>
    <n v="1"/>
    <m/>
    <m/>
    <d v="2023-03-05T00:00:00"/>
    <n v="60"/>
    <s v="no"/>
    <s v="No"/>
    <n v="5"/>
    <x v="0"/>
    <x v="0"/>
  </r>
  <r>
    <x v="229"/>
    <s v="Ivy"/>
    <s v="Desai"/>
    <n v="25"/>
    <x v="0"/>
    <n v="1999"/>
    <s v="SIXTY THOUSAND"/>
    <x v="2"/>
    <s v="Male"/>
    <s v="HR"/>
    <s v="HR"/>
    <s v="Clerk"/>
    <d v="2020-02-20T00:00:00"/>
    <d v="2020-02-20T00:00:00"/>
    <s v="B"/>
    <x v="45"/>
    <s v="ivy.desai@saltcorp.com"/>
    <s v="123-456-7890"/>
    <s v="contract"/>
    <s v="Contract"/>
    <s v="EMP-2019-0042"/>
    <n v="1"/>
    <n v="1"/>
    <m/>
    <d v="2024-08-12T00:00:00"/>
    <m/>
    <s v="no"/>
    <s v="No"/>
    <n v="5"/>
    <x v="0"/>
    <x v="0"/>
  </r>
  <r>
    <x v="230"/>
    <s v="David"/>
    <s v="Sims"/>
    <n v="50"/>
    <x v="10"/>
    <n v="1974"/>
    <n v="58800"/>
    <x v="17"/>
    <s v="Male"/>
    <s v="HR"/>
    <s v="HR"/>
    <s v="Clerk"/>
    <d v="2019-03-25T00:00:00"/>
    <d v="2019-03-25T00:00:00"/>
    <s v="C"/>
    <x v="69"/>
    <s v="david.sims@saltcorp.com"/>
    <s v=" "/>
    <s v="Part-Time"/>
    <s v="Part-Time"/>
    <s v="EMP-2020-0056"/>
    <n v="3"/>
    <m/>
    <m/>
    <d v="2022-06-20T00:00:00"/>
    <m/>
    <s v="Y"/>
    <s v="Yes"/>
    <n v="5"/>
    <x v="0"/>
    <x v="0"/>
  </r>
  <r>
    <x v="231"/>
    <s v="Alice"/>
    <s v="Figueroa"/>
    <n v="35"/>
    <x v="2"/>
    <n v="1989"/>
    <n v="50000"/>
    <x v="0"/>
    <s v="Female"/>
    <s v="it"/>
    <s v="IT"/>
    <s v="Analyst"/>
    <d v="2019-12-01T00:00:00"/>
    <d v="2019-12-01T00:00:00"/>
    <s v="C"/>
    <x v="69"/>
    <s v="alice.figueroa@saltcorp.com"/>
    <m/>
    <s v="Full-Time"/>
    <s v="Full-Time"/>
    <s v="EMP-2020-0091"/>
    <n v="8"/>
    <n v="12"/>
    <m/>
    <m/>
    <m/>
    <s v="YES"/>
    <s v="Yes"/>
    <n v="2"/>
    <x v="1"/>
    <x v="1"/>
  </r>
  <r>
    <x v="232"/>
    <s v="Bob"/>
    <s v="Smith"/>
    <s v="thirty"/>
    <x v="8"/>
    <n v="1994"/>
    <n v="65000"/>
    <x v="1"/>
    <s v="Female"/>
    <s v="finance"/>
    <s v="Finance"/>
    <s v="Analyst"/>
    <d v="2020-01-15T00:00:00"/>
    <d v="2020-01-15T00:00:00"/>
    <s v="D"/>
    <x v="15"/>
    <s v="bob.smith@saltcorp.com"/>
    <s v="098-765-4321"/>
    <s v="Part-Time"/>
    <s v="Part-Time"/>
    <s v="EMP-2020-0046"/>
    <n v="8"/>
    <m/>
    <n v="16"/>
    <m/>
    <m/>
    <s v="YES"/>
    <s v="Yes"/>
    <n v="1"/>
    <x v="1"/>
    <x v="1"/>
  </r>
  <r>
    <x v="233"/>
    <s v="Alice"/>
    <s v="Martinez"/>
    <m/>
    <x v="17"/>
    <n v="1978"/>
    <n v="70000"/>
    <x v="5"/>
    <s v="Female"/>
    <s v="HR"/>
    <s v="HR"/>
    <s v="Manager"/>
    <d v="2020-02-20T00:00:00"/>
    <d v="2020-02-20T00:00:00"/>
    <s v="B"/>
    <x v="6"/>
    <s v="alice.martinez@saltcorp.com"/>
    <s v="123-456-7890"/>
    <s v="Part-Time"/>
    <s v="Part-Time"/>
    <m/>
    <n v="3"/>
    <m/>
    <m/>
    <m/>
    <m/>
    <s v="no"/>
    <s v="No"/>
    <n v="2"/>
    <x v="1"/>
    <x v="1"/>
  </r>
  <r>
    <x v="234"/>
    <s v="Eve"/>
    <s v="Carter"/>
    <n v="40"/>
    <x v="7"/>
    <n v="1984"/>
    <n v="50000"/>
    <x v="0"/>
    <s v="Female"/>
    <s v="sales"/>
    <s v="Sales"/>
    <s v="Assistant"/>
    <d v="2018-04-05T00:00:00"/>
    <d v="2018-04-05T00:00:00"/>
    <s v="C"/>
    <x v="2"/>
    <s v="eve.carter@saltcorp.com"/>
    <m/>
    <s v="Full-Time"/>
    <s v="Full-Time"/>
    <m/>
    <n v="2"/>
    <m/>
    <m/>
    <d v="2023-03-05T00:00:00"/>
    <n v="80"/>
    <s v="YES"/>
    <s v="Yes"/>
    <n v="3"/>
    <x v="0"/>
    <x v="0"/>
  </r>
  <r>
    <x v="235"/>
    <s v="Eve"/>
    <s v="Wallace"/>
    <n v="25"/>
    <x v="0"/>
    <n v="1999"/>
    <n v="65000"/>
    <x v="1"/>
    <s v="Female"/>
    <s v="HR"/>
    <s v="HR"/>
    <s v="Manager"/>
    <d v="2018-04-05T00:00:00"/>
    <d v="2018-04-05T00:00:00"/>
    <s v="D"/>
    <x v="43"/>
    <s v="eve.wallace@saltcorp.com"/>
    <s v="555-555-5555"/>
    <s v="Full-Time"/>
    <s v="Full-Time"/>
    <m/>
    <n v="8"/>
    <s v="N/A"/>
    <m/>
    <m/>
    <m/>
    <m/>
    <s v=""/>
    <n v="5"/>
    <x v="0"/>
    <x v="0"/>
  </r>
  <r>
    <x v="236"/>
    <s v="Grace"/>
    <s v="McCoy"/>
    <n v="40"/>
    <x v="7"/>
    <n v="1984"/>
    <n v="55000"/>
    <x v="6"/>
    <s v="Male"/>
    <s v="sales"/>
    <s v="Sales"/>
    <s v="Clerk"/>
    <d v="2020-01-15T00:00:00"/>
    <d v="2020-01-15T00:00:00"/>
    <s v="B"/>
    <x v="26"/>
    <s v="grace.mccoy@saltcorp.com"/>
    <s v=" "/>
    <s v="contract"/>
    <s v="Contract"/>
    <s v="EMP-2018-0052"/>
    <n v="6"/>
    <m/>
    <m/>
    <m/>
    <n v="76"/>
    <s v="no"/>
    <s v="No"/>
    <n v="1"/>
    <x v="1"/>
    <x v="1"/>
  </r>
  <r>
    <x v="237"/>
    <s v="Ivy"/>
    <s v="Gupta"/>
    <s v="thirty"/>
    <x v="8"/>
    <n v="1994"/>
    <n v="65000"/>
    <x v="1"/>
    <s v="Male"/>
    <s v="Marketing"/>
    <s v="Marketing"/>
    <s v="Director"/>
    <d v="2019-12-01T00:00:00"/>
    <d v="2019-12-01T00:00:00"/>
    <s v="C"/>
    <x v="31"/>
    <s v="ivy.gupta@saltcorp.com"/>
    <s v="123-456-7890"/>
    <s v="Full-Time"/>
    <s v="Full-Time"/>
    <m/>
    <n v="4"/>
    <n v="14"/>
    <m/>
    <d v="2024-08-12T00:00:00"/>
    <n v="53"/>
    <s v="YES"/>
    <s v="Yes"/>
    <n v="5"/>
    <x v="0"/>
    <x v="0"/>
  </r>
  <r>
    <x v="238"/>
    <s v="Ivy"/>
    <s v="Shah"/>
    <n v="40"/>
    <x v="7"/>
    <n v="1984"/>
    <n v="70000"/>
    <x v="5"/>
    <s v="Female"/>
    <s v="Marketing"/>
    <s v="Marketing"/>
    <s v="Director"/>
    <d v="2020-02-20T00:00:00"/>
    <d v="2020-02-20T00:00:00"/>
    <s v="A"/>
    <x v="70"/>
    <s v="ivy.shah@saltcorp.com"/>
    <m/>
    <s v="Full-Time"/>
    <s v="Full-Time"/>
    <m/>
    <n v="6"/>
    <m/>
    <n v="3"/>
    <m/>
    <n v="17"/>
    <s v="YES"/>
    <s v="Yes"/>
    <n v="4"/>
    <x v="0"/>
    <x v="0"/>
  </r>
  <r>
    <x v="239"/>
    <s v="Charlie"/>
    <s v="Martin"/>
    <n v="25"/>
    <x v="0"/>
    <n v="1999"/>
    <n v="65000"/>
    <x v="1"/>
    <s v="Female"/>
    <s v="sales"/>
    <s v="Sales"/>
    <s v="Analyst"/>
    <d v="2020-01-15T00:00:00"/>
    <d v="2020-01-15T00:00:00"/>
    <s v="F"/>
    <x v="13"/>
    <s v="charlie.martin@saltcorp.com"/>
    <s v="123-456-7890"/>
    <s v="Full-Time"/>
    <s v="Full-Time"/>
    <m/>
    <n v="5"/>
    <s v="N/A"/>
    <m/>
    <m/>
    <n v="51"/>
    <m/>
    <s v=""/>
    <n v="4"/>
    <x v="0"/>
    <x v="0"/>
  </r>
  <r>
    <x v="240"/>
    <s v="Charlie"/>
    <s v="Taylor"/>
    <s v="thirty"/>
    <x v="8"/>
    <n v="1994"/>
    <s v="SIXTY THOUSAND"/>
    <x v="2"/>
    <s v="Female"/>
    <s v="finance"/>
    <s v="Finance"/>
    <s v="Director"/>
    <d v="2019-12-01T00:00:00"/>
    <d v="2019-12-01T00:00:00"/>
    <s v="B"/>
    <x v="21"/>
    <s v="charlie.taylor@saltcorp.com"/>
    <s v="555-555-5555"/>
    <s v="Full-Time"/>
    <s v="Full-Time"/>
    <m/>
    <n v="1"/>
    <n v="14"/>
    <m/>
    <m/>
    <m/>
    <s v="no"/>
    <s v="No"/>
    <n v="5"/>
    <x v="0"/>
    <x v="0"/>
  </r>
  <r>
    <x v="241"/>
    <s v="Charlie"/>
    <s v="Olson"/>
    <n v="40"/>
    <x v="7"/>
    <n v="1984"/>
    <n v="70000"/>
    <x v="5"/>
    <s v="Female"/>
    <s v="HR"/>
    <s v="HR"/>
    <s v="Director"/>
    <d v="2020-02-20T00:00:00"/>
    <d v="2020-02-20T00:00:00"/>
    <s v="D"/>
    <x v="24"/>
    <s v="charlie.olson@saltcorp.com"/>
    <s v="098-765-4321"/>
    <s v="Part-Time"/>
    <s v="Part-Time"/>
    <m/>
    <n v="4"/>
    <s v="N/A"/>
    <m/>
    <m/>
    <m/>
    <s v="no"/>
    <s v="No"/>
    <n v="3"/>
    <x v="1"/>
    <x v="1"/>
  </r>
  <r>
    <x v="242"/>
    <s v="David"/>
    <s v="O'Brien"/>
    <m/>
    <x v="23"/>
    <n v="1968"/>
    <n v="60900"/>
    <x v="15"/>
    <s v="Male"/>
    <s v="HR"/>
    <s v="HR"/>
    <s v="Director"/>
    <d v="2018-04-05T00:00:00"/>
    <d v="2018-04-05T00:00:00"/>
    <s v="B"/>
    <x v="45"/>
    <s v="david.o'brien@saltcorp.com"/>
    <m/>
    <s v="Full-Time"/>
    <s v="Full-Time"/>
    <m/>
    <n v="7"/>
    <m/>
    <m/>
    <d v="2023-03-05T00:00:00"/>
    <n v="61"/>
    <s v="YES"/>
    <s v="Yes"/>
    <n v="4"/>
    <x v="0"/>
    <x v="0"/>
  </r>
  <r>
    <x v="243"/>
    <s v="Hannah"/>
    <s v="Dominguez"/>
    <n v="50"/>
    <x v="10"/>
    <n v="1974"/>
    <n v="55000"/>
    <x v="6"/>
    <s v="Female"/>
    <s v="Marketing"/>
    <s v="Marketing"/>
    <s v="Clerk"/>
    <d v="2020-02-20T00:00:00"/>
    <d v="2020-02-20T00:00:00"/>
    <s v="D"/>
    <x v="0"/>
    <s v="hannah.dominguez@saltcorp.com"/>
    <s v="123-456-7890"/>
    <s v="Part-Time"/>
    <s v="Part-Time"/>
    <s v="EMP-2018-0043"/>
    <n v="7"/>
    <m/>
    <m/>
    <m/>
    <m/>
    <m/>
    <s v=""/>
    <n v="1"/>
    <x v="1"/>
    <x v="1"/>
  </r>
  <r>
    <x v="244"/>
    <s v="Frank"/>
    <s v="Sanchez"/>
    <s v="thirty"/>
    <x v="8"/>
    <n v="1994"/>
    <s v="SIXTY THOUSAND"/>
    <x v="2"/>
    <s v="Male"/>
    <s v="sales"/>
    <s v="Sales"/>
    <s v="Director"/>
    <d v="2019-03-25T00:00:00"/>
    <d v="2019-03-25T00:00:00"/>
    <s v="B"/>
    <x v="21"/>
    <s v="frank.sanchez@saltcorp.com"/>
    <s v="123-456-7890"/>
    <s v="Part-Time"/>
    <s v="Part-Time"/>
    <m/>
    <n v="4"/>
    <s v="N/A"/>
    <n v="0"/>
    <m/>
    <m/>
    <s v="YES"/>
    <s v="Yes"/>
    <n v="1"/>
    <x v="0"/>
    <x v="0"/>
  </r>
  <r>
    <x v="245"/>
    <s v="Hannah"/>
    <s v="Foster"/>
    <n v="50"/>
    <x v="10"/>
    <n v="1974"/>
    <n v="60900"/>
    <x v="15"/>
    <s v="Male"/>
    <s v="HR"/>
    <s v="HR"/>
    <s v="Director"/>
    <d v="2020-02-20T00:00:00"/>
    <d v="2020-02-20T00:00:00"/>
    <s v="D"/>
    <x v="0"/>
    <s v="hannah.foster@saltcorp.com"/>
    <s v="123-456-7890"/>
    <s v="contract"/>
    <s v="Contract"/>
    <m/>
    <n v="2"/>
    <s v="N/A"/>
    <n v="0"/>
    <d v="2022-06-20T00:00:00"/>
    <m/>
    <s v="no"/>
    <s v="No"/>
    <n v="1"/>
    <x v="0"/>
    <x v="0"/>
  </r>
  <r>
    <x v="246"/>
    <s v="Alice"/>
    <s v="Baker"/>
    <s v="thirty"/>
    <x v="8"/>
    <n v="1994"/>
    <n v="65000"/>
    <x v="1"/>
    <s v="Female"/>
    <s v="HR"/>
    <s v="HR"/>
    <s v="Director"/>
    <d v="2019-03-25T00:00:00"/>
    <d v="2019-03-25T00:00:00"/>
    <s v="C"/>
    <x v="58"/>
    <s v="alice.baker@saltcorp.com"/>
    <s v="098-765-4321"/>
    <s v="Full-Time"/>
    <s v="Full-Time"/>
    <m/>
    <n v="8"/>
    <m/>
    <m/>
    <d v="2023-01-15T00:00:00"/>
    <n v="8"/>
    <m/>
    <s v=""/>
    <n v="4"/>
    <x v="0"/>
    <x v="0"/>
  </r>
  <r>
    <x v="247"/>
    <s v="Hannah"/>
    <s v="Foster"/>
    <m/>
    <x v="24"/>
    <n v="1981"/>
    <n v="70000"/>
    <x v="5"/>
    <s v="Female"/>
    <s v="finance"/>
    <s v="Finance"/>
    <s v="Manager"/>
    <d v="2020-02-20T00:00:00"/>
    <d v="2020-02-20T00:00:00"/>
    <s v="A"/>
    <x v="70"/>
    <s v="hannah.foster@saltcorp.com"/>
    <s v="123-456-7890"/>
    <s v="Part-Time"/>
    <s v="Part-Time"/>
    <s v="EMP-2018-0031"/>
    <n v="8"/>
    <m/>
    <m/>
    <m/>
    <n v="8"/>
    <m/>
    <s v=""/>
    <n v="5"/>
    <x v="1"/>
    <x v="1"/>
  </r>
  <r>
    <x v="248"/>
    <s v="David"/>
    <s v="Murphy"/>
    <n v="50"/>
    <x v="10"/>
    <n v="1974"/>
    <n v="55000"/>
    <x v="6"/>
    <s v="Male"/>
    <s v="it"/>
    <s v="IT"/>
    <s v="Clerk"/>
    <d v="2019-03-25T00:00:00"/>
    <d v="2019-03-25T00:00:00"/>
    <s v="C"/>
    <x v="44"/>
    <s v="david.murphy@saltcorp.com"/>
    <s v=" "/>
    <s v="Part-Time"/>
    <s v="Part-Time"/>
    <m/>
    <n v="8"/>
    <s v="N/A"/>
    <m/>
    <d v="2022-06-20T00:00:00"/>
    <m/>
    <s v="no"/>
    <s v="No"/>
    <n v="2"/>
    <x v="1"/>
    <x v="1"/>
  </r>
  <r>
    <x v="249"/>
    <s v="Alice"/>
    <s v="Rivera"/>
    <n v="35"/>
    <x v="2"/>
    <n v="1989"/>
    <s v="SIXTY THOUSAND"/>
    <x v="2"/>
    <s v="Female"/>
    <s v="Marketing"/>
    <s v="Marketing"/>
    <s v="Analyst"/>
    <d v="2018-04-05T00:00:00"/>
    <d v="2018-04-05T00:00:00"/>
    <s v="A"/>
    <x v="11"/>
    <s v="alice.rivera@saltcorp.com"/>
    <s v=" "/>
    <s v="contract"/>
    <s v="Contract"/>
    <s v="EMP-2020-0010"/>
    <n v="2"/>
    <m/>
    <m/>
    <m/>
    <m/>
    <s v="YES"/>
    <s v="Yes"/>
    <n v="2"/>
    <x v="1"/>
    <x v="1"/>
  </r>
  <r>
    <x v="250"/>
    <s v="Hannah"/>
    <s v="Gray"/>
    <n v="25"/>
    <x v="0"/>
    <n v="1999"/>
    <n v="60000"/>
    <x v="2"/>
    <s v="Female"/>
    <s v="Marketing"/>
    <s v="Marketing"/>
    <s v="Manager"/>
    <d v="2019-12-01T00:00:00"/>
    <d v="2019-12-01T00:00:00"/>
    <s v="C"/>
    <x v="7"/>
    <s v="hannah.gray@saltcorp.com"/>
    <s v="123-456-7890"/>
    <s v="Part-Time"/>
    <s v="Part-Time"/>
    <m/>
    <n v="8"/>
    <m/>
    <n v="5"/>
    <m/>
    <n v="46"/>
    <s v="no"/>
    <s v="No"/>
    <n v="3"/>
    <x v="0"/>
    <x v="0"/>
  </r>
  <r>
    <x v="251"/>
    <s v="David"/>
    <s v="Schmidt"/>
    <n v="35"/>
    <x v="2"/>
    <n v="1989"/>
    <n v="59800"/>
    <x v="21"/>
    <s v="Male"/>
    <s v="it"/>
    <s v="IT"/>
    <s v="Assistant"/>
    <d v="2019-03-25T00:00:00"/>
    <d v="2019-03-25T00:00:00"/>
    <s v="C"/>
    <x v="44"/>
    <s v="david.schmidt@saltcorp.com"/>
    <s v=" "/>
    <s v="Full-Time"/>
    <s v="Full-Time"/>
    <m/>
    <n v="8"/>
    <m/>
    <n v="4"/>
    <d v="2023-01-15T00:00:00"/>
    <m/>
    <s v="no"/>
    <s v="No"/>
    <n v="2"/>
    <x v="0"/>
    <x v="0"/>
  </r>
  <r>
    <x v="252"/>
    <s v="Frank"/>
    <s v="Flores"/>
    <n v="40"/>
    <x v="7"/>
    <n v="1984"/>
    <n v="55000"/>
    <x v="6"/>
    <s v="Male"/>
    <s v="HR"/>
    <s v="HR"/>
    <s v="Clerk"/>
    <d v="2019-03-25T00:00:00"/>
    <d v="2019-03-25T00:00:00"/>
    <s v="B"/>
    <x v="10"/>
    <s v="frank.flores@saltcorp.com"/>
    <m/>
    <s v="Part-Time"/>
    <s v="Part-Time"/>
    <m/>
    <n v="6"/>
    <m/>
    <n v="9"/>
    <m/>
    <m/>
    <s v="no"/>
    <s v="No"/>
    <n v="4"/>
    <x v="1"/>
    <x v="1"/>
  </r>
  <r>
    <x v="253"/>
    <s v="Hannah"/>
    <s v="Schmidt"/>
    <m/>
    <x v="25"/>
    <n v="1998"/>
    <n v="65000"/>
    <x v="1"/>
    <s v="Male"/>
    <s v="finance"/>
    <s v="Finance"/>
    <s v="Clerk"/>
    <d v="2018-04-05T00:00:00"/>
    <d v="2018-04-05T00:00:00"/>
    <s v="F"/>
    <x v="65"/>
    <s v="hannah.schmidt@saltcorp.com"/>
    <s v=" "/>
    <s v="Full-Time"/>
    <s v="Full-Time"/>
    <m/>
    <n v="2"/>
    <s v="N/A"/>
    <n v="5"/>
    <m/>
    <m/>
    <s v="no"/>
    <s v="No"/>
    <n v="3"/>
    <x v="1"/>
    <x v="1"/>
  </r>
  <r>
    <x v="254"/>
    <s v="David"/>
    <s v="Thomas"/>
    <n v="35"/>
    <x v="2"/>
    <n v="1989"/>
    <n v="55000"/>
    <x v="6"/>
    <s v="Male"/>
    <s v="finance"/>
    <s v="Finance"/>
    <s v="Assistant"/>
    <d v="2019-03-25T00:00:00"/>
    <d v="2019-03-25T00:00:00"/>
    <s v="D"/>
    <x v="22"/>
    <s v="david.thomas@saltcorp.com"/>
    <s v="123-456-7890"/>
    <s v="Part-Time"/>
    <s v="Part-Time"/>
    <m/>
    <n v="8"/>
    <m/>
    <m/>
    <d v="2024-08-12T00:00:00"/>
    <m/>
    <m/>
    <s v=""/>
    <n v="3"/>
    <x v="0"/>
    <x v="0"/>
  </r>
  <r>
    <x v="255"/>
    <s v="Charlie"/>
    <s v="Taylor"/>
    <s v="thirty"/>
    <x v="8"/>
    <n v="1994"/>
    <n v="61600"/>
    <x v="16"/>
    <s v="Male"/>
    <s v="Marketing"/>
    <s v="Marketing"/>
    <s v="Assistant"/>
    <d v="2020-01-15T00:00:00"/>
    <d v="2020-01-15T00:00:00"/>
    <s v="D"/>
    <x v="18"/>
    <s v="charlie.taylor@saltcorp.com"/>
    <s v="555-555-5555"/>
    <s v="Part-Time"/>
    <s v="Part-Time"/>
    <m/>
    <n v="1"/>
    <m/>
    <m/>
    <m/>
    <m/>
    <s v="YES"/>
    <s v="Yes"/>
    <n v="3"/>
    <x v="1"/>
    <x v="1"/>
  </r>
  <r>
    <x v="256"/>
    <s v="Ivy"/>
    <s v="Pearson"/>
    <n v="40"/>
    <x v="7"/>
    <n v="1984"/>
    <n v="50000"/>
    <x v="0"/>
    <s v="Female"/>
    <s v="finance"/>
    <s v="Finance"/>
    <s v="Assistant"/>
    <d v="2018-04-05T00:00:00"/>
    <d v="2018-04-05T00:00:00"/>
    <s v="D"/>
    <x v="18"/>
    <s v="ivy.pearson@saltcorp.com"/>
    <m/>
    <s v="Full-Time"/>
    <s v="Full-Time"/>
    <m/>
    <n v="2"/>
    <m/>
    <m/>
    <m/>
    <m/>
    <s v="Y"/>
    <s v="Yes"/>
    <n v="2"/>
    <x v="1"/>
    <x v="1"/>
  </r>
  <r>
    <x v="257"/>
    <s v="Charlie"/>
    <s v="Moore"/>
    <n v="40"/>
    <x v="7"/>
    <n v="1984"/>
    <s v="SIXTY THOUSAND"/>
    <x v="2"/>
    <s v="Female"/>
    <s v="it"/>
    <s v="IT"/>
    <s v="Analyst"/>
    <d v="2020-01-15T00:00:00"/>
    <d v="2020-01-15T00:00:00"/>
    <s v="A"/>
    <x v="41"/>
    <s v="charlie.moore@saltcorp.com"/>
    <s v="098-765-4321"/>
    <s v="contract"/>
    <s v="Contract"/>
    <m/>
    <n v="7"/>
    <n v="8"/>
    <n v="20"/>
    <m/>
    <m/>
    <s v="YES"/>
    <s v="Yes"/>
    <n v="1"/>
    <x v="0"/>
    <x v="0"/>
  </r>
  <r>
    <x v="258"/>
    <s v="Ivy"/>
    <s v="Sims"/>
    <n v="35"/>
    <x v="2"/>
    <n v="1989"/>
    <n v="55000"/>
    <x v="6"/>
    <s v="Female"/>
    <s v="HR"/>
    <s v="HR"/>
    <s v="Director"/>
    <d v="2018-04-05T00:00:00"/>
    <d v="2018-04-05T00:00:00"/>
    <s v="D"/>
    <x v="0"/>
    <s v="ivy.sims@saltcorp.com"/>
    <s v="123-456-7890"/>
    <s v="contract"/>
    <s v="Contract"/>
    <s v="EMP-2018-0083"/>
    <n v="7"/>
    <n v="15"/>
    <m/>
    <m/>
    <m/>
    <s v="no"/>
    <s v="No"/>
    <n v="2"/>
    <x v="1"/>
    <x v="1"/>
  </r>
  <r>
    <x v="259"/>
    <s v="Bob"/>
    <s v="Mason"/>
    <n v="35"/>
    <x v="2"/>
    <n v="1989"/>
    <n v="58600"/>
    <x v="8"/>
    <s v="Male"/>
    <s v="it"/>
    <s v="IT"/>
    <s v="Clerk"/>
    <d v="2019-03-25T00:00:00"/>
    <d v="2019-03-25T00:00:00"/>
    <s v="D"/>
    <x v="0"/>
    <s v="bob.mason@saltcorp.com"/>
    <s v="098-765-4321"/>
    <s v="Part-Time"/>
    <s v="Part-Time"/>
    <m/>
    <n v="1"/>
    <m/>
    <m/>
    <d v="2024-08-12T00:00:00"/>
    <m/>
    <s v="no"/>
    <s v="No"/>
    <n v="4"/>
    <x v="0"/>
    <x v="0"/>
  </r>
  <r>
    <x v="260"/>
    <s v="Bob"/>
    <s v="Thomas"/>
    <m/>
    <x v="4"/>
    <n v="1973"/>
    <n v="65000"/>
    <x v="1"/>
    <s v="Male"/>
    <s v="sales"/>
    <s v="Sales"/>
    <s v="Director"/>
    <d v="2020-01-15T00:00:00"/>
    <d v="2020-01-15T00:00:00"/>
    <s v="B"/>
    <x v="45"/>
    <s v="bob.thomas@saltcorp.com"/>
    <s v="555-555-5555"/>
    <s v="contract"/>
    <s v="Contract"/>
    <m/>
    <n v="1"/>
    <s v="N/A"/>
    <m/>
    <m/>
    <m/>
    <s v="YES"/>
    <s v="Yes"/>
    <n v="3"/>
    <x v="0"/>
    <x v="0"/>
  </r>
  <r>
    <x v="261"/>
    <s v="Bob"/>
    <s v="Brown"/>
    <n v="25"/>
    <x v="0"/>
    <n v="1999"/>
    <n v="60500"/>
    <x v="7"/>
    <s v="Male"/>
    <s v="Marketing"/>
    <s v="Marketing"/>
    <s v="Director"/>
    <d v="2019-03-25T00:00:00"/>
    <d v="2019-03-25T00:00:00"/>
    <s v="C"/>
    <x v="69"/>
    <s v="bob.brown@saltcorp.com"/>
    <s v="098-765-4321"/>
    <s v="contract"/>
    <s v="Contract"/>
    <m/>
    <n v="2"/>
    <n v="2"/>
    <m/>
    <d v="2023-01-15T00:00:00"/>
    <m/>
    <s v="YES"/>
    <s v="Yes"/>
    <n v="2"/>
    <x v="1"/>
    <x v="1"/>
  </r>
  <r>
    <x v="262"/>
    <s v="Frank"/>
    <s v="Williamson"/>
    <n v="35"/>
    <x v="2"/>
    <n v="1989"/>
    <n v="65000"/>
    <x v="1"/>
    <s v="Male"/>
    <s v="finance"/>
    <s v="Finance"/>
    <s v="Assistant"/>
    <d v="2018-04-05T00:00:00"/>
    <d v="2018-04-05T00:00:00"/>
    <s v="D"/>
    <x v="18"/>
    <s v="frank.williamson@saltcorp.com"/>
    <s v="123-456-7890"/>
    <s v="Full-Time"/>
    <s v="Full-Time"/>
    <m/>
    <n v="5"/>
    <m/>
    <m/>
    <m/>
    <m/>
    <s v="no"/>
    <s v="No"/>
    <n v="1"/>
    <x v="0"/>
    <x v="0"/>
  </r>
  <r>
    <x v="263"/>
    <s v="Charlie"/>
    <s v="Moore"/>
    <n v="35"/>
    <x v="2"/>
    <n v="1989"/>
    <n v="55000"/>
    <x v="6"/>
    <s v="Female"/>
    <s v="sales"/>
    <s v="Sales"/>
    <s v="Analyst"/>
    <d v="2019-03-25T00:00:00"/>
    <d v="2019-03-25T00:00:00"/>
    <s v="F"/>
    <x v="75"/>
    <s v="charlie.moore@saltcorp.com"/>
    <s v="123-456-7890"/>
    <s v="contract"/>
    <s v="Contract"/>
    <m/>
    <n v="4"/>
    <n v="4"/>
    <m/>
    <m/>
    <m/>
    <s v="no"/>
    <s v="No"/>
    <n v="2"/>
    <x v="0"/>
    <x v="0"/>
  </r>
  <r>
    <x v="264"/>
    <s v="Ivy"/>
    <s v="Kumar"/>
    <n v="50"/>
    <x v="10"/>
    <n v="1974"/>
    <n v="65000"/>
    <x v="1"/>
    <s v="Male"/>
    <s v="finance"/>
    <s v="Finance"/>
    <s v="Manager"/>
    <d v="2020-01-15T00:00:00"/>
    <d v="2020-01-15T00:00:00"/>
    <s v="D"/>
    <x v="17"/>
    <s v="ivy.kumar@saltcorp.com"/>
    <s v="555-555-5555"/>
    <s v="contract"/>
    <s v="Contract"/>
    <s v="EMP-2019-0092"/>
    <n v="8"/>
    <m/>
    <m/>
    <m/>
    <m/>
    <s v="no"/>
    <s v="No"/>
    <n v="4"/>
    <x v="0"/>
    <x v="0"/>
  </r>
  <r>
    <x v="265"/>
    <s v="David"/>
    <s v="Sullivan"/>
    <s v="thirty"/>
    <x v="8"/>
    <n v="1994"/>
    <n v="70000"/>
    <x v="5"/>
    <s v="Female"/>
    <s v="HR"/>
    <s v="HR"/>
    <s v="Analyst"/>
    <d v="2020-01-15T00:00:00"/>
    <d v="2020-01-15T00:00:00"/>
    <s v="A"/>
    <x v="3"/>
    <s v="david.sullivan@saltcorp.com"/>
    <s v="123-456-7890"/>
    <s v="contract"/>
    <s v="Contract"/>
    <s v="EMP-2018-0006"/>
    <n v="6"/>
    <m/>
    <n v="2"/>
    <m/>
    <m/>
    <s v="YES"/>
    <s v="Yes"/>
    <n v="2"/>
    <x v="1"/>
    <x v="1"/>
  </r>
  <r>
    <x v="266"/>
    <s v="Alice"/>
    <s v="Garrett"/>
    <n v="50"/>
    <x v="10"/>
    <n v="1974"/>
    <n v="70000"/>
    <x v="5"/>
    <s v="Male"/>
    <s v="HR"/>
    <s v="HR"/>
    <s v="Director"/>
    <d v="2019-03-25T00:00:00"/>
    <d v="2019-03-25T00:00:00"/>
    <s v="A"/>
    <x v="76"/>
    <s v="alice.garrett@saltcorp.com"/>
    <s v="555-555-5555"/>
    <s v="Full-Time"/>
    <s v="Full-Time"/>
    <m/>
    <n v="6"/>
    <m/>
    <m/>
    <m/>
    <m/>
    <m/>
    <s v=""/>
    <n v="1"/>
    <x v="1"/>
    <x v="1"/>
  </r>
  <r>
    <x v="267"/>
    <s v="David"/>
    <s v="Patel"/>
    <n v="50"/>
    <x v="10"/>
    <n v="1974"/>
    <n v="70000"/>
    <x v="5"/>
    <s v="Female"/>
    <s v="HR"/>
    <s v="HR"/>
    <s v="Analyst"/>
    <d v="2020-02-20T00:00:00"/>
    <d v="2020-02-20T00:00:00"/>
    <s v="A"/>
    <x v="41"/>
    <s v="david.patel@saltcorp.com"/>
    <s v="555-555-5555"/>
    <s v="Part-Time"/>
    <s v="Part-Time"/>
    <m/>
    <n v="1"/>
    <m/>
    <m/>
    <m/>
    <m/>
    <s v="YES"/>
    <s v="Yes"/>
    <n v="4"/>
    <x v="0"/>
    <x v="0"/>
  </r>
  <r>
    <x v="268"/>
    <s v="Alice"/>
    <s v="Lee"/>
    <n v="40"/>
    <x v="7"/>
    <n v="1984"/>
    <n v="50000"/>
    <x v="0"/>
    <s v="Female"/>
    <s v="finance"/>
    <s v="Finance"/>
    <s v="Assistant"/>
    <d v="2018-04-05T00:00:00"/>
    <d v="2018-04-05T00:00:00"/>
    <s v="D"/>
    <x v="43"/>
    <s v="alice.lee@saltcorp.com"/>
    <s v="123-456-7890"/>
    <s v="Full-Time"/>
    <s v="Full-Time"/>
    <m/>
    <n v="4"/>
    <m/>
    <n v="15"/>
    <d v="2024-08-12T00:00:00"/>
    <m/>
    <s v="no"/>
    <s v="No"/>
    <n v="2"/>
    <x v="1"/>
    <x v="1"/>
  </r>
  <r>
    <x v="269"/>
    <s v="Eve"/>
    <s v="Turner"/>
    <n v="25"/>
    <x v="0"/>
    <n v="1999"/>
    <n v="55000"/>
    <x v="6"/>
    <s v="Male"/>
    <s v="sales"/>
    <s v="Sales"/>
    <s v="Manager"/>
    <d v="2018-04-05T00:00:00"/>
    <d v="2018-04-05T00:00:00"/>
    <s v="B"/>
    <x v="21"/>
    <s v="eve.turner@saltcorp.com"/>
    <s v=" "/>
    <s v="Full-Time"/>
    <s v="Full-Time"/>
    <m/>
    <n v="8"/>
    <m/>
    <n v="18"/>
    <m/>
    <m/>
    <s v="no"/>
    <s v="No"/>
    <n v="1"/>
    <x v="1"/>
    <x v="1"/>
  </r>
  <r>
    <x v="270"/>
    <s v="David"/>
    <s v="Barnett"/>
    <s v="thirty"/>
    <x v="8"/>
    <n v="1994"/>
    <n v="61500"/>
    <x v="11"/>
    <s v="Female"/>
    <s v="HR"/>
    <s v="HR"/>
    <s v="Assistant"/>
    <d v="2019-03-25T00:00:00"/>
    <d v="2019-03-25T00:00:00"/>
    <s v="F"/>
    <x v="33"/>
    <s v="david.barnett@saltcorp.com"/>
    <s v="555-555-5555"/>
    <s v="Part-Time"/>
    <s v="Part-Time"/>
    <m/>
    <n v="6"/>
    <m/>
    <m/>
    <m/>
    <n v="14"/>
    <s v="no"/>
    <s v="No"/>
    <n v="3"/>
    <x v="1"/>
    <x v="1"/>
  </r>
  <r>
    <x v="271"/>
    <s v="Hannah"/>
    <s v="Hughes"/>
    <m/>
    <x v="10"/>
    <n v="1974"/>
    <n v="61500"/>
    <x v="11"/>
    <s v="Female"/>
    <s v="sales"/>
    <s v="Sales"/>
    <s v="Manager"/>
    <d v="2020-02-20T00:00:00"/>
    <d v="2020-02-20T00:00:00"/>
    <s v="D"/>
    <x v="17"/>
    <s v="hannah.hughes@saltcorp.com"/>
    <s v="123-456-7890"/>
    <s v="Part-Time"/>
    <s v="Part-Time"/>
    <m/>
    <n v="8"/>
    <m/>
    <n v="13"/>
    <d v="2024-08-12T00:00:00"/>
    <m/>
    <s v="YES"/>
    <s v="Yes"/>
    <n v="2"/>
    <x v="0"/>
    <x v="0"/>
  </r>
  <r>
    <x v="272"/>
    <s v="Hannah"/>
    <s v="Barnett"/>
    <m/>
    <x v="4"/>
    <n v="1973"/>
    <n v="50000"/>
    <x v="0"/>
    <s v="Male"/>
    <s v="finance"/>
    <s v="Finance"/>
    <s v="Director"/>
    <d v="2020-01-15T00:00:00"/>
    <d v="2020-01-15T00:00:00"/>
    <s v="B"/>
    <x v="10"/>
    <s v="hannah.barnett@saltcorp.com"/>
    <s v=" "/>
    <s v="Full-Time"/>
    <s v="Full-Time"/>
    <m/>
    <n v="6"/>
    <n v="1"/>
    <n v="11"/>
    <m/>
    <m/>
    <s v="YES"/>
    <s v="Yes"/>
    <n v="4"/>
    <x v="0"/>
    <x v="0"/>
  </r>
  <r>
    <x v="273"/>
    <s v="Grace"/>
    <s v="Li"/>
    <n v="35"/>
    <x v="2"/>
    <n v="1989"/>
    <n v="65000"/>
    <x v="1"/>
    <s v="Male"/>
    <s v="sales"/>
    <s v="Sales"/>
    <s v="Manager"/>
    <d v="2019-12-01T00:00:00"/>
    <d v="2019-12-01T00:00:00"/>
    <s v="B"/>
    <x v="45"/>
    <s v="grace.li@saltcorp.com"/>
    <s v="555-555-5555"/>
    <s v="contract"/>
    <s v="Contract"/>
    <s v="EMP-2018-0043"/>
    <n v="8"/>
    <m/>
    <n v="9"/>
    <d v="2023-03-05T00:00:00"/>
    <n v="22"/>
    <s v="YES"/>
    <s v="Yes"/>
    <n v="2"/>
    <x v="1"/>
    <x v="1"/>
  </r>
  <r>
    <x v="274"/>
    <s v="Charlie"/>
    <s v="Hoffman"/>
    <n v="35"/>
    <x v="2"/>
    <n v="1989"/>
    <n v="50000"/>
    <x v="0"/>
    <s v="Male"/>
    <s v="finance"/>
    <s v="Finance"/>
    <s v="Manager"/>
    <d v="2019-12-01T00:00:00"/>
    <d v="2019-12-01T00:00:00"/>
    <s v="D"/>
    <x v="22"/>
    <s v="charlie.hoffman@saltcorp.com"/>
    <s v=" "/>
    <s v="Full-Time"/>
    <s v="Full-Time"/>
    <m/>
    <n v="2"/>
    <n v="12"/>
    <n v="7"/>
    <d v="2023-01-15T00:00:00"/>
    <n v="42"/>
    <s v="no"/>
    <s v="No"/>
    <n v="3"/>
    <x v="0"/>
    <x v="0"/>
  </r>
  <r>
    <x v="275"/>
    <s v="Alice"/>
    <s v="Welch"/>
    <m/>
    <x v="11"/>
    <n v="1985"/>
    <n v="65000"/>
    <x v="1"/>
    <s v="Female"/>
    <s v="finance"/>
    <s v="Finance"/>
    <s v="Manager"/>
    <d v="2019-03-25T00:00:00"/>
    <d v="2019-03-25T00:00:00"/>
    <s v="D"/>
    <x v="43"/>
    <s v="alice.welch@saltcorp.com"/>
    <m/>
    <s v="Part-Time"/>
    <s v="Part-Time"/>
    <m/>
    <n v="2"/>
    <m/>
    <n v="10"/>
    <d v="2024-08-12T00:00:00"/>
    <n v="33"/>
    <s v="no"/>
    <s v="No"/>
    <n v="3"/>
    <x v="0"/>
    <x v="0"/>
  </r>
  <r>
    <x v="276"/>
    <s v="Alice"/>
    <s v="Thompson"/>
    <n v="35"/>
    <x v="2"/>
    <n v="1989"/>
    <n v="65000"/>
    <x v="1"/>
    <s v="Female"/>
    <s v="Marketing"/>
    <s v="Marketing"/>
    <s v="Analyst"/>
    <d v="2020-02-20T00:00:00"/>
    <d v="2020-02-20T00:00:00"/>
    <s v="B"/>
    <x v="49"/>
    <s v="alice.thompson@saltcorp.com"/>
    <m/>
    <s v="Part-Time"/>
    <s v="Part-Time"/>
    <m/>
    <n v="4"/>
    <m/>
    <m/>
    <d v="2023-03-05T00:00:00"/>
    <n v="24"/>
    <s v="YES"/>
    <s v="Yes"/>
    <n v="1"/>
    <x v="1"/>
    <x v="1"/>
  </r>
  <r>
    <x v="277"/>
    <s v="Charlie"/>
    <s v="Jackson"/>
    <n v="25"/>
    <x v="0"/>
    <n v="1999"/>
    <s v="SIXTY THOUSAND"/>
    <x v="2"/>
    <s v="Male"/>
    <s v="finance"/>
    <s v="Finance"/>
    <s v="Analyst"/>
    <d v="2020-02-20T00:00:00"/>
    <d v="2020-02-20T00:00:00"/>
    <s v="B"/>
    <x v="35"/>
    <s v="charlie.jackson@saltcorp.com"/>
    <s v=" "/>
    <s v="Part-Time"/>
    <s v="Part-Time"/>
    <m/>
    <n v="1"/>
    <m/>
    <m/>
    <m/>
    <m/>
    <s v="YES"/>
    <s v="Yes"/>
    <n v="4"/>
    <x v="0"/>
    <x v="0"/>
  </r>
  <r>
    <x v="278"/>
    <s v="Frank"/>
    <s v="Sanchez"/>
    <n v="50"/>
    <x v="10"/>
    <n v="1974"/>
    <n v="60300"/>
    <x v="14"/>
    <s v="Female"/>
    <s v="finance"/>
    <s v="Finance"/>
    <s v="Director"/>
    <d v="2018-04-05T00:00:00"/>
    <d v="2018-04-05T00:00:00"/>
    <s v="B"/>
    <x v="10"/>
    <s v="frank.sanchez@saltcorp.com"/>
    <s v="555-555-5555"/>
    <s v="Part-Time"/>
    <s v="Part-Time"/>
    <m/>
    <n v="6"/>
    <m/>
    <m/>
    <m/>
    <n v="32"/>
    <s v="no"/>
    <s v="No"/>
    <n v="1"/>
    <x v="1"/>
    <x v="1"/>
  </r>
  <r>
    <x v="279"/>
    <s v="Grace"/>
    <s v="Yang"/>
    <n v="35"/>
    <x v="2"/>
    <n v="1989"/>
    <n v="70000"/>
    <x v="5"/>
    <s v="Female"/>
    <s v="it"/>
    <s v="IT"/>
    <s v="Manager"/>
    <d v="2020-01-15T00:00:00"/>
    <d v="2020-01-15T00:00:00"/>
    <s v="D"/>
    <x v="43"/>
    <s v="grace.yang@saltcorp.com"/>
    <s v="123-456-7890"/>
    <s v="Part-Time"/>
    <s v="Part-Time"/>
    <m/>
    <n v="6"/>
    <m/>
    <n v="8"/>
    <d v="2024-08-12T00:00:00"/>
    <n v="66"/>
    <s v="no"/>
    <s v="No"/>
    <n v="2"/>
    <x v="1"/>
    <x v="1"/>
  </r>
  <r>
    <x v="280"/>
    <s v="Frank"/>
    <s v="Gomez"/>
    <n v="40"/>
    <x v="7"/>
    <n v="1984"/>
    <n v="65000"/>
    <x v="1"/>
    <s v="Male"/>
    <s v="HR"/>
    <s v="HR"/>
    <s v="Clerk"/>
    <d v="2020-02-20T00:00:00"/>
    <d v="2020-02-20T00:00:00"/>
    <s v="B"/>
    <x v="54"/>
    <s v="frank.gomez@saltcorp.com"/>
    <s v="098-765-4321"/>
    <s v="Full-Time"/>
    <s v="Full-Time"/>
    <m/>
    <n v="5"/>
    <n v="3"/>
    <n v="2"/>
    <d v="2024-08-12T00:00:00"/>
    <m/>
    <s v="YES"/>
    <s v="Yes"/>
    <n v="2"/>
    <x v="1"/>
    <x v="1"/>
  </r>
  <r>
    <x v="281"/>
    <s v="Frank"/>
    <s v="Gutierrez"/>
    <n v="35"/>
    <x v="2"/>
    <n v="1989"/>
    <s v="SIXTY THOUSAND"/>
    <x v="2"/>
    <s v="Male"/>
    <s v="Marketing"/>
    <s v="Marketing"/>
    <s v="Director"/>
    <d v="2019-12-01T00:00:00"/>
    <d v="2019-12-01T00:00:00"/>
    <s v="A"/>
    <x v="51"/>
    <s v="frank.gutierrez@saltcorp.com"/>
    <s v="123-456-7890"/>
    <s v="Full-Time"/>
    <s v="Full-Time"/>
    <s v="EMP-2019-0040"/>
    <n v="6"/>
    <s v="N/A"/>
    <m/>
    <m/>
    <n v="79"/>
    <s v="no"/>
    <s v="No"/>
    <n v="3"/>
    <x v="0"/>
    <x v="0"/>
  </r>
  <r>
    <x v="282"/>
    <s v="Frank"/>
    <s v="Perez"/>
    <s v="thirty"/>
    <x v="8"/>
    <n v="1994"/>
    <n v="60000"/>
    <x v="2"/>
    <s v="Male"/>
    <s v="Marketing"/>
    <s v="Marketing"/>
    <s v="Manager"/>
    <d v="2020-01-15T00:00:00"/>
    <d v="2020-01-15T00:00:00"/>
    <s v="D"/>
    <x v="34"/>
    <s v="frank.perez@saltcorp.com"/>
    <s v="098-765-4321"/>
    <s v="contract"/>
    <s v="Contract"/>
    <m/>
    <n v="2"/>
    <m/>
    <m/>
    <m/>
    <m/>
    <s v="no"/>
    <s v="No"/>
    <n v="5"/>
    <x v="0"/>
    <x v="0"/>
  </r>
  <r>
    <x v="283"/>
    <s v="Charlie"/>
    <s v="Thomas"/>
    <n v="25"/>
    <x v="0"/>
    <n v="1999"/>
    <n v="70000"/>
    <x v="5"/>
    <s v="Male"/>
    <s v="Marketing"/>
    <s v="Marketing"/>
    <s v="Manager"/>
    <d v="2020-01-15T00:00:00"/>
    <d v="2020-01-15T00:00:00"/>
    <s v="A"/>
    <x v="52"/>
    <s v="charlie.thomas@saltcorp.com"/>
    <s v="098-765-4321"/>
    <s v="contract"/>
    <s v="Contract"/>
    <s v="EMP-2019-0025"/>
    <n v="1"/>
    <m/>
    <n v="2"/>
    <m/>
    <m/>
    <s v="YES"/>
    <s v="Yes"/>
    <n v="5"/>
    <x v="1"/>
    <x v="1"/>
  </r>
  <r>
    <x v="284"/>
    <s v="Frank"/>
    <s v="Rogers"/>
    <s v="thirty"/>
    <x v="8"/>
    <n v="1994"/>
    <n v="65000"/>
    <x v="1"/>
    <s v="Male"/>
    <s v="it"/>
    <s v="IT"/>
    <s v="Analyst"/>
    <d v="2019-03-25T00:00:00"/>
    <d v="2019-03-25T00:00:00"/>
    <s v="C"/>
    <x v="23"/>
    <s v="frank.rogers@saltcorp.com"/>
    <s v="555-555-5555"/>
    <s v="Full-Time"/>
    <s v="Full-Time"/>
    <m/>
    <n v="3"/>
    <s v="N/A"/>
    <m/>
    <m/>
    <m/>
    <s v="no"/>
    <s v="No"/>
    <n v="1"/>
    <x v="0"/>
    <x v="0"/>
  </r>
  <r>
    <x v="285"/>
    <s v="Hannah"/>
    <s v="Hughes"/>
    <s v="thirty"/>
    <x v="8"/>
    <n v="1994"/>
    <n v="65000"/>
    <x v="1"/>
    <s v="Male"/>
    <s v="finance"/>
    <s v="Finance"/>
    <s v="Director"/>
    <d v="2020-02-20T00:00:00"/>
    <d v="2020-02-20T00:00:00"/>
    <s v="D"/>
    <x v="30"/>
    <s v="hannah.hughes@saltcorp.com"/>
    <s v=" "/>
    <s v="Part-Time"/>
    <s v="Part-Time"/>
    <m/>
    <n v="8"/>
    <m/>
    <m/>
    <m/>
    <m/>
    <s v="YES"/>
    <s v="Yes"/>
    <n v="3"/>
    <x v="0"/>
    <x v="0"/>
  </r>
  <r>
    <x v="286"/>
    <s v="Bob"/>
    <s v="Johnson"/>
    <n v="40"/>
    <x v="7"/>
    <n v="1984"/>
    <n v="50000"/>
    <x v="0"/>
    <s v="Male"/>
    <s v="HR"/>
    <s v="HR"/>
    <s v="Manager"/>
    <d v="2019-03-25T00:00:00"/>
    <d v="2019-03-25T00:00:00"/>
    <s v="C"/>
    <x v="20"/>
    <s v="bob.johnson@saltcorp.com"/>
    <s v="123-456-7890"/>
    <s v="Full-Time"/>
    <s v="Full-Time"/>
    <s v="EMP-2020-0068"/>
    <n v="3"/>
    <m/>
    <m/>
    <m/>
    <m/>
    <s v="no"/>
    <s v="No"/>
    <n v="1"/>
    <x v="1"/>
    <x v="1"/>
  </r>
  <r>
    <x v="287"/>
    <s v="Eve"/>
    <s v="Figueroa"/>
    <n v="25"/>
    <x v="0"/>
    <n v="1999"/>
    <n v="50000"/>
    <x v="0"/>
    <s v="Female"/>
    <s v="sales"/>
    <s v="Sales"/>
    <s v="Manager"/>
    <d v="2020-02-20T00:00:00"/>
    <d v="2020-02-20T00:00:00"/>
    <s v="B"/>
    <x v="45"/>
    <s v="eve.figueroa@saltcorp.com"/>
    <s v=" "/>
    <s v="Full-Time"/>
    <s v="Full-Time"/>
    <m/>
    <n v="7"/>
    <m/>
    <m/>
    <d v="2023-01-15T00:00:00"/>
    <m/>
    <s v="YES"/>
    <s v="Yes"/>
    <n v="1"/>
    <x v="1"/>
    <x v="1"/>
  </r>
  <r>
    <x v="288"/>
    <s v="Alice"/>
    <s v="Rivera"/>
    <n v="25"/>
    <x v="0"/>
    <n v="1999"/>
    <n v="60300"/>
    <x v="14"/>
    <s v="Female"/>
    <s v="finance"/>
    <s v="Finance"/>
    <s v="Director"/>
    <d v="2018-04-05T00:00:00"/>
    <d v="2018-04-05T00:00:00"/>
    <s v="B"/>
    <x v="54"/>
    <s v="alice.rivera@saltcorp.com"/>
    <m/>
    <s v="Full-Time"/>
    <s v="Full-Time"/>
    <m/>
    <n v="2"/>
    <s v="N/A"/>
    <m/>
    <s v="N/A"/>
    <m/>
    <s v="no"/>
    <s v="No"/>
    <n v="4"/>
    <x v="0"/>
    <x v="0"/>
  </r>
  <r>
    <x v="289"/>
    <s v="Alice"/>
    <s v="Chen"/>
    <n v="25"/>
    <x v="0"/>
    <n v="1999"/>
    <n v="70000"/>
    <x v="5"/>
    <s v="Female"/>
    <s v="it"/>
    <s v="IT"/>
    <s v="Clerk"/>
    <d v="2019-03-25T00:00:00"/>
    <d v="2019-03-25T00:00:00"/>
    <s v="F"/>
    <x v="77"/>
    <s v="alice.chen@saltcorp.com"/>
    <s v="555-555-5555"/>
    <s v="contract"/>
    <s v="Contract"/>
    <m/>
    <n v="5"/>
    <m/>
    <n v="12"/>
    <m/>
    <n v="11"/>
    <s v="no"/>
    <s v="No"/>
    <n v="5"/>
    <x v="1"/>
    <x v="1"/>
  </r>
  <r>
    <x v="290"/>
    <s v="Eve"/>
    <s v="Powers"/>
    <n v="25"/>
    <x v="0"/>
    <n v="1999"/>
    <n v="65000"/>
    <x v="1"/>
    <s v="Female"/>
    <s v="finance"/>
    <s v="Finance"/>
    <s v="Director"/>
    <d v="2019-03-25T00:00:00"/>
    <d v="2019-03-25T00:00:00"/>
    <s v="B"/>
    <x v="14"/>
    <s v="eve.powers@saltcorp.com"/>
    <s v="555-555-5555"/>
    <s v="Full-Time"/>
    <s v="Full-Time"/>
    <m/>
    <n v="4"/>
    <m/>
    <m/>
    <d v="2023-03-05T00:00:00"/>
    <n v="80"/>
    <s v="YES"/>
    <s v="Yes"/>
    <n v="3"/>
    <x v="0"/>
    <x v="0"/>
  </r>
  <r>
    <x v="291"/>
    <s v="Charlie"/>
    <s v="Evans"/>
    <n v="25"/>
    <x v="0"/>
    <n v="1999"/>
    <n v="60300"/>
    <x v="14"/>
    <s v="Male"/>
    <s v="finance"/>
    <s v="Finance"/>
    <s v="Director"/>
    <d v="2019-12-01T00:00:00"/>
    <d v="2019-12-01T00:00:00"/>
    <s v="C"/>
    <x v="29"/>
    <s v="charlie.evans@saltcorp.com"/>
    <m/>
    <s v="Part-Time"/>
    <s v="Part-Time"/>
    <m/>
    <n v="4"/>
    <m/>
    <m/>
    <d v="2022-06-20T00:00:00"/>
    <n v="7"/>
    <s v="no"/>
    <s v="No"/>
    <n v="3"/>
    <x v="0"/>
    <x v="0"/>
  </r>
  <r>
    <x v="292"/>
    <s v="David"/>
    <s v="Hansen"/>
    <n v="40"/>
    <x v="7"/>
    <n v="1984"/>
    <n v="58600"/>
    <x v="8"/>
    <s v="Male"/>
    <s v="it"/>
    <s v="IT"/>
    <s v="Clerk"/>
    <d v="2019-03-25T00:00:00"/>
    <d v="2019-03-25T00:00:00"/>
    <s v="B"/>
    <x v="6"/>
    <s v="david.hansen@saltcorp.com"/>
    <s v="123-456-7890"/>
    <s v="Part-Time"/>
    <s v="Part-Time"/>
    <m/>
    <n v="2"/>
    <m/>
    <m/>
    <m/>
    <n v="49"/>
    <s v="no"/>
    <s v="No"/>
    <n v="5"/>
    <x v="0"/>
    <x v="0"/>
  </r>
  <r>
    <x v="293"/>
    <s v="Charlie"/>
    <s v="Jackson"/>
    <n v="35"/>
    <x v="2"/>
    <n v="1989"/>
    <n v="55000"/>
    <x v="6"/>
    <s v="Male"/>
    <s v="Marketing"/>
    <s v="Marketing"/>
    <s v="Director"/>
    <d v="2020-02-20T00:00:00"/>
    <d v="2020-02-20T00:00:00"/>
    <s v="D"/>
    <x v="30"/>
    <s v="charlie.jackson@saltcorp.com"/>
    <m/>
    <s v="contract"/>
    <s v="Contract"/>
    <m/>
    <n v="7"/>
    <n v="6"/>
    <m/>
    <m/>
    <m/>
    <s v="Y"/>
    <s v="Yes"/>
    <n v="5"/>
    <x v="0"/>
    <x v="0"/>
  </r>
  <r>
    <x v="294"/>
    <s v="Alice"/>
    <s v="Chen"/>
    <s v="thirty"/>
    <x v="8"/>
    <n v="1994"/>
    <n v="50000"/>
    <x v="0"/>
    <s v="Female"/>
    <s v="Marketing"/>
    <s v="Marketing"/>
    <s v="Manager"/>
    <d v="2019-12-01T00:00:00"/>
    <d v="2019-12-01T00:00:00"/>
    <s v="B"/>
    <x v="54"/>
    <s v="alice.chen@saltcorp.com"/>
    <s v="123-456-7890"/>
    <s v="contract"/>
    <s v="Contract"/>
    <m/>
    <n v="4"/>
    <m/>
    <m/>
    <d v="2024-08-12T00:00:00"/>
    <m/>
    <s v="no"/>
    <s v="No"/>
    <n v="5"/>
    <x v="1"/>
    <x v="1"/>
  </r>
  <r>
    <x v="295"/>
    <s v="Alice"/>
    <s v="Martinez"/>
    <n v="25"/>
    <x v="0"/>
    <n v="1999"/>
    <n v="70000"/>
    <x v="5"/>
    <s v="Female"/>
    <s v="HR"/>
    <s v="HR"/>
    <s v="Director"/>
    <d v="2019-03-25T00:00:00"/>
    <d v="2019-03-25T00:00:00"/>
    <s v="F"/>
    <x v="1"/>
    <s v="alice.martinez@saltcorp.com"/>
    <s v="098-765-4321"/>
    <s v="Full-Time"/>
    <s v="Full-Time"/>
    <m/>
    <n v="8"/>
    <m/>
    <n v="14"/>
    <m/>
    <n v="67"/>
    <m/>
    <s v=""/>
    <n v="3"/>
    <x v="0"/>
    <x v="0"/>
  </r>
  <r>
    <x v="296"/>
    <s v="Eve"/>
    <s v="Dixon"/>
    <n v="35"/>
    <x v="2"/>
    <n v="1989"/>
    <n v="65000"/>
    <x v="1"/>
    <s v="Female"/>
    <s v="HR"/>
    <s v="HR"/>
    <s v="Clerk"/>
    <d v="2019-03-25T00:00:00"/>
    <d v="2019-03-25T00:00:00"/>
    <s v="B"/>
    <x v="10"/>
    <s v="eve.dixon@saltcorp.com"/>
    <s v="555-555-5555"/>
    <s v="Part-Time"/>
    <s v="Part-Time"/>
    <m/>
    <n v="4"/>
    <n v="10"/>
    <m/>
    <s v="N/A"/>
    <m/>
    <s v="YES"/>
    <s v="Yes"/>
    <n v="5"/>
    <x v="0"/>
    <x v="0"/>
  </r>
  <r>
    <x v="297"/>
    <s v="Frank"/>
    <s v="Torres"/>
    <n v="35"/>
    <x v="2"/>
    <n v="1989"/>
    <n v="61600"/>
    <x v="16"/>
    <s v="Male"/>
    <s v="Marketing"/>
    <s v="Marketing"/>
    <s v="Assistant"/>
    <d v="2018-04-05T00:00:00"/>
    <d v="2018-04-05T00:00:00"/>
    <s v="C"/>
    <x v="69"/>
    <s v="frank.torres@saltcorp.com"/>
    <s v="123-456-7890"/>
    <s v="Part-Time"/>
    <s v="Part-Time"/>
    <m/>
    <n v="6"/>
    <m/>
    <n v="6"/>
    <d v="2021-10-01T00:00:00"/>
    <m/>
    <s v="YES"/>
    <s v="Yes"/>
    <n v="3"/>
    <x v="0"/>
    <x v="0"/>
  </r>
  <r>
    <x v="298"/>
    <s v="Charlie"/>
    <s v="Wells"/>
    <s v="thirty"/>
    <x v="8"/>
    <n v="1994"/>
    <n v="65000"/>
    <x v="1"/>
    <s v="Male"/>
    <s v="sales"/>
    <s v="Sales"/>
    <s v="Director"/>
    <d v="2019-03-25T00:00:00"/>
    <d v="2019-03-25T00:00:00"/>
    <s v="C"/>
    <x v="58"/>
    <s v="charlie.wells@saltcorp.com"/>
    <s v=" "/>
    <s v="Part-Time"/>
    <s v="Part-Time"/>
    <s v="EMP-2019-0071"/>
    <n v="2"/>
    <m/>
    <m/>
    <d v="2023-01-15T00:00:00"/>
    <m/>
    <s v="no"/>
    <s v="No"/>
    <n v="1"/>
    <x v="1"/>
    <x v="1"/>
  </r>
  <r>
    <x v="299"/>
    <s v="Ivy"/>
    <s v="Andrews"/>
    <n v="40"/>
    <x v="7"/>
    <n v="1984"/>
    <n v="55000"/>
    <x v="6"/>
    <s v="Female"/>
    <s v="finance"/>
    <s v="Finance"/>
    <s v="Analyst"/>
    <d v="2020-01-15T00:00:00"/>
    <d v="2020-01-15T00:00:00"/>
    <s v="B"/>
    <x v="6"/>
    <s v="ivy.andrews@saltcorp.com"/>
    <s v=" "/>
    <s v="contract"/>
    <s v="Contract"/>
    <m/>
    <n v="7"/>
    <s v="N/A"/>
    <n v="4"/>
    <d v="2023-01-15T00:00:00"/>
    <m/>
    <s v="Y"/>
    <s v="Yes"/>
    <n v="4"/>
    <x v="0"/>
    <x v="0"/>
  </r>
  <r>
    <x v="300"/>
    <s v="Eve"/>
    <s v="Carter"/>
    <m/>
    <x v="26"/>
    <n v="1988"/>
    <n v="70000"/>
    <x v="5"/>
    <s v="Female"/>
    <s v="sales"/>
    <s v="Sales"/>
    <s v="Manager"/>
    <d v="2019-12-01T00:00:00"/>
    <d v="2019-12-01T00:00:00"/>
    <s v="C"/>
    <x v="7"/>
    <s v="eve.carter@saltcorp.com"/>
    <s v="555-555-5555"/>
    <s v="Part-Time"/>
    <s v="Part-Time"/>
    <m/>
    <n v="1"/>
    <m/>
    <m/>
    <s v="N/A"/>
    <n v="70"/>
    <s v="Y"/>
    <s v="Yes"/>
    <n v="3"/>
    <x v="1"/>
    <x v="1"/>
  </r>
  <r>
    <x v="301"/>
    <s v="Hannah"/>
    <s v="Gray"/>
    <m/>
    <x v="11"/>
    <n v="1985"/>
    <n v="59500"/>
    <x v="3"/>
    <s v="Male"/>
    <s v="finance"/>
    <s v="Finance"/>
    <s v="Manager"/>
    <d v="2020-01-15T00:00:00"/>
    <d v="2020-01-15T00:00:00"/>
    <s v="C"/>
    <x v="20"/>
    <s v="hannah.gray@saltcorp.com"/>
    <m/>
    <s v="Part-Time"/>
    <s v="Part-Time"/>
    <m/>
    <n v="2"/>
    <m/>
    <m/>
    <d v="2023-01-15T00:00:00"/>
    <m/>
    <s v="no"/>
    <s v="No"/>
    <n v="4"/>
    <x v="0"/>
    <x v="0"/>
  </r>
  <r>
    <x v="302"/>
    <s v="Alice"/>
    <s v="Anderson"/>
    <n v="35"/>
    <x v="2"/>
    <n v="1989"/>
    <n v="65000"/>
    <x v="1"/>
    <s v="Male"/>
    <s v="Marketing"/>
    <s v="Marketing"/>
    <s v="Analyst"/>
    <d v="2019-12-01T00:00:00"/>
    <d v="2019-12-01T00:00:00"/>
    <s v="F"/>
    <x v="48"/>
    <s v="alice.anderson@saltcorp.com"/>
    <m/>
    <s v="Full-Time"/>
    <s v="Full-Time"/>
    <s v="EMP-2019-0012"/>
    <n v="8"/>
    <m/>
    <n v="0"/>
    <d v="2023-03-05T00:00:00"/>
    <m/>
    <s v="no"/>
    <s v="No"/>
    <n v="1"/>
    <x v="1"/>
    <x v="1"/>
  </r>
  <r>
    <x v="303"/>
    <s v="Eve"/>
    <s v="Santos"/>
    <n v="50"/>
    <x v="10"/>
    <n v="1974"/>
    <n v="50000"/>
    <x v="0"/>
    <s v="Female"/>
    <s v="HR"/>
    <s v="HR"/>
    <s v="Analyst"/>
    <d v="2018-04-05T00:00:00"/>
    <d v="2018-04-05T00:00:00"/>
    <s v="D"/>
    <x v="30"/>
    <s v="eve.santos@saltcorp.com"/>
    <s v="123-456-7890"/>
    <s v="Part-Time"/>
    <s v="Part-Time"/>
    <m/>
    <n v="8"/>
    <s v="N/A"/>
    <m/>
    <d v="2024-08-12T00:00:00"/>
    <m/>
    <m/>
    <s v=""/>
    <n v="4"/>
    <x v="0"/>
    <x v="0"/>
  </r>
  <r>
    <x v="304"/>
    <s v="Charlie"/>
    <s v="Young"/>
    <n v="50"/>
    <x v="10"/>
    <n v="1974"/>
    <n v="55000"/>
    <x v="6"/>
    <s v="Male"/>
    <s v="HR"/>
    <s v="HR"/>
    <s v="Director"/>
    <d v="2019-03-25T00:00:00"/>
    <d v="2019-03-25T00:00:00"/>
    <s v="F"/>
    <x v="60"/>
    <s v="charlie.young@saltcorp.com"/>
    <m/>
    <s v="Full-Time"/>
    <s v="Full-Time"/>
    <s v="EMP-2020-0048"/>
    <n v="3"/>
    <n v="5"/>
    <n v="18"/>
    <m/>
    <n v="50"/>
    <s v="YES"/>
    <s v="Yes"/>
    <n v="3"/>
    <x v="0"/>
    <x v="0"/>
  </r>
  <r>
    <x v="305"/>
    <s v="Alice"/>
    <s v="Graham"/>
    <s v="thirty"/>
    <x v="8"/>
    <n v="1994"/>
    <n v="70000"/>
    <x v="5"/>
    <s v="Male"/>
    <s v="sales"/>
    <s v="Sales"/>
    <s v="Analyst"/>
    <d v="2019-03-25T00:00:00"/>
    <d v="2019-03-25T00:00:00"/>
    <s v="A"/>
    <x v="70"/>
    <s v="alice.graham@saltcorp.com"/>
    <s v="555-555-5555"/>
    <s v="Full-Time"/>
    <s v="Full-Time"/>
    <s v="EMP-2018-0048"/>
    <n v="8"/>
    <m/>
    <m/>
    <m/>
    <m/>
    <m/>
    <s v=""/>
    <n v="4"/>
    <x v="0"/>
    <x v="0"/>
  </r>
  <r>
    <x v="306"/>
    <s v="David"/>
    <s v="Patel"/>
    <m/>
    <x v="9"/>
    <n v="1987"/>
    <n v="55000"/>
    <x v="6"/>
    <s v="Male"/>
    <s v="HR"/>
    <s v="HR"/>
    <s v="Assistant"/>
    <d v="2019-03-25T00:00:00"/>
    <d v="2019-03-25T00:00:00"/>
    <s v="F"/>
    <x v="78"/>
    <s v="david.patel@saltcorp.com"/>
    <s v="123-456-7890"/>
    <s v="Full-Time"/>
    <s v="Full-Time"/>
    <m/>
    <n v="1"/>
    <n v="10"/>
    <n v="2"/>
    <d v="2023-01-15T00:00:00"/>
    <n v="72"/>
    <s v="no"/>
    <s v="No"/>
    <n v="4"/>
    <x v="0"/>
    <x v="0"/>
  </r>
  <r>
    <x v="307"/>
    <s v="Eve"/>
    <s v="Rivera"/>
    <n v="35"/>
    <x v="2"/>
    <n v="1989"/>
    <n v="50000"/>
    <x v="0"/>
    <s v="Male"/>
    <s v="Marketing"/>
    <s v="Marketing"/>
    <s v="Clerk"/>
    <d v="2019-12-01T00:00:00"/>
    <d v="2019-12-01T00:00:00"/>
    <s v="B"/>
    <x v="49"/>
    <s v="eve.rivera@saltcorp.com"/>
    <s v="098-765-4321"/>
    <s v="Full-Time"/>
    <s v="Full-Time"/>
    <s v="EMP-2018-0018"/>
    <n v="1"/>
    <n v="3"/>
    <n v="10"/>
    <m/>
    <m/>
    <s v="YES"/>
    <s v="Yes"/>
    <n v="4"/>
    <x v="0"/>
    <x v="0"/>
  </r>
  <r>
    <x v="308"/>
    <s v="Grace"/>
    <s v="Bennett"/>
    <n v="40"/>
    <x v="7"/>
    <n v="1984"/>
    <n v="70000"/>
    <x v="5"/>
    <s v="Male"/>
    <s v="sales"/>
    <s v="Sales"/>
    <s v="Analyst"/>
    <d v="2019-03-25T00:00:00"/>
    <d v="2019-03-25T00:00:00"/>
    <s v="D"/>
    <x v="22"/>
    <s v="grace.bennett@saltcorp.com"/>
    <m/>
    <s v="Part-Time"/>
    <s v="Part-Time"/>
    <s v="EMP-2019-0090"/>
    <n v="7"/>
    <m/>
    <m/>
    <d v="2022-06-20T00:00:00"/>
    <m/>
    <s v="no"/>
    <s v="No"/>
    <n v="3"/>
    <x v="0"/>
    <x v="0"/>
  </r>
  <r>
    <x v="309"/>
    <s v="Alice"/>
    <s v="Garza"/>
    <m/>
    <x v="6"/>
    <n v="1991"/>
    <n v="55000"/>
    <x v="6"/>
    <s v="Male"/>
    <s v="finance"/>
    <s v="Finance"/>
    <s v="Analyst"/>
    <d v="2020-01-15T00:00:00"/>
    <d v="2020-01-15T00:00:00"/>
    <s v="B"/>
    <x v="6"/>
    <s v="alice.garza@saltcorp.com"/>
    <m/>
    <s v="Full-Time"/>
    <s v="Full-Time"/>
    <m/>
    <n v="8"/>
    <m/>
    <n v="17"/>
    <d v="2022-06-20T00:00:00"/>
    <n v="27"/>
    <s v="no"/>
    <s v="No"/>
    <n v="3"/>
    <x v="1"/>
    <x v="1"/>
  </r>
  <r>
    <x v="310"/>
    <s v="Charlie"/>
    <s v="Taylor"/>
    <n v="35"/>
    <x v="2"/>
    <n v="1989"/>
    <s v="SIXTY THOUSAND"/>
    <x v="2"/>
    <s v="Female"/>
    <s v="HR"/>
    <s v="HR"/>
    <s v="Assistant"/>
    <d v="2019-03-25T00:00:00"/>
    <d v="2019-03-25T00:00:00"/>
    <s v="A"/>
    <x v="76"/>
    <s v="charlie.taylor@saltcorp.com"/>
    <s v="123-456-7890"/>
    <s v="Full-Time"/>
    <s v="Full-Time"/>
    <m/>
    <n v="3"/>
    <m/>
    <m/>
    <d v="2023-03-05T00:00:00"/>
    <m/>
    <s v="Y"/>
    <s v="Yes"/>
    <n v="2"/>
    <x v="1"/>
    <x v="1"/>
  </r>
  <r>
    <x v="311"/>
    <s v="Bob"/>
    <s v="Wilson"/>
    <n v="35"/>
    <x v="2"/>
    <n v="1989"/>
    <n v="50000"/>
    <x v="0"/>
    <s v="Male"/>
    <s v="it"/>
    <s v="IT"/>
    <s v="Manager"/>
    <d v="2018-04-05T00:00:00"/>
    <d v="2018-04-05T00:00:00"/>
    <s v="D"/>
    <x v="24"/>
    <s v="bob.wilson@saltcorp.com"/>
    <s v=" "/>
    <s v="contract"/>
    <s v="Contract"/>
    <m/>
    <n v="3"/>
    <m/>
    <m/>
    <m/>
    <n v="78"/>
    <s v="no"/>
    <s v="No"/>
    <n v="4"/>
    <x v="1"/>
    <x v="1"/>
  </r>
  <r>
    <x v="312"/>
    <s v="Ivy"/>
    <s v="Kumar"/>
    <n v="25"/>
    <x v="0"/>
    <n v="1999"/>
    <n v="50000"/>
    <x v="0"/>
    <s v="Female"/>
    <s v="HR"/>
    <s v="HR"/>
    <s v="Manager"/>
    <d v="2020-01-15T00:00:00"/>
    <d v="2020-01-15T00:00:00"/>
    <s v="C"/>
    <x v="7"/>
    <s v="ivy.kumar@saltcorp.com"/>
    <m/>
    <s v="Full-Time"/>
    <s v="Full-Time"/>
    <m/>
    <n v="3"/>
    <m/>
    <m/>
    <m/>
    <m/>
    <s v="no"/>
    <s v="No"/>
    <n v="3"/>
    <x v="1"/>
    <x v="1"/>
  </r>
  <r>
    <x v="313"/>
    <s v="Jack"/>
    <s v="Thomas"/>
    <n v="40"/>
    <x v="7"/>
    <n v="1984"/>
    <n v="50000"/>
    <x v="0"/>
    <s v="Male"/>
    <s v="finance"/>
    <s v="Finance"/>
    <s v="Director"/>
    <d v="2019-03-25T00:00:00"/>
    <d v="2019-03-25T00:00:00"/>
    <s v="F"/>
    <x v="56"/>
    <s v="jack.thomas@saltcorp.com"/>
    <s v="555-555-5555"/>
    <s v="contract"/>
    <s v="Contract"/>
    <s v="EMP-2018-0007"/>
    <n v="2"/>
    <m/>
    <n v="2"/>
    <m/>
    <m/>
    <m/>
    <s v=""/>
    <n v="5"/>
    <x v="0"/>
    <x v="0"/>
  </r>
  <r>
    <x v="314"/>
    <s v="Frank"/>
    <s v="Walker"/>
    <n v="25"/>
    <x v="0"/>
    <n v="1999"/>
    <s v="SIXTY THOUSAND"/>
    <x v="2"/>
    <s v="Male"/>
    <s v="sales"/>
    <s v="Sales"/>
    <s v="Assistant"/>
    <d v="2019-03-25T00:00:00"/>
    <d v="2019-03-25T00:00:00"/>
    <s v="B"/>
    <x v="54"/>
    <s v="frank.walker@saltcorp.com"/>
    <m/>
    <s v="Full-Time"/>
    <s v="Full-Time"/>
    <s v="EMP-2020-0059"/>
    <n v="7"/>
    <s v="N/A"/>
    <m/>
    <m/>
    <m/>
    <m/>
    <s v=""/>
    <n v="5"/>
    <x v="0"/>
    <x v="0"/>
  </r>
  <r>
    <x v="315"/>
    <s v="Jack"/>
    <s v="Walsh"/>
    <s v="thirty"/>
    <x v="8"/>
    <n v="1994"/>
    <s v="SIXTY THOUSAND"/>
    <x v="2"/>
    <s v="Male"/>
    <s v="finance"/>
    <s v="Finance"/>
    <s v="Clerk"/>
    <d v="2020-02-20T00:00:00"/>
    <d v="2020-02-20T00:00:00"/>
    <s v="A"/>
    <x v="76"/>
    <s v="jack.walsh@saltcorp.com"/>
    <s v="098-765-4321"/>
    <s v="Full-Time"/>
    <s v="Full-Time"/>
    <m/>
    <n v="6"/>
    <m/>
    <m/>
    <m/>
    <m/>
    <s v="YES"/>
    <s v="Yes"/>
    <n v="1"/>
    <x v="0"/>
    <x v="0"/>
  </r>
  <r>
    <x v="316"/>
    <s v="Charlie"/>
    <s v="Clark"/>
    <n v="25"/>
    <x v="0"/>
    <n v="1999"/>
    <n v="65000"/>
    <x v="1"/>
    <s v="Female"/>
    <s v="it"/>
    <s v="IT"/>
    <s v="Clerk"/>
    <d v="2019-12-01T00:00:00"/>
    <d v="2019-12-01T00:00:00"/>
    <s v="C"/>
    <x v="20"/>
    <s v="charlie.clark@saltcorp.com"/>
    <m/>
    <s v="Full-Time"/>
    <s v="Full-Time"/>
    <s v="EMP-2020-0074"/>
    <n v="7"/>
    <m/>
    <m/>
    <m/>
    <m/>
    <s v="no"/>
    <s v="No"/>
    <n v="1"/>
    <x v="1"/>
    <x v="1"/>
  </r>
  <r>
    <x v="317"/>
    <s v="Hannah"/>
    <s v="Vega"/>
    <n v="25"/>
    <x v="0"/>
    <n v="1999"/>
    <n v="61600"/>
    <x v="16"/>
    <s v="Female"/>
    <s v="Marketing"/>
    <s v="Marketing"/>
    <s v="Assistant"/>
    <d v="2020-01-15T00:00:00"/>
    <d v="2020-01-15T00:00:00"/>
    <s v="F"/>
    <x v="79"/>
    <s v="hannah.vega@saltcorp.com"/>
    <s v=" "/>
    <s v="Full-Time"/>
    <s v="Full-Time"/>
    <s v="EMP-2019-0055"/>
    <n v="7"/>
    <n v="5"/>
    <n v="13"/>
    <m/>
    <n v="38"/>
    <s v="YES"/>
    <s v="Yes"/>
    <n v="3"/>
    <x v="0"/>
    <x v="0"/>
  </r>
  <r>
    <x v="318"/>
    <s v="Hannah"/>
    <s v="Foster"/>
    <m/>
    <x v="6"/>
    <n v="1991"/>
    <n v="55000"/>
    <x v="6"/>
    <s v="Female"/>
    <s v="HR"/>
    <s v="HR"/>
    <s v="Clerk"/>
    <d v="2020-02-20T00:00:00"/>
    <d v="2020-02-20T00:00:00"/>
    <s v="C"/>
    <x v="29"/>
    <s v="hannah.foster@saltcorp.com"/>
    <m/>
    <s v="contract"/>
    <s v="Contract"/>
    <m/>
    <n v="4"/>
    <m/>
    <m/>
    <m/>
    <m/>
    <s v="YES"/>
    <s v="Yes"/>
    <n v="1"/>
    <x v="1"/>
    <x v="1"/>
  </r>
  <r>
    <x v="319"/>
    <s v="Bob"/>
    <s v="Ross"/>
    <n v="50"/>
    <x v="10"/>
    <n v="1974"/>
    <n v="65000"/>
    <x v="1"/>
    <s v="Male"/>
    <s v="sales"/>
    <s v="Sales"/>
    <s v="Manager"/>
    <d v="2018-04-05T00:00:00"/>
    <d v="2018-04-05T00:00:00"/>
    <s v="F"/>
    <x v="48"/>
    <s v="bob.ross@saltcorp.com"/>
    <s v="123-456-7890"/>
    <s v="Full-Time"/>
    <s v="Full-Time"/>
    <m/>
    <n v="5"/>
    <m/>
    <m/>
    <m/>
    <m/>
    <s v="YES"/>
    <s v="Yes"/>
    <n v="5"/>
    <x v="0"/>
    <x v="0"/>
  </r>
  <r>
    <x v="320"/>
    <s v="Frank"/>
    <s v="Gonzalez"/>
    <n v="35"/>
    <x v="2"/>
    <n v="1989"/>
    <n v="55000"/>
    <x v="6"/>
    <s v="Male"/>
    <s v="Marketing"/>
    <s v="Marketing"/>
    <s v="Clerk"/>
    <d v="2019-12-01T00:00:00"/>
    <d v="2019-12-01T00:00:00"/>
    <s v="D"/>
    <x v="24"/>
    <s v="frank.gonzalez@saltcorp.com"/>
    <m/>
    <s v="contract"/>
    <s v="Contract"/>
    <m/>
    <n v="7"/>
    <s v="N/A"/>
    <m/>
    <d v="2024-08-12T00:00:00"/>
    <n v="12"/>
    <s v="no"/>
    <s v="No"/>
    <n v="3"/>
    <x v="1"/>
    <x v="1"/>
  </r>
  <r>
    <x v="321"/>
    <s v="Grace"/>
    <s v="Jordan"/>
    <n v="40"/>
    <x v="7"/>
    <n v="1984"/>
    <n v="61300"/>
    <x v="18"/>
    <s v="Female"/>
    <s v="finance"/>
    <s v="Finance"/>
    <s v="Clerk"/>
    <d v="2020-01-15T00:00:00"/>
    <d v="2020-01-15T00:00:00"/>
    <s v="C"/>
    <x v="29"/>
    <s v="grace.jordan@saltcorp.com"/>
    <s v=" "/>
    <s v="contract"/>
    <s v="Contract"/>
    <m/>
    <n v="6"/>
    <m/>
    <n v="4"/>
    <m/>
    <m/>
    <m/>
    <s v=""/>
    <n v="1"/>
    <x v="0"/>
    <x v="0"/>
  </r>
  <r>
    <x v="322"/>
    <s v="Bob"/>
    <s v="Johnson"/>
    <n v="25"/>
    <x v="0"/>
    <n v="1999"/>
    <s v="SIXTY THOUSAND"/>
    <x v="2"/>
    <s v="Male"/>
    <s v="sales"/>
    <s v="Sales"/>
    <s v="Assistant"/>
    <d v="2019-03-25T00:00:00"/>
    <d v="2019-03-25T00:00:00"/>
    <s v="C"/>
    <x v="7"/>
    <s v="bob.johnson@saltcorp.com"/>
    <s v="123-456-7890"/>
    <s v="contract"/>
    <s v="Contract"/>
    <s v="EMP-2020-0071"/>
    <n v="5"/>
    <s v="N/A"/>
    <m/>
    <d v="2023-01-15T00:00:00"/>
    <n v="5"/>
    <s v="YES"/>
    <s v="Yes"/>
    <n v="1"/>
    <x v="1"/>
    <x v="1"/>
  </r>
  <r>
    <x v="323"/>
    <s v="Jack"/>
    <s v="Castillo"/>
    <n v="40"/>
    <x v="7"/>
    <n v="1984"/>
    <n v="61600"/>
    <x v="16"/>
    <s v="Male"/>
    <s v="Marketing"/>
    <s v="Marketing"/>
    <s v="Assistant"/>
    <d v="2020-01-15T00:00:00"/>
    <d v="2020-01-15T00:00:00"/>
    <s v="C"/>
    <x v="2"/>
    <s v="jack.castillo@saltcorp.com"/>
    <s v="555-555-5555"/>
    <s v="Full-Time"/>
    <s v="Full-Time"/>
    <m/>
    <n v="8"/>
    <m/>
    <m/>
    <d v="2021-10-01T00:00:00"/>
    <n v="54"/>
    <s v="YES"/>
    <s v="Yes"/>
    <n v="2"/>
    <x v="1"/>
    <x v="1"/>
  </r>
  <r>
    <x v="324"/>
    <s v="Bob"/>
    <s v="Schmidt"/>
    <n v="50"/>
    <x v="10"/>
    <n v="1974"/>
    <s v="SIXTY THOUSAND"/>
    <x v="2"/>
    <s v="Female"/>
    <s v="sales"/>
    <s v="Sales"/>
    <s v="Clerk"/>
    <d v="2019-03-25T00:00:00"/>
    <d v="2019-03-25T00:00:00"/>
    <s v="D"/>
    <x v="30"/>
    <s v="bob.schmidt@saltcorp.com"/>
    <s v="123-456-7890"/>
    <s v="Full-Time"/>
    <s v="Full-Time"/>
    <m/>
    <n v="3"/>
    <m/>
    <m/>
    <m/>
    <m/>
    <s v="YES"/>
    <s v="Yes"/>
    <n v="4"/>
    <x v="0"/>
    <x v="0"/>
  </r>
  <r>
    <x v="325"/>
    <s v="Jack"/>
    <s v="McCarthy"/>
    <n v="50"/>
    <x v="10"/>
    <n v="1974"/>
    <n v="59300"/>
    <x v="13"/>
    <s v="Female"/>
    <s v="it"/>
    <s v="IT"/>
    <s v="Analyst"/>
    <d v="2019-12-01T00:00:00"/>
    <d v="2019-12-01T00:00:00"/>
    <s v="A"/>
    <x v="51"/>
    <s v="jack.mccarthy@saltcorp.com"/>
    <s v="098-765-4321"/>
    <s v="Full-Time"/>
    <s v="Full-Time"/>
    <s v="EMP-2018-0045"/>
    <n v="3"/>
    <m/>
    <m/>
    <d v="2023-03-05T00:00:00"/>
    <m/>
    <m/>
    <s v=""/>
    <n v="4"/>
    <x v="0"/>
    <x v="0"/>
  </r>
  <r>
    <x v="326"/>
    <s v="Alice"/>
    <s v="Williams"/>
    <n v="25"/>
    <x v="0"/>
    <n v="1999"/>
    <n v="65000"/>
    <x v="1"/>
    <s v="Female"/>
    <s v="it"/>
    <s v="IT"/>
    <s v="Assistant"/>
    <d v="2019-03-25T00:00:00"/>
    <d v="2019-03-25T00:00:00"/>
    <s v="F"/>
    <x v="12"/>
    <s v="alice.williams@saltcorp.com"/>
    <s v="123-456-7890"/>
    <s v="contract"/>
    <s v="Contract"/>
    <m/>
    <n v="7"/>
    <n v="3"/>
    <n v="18"/>
    <m/>
    <m/>
    <m/>
    <s v=""/>
    <n v="2"/>
    <x v="1"/>
    <x v="1"/>
  </r>
  <r>
    <x v="327"/>
    <s v="Hannah"/>
    <s v="Hughes"/>
    <s v="thirty"/>
    <x v="8"/>
    <n v="1994"/>
    <n v="70000"/>
    <x v="5"/>
    <s v="Female"/>
    <s v="HR"/>
    <s v="HR"/>
    <s v="Director"/>
    <d v="2018-04-05T00:00:00"/>
    <d v="2018-04-05T00:00:00"/>
    <s v="C"/>
    <x v="58"/>
    <s v="hannah.hughes@saltcorp.com"/>
    <s v="555-555-5555"/>
    <s v="contract"/>
    <s v="Contract"/>
    <s v="EMP-2019-0018"/>
    <n v="5"/>
    <m/>
    <m/>
    <m/>
    <m/>
    <s v="YES"/>
    <s v="Yes"/>
    <n v="5"/>
    <x v="0"/>
    <x v="0"/>
  </r>
  <r>
    <x v="328"/>
    <s v="Alice"/>
    <s v="Martinez"/>
    <n v="25"/>
    <x v="0"/>
    <n v="1999"/>
    <n v="65000"/>
    <x v="1"/>
    <s v="Male"/>
    <s v="HR"/>
    <s v="HR"/>
    <s v="Director"/>
    <d v="2019-03-25T00:00:00"/>
    <d v="2019-03-25T00:00:00"/>
    <s v="D"/>
    <x v="22"/>
    <s v="alice.martinez@saltcorp.com"/>
    <m/>
    <s v="Full-Time"/>
    <s v="Full-Time"/>
    <s v="EMP-2019-0083"/>
    <n v="6"/>
    <n v="3"/>
    <m/>
    <m/>
    <m/>
    <s v="no"/>
    <s v="No"/>
    <n v="5"/>
    <x v="1"/>
    <x v="1"/>
  </r>
  <r>
    <x v="329"/>
    <s v="Ivy"/>
    <s v="Shah"/>
    <m/>
    <x v="24"/>
    <n v="1981"/>
    <n v="55000"/>
    <x v="6"/>
    <s v="Female"/>
    <s v="it"/>
    <s v="IT"/>
    <s v="Manager"/>
    <d v="2018-04-05T00:00:00"/>
    <d v="2018-04-05T00:00:00"/>
    <s v="A"/>
    <x v="51"/>
    <s v="ivy.shah@saltcorp.com"/>
    <s v="123-456-7890"/>
    <s v="Full-Time"/>
    <s v="Full-Time"/>
    <m/>
    <n v="4"/>
    <n v="1"/>
    <n v="13"/>
    <d v="2023-01-15T00:00:00"/>
    <m/>
    <s v="no"/>
    <s v="No"/>
    <n v="3"/>
    <x v="0"/>
    <x v="0"/>
  </r>
  <r>
    <x v="330"/>
    <s v="Frank"/>
    <s v="Davidson"/>
    <n v="35"/>
    <x v="2"/>
    <n v="1989"/>
    <n v="65000"/>
    <x v="1"/>
    <s v="Female"/>
    <s v="sales"/>
    <s v="Sales"/>
    <s v="Clerk"/>
    <d v="2019-12-01T00:00:00"/>
    <d v="2019-12-01T00:00:00"/>
    <s v="F"/>
    <x v="80"/>
    <s v="frank.davidson@saltcorp.com"/>
    <s v="123-456-7890"/>
    <s v="Full-Time"/>
    <s v="Full-Time"/>
    <s v="EMP-2018-0018"/>
    <n v="4"/>
    <n v="1"/>
    <n v="5"/>
    <m/>
    <m/>
    <s v="no"/>
    <s v="No"/>
    <n v="3"/>
    <x v="0"/>
    <x v="0"/>
  </r>
  <r>
    <x v="331"/>
    <s v="Grace"/>
    <s v="Dixon"/>
    <s v="thirty"/>
    <x v="8"/>
    <n v="1994"/>
    <n v="50000"/>
    <x v="0"/>
    <s v="Male"/>
    <s v="it"/>
    <s v="IT"/>
    <s v="Analyst"/>
    <d v="2019-12-01T00:00:00"/>
    <d v="2019-12-01T00:00:00"/>
    <s v="D"/>
    <x v="43"/>
    <s v="grace.dixon@saltcorp.com"/>
    <s v="123-456-7890"/>
    <s v="Part-Time"/>
    <s v="Part-Time"/>
    <m/>
    <n v="4"/>
    <n v="9"/>
    <m/>
    <d v="2022-06-20T00:00:00"/>
    <m/>
    <s v="YES"/>
    <s v="Yes"/>
    <n v="3"/>
    <x v="1"/>
    <x v="1"/>
  </r>
  <r>
    <x v="332"/>
    <s v="Jack"/>
    <s v="Vega"/>
    <n v="25"/>
    <x v="0"/>
    <n v="1999"/>
    <n v="55000"/>
    <x v="6"/>
    <s v="Male"/>
    <s v="HR"/>
    <s v="HR"/>
    <s v="Manager"/>
    <d v="2020-01-15T00:00:00"/>
    <d v="2020-01-15T00:00:00"/>
    <s v="F"/>
    <x v="55"/>
    <s v="jack.vega@saltcorp.com"/>
    <s v="123-456-7890"/>
    <s v="Part-Time"/>
    <s v="Part-Time"/>
    <m/>
    <n v="5"/>
    <m/>
    <m/>
    <m/>
    <n v="24"/>
    <s v="YES"/>
    <s v="Yes"/>
    <n v="5"/>
    <x v="1"/>
    <x v="1"/>
  </r>
  <r>
    <x v="333"/>
    <s v="Grace"/>
    <s v="Matthews"/>
    <n v="40"/>
    <x v="7"/>
    <n v="1984"/>
    <n v="58600"/>
    <x v="8"/>
    <s v="Female"/>
    <s v="it"/>
    <s v="IT"/>
    <s v="Clerk"/>
    <d v="2018-04-05T00:00:00"/>
    <d v="2018-04-05T00:00:00"/>
    <s v="C"/>
    <x v="31"/>
    <s v="grace.matthews@saltcorp.com"/>
    <s v="555-555-5555"/>
    <s v="Part-Time"/>
    <s v="Part-Time"/>
    <m/>
    <n v="6"/>
    <m/>
    <n v="6"/>
    <m/>
    <m/>
    <s v="YES"/>
    <s v="Yes"/>
    <n v="5"/>
    <x v="0"/>
    <x v="0"/>
  </r>
  <r>
    <x v="334"/>
    <s v="Jack"/>
    <s v="O'Connor"/>
    <s v="thirty"/>
    <x v="8"/>
    <n v="1994"/>
    <n v="55000"/>
    <x v="6"/>
    <s v="Male"/>
    <s v="it"/>
    <s v="IT"/>
    <s v="Assistant"/>
    <d v="2018-04-05T00:00:00"/>
    <d v="2018-04-05T00:00:00"/>
    <s v="A"/>
    <x v="11"/>
    <s v="jack.o'connor@saltcorp.com"/>
    <s v=" "/>
    <s v="Part-Time"/>
    <s v="Part-Time"/>
    <m/>
    <n v="3"/>
    <s v="N/A"/>
    <m/>
    <m/>
    <m/>
    <s v="YES"/>
    <s v="Yes"/>
    <n v="5"/>
    <x v="1"/>
    <x v="1"/>
  </r>
  <r>
    <x v="335"/>
    <s v="Charlie"/>
    <s v="Lewis"/>
    <s v="thirty"/>
    <x v="8"/>
    <n v="1994"/>
    <n v="70000"/>
    <x v="5"/>
    <s v="Male"/>
    <s v="sales"/>
    <s v="Sales"/>
    <s v="Director"/>
    <d v="2020-02-20T00:00:00"/>
    <d v="2020-02-20T00:00:00"/>
    <s v="D"/>
    <x v="34"/>
    <s v="charlie.lewis@saltcorp.com"/>
    <s v=" "/>
    <s v="Full-Time"/>
    <s v="Full-Time"/>
    <m/>
    <n v="3"/>
    <m/>
    <m/>
    <m/>
    <m/>
    <s v="YES"/>
    <s v="Yes"/>
    <n v="4"/>
    <x v="0"/>
    <x v="0"/>
  </r>
  <r>
    <x v="336"/>
    <s v="Bob"/>
    <s v="Wilson"/>
    <n v="25"/>
    <x v="0"/>
    <n v="1999"/>
    <s v="SIXTY THOUSAND"/>
    <x v="2"/>
    <s v="Female"/>
    <s v="Marketing"/>
    <s v="Marketing"/>
    <s v="Analyst"/>
    <d v="2020-02-20T00:00:00"/>
    <d v="2020-02-20T00:00:00"/>
    <s v="A"/>
    <x v="11"/>
    <s v="bob.wilson@saltcorp.com"/>
    <s v="123-456-7890"/>
    <s v="Part-Time"/>
    <s v="Part-Time"/>
    <m/>
    <n v="6"/>
    <n v="3"/>
    <m/>
    <d v="2022-06-20T00:00:00"/>
    <m/>
    <s v="no"/>
    <s v="No"/>
    <n v="5"/>
    <x v="0"/>
    <x v="0"/>
  </r>
  <r>
    <x v="337"/>
    <s v="Ivy"/>
    <s v="Medina"/>
    <s v="thirty"/>
    <x v="8"/>
    <n v="1994"/>
    <n v="60900"/>
    <x v="15"/>
    <s v="Female"/>
    <s v="HR"/>
    <s v="HR"/>
    <s v="Director"/>
    <d v="2020-02-20T00:00:00"/>
    <d v="2020-02-20T00:00:00"/>
    <s v="C"/>
    <x v="20"/>
    <s v="ivy.medina@saltcorp.com"/>
    <s v="555-555-5555"/>
    <s v="Full-Time"/>
    <s v="Full-Time"/>
    <m/>
    <n v="2"/>
    <m/>
    <n v="14"/>
    <m/>
    <n v="48"/>
    <s v="YES"/>
    <s v="Yes"/>
    <n v="3"/>
    <x v="1"/>
    <x v="1"/>
  </r>
  <r>
    <x v="338"/>
    <s v="Hannah"/>
    <s v="Foster"/>
    <n v="40"/>
    <x v="7"/>
    <n v="1984"/>
    <n v="55000"/>
    <x v="6"/>
    <s v="Female"/>
    <s v="sales"/>
    <s v="Sales"/>
    <s v="Assistant"/>
    <d v="2019-03-25T00:00:00"/>
    <d v="2019-03-25T00:00:00"/>
    <s v="A"/>
    <x v="32"/>
    <s v="hannah.foster@saltcorp.com"/>
    <s v="555-555-5555"/>
    <s v="Part-Time"/>
    <s v="Part-Time"/>
    <s v="EMP-2019-0044"/>
    <n v="6"/>
    <m/>
    <m/>
    <d v="2023-01-15T00:00:00"/>
    <m/>
    <m/>
    <s v=""/>
    <n v="2"/>
    <x v="0"/>
    <x v="0"/>
  </r>
  <r>
    <x v="339"/>
    <s v="Jack"/>
    <s v="O'Connor"/>
    <n v="50"/>
    <x v="10"/>
    <n v="1974"/>
    <n v="58600"/>
    <x v="8"/>
    <s v="Male"/>
    <s v="it"/>
    <s v="IT"/>
    <s v="Clerk"/>
    <d v="2020-02-20T00:00:00"/>
    <d v="2020-02-20T00:00:00"/>
    <s v="A"/>
    <x v="25"/>
    <s v="jack.o'connor@saltcorp.com"/>
    <s v="123-456-7890"/>
    <s v="contract"/>
    <s v="Contract"/>
    <m/>
    <n v="8"/>
    <n v="7"/>
    <n v="6"/>
    <m/>
    <n v="54"/>
    <m/>
    <s v=""/>
    <n v="4"/>
    <x v="1"/>
    <x v="1"/>
  </r>
  <r>
    <x v="340"/>
    <s v="Grace"/>
    <s v="Medina"/>
    <s v="thirty"/>
    <x v="8"/>
    <n v="1994"/>
    <n v="59800"/>
    <x v="21"/>
    <s v="Female"/>
    <s v="it"/>
    <s v="IT"/>
    <s v="Assistant"/>
    <d v="2018-04-05T00:00:00"/>
    <d v="2018-04-05T00:00:00"/>
    <s v="B"/>
    <x v="16"/>
    <s v="grace.medina@saltcorp.com"/>
    <s v="098-765-4321"/>
    <s v="Full-Time"/>
    <s v="Full-Time"/>
    <m/>
    <n v="7"/>
    <m/>
    <m/>
    <m/>
    <m/>
    <s v="no"/>
    <s v="No"/>
    <n v="3"/>
    <x v="0"/>
    <x v="0"/>
  </r>
  <r>
    <x v="341"/>
    <s v="Ivy"/>
    <s v="Kumar"/>
    <n v="50"/>
    <x v="10"/>
    <n v="1974"/>
    <n v="61600"/>
    <x v="16"/>
    <s v="Female"/>
    <s v="Marketing"/>
    <s v="Marketing"/>
    <s v="Assistant"/>
    <d v="2019-03-25T00:00:00"/>
    <d v="2019-03-25T00:00:00"/>
    <s v="A"/>
    <x v="11"/>
    <s v="ivy.kumar@saltcorp.com"/>
    <s v="123-456-7890"/>
    <s v="Part-Time"/>
    <s v="Part-Time"/>
    <m/>
    <n v="5"/>
    <m/>
    <n v="15"/>
    <m/>
    <m/>
    <m/>
    <s v=""/>
    <n v="2"/>
    <x v="1"/>
    <x v="1"/>
  </r>
  <r>
    <x v="342"/>
    <s v="David"/>
    <s v="Wallace"/>
    <n v="40"/>
    <x v="7"/>
    <n v="1984"/>
    <s v="SIXTY THOUSAND"/>
    <x v="2"/>
    <s v="Male"/>
    <s v="HR"/>
    <s v="HR"/>
    <s v="Director"/>
    <d v="2019-12-01T00:00:00"/>
    <d v="2019-12-01T00:00:00"/>
    <s v="F"/>
    <x v="65"/>
    <s v="david.wallace@saltcorp.com"/>
    <s v="098-765-4321"/>
    <s v="Full-Time"/>
    <s v="Full-Time"/>
    <m/>
    <n v="7"/>
    <m/>
    <n v="7"/>
    <d v="2024-08-12T00:00:00"/>
    <n v="29"/>
    <s v="Y"/>
    <s v="Yes"/>
    <n v="2"/>
    <x v="0"/>
    <x v="0"/>
  </r>
  <r>
    <x v="343"/>
    <s v="David"/>
    <s v="Sullivan"/>
    <n v="25"/>
    <x v="0"/>
    <n v="1999"/>
    <n v="65000"/>
    <x v="1"/>
    <s v="Male"/>
    <s v="HR"/>
    <s v="HR"/>
    <s v="Analyst"/>
    <d v="2020-01-15T00:00:00"/>
    <d v="2020-01-15T00:00:00"/>
    <s v="D"/>
    <x v="15"/>
    <s v="david.sullivan@saltcorp.com"/>
    <s v="123-456-7890"/>
    <s v="Full-Time"/>
    <s v="Full-Time"/>
    <m/>
    <n v="1"/>
    <n v="1"/>
    <m/>
    <m/>
    <n v="12"/>
    <s v="YES"/>
    <s v="Yes"/>
    <n v="3"/>
    <x v="0"/>
    <x v="0"/>
  </r>
  <r>
    <x v="344"/>
    <s v="Alice"/>
    <s v="Chen"/>
    <n v="35"/>
    <x v="2"/>
    <n v="1989"/>
    <n v="58500"/>
    <x v="4"/>
    <s v="Male"/>
    <s v="finance"/>
    <s v="Finance"/>
    <s v="Assistant"/>
    <d v="2020-02-20T00:00:00"/>
    <d v="2020-02-20T00:00:00"/>
    <s v="B"/>
    <x v="21"/>
    <s v="alice.chen@saltcorp.com"/>
    <s v="098-765-4321"/>
    <s v="Full-Time"/>
    <s v="Full-Time"/>
    <m/>
    <n v="2"/>
    <s v="N/A"/>
    <m/>
    <m/>
    <m/>
    <s v="no"/>
    <s v="No"/>
    <n v="1"/>
    <x v="0"/>
    <x v="0"/>
  </r>
  <r>
    <x v="345"/>
    <s v="Hannah"/>
    <s v="Brooks"/>
    <s v="thirty"/>
    <x v="8"/>
    <n v="1994"/>
    <n v="50000"/>
    <x v="0"/>
    <s v="Female"/>
    <s v="HR"/>
    <s v="HR"/>
    <s v="Director"/>
    <d v="2019-12-01T00:00:00"/>
    <d v="2019-12-01T00:00:00"/>
    <s v="D"/>
    <x v="17"/>
    <s v="hannah.brooks@saltcorp.com"/>
    <s v="098-765-4321"/>
    <s v="Full-Time"/>
    <s v="Full-Time"/>
    <m/>
    <n v="1"/>
    <m/>
    <n v="5"/>
    <m/>
    <n v="72"/>
    <m/>
    <s v=""/>
    <n v="1"/>
    <x v="1"/>
    <x v="1"/>
  </r>
  <r>
    <x v="346"/>
    <s v="Charlie"/>
    <s v="White"/>
    <n v="35"/>
    <x v="2"/>
    <n v="1989"/>
    <n v="70000"/>
    <x v="5"/>
    <s v="Female"/>
    <s v="Marketing"/>
    <s v="Marketing"/>
    <s v="Analyst"/>
    <d v="2018-04-05T00:00:00"/>
    <d v="2018-04-05T00:00:00"/>
    <s v="D"/>
    <x v="15"/>
    <s v="charlie.white@saltcorp.com"/>
    <s v="123-456-7890"/>
    <s v="Full-Time"/>
    <s v="Full-Time"/>
    <m/>
    <n v="7"/>
    <n v="6"/>
    <n v="12"/>
    <m/>
    <m/>
    <s v="no"/>
    <s v="No"/>
    <n v="1"/>
    <x v="1"/>
    <x v="1"/>
  </r>
  <r>
    <x v="347"/>
    <s v="Grace"/>
    <s v="Santos"/>
    <n v="40"/>
    <x v="7"/>
    <n v="1984"/>
    <s v="SIXTY THOUSAND"/>
    <x v="2"/>
    <s v="Female"/>
    <s v="finance"/>
    <s v="Finance"/>
    <s v="Clerk"/>
    <d v="2020-01-15T00:00:00"/>
    <d v="2020-01-15T00:00:00"/>
    <s v="C"/>
    <x v="69"/>
    <s v="grace.santos@saltcorp.com"/>
    <s v="098-765-4321"/>
    <s v="Full-Time"/>
    <s v="Full-Time"/>
    <m/>
    <n v="3"/>
    <m/>
    <m/>
    <d v="2023-03-05T00:00:00"/>
    <m/>
    <s v="YES"/>
    <s v="Yes"/>
    <n v="2"/>
    <x v="1"/>
    <x v="1"/>
  </r>
  <r>
    <x v="348"/>
    <s v="Bob"/>
    <s v="Weber"/>
    <s v="thirty"/>
    <x v="8"/>
    <n v="1994"/>
    <n v="55000"/>
    <x v="6"/>
    <s v="Male"/>
    <s v="finance"/>
    <s v="Finance"/>
    <s v="Clerk"/>
    <d v="2019-12-01T00:00:00"/>
    <d v="2019-12-01T00:00:00"/>
    <s v="C"/>
    <x v="8"/>
    <s v="bob.weber@saltcorp.com"/>
    <m/>
    <s v="Part-Time"/>
    <s v="Part-Time"/>
    <m/>
    <n v="1"/>
    <m/>
    <n v="5"/>
    <m/>
    <n v="42"/>
    <m/>
    <s v=""/>
    <n v="3"/>
    <x v="1"/>
    <x v="1"/>
  </r>
  <r>
    <x v="349"/>
    <s v="Bob"/>
    <s v="Hudson"/>
    <n v="50"/>
    <x v="10"/>
    <n v="1974"/>
    <s v="SIXTY THOUSAND"/>
    <x v="2"/>
    <s v="Male"/>
    <s v="it"/>
    <s v="IT"/>
    <s v="Manager"/>
    <d v="2020-01-15T00:00:00"/>
    <d v="2020-01-15T00:00:00"/>
    <s v="B"/>
    <x v="45"/>
    <s v="bob.hudson@saltcorp.com"/>
    <s v=" "/>
    <s v="Full-Time"/>
    <s v="Full-Time"/>
    <m/>
    <n v="1"/>
    <n v="4"/>
    <m/>
    <m/>
    <n v="15"/>
    <s v="no"/>
    <s v="No"/>
    <n v="2"/>
    <x v="1"/>
    <x v="1"/>
  </r>
  <r>
    <x v="350"/>
    <s v="Grace"/>
    <s v="Zhang"/>
    <m/>
    <x v="27"/>
    <n v="1965"/>
    <n v="55000"/>
    <x v="6"/>
    <s v="Female"/>
    <s v="it"/>
    <s v="IT"/>
    <s v="Director"/>
    <d v="2020-02-20T00:00:00"/>
    <d v="2020-02-20T00:00:00"/>
    <s v="C"/>
    <x v="7"/>
    <s v="grace.zhang@saltcorp.com"/>
    <s v="555-555-5555"/>
    <s v="Full-Time"/>
    <s v="Full-Time"/>
    <s v="EMP-2020-0087"/>
    <n v="4"/>
    <m/>
    <n v="14"/>
    <d v="2022-06-20T00:00:00"/>
    <n v="46"/>
    <s v="YES"/>
    <s v="Yes"/>
    <n v="4"/>
    <x v="0"/>
    <x v="0"/>
  </r>
  <r>
    <x v="351"/>
    <s v="Frank"/>
    <s v="Lopez"/>
    <n v="35"/>
    <x v="2"/>
    <n v="1989"/>
    <s v="SIXTY THOUSAND"/>
    <x v="2"/>
    <s v="Female"/>
    <s v="HR"/>
    <s v="HR"/>
    <s v="Analyst"/>
    <d v="2018-04-05T00:00:00"/>
    <d v="2018-04-05T00:00:00"/>
    <s v="C"/>
    <x v="23"/>
    <s v="frank.lopez@saltcorp.com"/>
    <s v="098-765-4321"/>
    <s v="contract"/>
    <s v="Contract"/>
    <m/>
    <n v="5"/>
    <m/>
    <n v="9"/>
    <m/>
    <m/>
    <s v="YES"/>
    <s v="Yes"/>
    <n v="3"/>
    <x v="0"/>
    <x v="0"/>
  </r>
  <r>
    <x v="352"/>
    <s v="Charlie"/>
    <s v="Le"/>
    <s v="thirty"/>
    <x v="8"/>
    <n v="1994"/>
    <n v="55000"/>
    <x v="6"/>
    <s v="Female"/>
    <s v="finance"/>
    <s v="Finance"/>
    <s v="Assistant"/>
    <d v="2020-01-15T00:00:00"/>
    <d v="2020-01-15T00:00:00"/>
    <s v="C"/>
    <x v="31"/>
    <s v="charlie.le@saltcorp.com"/>
    <s v="098-765-4321"/>
    <s v="Part-Time"/>
    <s v="Part-Time"/>
    <m/>
    <n v="3"/>
    <m/>
    <m/>
    <m/>
    <m/>
    <m/>
    <s v=""/>
    <n v="1"/>
    <x v="0"/>
    <x v="0"/>
  </r>
  <r>
    <x v="353"/>
    <s v="Ivy"/>
    <s v="West"/>
    <n v="35"/>
    <x v="2"/>
    <n v="1989"/>
    <n v="58600"/>
    <x v="8"/>
    <s v="Female"/>
    <s v="it"/>
    <s v="IT"/>
    <s v="Clerk"/>
    <d v="2019-12-01T00:00:00"/>
    <d v="2019-12-01T00:00:00"/>
    <s v="D"/>
    <x v="0"/>
    <s v="ivy.west@saltcorp.com"/>
    <s v="555-555-5555"/>
    <s v="Full-Time"/>
    <s v="Full-Time"/>
    <m/>
    <n v="5"/>
    <s v="N/A"/>
    <m/>
    <m/>
    <m/>
    <s v="no"/>
    <s v="No"/>
    <n v="1"/>
    <x v="0"/>
    <x v="0"/>
  </r>
  <r>
    <x v="354"/>
    <s v="Jack"/>
    <s v="Gomez"/>
    <s v="thirty"/>
    <x v="8"/>
    <n v="1994"/>
    <n v="65000"/>
    <x v="1"/>
    <s v="Female"/>
    <s v="Marketing"/>
    <s v="Marketing"/>
    <s v="Analyst"/>
    <d v="2020-02-20T00:00:00"/>
    <d v="2020-02-20T00:00:00"/>
    <s v="B"/>
    <x v="6"/>
    <s v="jack.gomez@saltcorp.com"/>
    <s v="098-765-4321"/>
    <s v="Full-Time"/>
    <s v="Full-Time"/>
    <s v="EMP-2019-0073"/>
    <n v="5"/>
    <m/>
    <n v="7"/>
    <m/>
    <n v="10"/>
    <m/>
    <s v=""/>
    <n v="3"/>
    <x v="1"/>
    <x v="1"/>
  </r>
  <r>
    <x v="355"/>
    <s v="Frank"/>
    <s v="Hernandez"/>
    <n v="25"/>
    <x v="0"/>
    <n v="1999"/>
    <n v="55000"/>
    <x v="6"/>
    <s v="Male"/>
    <s v="it"/>
    <s v="IT"/>
    <s v="Director"/>
    <d v="2020-02-20T00:00:00"/>
    <d v="2020-02-20T00:00:00"/>
    <s v="D"/>
    <x v="30"/>
    <s v="frank.hernandez@saltcorp.com"/>
    <s v="555-555-5555"/>
    <s v="Full-Time"/>
    <s v="Full-Time"/>
    <m/>
    <n v="3"/>
    <m/>
    <m/>
    <d v="2021-10-01T00:00:00"/>
    <m/>
    <s v="YES"/>
    <s v="Yes"/>
    <n v="4"/>
    <x v="0"/>
    <x v="0"/>
  </r>
  <r>
    <x v="356"/>
    <s v="Jack"/>
    <s v="Bishop"/>
    <n v="50"/>
    <x v="10"/>
    <n v="1974"/>
    <n v="55000"/>
    <x v="6"/>
    <s v="Male"/>
    <s v="it"/>
    <s v="IT"/>
    <s v="Manager"/>
    <d v="2019-12-01T00:00:00"/>
    <d v="2019-12-01T00:00:00"/>
    <s v="F"/>
    <x v="61"/>
    <s v="jack.bishop@saltcorp.com"/>
    <s v="123-456-7890"/>
    <s v="Full-Time"/>
    <s v="Full-Time"/>
    <s v="EMP-2018-0074"/>
    <n v="1"/>
    <s v="N/A"/>
    <m/>
    <m/>
    <n v="11"/>
    <s v="YES"/>
    <s v="Yes"/>
    <n v="4"/>
    <x v="0"/>
    <x v="0"/>
  </r>
  <r>
    <x v="357"/>
    <s v="Jack"/>
    <s v="Davidson"/>
    <n v="35"/>
    <x v="2"/>
    <n v="1989"/>
    <n v="50000"/>
    <x v="0"/>
    <s v="Male"/>
    <s v="finance"/>
    <s v="Finance"/>
    <s v="Clerk"/>
    <d v="2019-12-01T00:00:00"/>
    <d v="2019-12-01T00:00:00"/>
    <s v="D"/>
    <x v="43"/>
    <s v="jack.davidson@saltcorp.com"/>
    <m/>
    <s v="Full-Time"/>
    <s v="Full-Time"/>
    <m/>
    <n v="5"/>
    <m/>
    <n v="2"/>
    <m/>
    <m/>
    <s v="no"/>
    <s v="No"/>
    <n v="4"/>
    <x v="0"/>
    <x v="0"/>
  </r>
  <r>
    <x v="358"/>
    <s v="Frank"/>
    <s v="Ramirez"/>
    <m/>
    <x v="9"/>
    <n v="1987"/>
    <n v="55000"/>
    <x v="6"/>
    <s v="Male"/>
    <s v="finance"/>
    <s v="Finance"/>
    <s v="Analyst"/>
    <d v="2020-01-15T00:00:00"/>
    <d v="2020-01-15T00:00:00"/>
    <s v="F"/>
    <x v="73"/>
    <s v="frank.ramirez@saltcorp.com"/>
    <m/>
    <s v="Part-Time"/>
    <s v="Part-Time"/>
    <m/>
    <n v="4"/>
    <n v="0"/>
    <m/>
    <m/>
    <n v="11"/>
    <m/>
    <s v=""/>
    <n v="3"/>
    <x v="0"/>
    <x v="0"/>
  </r>
  <r>
    <x v="359"/>
    <s v="Alice"/>
    <s v="Baker"/>
    <m/>
    <x v="26"/>
    <n v="1988"/>
    <n v="50000"/>
    <x v="0"/>
    <s v="Female"/>
    <s v="sales"/>
    <s v="Sales"/>
    <s v="Analyst"/>
    <d v="2019-03-25T00:00:00"/>
    <d v="2019-03-25T00:00:00"/>
    <s v="A"/>
    <x v="52"/>
    <s v="alice.baker@saltcorp.com"/>
    <s v=" "/>
    <s v="Part-Time"/>
    <s v="Part-Time"/>
    <m/>
    <n v="1"/>
    <s v="N/A"/>
    <m/>
    <m/>
    <m/>
    <s v="N"/>
    <s v="No"/>
    <n v="1"/>
    <x v="1"/>
    <x v="1"/>
  </r>
  <r>
    <x v="360"/>
    <s v="David"/>
    <s v="O'Brien"/>
    <n v="40"/>
    <x v="7"/>
    <n v="1984"/>
    <n v="70000"/>
    <x v="5"/>
    <s v="Male"/>
    <s v="Marketing"/>
    <s v="Marketing"/>
    <s v="Analyst"/>
    <d v="2020-02-20T00:00:00"/>
    <d v="2020-02-20T00:00:00"/>
    <s v="A"/>
    <x v="50"/>
    <s v="david.o'brien@saltcorp.com"/>
    <s v="098-765-4321"/>
    <s v="Full-Time"/>
    <s v="Full-Time"/>
    <m/>
    <n v="6"/>
    <m/>
    <n v="1"/>
    <m/>
    <m/>
    <s v="no"/>
    <s v="No"/>
    <n v="1"/>
    <x v="0"/>
    <x v="0"/>
  </r>
  <r>
    <x v="361"/>
    <s v="Jack"/>
    <s v="Kelly"/>
    <s v="thirty"/>
    <x v="8"/>
    <n v="1994"/>
    <n v="60300"/>
    <x v="14"/>
    <s v="Male"/>
    <s v="finance"/>
    <s v="Finance"/>
    <s v="Director"/>
    <d v="2020-01-15T00:00:00"/>
    <d v="2020-01-15T00:00:00"/>
    <s v="F"/>
    <x v="36"/>
    <s v="jack.kelly@saltcorp.com"/>
    <s v=" "/>
    <s v="Full-Time"/>
    <s v="Full-Time"/>
    <m/>
    <n v="8"/>
    <m/>
    <m/>
    <m/>
    <m/>
    <m/>
    <s v=""/>
    <n v="3"/>
    <x v="1"/>
    <x v="1"/>
  </r>
  <r>
    <x v="362"/>
    <s v="Frank"/>
    <s v="Armstrong"/>
    <n v="35"/>
    <x v="2"/>
    <n v="1989"/>
    <n v="50000"/>
    <x v="0"/>
    <s v="Female"/>
    <s v="HR"/>
    <s v="HR"/>
    <s v="Director"/>
    <d v="2019-12-01T00:00:00"/>
    <d v="2019-12-01T00:00:00"/>
    <s v="F"/>
    <x v="55"/>
    <s v="frank.armstrong@saltcorp.com"/>
    <s v="123-456-7890"/>
    <s v="Full-Time"/>
    <s v="Full-Time"/>
    <m/>
    <n v="2"/>
    <n v="4"/>
    <n v="12"/>
    <d v="2022-06-20T00:00:00"/>
    <n v="17"/>
    <m/>
    <s v=""/>
    <n v="1"/>
    <x v="1"/>
    <x v="1"/>
  </r>
  <r>
    <x v="363"/>
    <s v="Frank"/>
    <s v="Perez"/>
    <n v="40"/>
    <x v="7"/>
    <n v="1984"/>
    <n v="65000"/>
    <x v="1"/>
    <s v="Male"/>
    <s v="Marketing"/>
    <s v="Marketing"/>
    <s v="Director"/>
    <d v="2020-01-15T00:00:00"/>
    <d v="2020-01-15T00:00:00"/>
    <s v="D"/>
    <x v="24"/>
    <s v="frank.perez@saltcorp.com"/>
    <m/>
    <s v="Part-Time"/>
    <s v="Part-Time"/>
    <s v="EMP-2018-0018"/>
    <n v="4"/>
    <m/>
    <m/>
    <m/>
    <m/>
    <s v="YES"/>
    <s v="Yes"/>
    <n v="4"/>
    <x v="1"/>
    <x v="1"/>
  </r>
  <r>
    <x v="364"/>
    <s v="Eve"/>
    <s v="Turner"/>
    <n v="35"/>
    <x v="2"/>
    <n v="1989"/>
    <n v="61600"/>
    <x v="16"/>
    <s v="Female"/>
    <s v="Marketing"/>
    <s v="Marketing"/>
    <s v="Assistant"/>
    <d v="2019-12-01T00:00:00"/>
    <d v="2019-12-01T00:00:00"/>
    <s v="F"/>
    <x v="71"/>
    <s v="eve.turner@saltcorp.com"/>
    <s v="123-456-7890"/>
    <s v="Full-Time"/>
    <s v="Full-Time"/>
    <s v="EMP-2020-0057"/>
    <n v="7"/>
    <m/>
    <m/>
    <d v="2021-10-01T00:00:00"/>
    <m/>
    <s v="no"/>
    <s v="No"/>
    <n v="2"/>
    <x v="1"/>
    <x v="1"/>
  </r>
  <r>
    <x v="365"/>
    <s v="Alice"/>
    <s v="Anderson"/>
    <s v="thirty"/>
    <x v="8"/>
    <n v="1994"/>
    <n v="50000"/>
    <x v="0"/>
    <s v="Female"/>
    <s v="finance"/>
    <s v="Finance"/>
    <s v="Analyst"/>
    <d v="2018-04-05T00:00:00"/>
    <d v="2018-04-05T00:00:00"/>
    <s v="B"/>
    <x v="21"/>
    <s v="alice.anderson@saltcorp.com"/>
    <s v="123-456-7890"/>
    <s v="Full-Time"/>
    <s v="Full-Time"/>
    <m/>
    <n v="4"/>
    <s v="N/A"/>
    <m/>
    <d v="2023-03-05T00:00:00"/>
    <m/>
    <s v="YES"/>
    <s v="Yes"/>
    <n v="2"/>
    <x v="0"/>
    <x v="0"/>
  </r>
  <r>
    <x v="366"/>
    <s v="Hannah"/>
    <s v="Perry"/>
    <m/>
    <x v="8"/>
    <n v="1994"/>
    <n v="58600"/>
    <x v="8"/>
    <s v="Female"/>
    <s v="Marketing"/>
    <s v="Marketing"/>
    <s v="Clerk"/>
    <d v="2019-12-01T00:00:00"/>
    <d v="2019-12-01T00:00:00"/>
    <s v="A"/>
    <x v="52"/>
    <s v="hannah.perry@saltcorp.com"/>
    <s v="098-765-4321"/>
    <s v="Full-Time"/>
    <s v="Full-Time"/>
    <m/>
    <n v="5"/>
    <m/>
    <m/>
    <m/>
    <m/>
    <s v="Y"/>
    <s v="Yes"/>
    <n v="1"/>
    <x v="1"/>
    <x v="1"/>
  </r>
  <r>
    <x v="367"/>
    <s v="Eve"/>
    <s v="Stevens"/>
    <n v="25"/>
    <x v="0"/>
    <n v="1999"/>
    <n v="60300"/>
    <x v="14"/>
    <s v="Female"/>
    <s v="finance"/>
    <s v="Finance"/>
    <s v="Director"/>
    <d v="2019-12-01T00:00:00"/>
    <d v="2019-12-01T00:00:00"/>
    <s v="A"/>
    <x v="52"/>
    <s v="eve.stevens@saltcorp.com"/>
    <s v="123-456-7890"/>
    <s v="Part-Time"/>
    <s v="Part-Time"/>
    <m/>
    <n v="1"/>
    <m/>
    <m/>
    <m/>
    <n v="10"/>
    <m/>
    <s v=""/>
    <n v="1"/>
    <x v="1"/>
    <x v="1"/>
  </r>
  <r>
    <x v="368"/>
    <s v="Eve"/>
    <s v="Harrison"/>
    <m/>
    <x v="28"/>
    <n v="1975"/>
    <s v=" NAN "/>
    <x v="22"/>
    <s v="Male"/>
    <s v="it"/>
    <s v="IT"/>
    <s v="Director"/>
    <d v="2019-12-01T00:00:00"/>
    <d v="2019-12-01T00:00:00"/>
    <s v="F"/>
    <x v="80"/>
    <s v="eve.harrison@saltcorp.com"/>
    <m/>
    <s v="Full-Time"/>
    <s v="Full-Time"/>
    <m/>
    <n v="7"/>
    <m/>
    <m/>
    <d v="2022-06-20T00:00:00"/>
    <n v="19"/>
    <s v="YES"/>
    <s v="Yes"/>
    <n v="5"/>
    <x v="0"/>
    <x v="0"/>
  </r>
  <r>
    <x v="369"/>
    <s v="Grace"/>
    <s v="Young"/>
    <n v="40"/>
    <x v="7"/>
    <n v="1984"/>
    <n v="70000"/>
    <x v="5"/>
    <s v="Male"/>
    <s v="sales"/>
    <s v="Sales"/>
    <s v="Analyst"/>
    <d v="2019-03-25T00:00:00"/>
    <d v="2019-03-25T00:00:00"/>
    <s v="C"/>
    <x v="29"/>
    <s v="grace.young@saltcorp.com"/>
    <s v=" "/>
    <s v="Full-Time"/>
    <s v="Full-Time"/>
    <s v="EMP-2020-0082"/>
    <n v="7"/>
    <m/>
    <m/>
    <s v="N/A"/>
    <m/>
    <s v="no"/>
    <s v="No"/>
    <n v="4"/>
    <x v="0"/>
    <x v="0"/>
  </r>
  <r>
    <x v="370"/>
    <s v="David"/>
    <s v="O'Brien"/>
    <n v="50"/>
    <x v="10"/>
    <n v="1974"/>
    <n v="65000"/>
    <x v="1"/>
    <s v="Female"/>
    <s v="it"/>
    <s v="IT"/>
    <s v="Director"/>
    <d v="2019-12-01T00:00:00"/>
    <d v="2019-12-01T00:00:00"/>
    <s v="C"/>
    <x v="20"/>
    <s v="david.o'brien@saltcorp.com"/>
    <m/>
    <s v="Full-Time"/>
    <s v="Full-Time"/>
    <s v="EMP-2020-0029"/>
    <n v="7"/>
    <m/>
    <m/>
    <m/>
    <m/>
    <s v="YES"/>
    <s v="Yes"/>
    <n v="5"/>
    <x v="0"/>
    <x v="0"/>
  </r>
  <r>
    <x v="371"/>
    <s v="Frank"/>
    <s v="Lopez"/>
    <n v="25"/>
    <x v="0"/>
    <n v="1999"/>
    <s v="SIXTY THOUSAND"/>
    <x v="2"/>
    <s v="Male"/>
    <s v="finance"/>
    <s v="Finance"/>
    <s v="Assistant"/>
    <d v="2020-02-20T00:00:00"/>
    <d v="2020-02-20T00:00:00"/>
    <s v="F"/>
    <x v="1"/>
    <s v="frank.lopez@saltcorp.com"/>
    <s v="098-765-4321"/>
    <s v="contract"/>
    <s v="Contract"/>
    <m/>
    <n v="6"/>
    <m/>
    <m/>
    <d v="2023-01-15T00:00:00"/>
    <m/>
    <m/>
    <s v=""/>
    <n v="2"/>
    <x v="1"/>
    <x v="1"/>
  </r>
  <r>
    <x v="372"/>
    <s v="David"/>
    <s v="Sullivan"/>
    <n v="40"/>
    <x v="7"/>
    <n v="1984"/>
    <s v="SIXTY THOUSAND"/>
    <x v="2"/>
    <s v="Male"/>
    <s v="finance"/>
    <s v="Finance"/>
    <s v="Assistant"/>
    <d v="2020-02-20T00:00:00"/>
    <d v="2020-02-20T00:00:00"/>
    <s v="B"/>
    <x v="54"/>
    <s v="david.sullivan@saltcorp.com"/>
    <m/>
    <s v="Full-Time"/>
    <s v="Full-Time"/>
    <s v="EMP-2018-0064"/>
    <n v="1"/>
    <s v="N/A"/>
    <m/>
    <m/>
    <m/>
    <s v="YES"/>
    <s v="Yes"/>
    <n v="1"/>
    <x v="1"/>
    <x v="1"/>
  </r>
  <r>
    <x v="373"/>
    <s v="Charlie"/>
    <s v="Harris"/>
    <s v="thirty"/>
    <x v="8"/>
    <n v="1994"/>
    <n v="50000"/>
    <x v="0"/>
    <s v="Male"/>
    <s v="it"/>
    <s v="IT"/>
    <s v="Director"/>
    <d v="2020-01-15T00:00:00"/>
    <d v="2020-01-15T00:00:00"/>
    <s v="C"/>
    <x v="29"/>
    <s v="charlie.harris@saltcorp.com"/>
    <s v="555-555-5555"/>
    <s v="Full-Time"/>
    <s v="Full-Time"/>
    <m/>
    <n v="1"/>
    <n v="2"/>
    <n v="10"/>
    <d v="2021-10-01T00:00:00"/>
    <m/>
    <s v="N"/>
    <s v="No"/>
    <n v="2"/>
    <x v="0"/>
    <x v="0"/>
  </r>
  <r>
    <x v="374"/>
    <s v="Grace"/>
    <s v="Wang"/>
    <n v="25"/>
    <x v="0"/>
    <n v="1999"/>
    <s v=" NAN "/>
    <x v="23"/>
    <s v="Female"/>
    <s v="HR"/>
    <s v="HR"/>
    <s v="Analyst"/>
    <d v="2019-03-25T00:00:00"/>
    <d v="2019-03-25T00:00:00"/>
    <s v="F"/>
    <x v="47"/>
    <s v="grace.wang@saltcorp.com"/>
    <s v=" "/>
    <s v="Full-Time"/>
    <s v="Full-Time"/>
    <m/>
    <n v="5"/>
    <m/>
    <n v="18"/>
    <m/>
    <n v="38"/>
    <s v="YES"/>
    <s v="Yes"/>
    <n v="1"/>
    <x v="1"/>
    <x v="1"/>
  </r>
  <r>
    <x v="375"/>
    <s v="Hannah"/>
    <s v="Hughes"/>
    <n v="40"/>
    <x v="7"/>
    <n v="1984"/>
    <n v="50000"/>
    <x v="0"/>
    <s v="Male"/>
    <s v="HR"/>
    <s v="HR"/>
    <s v="Analyst"/>
    <d v="2020-01-15T00:00:00"/>
    <d v="2020-01-15T00:00:00"/>
    <s v="B"/>
    <x v="45"/>
    <s v="hannah.hughes@saltcorp.com"/>
    <s v="555-555-5555"/>
    <s v="contract"/>
    <s v="Contract"/>
    <m/>
    <n v="4"/>
    <n v="12"/>
    <n v="20"/>
    <m/>
    <m/>
    <s v="no"/>
    <s v="No"/>
    <n v="5"/>
    <x v="0"/>
    <x v="0"/>
  </r>
  <r>
    <x v="376"/>
    <s v="David"/>
    <s v="Murphy"/>
    <s v="thirty"/>
    <x v="8"/>
    <n v="1994"/>
    <n v="70000"/>
    <x v="5"/>
    <s v="Male"/>
    <s v="HR"/>
    <s v="HR"/>
    <s v="Analyst"/>
    <d v="2020-02-20T00:00:00"/>
    <d v="2020-02-20T00:00:00"/>
    <s v="B"/>
    <x v="26"/>
    <s v="david.murphy@saltcorp.com"/>
    <s v="555-555-5555"/>
    <s v="Full-Time"/>
    <s v="Full-Time"/>
    <m/>
    <n v="8"/>
    <m/>
    <m/>
    <m/>
    <m/>
    <s v="no"/>
    <s v="No"/>
    <n v="4"/>
    <x v="1"/>
    <x v="1"/>
  </r>
  <r>
    <x v="377"/>
    <s v="Bob"/>
    <s v="Gomez"/>
    <m/>
    <x v="24"/>
    <n v="1981"/>
    <n v="70000"/>
    <x v="5"/>
    <s v="Female"/>
    <s v="finance"/>
    <s v="Finance"/>
    <s v="Manager"/>
    <d v="2020-02-20T00:00:00"/>
    <d v="2020-02-20T00:00:00"/>
    <s v="D"/>
    <x v="24"/>
    <s v="bob.gomez@saltcorp.com"/>
    <s v="098-765-4321"/>
    <s v="contract"/>
    <s v="Contract"/>
    <m/>
    <n v="4"/>
    <n v="1"/>
    <n v="13"/>
    <m/>
    <m/>
    <s v="no"/>
    <s v="No"/>
    <n v="4"/>
    <x v="0"/>
    <x v="0"/>
  </r>
  <r>
    <x v="378"/>
    <s v="Jack"/>
    <s v="Williamson"/>
    <n v="50"/>
    <x v="10"/>
    <n v="1974"/>
    <n v="55000"/>
    <x v="6"/>
    <s v="Male"/>
    <s v="Marketing"/>
    <s v="Marketing"/>
    <s v="Director"/>
    <d v="2018-04-05T00:00:00"/>
    <d v="2018-04-05T00:00:00"/>
    <s v="B"/>
    <x v="21"/>
    <s v="jack.williamson@saltcorp.com"/>
    <s v="123-456-7890"/>
    <s v="contract"/>
    <s v="Contract"/>
    <m/>
    <n v="6"/>
    <n v="4"/>
    <m/>
    <m/>
    <n v="39"/>
    <s v="YES"/>
    <s v="Yes"/>
    <n v="1"/>
    <x v="1"/>
    <x v="1"/>
  </r>
  <r>
    <x v="379"/>
    <s v="Charlie"/>
    <s v="Weber"/>
    <s v="thirty"/>
    <x v="8"/>
    <n v="1994"/>
    <n v="70000"/>
    <x v="5"/>
    <s v="Male"/>
    <s v="finance"/>
    <s v="Finance"/>
    <s v="Analyst"/>
    <d v="2019-12-01T00:00:00"/>
    <d v="2019-12-01T00:00:00"/>
    <s v="C"/>
    <x v="7"/>
    <s v="charlie.weber@saltcorp.com"/>
    <s v="555-555-5555"/>
    <s v="Full-Time"/>
    <s v="Full-Time"/>
    <m/>
    <n v="4"/>
    <m/>
    <n v="12"/>
    <d v="2024-08-12T00:00:00"/>
    <m/>
    <s v="YES"/>
    <s v="Yes"/>
    <n v="1"/>
    <x v="0"/>
    <x v="0"/>
  </r>
  <r>
    <x v="380"/>
    <s v="Alice"/>
    <s v="Chen"/>
    <n v="35"/>
    <x v="2"/>
    <n v="1989"/>
    <n v="55000"/>
    <x v="6"/>
    <s v="Female"/>
    <s v="Marketing"/>
    <s v="Marketing"/>
    <s v="Assistant"/>
    <d v="2020-02-20T00:00:00"/>
    <d v="2020-02-20T00:00:00"/>
    <s v="C"/>
    <x v="69"/>
    <s v="alice.chen@saltcorp.com"/>
    <m/>
    <s v="Part-Time"/>
    <s v="Part-Time"/>
    <m/>
    <n v="4"/>
    <m/>
    <m/>
    <m/>
    <m/>
    <s v="no"/>
    <s v="No"/>
    <n v="5"/>
    <x v="0"/>
    <x v="0"/>
  </r>
  <r>
    <x v="381"/>
    <s v="Hannah"/>
    <s v="Gray"/>
    <s v="thirty"/>
    <x v="8"/>
    <n v="1994"/>
    <n v="65000"/>
    <x v="1"/>
    <s v="Male"/>
    <s v="it"/>
    <s v="IT"/>
    <s v="Clerk"/>
    <d v="2020-01-15T00:00:00"/>
    <d v="2020-01-15T00:00:00"/>
    <s v="F"/>
    <x v="81"/>
    <s v="hannah.gray@saltcorp.com"/>
    <s v="123-456-7890"/>
    <s v="contract"/>
    <s v="Contract"/>
    <s v="EMP-2018-0099"/>
    <n v="5"/>
    <m/>
    <n v="10"/>
    <d v="2022-06-20T00:00:00"/>
    <n v="67"/>
    <m/>
    <s v=""/>
    <n v="3"/>
    <x v="0"/>
    <x v="0"/>
  </r>
  <r>
    <x v="382"/>
    <s v="Charlie"/>
    <s v="Martin"/>
    <s v="thirty"/>
    <x v="8"/>
    <n v="1994"/>
    <n v="50000"/>
    <x v="0"/>
    <s v="Male"/>
    <s v="sales"/>
    <s v="Sales"/>
    <s v="Clerk"/>
    <d v="2020-01-15T00:00:00"/>
    <d v="2020-01-15T00:00:00"/>
    <s v="F"/>
    <x v="13"/>
    <s v="charlie.martin@saltcorp.com"/>
    <m/>
    <s v="contract"/>
    <s v="Contract"/>
    <m/>
    <n v="8"/>
    <m/>
    <m/>
    <m/>
    <n v="10"/>
    <m/>
    <s v=""/>
    <n v="3"/>
    <x v="0"/>
    <x v="0"/>
  </r>
  <r>
    <x v="383"/>
    <s v="Jack"/>
    <s v="Ward"/>
    <n v="50"/>
    <x v="10"/>
    <n v="1974"/>
    <n v="65000"/>
    <x v="1"/>
    <s v="Male"/>
    <s v="Marketing"/>
    <s v="Marketing"/>
    <s v="Analyst"/>
    <d v="2019-12-01T00:00:00"/>
    <d v="2019-12-01T00:00:00"/>
    <s v="B"/>
    <x v="21"/>
    <s v="jack.ward@saltcorp.com"/>
    <m/>
    <s v="Full-Time"/>
    <s v="Full-Time"/>
    <m/>
    <n v="3"/>
    <s v="N/A"/>
    <m/>
    <m/>
    <n v="33"/>
    <s v="YES"/>
    <s v="Yes"/>
    <n v="5"/>
    <x v="1"/>
    <x v="1"/>
  </r>
  <r>
    <x v="384"/>
    <s v="Grace"/>
    <s v="Garrett"/>
    <n v="35"/>
    <x v="2"/>
    <n v="1989"/>
    <n v="70000"/>
    <x v="5"/>
    <s v="Male"/>
    <s v="HR"/>
    <s v="HR"/>
    <s v="Clerk"/>
    <d v="2019-12-01T00:00:00"/>
    <d v="2019-12-01T00:00:00"/>
    <s v="A"/>
    <x v="52"/>
    <s v="grace.garrett@saltcorp.com"/>
    <s v="123-456-7890"/>
    <s v="Part-Time"/>
    <s v="Part-Time"/>
    <m/>
    <n v="2"/>
    <m/>
    <m/>
    <m/>
    <m/>
    <m/>
    <s v=""/>
    <n v="2"/>
    <x v="0"/>
    <x v="0"/>
  </r>
  <r>
    <x v="385"/>
    <s v="Jack"/>
    <s v="Graham"/>
    <n v="40"/>
    <x v="7"/>
    <n v="1984"/>
    <n v="65000"/>
    <x v="1"/>
    <s v="Male"/>
    <s v="finance"/>
    <s v="Finance"/>
    <s v="Clerk"/>
    <d v="2018-04-05T00:00:00"/>
    <d v="2018-04-05T00:00:00"/>
    <s v="D"/>
    <x v="24"/>
    <s v="jack.graham@saltcorp.com"/>
    <s v="123-456-7890"/>
    <s v="Part-Time"/>
    <s v="Part-Time"/>
    <s v="EMP-2020-0037"/>
    <n v="3"/>
    <m/>
    <m/>
    <m/>
    <n v="37"/>
    <m/>
    <s v=""/>
    <n v="1"/>
    <x v="0"/>
    <x v="0"/>
  </r>
  <r>
    <x v="386"/>
    <s v="Eve"/>
    <s v="Matthews"/>
    <n v="40"/>
    <x v="7"/>
    <n v="1984"/>
    <n v="65000"/>
    <x v="1"/>
    <s v="Male"/>
    <s v="it"/>
    <s v="IT"/>
    <s v="Manager"/>
    <d v="2019-03-25T00:00:00"/>
    <d v="2019-03-25T00:00:00"/>
    <s v="A"/>
    <x v="51"/>
    <s v="eve.matthews@saltcorp.com"/>
    <m/>
    <s v="contract"/>
    <s v="Contract"/>
    <m/>
    <n v="3"/>
    <m/>
    <m/>
    <m/>
    <m/>
    <s v="YES"/>
    <s v="Yes"/>
    <n v="5"/>
    <x v="0"/>
    <x v="0"/>
  </r>
  <r>
    <x v="387"/>
    <s v="Jack"/>
    <s v="McCarthy"/>
    <s v="thirty"/>
    <x v="8"/>
    <n v="1994"/>
    <n v="65000"/>
    <x v="1"/>
    <s v="Female"/>
    <s v="HR"/>
    <s v="HR"/>
    <s v="Assistant"/>
    <d v="2020-01-15T00:00:00"/>
    <d v="2020-01-15T00:00:00"/>
    <s v="B"/>
    <x v="6"/>
    <s v="jack.mccarthy@saltcorp.com"/>
    <s v="098-765-4321"/>
    <s v="Part-Time"/>
    <s v="Part-Time"/>
    <m/>
    <n v="2"/>
    <m/>
    <n v="20"/>
    <m/>
    <m/>
    <s v="YES"/>
    <s v="Yes"/>
    <n v="3"/>
    <x v="0"/>
    <x v="0"/>
  </r>
  <r>
    <x v="388"/>
    <s v="Eve"/>
    <s v="Byrd"/>
    <n v="35"/>
    <x v="2"/>
    <n v="1989"/>
    <n v="70000"/>
    <x v="5"/>
    <s v="Male"/>
    <s v="it"/>
    <s v="IT"/>
    <s v="Assistant"/>
    <d v="2019-12-01T00:00:00"/>
    <d v="2019-12-01T00:00:00"/>
    <s v="B"/>
    <x v="10"/>
    <s v="eve.byrd@saltcorp.com"/>
    <s v=" "/>
    <s v="Full-Time"/>
    <s v="Full-Time"/>
    <m/>
    <n v="7"/>
    <m/>
    <m/>
    <s v="N/A"/>
    <m/>
    <s v="YES"/>
    <s v="Yes"/>
    <n v="2"/>
    <x v="1"/>
    <x v="1"/>
  </r>
  <r>
    <x v="389"/>
    <s v="Grace"/>
    <s v="Yang"/>
    <n v="35"/>
    <x v="2"/>
    <n v="1989"/>
    <s v=" NAN "/>
    <x v="24"/>
    <s v="Female"/>
    <s v="sales"/>
    <s v="Sales"/>
    <s v="Manager"/>
    <d v="2020-01-15T00:00:00"/>
    <d v="2020-01-15T00:00:00"/>
    <s v="A"/>
    <x v="25"/>
    <s v="grace.yang@saltcorp.com"/>
    <s v=" "/>
    <s v="Part-Time"/>
    <s v="Part-Time"/>
    <m/>
    <n v="1"/>
    <n v="1"/>
    <m/>
    <m/>
    <m/>
    <s v="Y"/>
    <s v="Yes"/>
    <n v="4"/>
    <x v="1"/>
    <x v="1"/>
  </r>
  <r>
    <x v="390"/>
    <s v="Ivy"/>
    <s v="Mason"/>
    <n v="50"/>
    <x v="10"/>
    <n v="1974"/>
    <n v="65000"/>
    <x v="1"/>
    <s v="Female"/>
    <s v="finance"/>
    <s v="Finance"/>
    <s v="Manager"/>
    <d v="2019-12-01T00:00:00"/>
    <d v="2019-12-01T00:00:00"/>
    <s v="D"/>
    <x v="43"/>
    <s v="ivy.mason@saltcorp.com"/>
    <s v="098-765-4321"/>
    <s v="contract"/>
    <s v="Contract"/>
    <m/>
    <n v="7"/>
    <m/>
    <m/>
    <m/>
    <n v="65"/>
    <m/>
    <s v=""/>
    <n v="3"/>
    <x v="0"/>
    <x v="0"/>
  </r>
  <r>
    <x v="391"/>
    <s v="Eve"/>
    <s v="Jordan"/>
    <m/>
    <x v="25"/>
    <n v="1998"/>
    <n v="55000"/>
    <x v="6"/>
    <s v="Female"/>
    <s v="finance"/>
    <s v="Finance"/>
    <s v="Clerk"/>
    <d v="2020-02-20T00:00:00"/>
    <d v="2020-02-20T00:00:00"/>
    <s v="A"/>
    <x v="9"/>
    <s v="eve.jordan@saltcorp.com"/>
    <s v="123-456-7890"/>
    <s v="Part-Time"/>
    <s v="Part-Time"/>
    <m/>
    <n v="5"/>
    <m/>
    <m/>
    <m/>
    <n v="9"/>
    <s v="N"/>
    <s v="No"/>
    <n v="3"/>
    <x v="0"/>
    <x v="0"/>
  </r>
  <r>
    <x v="392"/>
    <s v="Alice"/>
    <s v="Young"/>
    <n v="40"/>
    <x v="7"/>
    <n v="1984"/>
    <n v="70000"/>
    <x v="5"/>
    <s v="Female"/>
    <s v="sales"/>
    <s v="Sales"/>
    <s v="Director"/>
    <d v="2020-01-15T00:00:00"/>
    <d v="2020-01-15T00:00:00"/>
    <s v="F"/>
    <x v="19"/>
    <s v="alice.young@saltcorp.com"/>
    <m/>
    <s v="Full-Time"/>
    <s v="Full-Time"/>
    <s v="EMP-2020-0006"/>
    <n v="5"/>
    <n v="9"/>
    <n v="13"/>
    <d v="2022-06-20T00:00:00"/>
    <n v="35"/>
    <s v="Y"/>
    <s v="Yes"/>
    <n v="3"/>
    <x v="1"/>
    <x v="1"/>
  </r>
  <r>
    <x v="393"/>
    <s v="Jack"/>
    <s v="Rogers"/>
    <n v="50"/>
    <x v="10"/>
    <n v="1974"/>
    <n v="65000"/>
    <x v="1"/>
    <s v="Male"/>
    <s v="finance"/>
    <s v="Finance"/>
    <s v="Clerk"/>
    <d v="2020-02-20T00:00:00"/>
    <d v="2020-02-20T00:00:00"/>
    <s v="C"/>
    <x v="69"/>
    <s v="jack.rogers@saltcorp.com"/>
    <s v=" "/>
    <s v="contract"/>
    <s v="Contract"/>
    <m/>
    <n v="3"/>
    <m/>
    <n v="7"/>
    <d v="2023-01-15T00:00:00"/>
    <n v="23"/>
    <s v="YES"/>
    <s v="Yes"/>
    <n v="4"/>
    <x v="1"/>
    <x v="1"/>
  </r>
  <r>
    <x v="394"/>
    <s v="Jack"/>
    <s v="Hoffman"/>
    <n v="25"/>
    <x v="0"/>
    <n v="1999"/>
    <s v=" NAN "/>
    <x v="2"/>
    <s v="Male"/>
    <s v="Marketing"/>
    <s v="Marketing"/>
    <s v="Manager"/>
    <d v="2020-01-15T00:00:00"/>
    <d v="2020-01-15T00:00:00"/>
    <s v="F"/>
    <x v="13"/>
    <s v="jack.hoffman@saltcorp.com"/>
    <m/>
    <s v="contract"/>
    <s v="Contract"/>
    <m/>
    <n v="3"/>
    <m/>
    <m/>
    <m/>
    <m/>
    <m/>
    <s v=""/>
    <n v="1"/>
    <x v="0"/>
    <x v="0"/>
  </r>
  <r>
    <x v="395"/>
    <s v="Alice"/>
    <s v="Lee"/>
    <n v="40"/>
    <x v="7"/>
    <n v="1984"/>
    <n v="70000"/>
    <x v="5"/>
    <s v="Male"/>
    <s v="it"/>
    <s v="IT"/>
    <s v="Assistant"/>
    <d v="2019-03-25T00:00:00"/>
    <d v="2019-03-25T00:00:00"/>
    <s v="C"/>
    <x v="7"/>
    <s v="alice.lee@saltcorp.com"/>
    <s v="098-765-4321"/>
    <s v="Full-Time"/>
    <s v="Full-Time"/>
    <m/>
    <n v="5"/>
    <m/>
    <m/>
    <m/>
    <m/>
    <s v="no"/>
    <s v="No"/>
    <n v="2"/>
    <x v="0"/>
    <x v="0"/>
  </r>
  <r>
    <x v="396"/>
    <s v="Bob"/>
    <s v="Rodriguez"/>
    <n v="50"/>
    <x v="10"/>
    <n v="1974"/>
    <s v="SIXTY THOUSAND"/>
    <x v="2"/>
    <s v="Male"/>
    <s v="HR"/>
    <s v="HR"/>
    <s v="Clerk"/>
    <d v="2018-04-05T00:00:00"/>
    <d v="2018-04-05T00:00:00"/>
    <s v="B"/>
    <x v="26"/>
    <s v="bob.rodriguez@saltcorp.com"/>
    <m/>
    <s v="Full-Time"/>
    <s v="Full-Time"/>
    <m/>
    <n v="1"/>
    <m/>
    <m/>
    <m/>
    <m/>
    <s v="YES"/>
    <s v="Yes"/>
    <n v="2"/>
    <x v="1"/>
    <x v="1"/>
  </r>
  <r>
    <x v="397"/>
    <s v="Frank"/>
    <s v="Aguilar"/>
    <n v="40"/>
    <x v="7"/>
    <n v="1984"/>
    <s v=" NAN "/>
    <x v="25"/>
    <s v="Female"/>
    <s v="sales"/>
    <s v="Sales"/>
    <s v="Director"/>
    <d v="2020-02-20T00:00:00"/>
    <d v="2020-02-20T00:00:00"/>
    <s v="D"/>
    <x v="22"/>
    <s v="frank.aguilar@saltcorp.com"/>
    <s v="098-765-4321"/>
    <s v="Part-Time"/>
    <s v="Part-Time"/>
    <m/>
    <n v="6"/>
    <m/>
    <n v="12"/>
    <d v="2024-08-12T00:00:00"/>
    <m/>
    <s v="no"/>
    <s v="No"/>
    <n v="4"/>
    <x v="0"/>
    <x v="0"/>
  </r>
  <r>
    <x v="398"/>
    <s v="Ivy"/>
    <s v="Desai"/>
    <m/>
    <x v="12"/>
    <n v="1996"/>
    <n v="55000"/>
    <x v="6"/>
    <s v="Female"/>
    <s v="Marketing"/>
    <s v="Marketing"/>
    <s v="Clerk"/>
    <d v="2019-12-01T00:00:00"/>
    <d v="2019-12-01T00:00:00"/>
    <s v="A"/>
    <x v="25"/>
    <s v="ivy.desai@saltcorp.com"/>
    <s v="123-456-7890"/>
    <s v="Full-Time"/>
    <s v="Full-Time"/>
    <m/>
    <n v="8"/>
    <n v="3"/>
    <n v="13"/>
    <m/>
    <m/>
    <s v="YES"/>
    <s v="Yes"/>
    <n v="4"/>
    <x v="0"/>
    <x v="0"/>
  </r>
  <r>
    <x v="399"/>
    <s v="Hannah"/>
    <s v="Olson"/>
    <n v="25"/>
    <x v="0"/>
    <n v="1999"/>
    <n v="65000"/>
    <x v="1"/>
    <s v="Female"/>
    <s v="HR"/>
    <s v="HR"/>
    <s v="Analyst"/>
    <d v="2019-03-25T00:00:00"/>
    <d v="2019-03-25T00:00:00"/>
    <s v="D"/>
    <x v="43"/>
    <s v="hannah.olson@saltcorp.com"/>
    <s v="098-765-4321"/>
    <s v="Part-Time"/>
    <s v="Part-Time"/>
    <s v="EMP-2020-0008"/>
    <n v="3"/>
    <m/>
    <m/>
    <d v="2024-08-12T00:00:00"/>
    <n v="49"/>
    <s v="N"/>
    <s v="No"/>
    <n v="2"/>
    <x v="1"/>
    <x v="1"/>
  </r>
  <r>
    <x v="400"/>
    <s v="Eve"/>
    <s v="Ward"/>
    <m/>
    <x v="16"/>
    <n v="2000"/>
    <s v="SIXTY THOUSAND"/>
    <x v="2"/>
    <s v="Female"/>
    <s v="HR"/>
    <s v="HR"/>
    <s v="Clerk"/>
    <d v="2020-01-15T00:00:00"/>
    <d v="2020-01-15T00:00:00"/>
    <s v="A"/>
    <x v="9"/>
    <s v="eve.ward@saltcorp.com"/>
    <s v="098-765-4321"/>
    <s v="Full-Time"/>
    <s v="Full-Time"/>
    <s v="EMP-2019-0060"/>
    <n v="1"/>
    <m/>
    <m/>
    <d v="2023-01-15T00:00:00"/>
    <n v="55"/>
    <s v="YES"/>
    <s v="Yes"/>
    <n v="5"/>
    <x v="0"/>
    <x v="0"/>
  </r>
  <r>
    <x v="401"/>
    <s v="Alice"/>
    <s v="Matthews"/>
    <n v="25"/>
    <x v="0"/>
    <n v="1999"/>
    <s v="SIXTY THOUSAND"/>
    <x v="2"/>
    <s v="Female"/>
    <s v="sales"/>
    <s v="Sales"/>
    <s v="Manager"/>
    <d v="2020-02-20T00:00:00"/>
    <d v="2020-02-20T00:00:00"/>
    <s v="F"/>
    <x v="82"/>
    <s v="alice.matthews@saltcorp.com"/>
    <s v=" "/>
    <s v="Part-Time"/>
    <s v="Part-Time"/>
    <m/>
    <n v="3"/>
    <m/>
    <m/>
    <m/>
    <n v="42"/>
    <s v="YES"/>
    <s v="Yes"/>
    <n v="4"/>
    <x v="0"/>
    <x v="0"/>
  </r>
  <r>
    <x v="402"/>
    <s v="Grace"/>
    <s v="Huang"/>
    <s v="thirty"/>
    <x v="8"/>
    <n v="1994"/>
    <n v="70000"/>
    <x v="5"/>
    <s v="Female"/>
    <s v="Marketing"/>
    <s v="Marketing"/>
    <s v="Assistant"/>
    <d v="2020-01-15T00:00:00"/>
    <d v="2020-01-15T00:00:00"/>
    <s v="F"/>
    <x v="83"/>
    <s v="grace.huang@saltcorp.com"/>
    <m/>
    <s v="Part-Time"/>
    <s v="Part-Time"/>
    <s v="EMP-2019-0052"/>
    <n v="6"/>
    <m/>
    <n v="12"/>
    <m/>
    <n v="47"/>
    <s v="no"/>
    <s v="No"/>
    <n v="5"/>
    <x v="1"/>
    <x v="1"/>
  </r>
  <r>
    <x v="403"/>
    <s v="Eve"/>
    <s v="Carter"/>
    <n v="50"/>
    <x v="10"/>
    <n v="1974"/>
    <s v="SIXTY THOUSAND"/>
    <x v="2"/>
    <s v="Female"/>
    <s v="HR"/>
    <s v="HR"/>
    <s v="Assistant"/>
    <d v="2020-01-15T00:00:00"/>
    <d v="2020-01-15T00:00:00"/>
    <s v="A"/>
    <x v="52"/>
    <s v="eve.carter@saltcorp.com"/>
    <s v=" "/>
    <s v="Full-Time"/>
    <s v="Full-Time"/>
    <s v="EMP-2020-0072"/>
    <n v="1"/>
    <s v="N/A"/>
    <m/>
    <d v="2021-10-01T00:00:00"/>
    <m/>
    <s v="N"/>
    <s v="No"/>
    <n v="4"/>
    <x v="0"/>
    <x v="0"/>
  </r>
  <r>
    <x v="404"/>
    <s v="Frank"/>
    <s v="Perez"/>
    <n v="25"/>
    <x v="0"/>
    <n v="1999"/>
    <n v="55000"/>
    <x v="6"/>
    <s v="Male"/>
    <s v="HR"/>
    <s v="HR"/>
    <s v="Manager"/>
    <d v="2020-01-15T00:00:00"/>
    <d v="2020-01-15T00:00:00"/>
    <s v="D"/>
    <x v="30"/>
    <s v="frank.perez@saltcorp.com"/>
    <s v="555-555-5555"/>
    <s v="Part-Time"/>
    <s v="Part-Time"/>
    <m/>
    <n v="5"/>
    <m/>
    <m/>
    <m/>
    <m/>
    <s v="Y"/>
    <s v="Yes"/>
    <n v="1"/>
    <x v="0"/>
    <x v="0"/>
  </r>
  <r>
    <x v="405"/>
    <s v="Grace"/>
    <s v="Yang"/>
    <m/>
    <x v="20"/>
    <n v="1993"/>
    <n v="55000"/>
    <x v="6"/>
    <s v="Female"/>
    <s v="Marketing"/>
    <s v="Marketing"/>
    <s v="Analyst"/>
    <d v="2018-04-05T00:00:00"/>
    <d v="2018-04-05T00:00:00"/>
    <s v="A"/>
    <x v="41"/>
    <s v="grace.yang@saltcorp.com"/>
    <s v="098-765-4321"/>
    <s v="Full-Time"/>
    <s v="Full-Time"/>
    <s v="EMP-2018-0013"/>
    <n v="8"/>
    <m/>
    <m/>
    <d v="2023-03-05T00:00:00"/>
    <n v="45"/>
    <s v="no"/>
    <s v="No"/>
    <n v="2"/>
    <x v="1"/>
    <x v="1"/>
  </r>
  <r>
    <x v="406"/>
    <s v="Charlie"/>
    <s v="Oliver"/>
    <n v="40"/>
    <x v="7"/>
    <n v="1984"/>
    <n v="50000"/>
    <x v="0"/>
    <s v="Male"/>
    <s v="finance"/>
    <s v="Finance"/>
    <s v="Manager"/>
    <d v="2018-04-05T00:00:00"/>
    <d v="2018-04-05T00:00:00"/>
    <s v="B"/>
    <x v="45"/>
    <s v="charlie.oliver@saltcorp.com"/>
    <s v="555-555-5555"/>
    <s v="Full-Time"/>
    <s v="Full-Time"/>
    <m/>
    <n v="6"/>
    <s v="N/A"/>
    <n v="9"/>
    <d v="2024-08-12T00:00:00"/>
    <m/>
    <s v="N"/>
    <s v="No"/>
    <n v="3"/>
    <x v="0"/>
    <x v="0"/>
  </r>
  <r>
    <x v="407"/>
    <s v="Jack"/>
    <s v="Bell"/>
    <n v="25"/>
    <x v="0"/>
    <n v="1999"/>
    <n v="55000"/>
    <x v="6"/>
    <s v="Male"/>
    <s v="HR"/>
    <s v="HR"/>
    <s v="Clerk"/>
    <d v="2019-12-01T00:00:00"/>
    <d v="2019-12-01T00:00:00"/>
    <s v="F"/>
    <x v="72"/>
    <s v="jack.bell@saltcorp.com"/>
    <s v=" "/>
    <s v="Part-Time"/>
    <s v="Part-Time"/>
    <m/>
    <n v="2"/>
    <m/>
    <n v="19"/>
    <m/>
    <m/>
    <m/>
    <s v=""/>
    <n v="4"/>
    <x v="0"/>
    <x v="0"/>
  </r>
  <r>
    <x v="408"/>
    <s v="Charlie"/>
    <s v="West"/>
    <n v="50"/>
    <x v="10"/>
    <n v="1974"/>
    <n v="60900"/>
    <x v="15"/>
    <s v="Female"/>
    <s v="it"/>
    <s v="IT"/>
    <s v="Manager"/>
    <d v="2020-02-20T00:00:00"/>
    <d v="2020-02-20T00:00:00"/>
    <s v="B"/>
    <x v="16"/>
    <s v="charlie.west@saltcorp.com"/>
    <m/>
    <s v="Full-Time"/>
    <s v="Full-Time"/>
    <s v="EMP-2018-0098"/>
    <n v="6"/>
    <s v="N/A"/>
    <m/>
    <d v="2024-08-12T00:00:00"/>
    <m/>
    <s v="no"/>
    <s v="No"/>
    <n v="3"/>
    <x v="0"/>
    <x v="0"/>
  </r>
  <r>
    <x v="409"/>
    <s v="Eve"/>
    <s v="Stevens"/>
    <n v="25"/>
    <x v="0"/>
    <n v="1999"/>
    <s v="SIXTY THOUSAND"/>
    <x v="2"/>
    <s v="Female"/>
    <s v="Marketing"/>
    <s v="Marketing"/>
    <s v="Manager"/>
    <d v="2019-03-25T00:00:00"/>
    <d v="2019-03-25T00:00:00"/>
    <s v="F"/>
    <x v="84"/>
    <s v="eve.stevens@saltcorp.com"/>
    <s v=" "/>
    <s v="Part-Time"/>
    <s v="Part-Time"/>
    <m/>
    <n v="4"/>
    <n v="1"/>
    <n v="6"/>
    <d v="2024-08-12T00:00:00"/>
    <n v="9"/>
    <s v="no"/>
    <s v="No"/>
    <n v="5"/>
    <x v="0"/>
    <x v="0"/>
  </r>
  <r>
    <x v="410"/>
    <s v="Frank"/>
    <s v="Hernandez"/>
    <n v="35"/>
    <x v="2"/>
    <n v="1989"/>
    <n v="55000"/>
    <x v="6"/>
    <s v="Male"/>
    <s v="HR"/>
    <s v="HR"/>
    <s v="Analyst"/>
    <d v="2019-03-25T00:00:00"/>
    <d v="2019-03-25T00:00:00"/>
    <s v="F"/>
    <x v="46"/>
    <s v="frank.hernandez@saltcorp.com"/>
    <m/>
    <s v="Full-Time"/>
    <s v="Full-Time"/>
    <m/>
    <n v="3"/>
    <s v="N/A"/>
    <m/>
    <s v="N/A"/>
    <m/>
    <s v="YES"/>
    <s v="Yes"/>
    <n v="5"/>
    <x v="0"/>
    <x v="0"/>
  </r>
  <r>
    <x v="411"/>
    <s v="Ivy"/>
    <s v="Hansen"/>
    <n v="40"/>
    <x v="7"/>
    <n v="1984"/>
    <n v="70000"/>
    <x v="5"/>
    <s v="Female"/>
    <s v="sales"/>
    <s v="Sales"/>
    <s v="Clerk"/>
    <d v="2019-03-25T00:00:00"/>
    <d v="2019-03-25T00:00:00"/>
    <s v="C"/>
    <x v="2"/>
    <s v="ivy.hansen@saltcorp.com"/>
    <m/>
    <s v="contract"/>
    <s v="Contract"/>
    <m/>
    <n v="2"/>
    <m/>
    <n v="15"/>
    <d v="2021-10-01T00:00:00"/>
    <n v="5"/>
    <s v="YES"/>
    <s v="Yes"/>
    <n v="5"/>
    <x v="1"/>
    <x v="1"/>
  </r>
  <r>
    <x v="412"/>
    <s v="Eve"/>
    <s v="Bell"/>
    <n v="50"/>
    <x v="10"/>
    <n v="1974"/>
    <n v="50000"/>
    <x v="0"/>
    <s v="Male"/>
    <s v="it"/>
    <s v="IT"/>
    <s v="Director"/>
    <d v="2020-01-15T00:00:00"/>
    <d v="2020-01-15T00:00:00"/>
    <s v="B"/>
    <x v="45"/>
    <s v="eve.bell@saltcorp.com"/>
    <s v="123-456-7890"/>
    <s v="Full-Time"/>
    <s v="Full-Time"/>
    <m/>
    <n v="3"/>
    <n v="1"/>
    <m/>
    <d v="2024-08-12T00:00:00"/>
    <m/>
    <s v="YES"/>
    <s v="Yes"/>
    <n v="3"/>
    <x v="0"/>
    <x v="0"/>
  </r>
  <r>
    <x v="413"/>
    <s v="Alice"/>
    <s v="Thompson"/>
    <n v="50"/>
    <x v="10"/>
    <n v="1974"/>
    <s v="SIXTY THOUSAND"/>
    <x v="2"/>
    <s v="Female"/>
    <s v="HR"/>
    <s v="HR"/>
    <s v="Director"/>
    <d v="2018-04-05T00:00:00"/>
    <d v="2018-04-05T00:00:00"/>
    <s v="B"/>
    <x v="49"/>
    <s v="alice.thompson@saltcorp.com"/>
    <s v="098-765-4321"/>
    <s v="Part-Time"/>
    <s v="Part-Time"/>
    <m/>
    <n v="7"/>
    <n v="11"/>
    <m/>
    <m/>
    <m/>
    <s v="YES"/>
    <s v="Yes"/>
    <n v="5"/>
    <x v="0"/>
    <x v="0"/>
  </r>
  <r>
    <x v="414"/>
    <s v="David"/>
    <s v="Rogers"/>
    <s v="thirty"/>
    <x v="8"/>
    <n v="1994"/>
    <n v="50000"/>
    <x v="0"/>
    <s v="Female"/>
    <s v="it"/>
    <s v="IT"/>
    <s v="Assistant"/>
    <d v="2020-02-20T00:00:00"/>
    <d v="2020-02-20T00:00:00"/>
    <s v="C"/>
    <x v="7"/>
    <s v="david.rogers@saltcorp.com"/>
    <s v=" "/>
    <s v="Full-Time"/>
    <s v="Full-Time"/>
    <m/>
    <n v="7"/>
    <m/>
    <m/>
    <m/>
    <n v="33"/>
    <m/>
    <s v=""/>
    <n v="3"/>
    <x v="1"/>
    <x v="1"/>
  </r>
  <r>
    <x v="415"/>
    <s v="Eve"/>
    <s v="Evans"/>
    <m/>
    <x v="21"/>
    <n v="1982"/>
    <s v="SIXTY THOUSAND"/>
    <x v="2"/>
    <s v="Male"/>
    <s v="it"/>
    <s v="IT"/>
    <s v="Manager"/>
    <d v="2020-01-15T00:00:00"/>
    <d v="2020-01-15T00:00:00"/>
    <s v="D"/>
    <x v="43"/>
    <s v="eve.evans@saltcorp.com"/>
    <m/>
    <s v="Full-Time"/>
    <s v="Full-Time"/>
    <m/>
    <n v="2"/>
    <m/>
    <n v="15"/>
    <m/>
    <n v="78"/>
    <s v="no"/>
    <s v="No"/>
    <n v="2"/>
    <x v="1"/>
    <x v="1"/>
  </r>
  <r>
    <x v="416"/>
    <s v="Jack"/>
    <s v="Hanson"/>
    <s v="thirty"/>
    <x v="8"/>
    <n v="1994"/>
    <n v="70000"/>
    <x v="5"/>
    <s v="Male"/>
    <s v="finance"/>
    <s v="Finance"/>
    <s v="Assistant"/>
    <d v="2018-04-05T00:00:00"/>
    <d v="2018-04-05T00:00:00"/>
    <s v="B"/>
    <x v="26"/>
    <s v="jack.hanson@saltcorp.com"/>
    <s v=" "/>
    <s v="Part-Time"/>
    <s v="Part-Time"/>
    <m/>
    <n v="6"/>
    <s v="N/A"/>
    <n v="3"/>
    <m/>
    <m/>
    <m/>
    <s v=""/>
    <n v="3"/>
    <x v="0"/>
    <x v="0"/>
  </r>
  <r>
    <x v="417"/>
    <s v="Jack"/>
    <s v="McCarthy"/>
    <n v="50"/>
    <x v="10"/>
    <n v="1974"/>
    <n v="50000"/>
    <x v="0"/>
    <s v="Male"/>
    <s v="it"/>
    <s v="IT"/>
    <s v="Analyst"/>
    <d v="2018-04-05T00:00:00"/>
    <d v="2018-04-05T00:00:00"/>
    <s v="A"/>
    <x v="41"/>
    <s v="jack.mccarthy@saltcorp.com"/>
    <s v=" "/>
    <s v="Part-Time"/>
    <s v="Part-Time"/>
    <m/>
    <n v="4"/>
    <m/>
    <m/>
    <d v="2023-03-05T00:00:00"/>
    <m/>
    <s v="YES"/>
    <s v="Yes"/>
    <n v="4"/>
    <x v="0"/>
    <x v="0"/>
  </r>
  <r>
    <x v="418"/>
    <s v="Eve"/>
    <s v="Bell"/>
    <n v="40"/>
    <x v="7"/>
    <n v="1984"/>
    <n v="65000"/>
    <x v="1"/>
    <s v="Male"/>
    <s v="finance"/>
    <s v="Finance"/>
    <s v="Director"/>
    <d v="2020-02-20T00:00:00"/>
    <d v="2020-02-20T00:00:00"/>
    <s v="C"/>
    <x v="23"/>
    <s v="eve.bell@saltcorp.com"/>
    <m/>
    <s v="Part-Time"/>
    <s v="Part-Time"/>
    <m/>
    <n v="4"/>
    <m/>
    <m/>
    <d v="2021-10-01T00:00:00"/>
    <n v="63"/>
    <m/>
    <s v=""/>
    <n v="2"/>
    <x v="1"/>
    <x v="1"/>
  </r>
  <r>
    <x v="419"/>
    <s v="Grace"/>
    <s v="Harrison"/>
    <n v="25"/>
    <x v="0"/>
    <n v="1999"/>
    <n v="60000"/>
    <x v="2"/>
    <s v="Male"/>
    <s v="Marketing"/>
    <s v="Marketing"/>
    <s v="Manager"/>
    <d v="2020-02-20T00:00:00"/>
    <d v="2020-02-20T00:00:00"/>
    <s v="B"/>
    <x v="26"/>
    <s v="grace.harrison@saltcorp.com"/>
    <s v="555-555-5555"/>
    <s v="Part-Time"/>
    <s v="Part-Time"/>
    <m/>
    <n v="6"/>
    <n v="10"/>
    <m/>
    <d v="2023-01-15T00:00:00"/>
    <m/>
    <s v="no"/>
    <s v="No"/>
    <n v="4"/>
    <x v="0"/>
    <x v="0"/>
  </r>
  <r>
    <x v="420"/>
    <s v="David"/>
    <s v="Walsh"/>
    <n v="25"/>
    <x v="0"/>
    <n v="1999"/>
    <n v="60800"/>
    <x v="19"/>
    <s v="Male"/>
    <s v="finance"/>
    <s v="Finance"/>
    <s v="Analyst"/>
    <d v="2020-02-20T00:00:00"/>
    <d v="2020-02-20T00:00:00"/>
    <s v="D"/>
    <x v="24"/>
    <s v="david.walsh@saltcorp.com"/>
    <s v="098-765-4321"/>
    <s v="Full-Time"/>
    <s v="Full-Time"/>
    <m/>
    <n v="6"/>
    <m/>
    <n v="12"/>
    <m/>
    <m/>
    <s v="N"/>
    <s v="No"/>
    <n v="2"/>
    <x v="1"/>
    <x v="1"/>
  </r>
  <r>
    <x v="421"/>
    <s v="Alice"/>
    <s v="Mason"/>
    <n v="40"/>
    <x v="7"/>
    <n v="1984"/>
    <s v="SIXTY THOUSAND"/>
    <x v="2"/>
    <s v="Female"/>
    <s v="sales"/>
    <s v="Sales"/>
    <s v="Analyst"/>
    <d v="2020-01-15T00:00:00"/>
    <d v="2020-01-15T00:00:00"/>
    <s v="B"/>
    <x v="21"/>
    <s v="alice.mason@saltcorp.com"/>
    <s v="098-765-4321"/>
    <s v="Part-Time"/>
    <s v="Part-Time"/>
    <s v="EMP-2018-0017"/>
    <n v="6"/>
    <m/>
    <n v="7"/>
    <d v="2023-03-05T00:00:00"/>
    <m/>
    <m/>
    <s v=""/>
    <n v="3"/>
    <x v="0"/>
    <x v="0"/>
  </r>
  <r>
    <x v="422"/>
    <s v="Eve"/>
    <s v="Stevens"/>
    <n v="50"/>
    <x v="10"/>
    <n v="1974"/>
    <n v="65000"/>
    <x v="1"/>
    <s v="Male"/>
    <s v="HR"/>
    <s v="HR"/>
    <s v="Manager"/>
    <d v="2019-12-01T00:00:00"/>
    <d v="2019-12-01T00:00:00"/>
    <s v="F"/>
    <x v="40"/>
    <s v="eve.stevens@saltcorp.com"/>
    <s v="123-456-7890"/>
    <s v="Full-Time"/>
    <s v="Full-Time"/>
    <m/>
    <n v="5"/>
    <m/>
    <m/>
    <d v="2023-01-15T00:00:00"/>
    <m/>
    <s v="YES"/>
    <s v="Yes"/>
    <n v="2"/>
    <x v="1"/>
    <x v="1"/>
  </r>
  <r>
    <x v="423"/>
    <s v="Grace"/>
    <s v="Wang"/>
    <n v="25"/>
    <x v="0"/>
    <n v="1999"/>
    <n v="50000"/>
    <x v="0"/>
    <s v="Female"/>
    <s v="Marketing"/>
    <s v="Marketing"/>
    <s v="Analyst"/>
    <d v="2020-02-20T00:00:00"/>
    <d v="2020-02-20T00:00:00"/>
    <s v="A"/>
    <x v="25"/>
    <s v="grace.wang@saltcorp.com"/>
    <s v="123-456-7890"/>
    <s v="Full-Time"/>
    <s v="Full-Time"/>
    <m/>
    <n v="4"/>
    <m/>
    <m/>
    <d v="2024-08-12T00:00:00"/>
    <m/>
    <s v="no"/>
    <s v="No"/>
    <n v="4"/>
    <x v="0"/>
    <x v="0"/>
  </r>
  <r>
    <x v="424"/>
    <s v="Jack"/>
    <s v="McCarthy"/>
    <n v="25"/>
    <x v="0"/>
    <n v="1999"/>
    <n v="65000"/>
    <x v="1"/>
    <s v="Female"/>
    <s v="Marketing"/>
    <s v="Marketing"/>
    <s v="Manager"/>
    <d v="2019-12-01T00:00:00"/>
    <d v="2019-12-01T00:00:00"/>
    <s v="C"/>
    <x v="8"/>
    <s v="jack.mccarthy@saltcorp.com"/>
    <s v="123-456-7890"/>
    <s v="contract"/>
    <s v="Contract"/>
    <s v="EMP-2018-0006"/>
    <n v="8"/>
    <n v="9"/>
    <m/>
    <m/>
    <m/>
    <s v="no"/>
    <s v="No"/>
    <n v="1"/>
    <x v="0"/>
    <x v="0"/>
  </r>
  <r>
    <x v="425"/>
    <s v="Jack"/>
    <s v="O'Connor"/>
    <n v="25"/>
    <x v="0"/>
    <n v="1999"/>
    <n v="65000"/>
    <x v="1"/>
    <s v="Male"/>
    <s v="sales"/>
    <s v="Sales"/>
    <s v="Manager"/>
    <d v="2020-01-15T00:00:00"/>
    <d v="2020-01-15T00:00:00"/>
    <s v="F"/>
    <x v="65"/>
    <s v="jack.o'connor@saltcorp.com"/>
    <s v="098-765-4321"/>
    <s v="Part-Time"/>
    <s v="Part-Time"/>
    <m/>
    <n v="1"/>
    <m/>
    <n v="18"/>
    <s v="N/A"/>
    <m/>
    <s v="YES"/>
    <s v="Yes"/>
    <n v="2"/>
    <x v="0"/>
    <x v="0"/>
  </r>
  <r>
    <x v="426"/>
    <s v="Frank"/>
    <s v="Gonzalez"/>
    <m/>
    <x v="29"/>
    <n v="1990"/>
    <n v="50000"/>
    <x v="0"/>
    <s v="Male"/>
    <s v="finance"/>
    <s v="Finance"/>
    <s v="Clerk"/>
    <d v="2019-12-01T00:00:00"/>
    <d v="2019-12-01T00:00:00"/>
    <s v="D"/>
    <x v="22"/>
    <s v="frank.gonzalez@saltcorp.com"/>
    <s v="555-555-5555"/>
    <s v="Part-Time"/>
    <s v="Part-Time"/>
    <s v="EMP-2020-0066"/>
    <n v="2"/>
    <m/>
    <n v="20"/>
    <s v="N/A"/>
    <n v="31"/>
    <s v="no"/>
    <s v="No"/>
    <n v="2"/>
    <x v="0"/>
    <x v="0"/>
  </r>
  <r>
    <x v="427"/>
    <s v="Eve"/>
    <s v="Vega"/>
    <m/>
    <x v="30"/>
    <n v="1997"/>
    <n v="70000"/>
    <x v="5"/>
    <s v="Female"/>
    <s v="HR"/>
    <s v="HR"/>
    <s v="Assistant"/>
    <d v="2019-03-25T00:00:00"/>
    <d v="2019-03-25T00:00:00"/>
    <s v="F"/>
    <x v="63"/>
    <s v="eve.vega@saltcorp.com"/>
    <s v="098-765-4321"/>
    <s v="Part-Time"/>
    <s v="Part-Time"/>
    <s v="EMP-2020-0041"/>
    <n v="6"/>
    <m/>
    <m/>
    <d v="2022-06-20T00:00:00"/>
    <n v="63"/>
    <s v="N"/>
    <s v="No"/>
    <n v="1"/>
    <x v="1"/>
    <x v="1"/>
  </r>
  <r>
    <x v="428"/>
    <s v="David"/>
    <s v="Cohen"/>
    <n v="35"/>
    <x v="2"/>
    <n v="1989"/>
    <n v="65000"/>
    <x v="1"/>
    <s v="Male"/>
    <s v="finance"/>
    <s v="Finance"/>
    <s v="Analyst"/>
    <d v="2019-12-01T00:00:00"/>
    <d v="2019-12-01T00:00:00"/>
    <s v="F"/>
    <x v="85"/>
    <s v="david.cohen@saltcorp.com"/>
    <s v="098-765-4321"/>
    <s v="contract"/>
    <s v="Contract"/>
    <m/>
    <n v="8"/>
    <m/>
    <m/>
    <m/>
    <m/>
    <s v="YES"/>
    <s v="Yes"/>
    <n v="2"/>
    <x v="1"/>
    <x v="1"/>
  </r>
  <r>
    <x v="429"/>
    <s v="Bob"/>
    <s v="Wallace"/>
    <s v="thirty"/>
    <x v="8"/>
    <n v="1994"/>
    <n v="65000"/>
    <x v="1"/>
    <s v="Male"/>
    <s v="it"/>
    <s v="IT"/>
    <s v="Analyst"/>
    <d v="2020-02-20T00:00:00"/>
    <d v="2020-02-20T00:00:00"/>
    <s v="D"/>
    <x v="30"/>
    <s v="bob.wallace@saltcorp.com"/>
    <s v="098-765-4321"/>
    <s v="contract"/>
    <s v="Contract"/>
    <m/>
    <n v="4"/>
    <m/>
    <m/>
    <m/>
    <m/>
    <s v="no"/>
    <s v="No"/>
    <n v="2"/>
    <x v="0"/>
    <x v="0"/>
  </r>
  <r>
    <x v="430"/>
    <s v="David"/>
    <s v="Le"/>
    <n v="40"/>
    <x v="7"/>
    <n v="1984"/>
    <n v="70000"/>
    <x v="5"/>
    <s v="Female"/>
    <s v="finance"/>
    <s v="Finance"/>
    <s v="Clerk"/>
    <d v="2020-01-15T00:00:00"/>
    <d v="2020-01-15T00:00:00"/>
    <s v="F"/>
    <x v="61"/>
    <s v="david.le@saltcorp.com"/>
    <s v="098-765-4321"/>
    <s v="Part-Time"/>
    <s v="Part-Time"/>
    <m/>
    <n v="4"/>
    <m/>
    <m/>
    <m/>
    <m/>
    <m/>
    <s v=""/>
    <n v="1"/>
    <x v="0"/>
    <x v="0"/>
  </r>
  <r>
    <x v="431"/>
    <s v="Jack"/>
    <s v="Olson"/>
    <n v="40"/>
    <x v="7"/>
    <n v="1984"/>
    <n v="65000"/>
    <x v="1"/>
    <s v="Male"/>
    <s v="Marketing"/>
    <s v="Marketing"/>
    <s v="Clerk"/>
    <d v="2020-02-20T00:00:00"/>
    <d v="2020-02-20T00:00:00"/>
    <s v="C"/>
    <x v="20"/>
    <s v="jack.olson@saltcorp.com"/>
    <s v="555-555-5555"/>
    <s v="contract"/>
    <s v="Contract"/>
    <m/>
    <n v="1"/>
    <m/>
    <m/>
    <d v="2022-06-20T00:00:00"/>
    <m/>
    <s v="no"/>
    <s v="No"/>
    <n v="2"/>
    <x v="1"/>
    <x v="1"/>
  </r>
  <r>
    <x v="432"/>
    <s v="Jack"/>
    <s v="Johnston"/>
    <n v="40"/>
    <x v="7"/>
    <n v="1984"/>
    <n v="65000"/>
    <x v="1"/>
    <s v="Male"/>
    <s v="HR"/>
    <s v="HR"/>
    <s v="Clerk"/>
    <d v="2019-03-25T00:00:00"/>
    <d v="2019-03-25T00:00:00"/>
    <s v="B"/>
    <x v="14"/>
    <s v="jack.johnston@saltcorp.com"/>
    <s v="123-456-7890"/>
    <s v="contract"/>
    <s v="Contract"/>
    <m/>
    <n v="6"/>
    <m/>
    <m/>
    <m/>
    <m/>
    <m/>
    <s v=""/>
    <n v="3"/>
    <x v="0"/>
    <x v="0"/>
  </r>
  <r>
    <x v="433"/>
    <s v="Charlie"/>
    <s v="Lewis"/>
    <n v="35"/>
    <x v="2"/>
    <n v="1989"/>
    <n v="65000"/>
    <x v="1"/>
    <s v="Male"/>
    <s v="finance"/>
    <s v="Finance"/>
    <s v="Director"/>
    <d v="2020-02-20T00:00:00"/>
    <d v="2020-02-20T00:00:00"/>
    <s v="F"/>
    <x v="86"/>
    <s v="charlie.lewis@saltcorp.com"/>
    <s v=" "/>
    <s v="contract"/>
    <s v="Contract"/>
    <m/>
    <n v="7"/>
    <s v="N/A"/>
    <m/>
    <m/>
    <m/>
    <s v="no"/>
    <s v="No"/>
    <n v="3"/>
    <x v="1"/>
    <x v="1"/>
  </r>
  <r>
    <x v="434"/>
    <s v="Jack"/>
    <s v="Wallace"/>
    <m/>
    <x v="5"/>
    <n v="1971"/>
    <n v="60900"/>
    <x v="15"/>
    <s v="Female"/>
    <s v="HR"/>
    <s v="HR"/>
    <s v="Director"/>
    <d v="2020-02-20T00:00:00"/>
    <d v="2020-02-20T00:00:00"/>
    <s v="C"/>
    <x v="31"/>
    <s v="jack.wallace@saltcorp.com"/>
    <s v="123-456-7890"/>
    <s v="Part-Time"/>
    <s v="Part-Time"/>
    <m/>
    <n v="2"/>
    <m/>
    <n v="5"/>
    <m/>
    <n v="75"/>
    <s v="no"/>
    <s v="No"/>
    <n v="3"/>
    <x v="1"/>
    <x v="1"/>
  </r>
  <r>
    <x v="435"/>
    <s v="Alice"/>
    <s v="Knight"/>
    <n v="50"/>
    <x v="10"/>
    <n v="1974"/>
    <n v="55000"/>
    <x v="6"/>
    <s v="Male"/>
    <s v="HR"/>
    <s v="HR"/>
    <s v="Director"/>
    <d v="2020-02-20T00:00:00"/>
    <d v="2020-02-20T00:00:00"/>
    <s v="B"/>
    <x v="45"/>
    <s v="alice.knight@saltcorp.com"/>
    <s v="123-456-7890"/>
    <s v="contract"/>
    <s v="Contract"/>
    <s v="EMP-2020-0074"/>
    <n v="7"/>
    <m/>
    <n v="16"/>
    <m/>
    <n v="32"/>
    <m/>
    <s v=""/>
    <n v="4"/>
    <x v="0"/>
    <x v="0"/>
  </r>
  <r>
    <x v="436"/>
    <s v="Hannah"/>
    <s v="Sims"/>
    <n v="50"/>
    <x v="10"/>
    <n v="1974"/>
    <n v="70000"/>
    <x v="5"/>
    <s v="Female"/>
    <s v="it"/>
    <s v="IT"/>
    <s v="Manager"/>
    <d v="2018-04-05T00:00:00"/>
    <d v="2018-04-05T00:00:00"/>
    <s v="B"/>
    <x v="10"/>
    <s v="hannah.sims@saltcorp.com"/>
    <s v=" "/>
    <s v="Full-Time"/>
    <s v="Full-Time"/>
    <s v="EMP-2020-0062"/>
    <n v="5"/>
    <m/>
    <m/>
    <m/>
    <n v="74"/>
    <m/>
    <s v=""/>
    <n v="4"/>
    <x v="0"/>
    <x v="0"/>
  </r>
  <r>
    <x v="437"/>
    <s v="Eve"/>
    <s v="Medina"/>
    <n v="35"/>
    <x v="2"/>
    <n v="1989"/>
    <n v="65000"/>
    <x v="1"/>
    <s v="Female"/>
    <s v="it"/>
    <s v="IT"/>
    <s v="Analyst"/>
    <d v="2019-03-25T00:00:00"/>
    <d v="2019-03-25T00:00:00"/>
    <s v="F"/>
    <x v="63"/>
    <s v="eve.medina@saltcorp.com"/>
    <s v="098-765-4321"/>
    <s v="Part-Time"/>
    <s v="Part-Time"/>
    <m/>
    <n v="5"/>
    <s v="N/A"/>
    <n v="6"/>
    <m/>
    <m/>
    <s v="YES"/>
    <s v="Yes"/>
    <n v="1"/>
    <x v="1"/>
    <x v="1"/>
  </r>
  <r>
    <x v="438"/>
    <s v="David"/>
    <s v="Andrews"/>
    <n v="50"/>
    <x v="10"/>
    <n v="1974"/>
    <n v="61600"/>
    <x v="16"/>
    <s v="Male"/>
    <s v="Marketing"/>
    <s v="Marketing"/>
    <s v="Assistant"/>
    <d v="2020-02-20T00:00:00"/>
    <d v="2020-02-20T00:00:00"/>
    <s v="C"/>
    <x v="69"/>
    <s v="david.andrews@saltcorp.com"/>
    <s v="555-555-5555"/>
    <s v="contract"/>
    <s v="Contract"/>
    <s v="EMP-2020-0032"/>
    <n v="1"/>
    <m/>
    <m/>
    <d v="2022-06-20T00:00:00"/>
    <n v="25"/>
    <s v="no"/>
    <s v="No"/>
    <n v="1"/>
    <x v="1"/>
    <x v="1"/>
  </r>
  <r>
    <x v="439"/>
    <s v="Hannah"/>
    <s v="Gutierrez"/>
    <n v="40"/>
    <x v="7"/>
    <n v="1984"/>
    <n v="70000"/>
    <x v="5"/>
    <s v="Female"/>
    <s v="sales"/>
    <s v="Sales"/>
    <s v="Manager"/>
    <d v="2020-02-20T00:00:00"/>
    <d v="2020-02-20T00:00:00"/>
    <s v="F"/>
    <x v="87"/>
    <s v="hannah.gutierrez@saltcorp.com"/>
    <s v="555-555-5555"/>
    <s v="contract"/>
    <s v="Contract"/>
    <s v="EMP-2020-0015"/>
    <n v="6"/>
    <m/>
    <m/>
    <m/>
    <m/>
    <s v="no"/>
    <s v="No"/>
    <n v="3"/>
    <x v="0"/>
    <x v="0"/>
  </r>
  <r>
    <x v="440"/>
    <s v="Grace"/>
    <s v="Wallace"/>
    <s v="thirty"/>
    <x v="8"/>
    <n v="1994"/>
    <s v="SIXTY THOUSAND"/>
    <x v="2"/>
    <s v="Male"/>
    <s v="HR"/>
    <s v="HR"/>
    <s v="Analyst"/>
    <d v="2020-02-20T00:00:00"/>
    <d v="2020-02-20T00:00:00"/>
    <s v="D"/>
    <x v="27"/>
    <s v="grace.wallace@saltcorp.com"/>
    <s v="123-456-7890"/>
    <s v="contract"/>
    <s v="Contract"/>
    <s v="EMP-2019-0054"/>
    <n v="8"/>
    <m/>
    <n v="13"/>
    <d v="2022-06-20T00:00:00"/>
    <m/>
    <s v="no"/>
    <s v="No"/>
    <n v="5"/>
    <x v="0"/>
    <x v="0"/>
  </r>
  <r>
    <x v="441"/>
    <s v="Bob"/>
    <s v="Jordan"/>
    <n v="25"/>
    <x v="0"/>
    <n v="1999"/>
    <s v="SIXTY THOUSAND"/>
    <x v="2"/>
    <s v="Male"/>
    <s v="sales"/>
    <s v="Sales"/>
    <s v="Analyst"/>
    <d v="2020-01-15T00:00:00"/>
    <d v="2020-01-15T00:00:00"/>
    <s v="B"/>
    <x v="10"/>
    <s v="bob.jordan@saltcorp.com"/>
    <s v=" "/>
    <s v="Full-Time"/>
    <s v="Full-Time"/>
    <m/>
    <n v="8"/>
    <n v="11"/>
    <m/>
    <m/>
    <m/>
    <s v="YES"/>
    <s v="Yes"/>
    <n v="4"/>
    <x v="0"/>
    <x v="0"/>
  </r>
  <r>
    <x v="442"/>
    <s v="Alice"/>
    <s v="Burns"/>
    <m/>
    <x v="12"/>
    <n v="1996"/>
    <n v="65000"/>
    <x v="1"/>
    <s v="Female"/>
    <s v="Marketing"/>
    <s v="Marketing"/>
    <s v="Clerk"/>
    <d v="2018-04-05T00:00:00"/>
    <d v="2018-04-05T00:00:00"/>
    <s v="F"/>
    <x v="63"/>
    <s v="alice.burns@saltcorp.com"/>
    <m/>
    <s v="contract"/>
    <s v="Contract"/>
    <m/>
    <n v="1"/>
    <n v="3"/>
    <n v="2"/>
    <d v="2023-01-15T00:00:00"/>
    <m/>
    <s v="no"/>
    <s v="No"/>
    <n v="5"/>
    <x v="0"/>
    <x v="0"/>
  </r>
  <r>
    <x v="443"/>
    <s v="David"/>
    <s v="Lucas"/>
    <m/>
    <x v="2"/>
    <n v="1989"/>
    <n v="58800"/>
    <x v="17"/>
    <s v="Male"/>
    <s v="HR"/>
    <s v="HR"/>
    <s v="Clerk"/>
    <d v="2020-01-15T00:00:00"/>
    <d v="2020-01-15T00:00:00"/>
    <s v="B"/>
    <x v="16"/>
    <s v="david.lucas@saltcorp.com"/>
    <s v="098-765-4321"/>
    <s v="Full-Time"/>
    <s v="Full-Time"/>
    <s v="EMP-2018-0067"/>
    <n v="5"/>
    <s v="N/A"/>
    <n v="2"/>
    <m/>
    <m/>
    <s v="YES"/>
    <s v="Yes"/>
    <n v="5"/>
    <x v="0"/>
    <x v="0"/>
  </r>
  <r>
    <x v="444"/>
    <s v="Hannah"/>
    <s v="Long"/>
    <n v="35"/>
    <x v="2"/>
    <n v="1989"/>
    <n v="59000"/>
    <x v="20"/>
    <s v="Female"/>
    <s v="HR"/>
    <s v="HR"/>
    <s v="Manager"/>
    <d v="2018-04-05T00:00:00"/>
    <d v="2018-04-05T00:00:00"/>
    <s v="C"/>
    <x v="20"/>
    <s v="hannah.long@saltcorp.com"/>
    <s v="123-456-7890"/>
    <s v="Full-Time"/>
    <s v="Full-Time"/>
    <m/>
    <n v="4"/>
    <s v="N/A"/>
    <n v="15"/>
    <d v="2023-01-15T00:00:00"/>
    <m/>
    <s v="YES"/>
    <s v="Yes"/>
    <n v="5"/>
    <x v="1"/>
    <x v="1"/>
  </r>
  <r>
    <x v="445"/>
    <s v="Bob"/>
    <s v="Davis"/>
    <m/>
    <x v="25"/>
    <n v="1998"/>
    <n v="70000"/>
    <x v="5"/>
    <s v="Male"/>
    <s v="sales"/>
    <s v="Sales"/>
    <s v="Clerk"/>
    <d v="2020-02-20T00:00:00"/>
    <d v="2020-02-20T00:00:00"/>
    <s v="A"/>
    <x v="11"/>
    <s v="bob.davis@saltcorp.com"/>
    <s v="555-555-5555"/>
    <s v="Full-Time"/>
    <s v="Full-Time"/>
    <m/>
    <n v="6"/>
    <s v="N/A"/>
    <n v="8"/>
    <m/>
    <n v="72"/>
    <s v="YES"/>
    <s v="Yes"/>
    <n v="1"/>
    <x v="0"/>
    <x v="0"/>
  </r>
  <r>
    <x v="446"/>
    <s v="Charlie"/>
    <s v="Garrett"/>
    <n v="40"/>
    <x v="7"/>
    <n v="1984"/>
    <n v="70000"/>
    <x v="5"/>
    <s v="Male"/>
    <s v="finance"/>
    <s v="Finance"/>
    <s v="Analyst"/>
    <d v="2019-03-25T00:00:00"/>
    <d v="2019-03-25T00:00:00"/>
    <s v="F"/>
    <x v="66"/>
    <s v="charlie.garrett@saltcorp.com"/>
    <s v=" "/>
    <s v="Full-Time"/>
    <s v="Full-Time"/>
    <m/>
    <n v="2"/>
    <n v="13"/>
    <n v="0"/>
    <m/>
    <m/>
    <s v="no"/>
    <s v="No"/>
    <n v="1"/>
    <x v="1"/>
    <x v="1"/>
  </r>
  <r>
    <x v="447"/>
    <s v="Alice"/>
    <s v="Gomez"/>
    <n v="50"/>
    <x v="10"/>
    <n v="1974"/>
    <n v="58600"/>
    <x v="8"/>
    <s v="Female"/>
    <s v="it"/>
    <s v="IT"/>
    <s v="Clerk"/>
    <d v="2019-12-01T00:00:00"/>
    <d v="2019-12-01T00:00:00"/>
    <s v="F"/>
    <x v="55"/>
    <s v="alice.gomez@saltcorp.com"/>
    <s v=" "/>
    <s v="Part-Time"/>
    <s v="Part-Time"/>
    <m/>
    <n v="2"/>
    <s v="N/A"/>
    <n v="15"/>
    <m/>
    <m/>
    <s v="no"/>
    <s v="No"/>
    <n v="4"/>
    <x v="0"/>
    <x v="0"/>
  </r>
  <r>
    <x v="448"/>
    <s v="Alice"/>
    <s v="Thompson"/>
    <n v="40"/>
    <x v="7"/>
    <n v="1984"/>
    <n v="70000"/>
    <x v="5"/>
    <s v="Male"/>
    <s v="finance"/>
    <s v="Finance"/>
    <s v="Director"/>
    <d v="2019-12-01T00:00:00"/>
    <d v="2019-12-01T00:00:00"/>
    <s v="B"/>
    <x v="45"/>
    <s v="alice.thompson@saltcorp.com"/>
    <s v="123-456-7890"/>
    <s v="Part-Time"/>
    <s v="Part-Time"/>
    <m/>
    <n v="3"/>
    <n v="1"/>
    <m/>
    <m/>
    <m/>
    <s v="YES"/>
    <s v="Yes"/>
    <n v="2"/>
    <x v="1"/>
    <x v="1"/>
  </r>
  <r>
    <x v="449"/>
    <s v="Charlie"/>
    <s v="Dominguez"/>
    <n v="35"/>
    <x v="2"/>
    <n v="1989"/>
    <n v="63000"/>
    <x v="9"/>
    <s v="Female"/>
    <s v="sales"/>
    <s v="Sales"/>
    <s v="Clerk"/>
    <d v="2020-02-20T00:00:00"/>
    <d v="2020-02-20T00:00:00"/>
    <s v="C"/>
    <x v="69"/>
    <s v="charlie.dominguez@saltcorp.com"/>
    <m/>
    <s v="Full-Time"/>
    <s v="Full-Time"/>
    <m/>
    <n v="1"/>
    <m/>
    <m/>
    <d v="2023-03-05T00:00:00"/>
    <m/>
    <m/>
    <s v=""/>
    <n v="5"/>
    <x v="0"/>
    <x v="0"/>
  </r>
  <r>
    <x v="450"/>
    <s v="Eve"/>
    <s v="Parker"/>
    <n v="40"/>
    <x v="7"/>
    <n v="1984"/>
    <n v="55000"/>
    <x v="6"/>
    <s v="Female"/>
    <s v="it"/>
    <s v="IT"/>
    <s v="Analyst"/>
    <d v="2020-01-15T00:00:00"/>
    <d v="2020-01-15T00:00:00"/>
    <s v="D"/>
    <x v="0"/>
    <s v="eve.parker@saltcorp.com"/>
    <s v="555-555-5555"/>
    <s v="Full-Time"/>
    <s v="Full-Time"/>
    <m/>
    <n v="2"/>
    <m/>
    <m/>
    <d v="2021-10-01T00:00:00"/>
    <m/>
    <s v="no"/>
    <s v="No"/>
    <n v="3"/>
    <x v="1"/>
    <x v="1"/>
  </r>
  <r>
    <x v="451"/>
    <s v="Charlie"/>
    <s v="White"/>
    <n v="50"/>
    <x v="10"/>
    <n v="1974"/>
    <n v="59500"/>
    <x v="3"/>
    <s v="Female"/>
    <s v="finance"/>
    <s v="Finance"/>
    <s v="Manager"/>
    <d v="2019-03-25T00:00:00"/>
    <d v="2019-03-25T00:00:00"/>
    <s v="C"/>
    <x v="7"/>
    <s v="charlie.white@saltcorp.com"/>
    <s v="123-456-7890"/>
    <s v="Part-Time"/>
    <s v="Part-Time"/>
    <m/>
    <n v="4"/>
    <n v="8"/>
    <m/>
    <d v="2021-10-01T00:00:00"/>
    <m/>
    <s v="no"/>
    <s v="No"/>
    <n v="3"/>
    <x v="0"/>
    <x v="0"/>
  </r>
  <r>
    <x v="452"/>
    <s v="Alice"/>
    <s v="Baker"/>
    <s v="thirty"/>
    <x v="8"/>
    <n v="1994"/>
    <s v="SIXTY THOUSAND"/>
    <x v="2"/>
    <s v="Female"/>
    <s v="it"/>
    <s v="IT"/>
    <s v="Assistant"/>
    <d v="2018-04-05T00:00:00"/>
    <d v="2018-04-05T00:00:00"/>
    <s v="F"/>
    <x v="74"/>
    <s v="alice.baker@saltcorp.com"/>
    <m/>
    <s v="Part-Time"/>
    <s v="Part-Time"/>
    <m/>
    <n v="4"/>
    <s v="N/A"/>
    <m/>
    <m/>
    <m/>
    <s v="YES"/>
    <s v="Yes"/>
    <n v="4"/>
    <x v="0"/>
    <x v="0"/>
  </r>
  <r>
    <x v="453"/>
    <s v="Alice"/>
    <s v="Fisher"/>
    <n v="35"/>
    <x v="2"/>
    <n v="1989"/>
    <n v="70000"/>
    <x v="5"/>
    <s v="Female"/>
    <s v="HR"/>
    <s v="HR"/>
    <s v="Clerk"/>
    <d v="2020-02-20T00:00:00"/>
    <d v="2020-02-20T00:00:00"/>
    <s v="D"/>
    <x v="43"/>
    <s v="alice.fisher@saltcorp.com"/>
    <s v=" "/>
    <s v="Part-Time"/>
    <s v="Part-Time"/>
    <s v="EMP-2019-0045"/>
    <n v="7"/>
    <m/>
    <n v="12"/>
    <d v="2023-03-05T00:00:00"/>
    <m/>
    <s v="no"/>
    <s v="No"/>
    <n v="3"/>
    <x v="1"/>
    <x v="1"/>
  </r>
  <r>
    <x v="454"/>
    <s v="Hannah"/>
    <s v="Brooks"/>
    <s v="thirty"/>
    <x v="8"/>
    <n v="1994"/>
    <n v="60800"/>
    <x v="19"/>
    <s v="Female"/>
    <s v="finance"/>
    <s v="Finance"/>
    <s v="Analyst"/>
    <d v="2019-03-25T00:00:00"/>
    <d v="2019-03-25T00:00:00"/>
    <s v="C"/>
    <x v="69"/>
    <s v="hannah.brooks@saltcorp.com"/>
    <s v="098-765-4321"/>
    <s v="contract"/>
    <s v="Contract"/>
    <s v="EMP-2019-0092"/>
    <n v="2"/>
    <m/>
    <m/>
    <m/>
    <m/>
    <s v="no"/>
    <s v="No"/>
    <n v="4"/>
    <x v="0"/>
    <x v="0"/>
  </r>
  <r>
    <x v="455"/>
    <s v="Jack"/>
    <s v="Ryan"/>
    <n v="25"/>
    <x v="0"/>
    <n v="1999"/>
    <n v="59800"/>
    <x v="21"/>
    <s v="Female"/>
    <s v="it"/>
    <s v="IT"/>
    <s v="Assistant"/>
    <d v="2019-03-25T00:00:00"/>
    <d v="2019-03-25T00:00:00"/>
    <s v="A"/>
    <x v="32"/>
    <s v="jack.ryan@saltcorp.com"/>
    <s v="555-555-5555"/>
    <s v="Part-Time"/>
    <s v="Part-Time"/>
    <m/>
    <n v="4"/>
    <m/>
    <m/>
    <d v="2023-03-05T00:00:00"/>
    <m/>
    <s v="no"/>
    <s v="No"/>
    <n v="3"/>
    <x v="0"/>
    <x v="0"/>
  </r>
  <r>
    <x v="456"/>
    <s v="Bob"/>
    <s v="Brown"/>
    <s v="thirty"/>
    <x v="8"/>
    <n v="1994"/>
    <n v="70000"/>
    <x v="5"/>
    <s v="Male"/>
    <s v="it"/>
    <s v="IT"/>
    <s v="Assistant"/>
    <d v="2018-04-05T00:00:00"/>
    <d v="2018-04-05T00:00:00"/>
    <s v="B"/>
    <x v="21"/>
    <s v="bob.brown@saltcorp.com"/>
    <s v="555-555-5555"/>
    <s v="contract"/>
    <s v="Contract"/>
    <m/>
    <n v="7"/>
    <m/>
    <m/>
    <d v="2022-06-20T00:00:00"/>
    <n v="20"/>
    <s v="YES"/>
    <s v="Yes"/>
    <n v="1"/>
    <x v="1"/>
    <x v="1"/>
  </r>
  <r>
    <x v="457"/>
    <s v="Charlie"/>
    <s v="Wallace"/>
    <n v="25"/>
    <x v="0"/>
    <n v="1999"/>
    <n v="55000"/>
    <x v="6"/>
    <s v="Female"/>
    <s v="it"/>
    <s v="IT"/>
    <s v="Director"/>
    <d v="2019-03-25T00:00:00"/>
    <d v="2019-03-25T00:00:00"/>
    <s v="C"/>
    <x v="2"/>
    <s v="charlie.wallace@saltcorp.com"/>
    <m/>
    <s v="Full-Time"/>
    <s v="Full-Time"/>
    <m/>
    <n v="2"/>
    <m/>
    <n v="12"/>
    <d v="2023-03-05T00:00:00"/>
    <m/>
    <m/>
    <s v=""/>
    <n v="2"/>
    <x v="0"/>
    <x v="0"/>
  </r>
  <r>
    <x v="458"/>
    <s v="Bob"/>
    <s v="Garcia"/>
    <n v="25"/>
    <x v="0"/>
    <n v="1999"/>
    <n v="55000"/>
    <x v="6"/>
    <s v="Female"/>
    <s v="finance"/>
    <s v="Finance"/>
    <s v="Assistant"/>
    <d v="2020-01-15T00:00:00"/>
    <d v="2020-01-15T00:00:00"/>
    <s v="C"/>
    <x v="23"/>
    <s v="bob.garcia@saltcorp.com"/>
    <s v="123-456-7890"/>
    <s v="Part-Time"/>
    <s v="Part-Time"/>
    <m/>
    <n v="3"/>
    <n v="0"/>
    <m/>
    <m/>
    <m/>
    <s v="no"/>
    <s v="No"/>
    <n v="4"/>
    <x v="0"/>
    <x v="0"/>
  </r>
  <r>
    <x v="459"/>
    <s v="Charlie"/>
    <s v="Davidson"/>
    <s v="thirty"/>
    <x v="8"/>
    <n v="1994"/>
    <n v="70000"/>
    <x v="5"/>
    <s v="Male"/>
    <s v="Marketing"/>
    <s v="Marketing"/>
    <s v="Analyst"/>
    <d v="2020-01-15T00:00:00"/>
    <d v="2020-01-15T00:00:00"/>
    <s v="A"/>
    <x v="50"/>
    <s v="charlie.davidson@saltcorp.com"/>
    <s v=" "/>
    <s v="contract"/>
    <s v="Contract"/>
    <m/>
    <n v="1"/>
    <n v="3"/>
    <n v="15"/>
    <d v="2024-08-12T00:00:00"/>
    <m/>
    <s v="YES"/>
    <s v="Yes"/>
    <n v="1"/>
    <x v="1"/>
    <x v="1"/>
  </r>
  <r>
    <x v="460"/>
    <s v="Grace"/>
    <s v="Liu"/>
    <n v="35"/>
    <x v="2"/>
    <n v="1989"/>
    <n v="50000"/>
    <x v="0"/>
    <s v="Male"/>
    <s v="finance"/>
    <s v="Finance"/>
    <s v="Analyst"/>
    <d v="2020-01-15T00:00:00"/>
    <d v="2020-01-15T00:00:00"/>
    <s v="F"/>
    <x v="47"/>
    <s v="grace.liu@saltcorp.com"/>
    <m/>
    <s v="contract"/>
    <s v="Contract"/>
    <s v="EMP-2018-0007"/>
    <n v="8"/>
    <m/>
    <m/>
    <m/>
    <m/>
    <m/>
    <s v=""/>
    <n v="5"/>
    <x v="0"/>
    <x v="0"/>
  </r>
  <r>
    <x v="461"/>
    <s v="Alice"/>
    <s v="McCoy"/>
    <n v="50"/>
    <x v="10"/>
    <n v="1974"/>
    <n v="70000"/>
    <x v="5"/>
    <s v="Female"/>
    <s v="sales"/>
    <s v="Sales"/>
    <s v="Clerk"/>
    <d v="2019-03-25T00:00:00"/>
    <d v="2019-03-25T00:00:00"/>
    <s v="B"/>
    <x v="49"/>
    <s v="alice.mccoy@saltcorp.com"/>
    <s v="098-765-4321"/>
    <s v="Part-Time"/>
    <s v="Part-Time"/>
    <s v="EMP-2020-0061"/>
    <n v="6"/>
    <m/>
    <m/>
    <m/>
    <m/>
    <s v="YES"/>
    <s v="Yes"/>
    <n v="5"/>
    <x v="1"/>
    <x v="1"/>
  </r>
  <r>
    <x v="462"/>
    <s v="Jack"/>
    <s v="Armstrong"/>
    <n v="40"/>
    <x v="7"/>
    <n v="1984"/>
    <n v="70000"/>
    <x v="5"/>
    <s v="Male"/>
    <s v="finance"/>
    <s v="Finance"/>
    <s v="Clerk"/>
    <d v="2020-01-15T00:00:00"/>
    <d v="2020-01-15T00:00:00"/>
    <s v="C"/>
    <x v="7"/>
    <s v="jack.armstrong@saltcorp.com"/>
    <s v="098-765-4321"/>
    <s v="Full-Time"/>
    <s v="Full-Time"/>
    <m/>
    <n v="1"/>
    <n v="1"/>
    <n v="19"/>
    <m/>
    <n v="61"/>
    <m/>
    <s v=""/>
    <n v="5"/>
    <x v="0"/>
    <x v="0"/>
  </r>
  <r>
    <x v="463"/>
    <s v="Hannah"/>
    <s v="Perry"/>
    <n v="40"/>
    <x v="7"/>
    <n v="1984"/>
    <n v="55000"/>
    <x v="6"/>
    <s v="Female"/>
    <s v="it"/>
    <s v="IT"/>
    <s v="Clerk"/>
    <d v="2018-04-05T00:00:00"/>
    <d v="2018-04-05T00:00:00"/>
    <s v="D"/>
    <x v="34"/>
    <s v="hannah.perry@saltcorp.com"/>
    <s v="098-765-4321"/>
    <s v="Full-Time"/>
    <s v="Full-Time"/>
    <m/>
    <n v="2"/>
    <m/>
    <m/>
    <d v="2021-10-01T00:00:00"/>
    <n v="65"/>
    <s v="YES"/>
    <s v="Yes"/>
    <n v="4"/>
    <x v="1"/>
    <x v="1"/>
  </r>
  <r>
    <x v="464"/>
    <s v="Jack"/>
    <s v="Walsh"/>
    <n v="50"/>
    <x v="10"/>
    <n v="1974"/>
    <n v="55000"/>
    <x v="6"/>
    <s v="Female"/>
    <s v="HR"/>
    <s v="HR"/>
    <s v="Assistant"/>
    <d v="2019-03-25T00:00:00"/>
    <d v="2019-03-25T00:00:00"/>
    <s v="C"/>
    <x v="31"/>
    <s v="jack.walsh@saltcorp.com"/>
    <m/>
    <s v="Part-Time"/>
    <s v="Part-Time"/>
    <m/>
    <n v="2"/>
    <n v="8"/>
    <n v="3"/>
    <m/>
    <m/>
    <s v="YES"/>
    <s v="Yes"/>
    <n v="3"/>
    <x v="1"/>
    <x v="1"/>
  </r>
  <r>
    <x v="465"/>
    <s v="Jack"/>
    <s v="O'Neill"/>
    <n v="25"/>
    <x v="0"/>
    <n v="1999"/>
    <n v="70000"/>
    <x v="5"/>
    <s v="Male"/>
    <s v="finance"/>
    <s v="Finance"/>
    <s v="Assistant"/>
    <d v="2019-12-01T00:00:00"/>
    <d v="2019-12-01T00:00:00"/>
    <s v="B"/>
    <x v="45"/>
    <s v="jack.o'neill@saltcorp.com"/>
    <s v=" "/>
    <s v="contract"/>
    <s v="Contract"/>
    <m/>
    <n v="1"/>
    <n v="3"/>
    <n v="6"/>
    <m/>
    <m/>
    <m/>
    <s v=""/>
    <n v="1"/>
    <x v="1"/>
    <x v="1"/>
  </r>
  <r>
    <x v="466"/>
    <s v="Jack"/>
    <s v="McCarthy"/>
    <n v="25"/>
    <x v="0"/>
    <n v="1999"/>
    <n v="70000"/>
    <x v="5"/>
    <s v="Female"/>
    <s v="finance"/>
    <s v="Finance"/>
    <s v="Director"/>
    <d v="2019-03-25T00:00:00"/>
    <d v="2019-03-25T00:00:00"/>
    <s v="C"/>
    <x v="44"/>
    <s v="jack.mccarthy@saltcorp.com"/>
    <s v="555-555-5555"/>
    <s v="contract"/>
    <s v="Contract"/>
    <m/>
    <n v="3"/>
    <m/>
    <n v="9"/>
    <m/>
    <n v="28"/>
    <s v="no"/>
    <s v="No"/>
    <n v="3"/>
    <x v="0"/>
    <x v="0"/>
  </r>
  <r>
    <x v="467"/>
    <s v="Bob"/>
    <s v="Pearson"/>
    <n v="35"/>
    <x v="2"/>
    <n v="1989"/>
    <n v="70000"/>
    <x v="5"/>
    <s v="Male"/>
    <s v="it"/>
    <s v="IT"/>
    <s v="Clerk"/>
    <d v="2018-04-05T00:00:00"/>
    <d v="2018-04-05T00:00:00"/>
    <s v="A"/>
    <x v="25"/>
    <s v="bob.pearson@saltcorp.com"/>
    <s v="123-456-7890"/>
    <s v="Part-Time"/>
    <s v="Part-Time"/>
    <s v="EMP-2020-0093"/>
    <n v="5"/>
    <n v="5"/>
    <n v="3"/>
    <m/>
    <m/>
    <s v="no"/>
    <s v="No"/>
    <n v="5"/>
    <x v="1"/>
    <x v="1"/>
  </r>
  <r>
    <x v="468"/>
    <s v="Charlie"/>
    <s v="Gutierrez"/>
    <m/>
    <x v="17"/>
    <n v="1978"/>
    <n v="55000"/>
    <x v="6"/>
    <s v="Male"/>
    <s v="HR"/>
    <s v="HR"/>
    <s v="Manager"/>
    <d v="2019-12-01T00:00:00"/>
    <d v="2019-12-01T00:00:00"/>
    <s v="C"/>
    <x v="69"/>
    <s v="charlie.gutierrez@saltcorp.com"/>
    <s v="555-555-5555"/>
    <s v="Full-Time"/>
    <s v="Full-Time"/>
    <m/>
    <n v="2"/>
    <m/>
    <m/>
    <m/>
    <m/>
    <s v="YES"/>
    <s v="Yes"/>
    <n v="2"/>
    <x v="0"/>
    <x v="0"/>
  </r>
  <r>
    <x v="469"/>
    <s v="Ivy"/>
    <s v="Rogers"/>
    <s v="thirty"/>
    <x v="8"/>
    <n v="1994"/>
    <n v="70000"/>
    <x v="5"/>
    <s v="Female"/>
    <s v="HR"/>
    <s v="HR"/>
    <s v="Director"/>
    <d v="2019-03-25T00:00:00"/>
    <d v="2019-03-25T00:00:00"/>
    <s v="C"/>
    <x v="31"/>
    <s v="ivy.rogers@saltcorp.com"/>
    <s v=" "/>
    <s v="contract"/>
    <s v="Contract"/>
    <m/>
    <n v="4"/>
    <s v="N/A"/>
    <n v="3"/>
    <s v="N/A"/>
    <m/>
    <s v="no"/>
    <s v="No"/>
    <n v="1"/>
    <x v="1"/>
    <x v="1"/>
  </r>
  <r>
    <x v="470"/>
    <s v="Grace"/>
    <s v="Dominguez"/>
    <n v="25"/>
    <x v="0"/>
    <n v="1999"/>
    <n v="70000"/>
    <x v="5"/>
    <s v="Male"/>
    <s v="sales"/>
    <s v="Sales"/>
    <s v="Manager"/>
    <d v="2020-01-15T00:00:00"/>
    <d v="2020-01-15T00:00:00"/>
    <s v="D"/>
    <x v="30"/>
    <s v="grace.dominguez@saltcorp.com"/>
    <s v="555-555-5555"/>
    <s v="Part-Time"/>
    <s v="Part-Time"/>
    <m/>
    <n v="5"/>
    <m/>
    <m/>
    <d v="2023-03-05T00:00:00"/>
    <n v="43"/>
    <s v="no"/>
    <s v="No"/>
    <n v="2"/>
    <x v="1"/>
    <x v="1"/>
  </r>
  <r>
    <x v="471"/>
    <s v="David"/>
    <s v="Cohen"/>
    <n v="40"/>
    <x v="7"/>
    <n v="1984"/>
    <n v="65000"/>
    <x v="1"/>
    <s v="Male"/>
    <s v="finance"/>
    <s v="Finance"/>
    <s v="Assistant"/>
    <d v="2020-02-20T00:00:00"/>
    <d v="2020-02-20T00:00:00"/>
    <s v="A"/>
    <x v="32"/>
    <s v="david.cohen@saltcorp.com"/>
    <m/>
    <s v="Full-Time"/>
    <s v="Full-Time"/>
    <m/>
    <n v="7"/>
    <m/>
    <m/>
    <d v="2024-08-12T00:00:00"/>
    <m/>
    <m/>
    <s v=""/>
    <n v="5"/>
    <x v="0"/>
    <x v="0"/>
  </r>
  <r>
    <x v="472"/>
    <s v="Jack"/>
    <s v="Santos"/>
    <n v="35"/>
    <x v="2"/>
    <n v="1989"/>
    <n v="50000"/>
    <x v="0"/>
    <s v="Male"/>
    <s v="HR"/>
    <s v="HR"/>
    <s v="Director"/>
    <d v="2020-02-20T00:00:00"/>
    <d v="2020-02-20T00:00:00"/>
    <s v="A"/>
    <x v="25"/>
    <s v="jack.santos@saltcorp.com"/>
    <s v="098-765-4321"/>
    <s v="contract"/>
    <s v="Contract"/>
    <s v="EMP-2020-0078"/>
    <n v="7"/>
    <m/>
    <n v="8"/>
    <s v="N/A"/>
    <m/>
    <s v="no"/>
    <s v="No"/>
    <n v="2"/>
    <x v="0"/>
    <x v="0"/>
  </r>
  <r>
    <x v="473"/>
    <s v="Eve"/>
    <s v="Bell"/>
    <s v="thirty"/>
    <x v="8"/>
    <n v="1994"/>
    <s v="SIXTY THOUSAND"/>
    <x v="2"/>
    <s v="Female"/>
    <s v="HR"/>
    <s v="HR"/>
    <s v="Director"/>
    <d v="2020-01-15T00:00:00"/>
    <d v="2020-01-15T00:00:00"/>
    <s v="C"/>
    <x v="8"/>
    <s v="eve.bell@saltcorp.com"/>
    <s v=" "/>
    <s v="Full-Time"/>
    <s v="Full-Time"/>
    <m/>
    <n v="8"/>
    <m/>
    <n v="20"/>
    <m/>
    <m/>
    <s v="YES"/>
    <s v="Yes"/>
    <n v="2"/>
    <x v="0"/>
    <x v="0"/>
  </r>
  <r>
    <x v="474"/>
    <s v="Bob"/>
    <s v="Andrews"/>
    <n v="35"/>
    <x v="2"/>
    <n v="1989"/>
    <n v="50000"/>
    <x v="0"/>
    <s v="Female"/>
    <s v="Marketing"/>
    <s v="Marketing"/>
    <s v="Analyst"/>
    <d v="2020-02-20T00:00:00"/>
    <d v="2020-02-20T00:00:00"/>
    <s v="D"/>
    <x v="0"/>
    <s v="bob.andrews@saltcorp.com"/>
    <s v=" "/>
    <s v="Part-Time"/>
    <s v="Part-Time"/>
    <m/>
    <n v="7"/>
    <n v="10"/>
    <n v="10"/>
    <s v="N/A"/>
    <m/>
    <s v="YES"/>
    <s v="Yes"/>
    <n v="5"/>
    <x v="0"/>
    <x v="0"/>
  </r>
  <r>
    <x v="475"/>
    <s v="Hannah"/>
    <s v="Byrd"/>
    <s v="thirty"/>
    <x v="8"/>
    <n v="1994"/>
    <n v="65000"/>
    <x v="1"/>
    <s v="Male"/>
    <s v="Marketing"/>
    <s v="Marketing"/>
    <s v="Assistant"/>
    <d v="2020-02-20T00:00:00"/>
    <d v="2020-02-20T00:00:00"/>
    <s v="C"/>
    <x v="44"/>
    <s v="hannah.byrd@saltcorp.com"/>
    <s v="555-555-5555"/>
    <s v="contract"/>
    <s v="Contract"/>
    <m/>
    <n v="7"/>
    <m/>
    <n v="12"/>
    <m/>
    <n v="7"/>
    <s v="no"/>
    <s v="No"/>
    <n v="2"/>
    <x v="1"/>
    <x v="1"/>
  </r>
  <r>
    <x v="476"/>
    <s v="David"/>
    <s v="Hudson"/>
    <s v="thirty"/>
    <x v="8"/>
    <n v="1994"/>
    <s v="SIXTY THOUSAND"/>
    <x v="2"/>
    <s v="Male"/>
    <s v="HR"/>
    <s v="HR"/>
    <s v="Assistant"/>
    <d v="2020-01-15T00:00:00"/>
    <d v="2020-01-15T00:00:00"/>
    <s v="C"/>
    <x v="44"/>
    <s v="david.hudson@saltcorp.com"/>
    <m/>
    <s v="contract"/>
    <s v="Contract"/>
    <s v="EMP-2018-0043"/>
    <n v="6"/>
    <m/>
    <m/>
    <m/>
    <m/>
    <s v="YES"/>
    <s v="Yes"/>
    <n v="3"/>
    <x v="0"/>
    <x v="0"/>
  </r>
  <r>
    <x v="477"/>
    <s v="Ivy"/>
    <s v="Wallace"/>
    <n v="50"/>
    <x v="10"/>
    <n v="1974"/>
    <n v="70000"/>
    <x v="5"/>
    <s v="Male"/>
    <s v="sales"/>
    <s v="Sales"/>
    <s v="Director"/>
    <d v="2020-01-15T00:00:00"/>
    <d v="2020-01-15T00:00:00"/>
    <s v="B"/>
    <x v="49"/>
    <s v="ivy.wallace@saltcorp.com"/>
    <s v="555-555-5555"/>
    <s v="Full-Time"/>
    <s v="Full-Time"/>
    <m/>
    <n v="1"/>
    <s v="N/A"/>
    <n v="3"/>
    <m/>
    <m/>
    <s v="YES"/>
    <s v="Yes"/>
    <n v="4"/>
    <x v="0"/>
    <x v="0"/>
  </r>
  <r>
    <x v="478"/>
    <s v="Eve"/>
    <s v="Reed"/>
    <n v="25"/>
    <x v="0"/>
    <n v="1999"/>
    <n v="65000"/>
    <x v="1"/>
    <s v="Male"/>
    <s v="HR"/>
    <s v="HR"/>
    <s v="Assistant"/>
    <d v="2019-03-25T00:00:00"/>
    <d v="2019-03-25T00:00:00"/>
    <s v="B"/>
    <x v="49"/>
    <s v="eve.reed@saltcorp.com"/>
    <s v="555-555-5555"/>
    <s v="Part-Time"/>
    <s v="Part-Time"/>
    <m/>
    <n v="7"/>
    <m/>
    <m/>
    <m/>
    <m/>
    <m/>
    <s v=""/>
    <n v="5"/>
    <x v="0"/>
    <x v="0"/>
  </r>
  <r>
    <x v="479"/>
    <s v="Ivy"/>
    <s v="Kumar"/>
    <n v="35"/>
    <x v="2"/>
    <n v="1989"/>
    <n v="70000"/>
    <x v="5"/>
    <s v="Female"/>
    <s v="it"/>
    <s v="IT"/>
    <s v="Director"/>
    <d v="2019-03-25T00:00:00"/>
    <d v="2019-03-25T00:00:00"/>
    <s v="D"/>
    <x v="34"/>
    <s v="ivy.kumar@saltcorp.com"/>
    <s v=" "/>
    <s v="contract"/>
    <s v="Contract"/>
    <m/>
    <n v="2"/>
    <s v="N/A"/>
    <m/>
    <m/>
    <m/>
    <m/>
    <s v=""/>
    <n v="4"/>
    <x v="1"/>
    <x v="1"/>
  </r>
  <r>
    <x v="480"/>
    <s v="David"/>
    <s v="Ross"/>
    <n v="35"/>
    <x v="2"/>
    <n v="1989"/>
    <n v="55000"/>
    <x v="6"/>
    <s v="Male"/>
    <s v="finance"/>
    <s v="Finance"/>
    <s v="Analyst"/>
    <d v="2020-01-15T00:00:00"/>
    <d v="2020-01-15T00:00:00"/>
    <s v="F"/>
    <x v="88"/>
    <s v="david.ross@saltcorp.com"/>
    <s v="555-555-5555"/>
    <s v="Full-Time"/>
    <s v="Full-Time"/>
    <m/>
    <n v="1"/>
    <m/>
    <n v="10"/>
    <s v="N/A"/>
    <n v="45"/>
    <s v="YES"/>
    <s v="Yes"/>
    <n v="4"/>
    <x v="1"/>
    <x v="1"/>
  </r>
  <r>
    <x v="481"/>
    <s v="Jack"/>
    <s v="O'Connor"/>
    <n v="50"/>
    <x v="10"/>
    <n v="1974"/>
    <n v="63000"/>
    <x v="9"/>
    <s v="Female"/>
    <s v="sales"/>
    <s v="Sales"/>
    <s v="Director"/>
    <d v="2018-04-05T00:00:00"/>
    <d v="2018-04-05T00:00:00"/>
    <s v="B"/>
    <x v="35"/>
    <s v="jack.o'connor@saltcorp.com"/>
    <s v="098-765-4321"/>
    <s v="Full-Time"/>
    <s v="Full-Time"/>
    <m/>
    <n v="2"/>
    <n v="2"/>
    <m/>
    <m/>
    <n v="38"/>
    <s v="YES"/>
    <s v="Yes"/>
    <n v="2"/>
    <x v="0"/>
    <x v="0"/>
  </r>
  <r>
    <x v="482"/>
    <s v="Eve"/>
    <s v="Turner"/>
    <n v="40"/>
    <x v="7"/>
    <n v="1984"/>
    <n v="65000"/>
    <x v="1"/>
    <s v="Male"/>
    <s v="it"/>
    <s v="IT"/>
    <s v="Assistant"/>
    <d v="2020-02-20T00:00:00"/>
    <d v="2020-02-20T00:00:00"/>
    <s v="F"/>
    <x v="85"/>
    <s v="eve.turner@saltcorp.com"/>
    <s v="555-555-5555"/>
    <s v="contract"/>
    <s v="Contract"/>
    <s v="EMP-2020-0042"/>
    <n v="1"/>
    <s v="N/A"/>
    <m/>
    <m/>
    <m/>
    <s v="no"/>
    <s v="No"/>
    <n v="4"/>
    <x v="1"/>
    <x v="1"/>
  </r>
  <r>
    <x v="483"/>
    <s v="Ivy"/>
    <s v="Gupta"/>
    <n v="40"/>
    <x v="7"/>
    <n v="1984"/>
    <n v="55000"/>
    <x v="6"/>
    <s v="Male"/>
    <s v="sales"/>
    <s v="Sales"/>
    <s v="Assistant"/>
    <d v="2019-03-25T00:00:00"/>
    <d v="2019-03-25T00:00:00"/>
    <s v="A"/>
    <x v="41"/>
    <s v="ivy.gupta@saltcorp.com"/>
    <s v="098-765-4321"/>
    <s v="Part-Time"/>
    <s v="Part-Time"/>
    <s v="EMP-2018-0024"/>
    <n v="2"/>
    <m/>
    <m/>
    <d v="2024-08-12T00:00:00"/>
    <n v="39"/>
    <s v="YES"/>
    <s v="Yes"/>
    <n v="4"/>
    <x v="0"/>
    <x v="0"/>
  </r>
  <r>
    <x v="484"/>
    <s v="Hannah"/>
    <s v="Wallace"/>
    <n v="25"/>
    <x v="0"/>
    <n v="1999"/>
    <n v="65000"/>
    <x v="1"/>
    <s v="Female"/>
    <s v="it"/>
    <s v="IT"/>
    <s v="Director"/>
    <d v="2020-02-20T00:00:00"/>
    <d v="2020-02-20T00:00:00"/>
    <s v="B"/>
    <x v="21"/>
    <s v="hannah.wallace@saltcorp.com"/>
    <s v=" "/>
    <s v="Part-Time"/>
    <s v="Part-Time"/>
    <m/>
    <n v="6"/>
    <n v="0"/>
    <m/>
    <m/>
    <n v="9"/>
    <s v="YES"/>
    <s v="Yes"/>
    <n v="1"/>
    <x v="1"/>
    <x v="1"/>
  </r>
  <r>
    <x v="485"/>
    <s v="Charlie"/>
    <s v="Castillo"/>
    <n v="25"/>
    <x v="0"/>
    <n v="1999"/>
    <n v="65000"/>
    <x v="1"/>
    <s v="Male"/>
    <s v="finance"/>
    <s v="Finance"/>
    <s v="Director"/>
    <d v="2019-12-01T00:00:00"/>
    <d v="2019-12-01T00:00:00"/>
    <s v="B"/>
    <x v="21"/>
    <s v="charlie.castillo@saltcorp.com"/>
    <m/>
    <s v="contract"/>
    <s v="Contract"/>
    <m/>
    <n v="2"/>
    <m/>
    <n v="17"/>
    <m/>
    <m/>
    <s v="no"/>
    <s v="No"/>
    <n v="3"/>
    <x v="1"/>
    <x v="1"/>
  </r>
  <r>
    <x v="486"/>
    <s v="Alice"/>
    <s v="Barnett"/>
    <m/>
    <x v="17"/>
    <n v="1978"/>
    <n v="55000"/>
    <x v="6"/>
    <s v="Male"/>
    <s v="finance"/>
    <s v="Finance"/>
    <s v="Director"/>
    <d v="2020-01-15T00:00:00"/>
    <d v="2020-01-15T00:00:00"/>
    <s v="D"/>
    <x v="18"/>
    <s v="alice.barnett@saltcorp.com"/>
    <s v="098-765-4321"/>
    <s v="contract"/>
    <s v="Contract"/>
    <m/>
    <n v="5"/>
    <m/>
    <n v="7"/>
    <m/>
    <n v="30"/>
    <s v="YES"/>
    <s v="Yes"/>
    <n v="1"/>
    <x v="0"/>
    <x v="0"/>
  </r>
  <r>
    <x v="487"/>
    <s v="Charlie"/>
    <s v="Harris"/>
    <n v="50"/>
    <x v="10"/>
    <n v="1974"/>
    <s v="SIXTY THOUSAND"/>
    <x v="2"/>
    <s v="Male"/>
    <s v="Marketing"/>
    <s v="Marketing"/>
    <s v="Clerk"/>
    <d v="2018-04-05T00:00:00"/>
    <d v="2018-04-05T00:00:00"/>
    <s v="F"/>
    <x v="4"/>
    <s v="charlie.harris@saltcorp.com"/>
    <m/>
    <s v="Part-Time"/>
    <s v="Part-Time"/>
    <s v="EMP-2020-0074"/>
    <n v="5"/>
    <m/>
    <m/>
    <s v="N/A"/>
    <n v="39"/>
    <s v="YES"/>
    <s v="Yes"/>
    <n v="1"/>
    <x v="1"/>
    <x v="1"/>
  </r>
  <r>
    <x v="488"/>
    <s v="David"/>
    <s v="Figueroa"/>
    <n v="40"/>
    <x v="7"/>
    <n v="1984"/>
    <n v="50000"/>
    <x v="0"/>
    <s v="Male"/>
    <s v="it"/>
    <s v="IT"/>
    <s v="Assistant"/>
    <d v="2019-12-01T00:00:00"/>
    <d v="2019-12-01T00:00:00"/>
    <s v="B"/>
    <x v="54"/>
    <s v="david.figueroa@saltcorp.com"/>
    <m/>
    <s v="Part-Time"/>
    <s v="Part-Time"/>
    <s v="EMP-2019-0089"/>
    <n v="2"/>
    <s v="N/A"/>
    <m/>
    <d v="2024-08-12T00:00:00"/>
    <n v="59"/>
    <s v="no"/>
    <s v="No"/>
    <n v="2"/>
    <x v="0"/>
    <x v="0"/>
  </r>
  <r>
    <x v="489"/>
    <s v="Bob"/>
    <s v="Sims"/>
    <s v="thirty"/>
    <x v="8"/>
    <n v="1994"/>
    <n v="70000"/>
    <x v="5"/>
    <s v="Male"/>
    <s v="Marketing"/>
    <s v="Marketing"/>
    <s v="Assistant"/>
    <d v="2019-12-01T00:00:00"/>
    <d v="2019-12-01T00:00:00"/>
    <s v="B"/>
    <x v="45"/>
    <s v="bob.sims@saltcorp.com"/>
    <s v="098-765-4321"/>
    <s v="contract"/>
    <s v="Contract"/>
    <m/>
    <n v="5"/>
    <m/>
    <n v="8"/>
    <m/>
    <m/>
    <s v="YES"/>
    <s v="Yes"/>
    <n v="5"/>
    <x v="1"/>
    <x v="1"/>
  </r>
  <r>
    <x v="490"/>
    <s v="Alice"/>
    <s v="Lee"/>
    <n v="35"/>
    <x v="2"/>
    <n v="1989"/>
    <n v="65000"/>
    <x v="1"/>
    <s v="Female"/>
    <s v="it"/>
    <s v="IT"/>
    <s v="Clerk"/>
    <d v="2019-12-01T00:00:00"/>
    <d v="2019-12-01T00:00:00"/>
    <s v="D"/>
    <x v="30"/>
    <s v="alice.lee@saltcorp.com"/>
    <s v=" "/>
    <s v="contract"/>
    <s v="Contract"/>
    <m/>
    <n v="8"/>
    <n v="15"/>
    <m/>
    <d v="2023-03-05T00:00:00"/>
    <m/>
    <s v="YES"/>
    <s v="Yes"/>
    <n v="1"/>
    <x v="0"/>
    <x v="0"/>
  </r>
  <r>
    <x v="491"/>
    <s v="Grace"/>
    <s v="Li"/>
    <n v="25"/>
    <x v="0"/>
    <n v="1999"/>
    <n v="70000"/>
    <x v="5"/>
    <s v="Male"/>
    <s v="Marketing"/>
    <s v="Marketing"/>
    <s v="Director"/>
    <d v="2020-01-15T00:00:00"/>
    <d v="2020-01-15T00:00:00"/>
    <s v="D"/>
    <x v="0"/>
    <s v="grace.li@saltcorp.com"/>
    <s v="123-456-7890"/>
    <s v="Part-Time"/>
    <s v="Part-Time"/>
    <m/>
    <n v="7"/>
    <m/>
    <m/>
    <d v="2023-01-15T00:00:00"/>
    <n v="15"/>
    <s v="no"/>
    <s v="No"/>
    <n v="2"/>
    <x v="0"/>
    <x v="0"/>
  </r>
  <r>
    <x v="492"/>
    <s v="Hannah"/>
    <s v="Bennett"/>
    <n v="35"/>
    <x v="2"/>
    <n v="1989"/>
    <n v="60800"/>
    <x v="19"/>
    <s v="Female"/>
    <s v="finance"/>
    <s v="Finance"/>
    <s v="Analyst"/>
    <d v="2019-03-25T00:00:00"/>
    <d v="2019-03-25T00:00:00"/>
    <s v="F"/>
    <x v="61"/>
    <s v="hannah.bennett@saltcorp.com"/>
    <m/>
    <s v="contract"/>
    <s v="Contract"/>
    <m/>
    <n v="7"/>
    <n v="12"/>
    <n v="6"/>
    <m/>
    <m/>
    <s v="no"/>
    <s v="No"/>
    <n v="1"/>
    <x v="1"/>
    <x v="1"/>
  </r>
  <r>
    <x v="493"/>
    <s v="Grace"/>
    <s v="Lucas"/>
    <n v="35"/>
    <x v="2"/>
    <n v="1989"/>
    <n v="55000"/>
    <x v="6"/>
    <s v="Male"/>
    <s v="sales"/>
    <s v="Sales"/>
    <s v="Director"/>
    <d v="2020-01-15T00:00:00"/>
    <d v="2020-01-15T00:00:00"/>
    <s v="A"/>
    <x v="32"/>
    <s v="grace.lucas@saltcorp.com"/>
    <m/>
    <s v="contract"/>
    <s v="Contract"/>
    <s v="EMP-2020-0029"/>
    <n v="1"/>
    <m/>
    <m/>
    <d v="2021-10-01T00:00:00"/>
    <n v="45"/>
    <s v="no"/>
    <s v="No"/>
    <n v="5"/>
    <x v="0"/>
    <x v="0"/>
  </r>
  <r>
    <x v="494"/>
    <s v="Eve"/>
    <s v="Stevens"/>
    <m/>
    <x v="31"/>
    <n v="1966"/>
    <n v="70000"/>
    <x v="5"/>
    <s v="Female"/>
    <s v="Marketing"/>
    <s v="Marketing"/>
    <s v="Director"/>
    <d v="2019-03-25T00:00:00"/>
    <d v="2019-03-25T00:00:00"/>
    <s v="A"/>
    <x v="25"/>
    <s v="eve.stevens@saltcorp.com"/>
    <s v=" "/>
    <s v="Full-Time"/>
    <s v="Full-Time"/>
    <m/>
    <n v="8"/>
    <n v="10"/>
    <m/>
    <d v="2022-06-20T00:00:00"/>
    <m/>
    <s v="YES"/>
    <s v="Yes"/>
    <n v="1"/>
    <x v="0"/>
    <x v="0"/>
  </r>
  <r>
    <x v="495"/>
    <s v="Alice"/>
    <s v="Thompson"/>
    <n v="40"/>
    <x v="7"/>
    <n v="1984"/>
    <n v="55000"/>
    <x v="6"/>
    <s v="Female"/>
    <s v="it"/>
    <s v="IT"/>
    <s v="Clerk"/>
    <d v="2019-12-01T00:00:00"/>
    <d v="2019-12-01T00:00:00"/>
    <s v="C"/>
    <x v="44"/>
    <s v="alice.thompson@saltcorp.com"/>
    <s v=" "/>
    <s v="contract"/>
    <s v="Contract"/>
    <m/>
    <n v="3"/>
    <m/>
    <m/>
    <m/>
    <m/>
    <s v="YES"/>
    <s v="Yes"/>
    <n v="1"/>
    <x v="1"/>
    <x v="1"/>
  </r>
  <r>
    <x v="496"/>
    <s v="Grace"/>
    <s v="Wu"/>
    <n v="25"/>
    <x v="0"/>
    <n v="1999"/>
    <n v="70000"/>
    <x v="5"/>
    <s v="Female"/>
    <s v="it"/>
    <s v="IT"/>
    <s v="Assistant"/>
    <d v="2019-12-01T00:00:00"/>
    <d v="2019-12-01T00:00:00"/>
    <s v="B"/>
    <x v="14"/>
    <s v="grace.wu@saltcorp.com"/>
    <s v="555-555-5555"/>
    <s v="Part-Time"/>
    <s v="Part-Time"/>
    <m/>
    <n v="4"/>
    <n v="7"/>
    <n v="9"/>
    <m/>
    <n v="35"/>
    <m/>
    <s v=""/>
    <n v="2"/>
    <x v="0"/>
    <x v="0"/>
  </r>
  <r>
    <x v="497"/>
    <s v="Grace"/>
    <s v="Li"/>
    <n v="35"/>
    <x v="2"/>
    <n v="1989"/>
    <n v="50000"/>
    <x v="0"/>
    <s v="Female"/>
    <s v="finance"/>
    <s v="Finance"/>
    <s v="Director"/>
    <d v="2018-04-05T00:00:00"/>
    <d v="2018-04-05T00:00:00"/>
    <s v="F"/>
    <x v="62"/>
    <s v="grace.li@saltcorp.com"/>
    <s v=" "/>
    <s v="Full-Time"/>
    <s v="Full-Time"/>
    <s v="EMP-2020-0028"/>
    <n v="3"/>
    <m/>
    <n v="13"/>
    <d v="2023-01-15T00:00:00"/>
    <n v="6"/>
    <s v="YES"/>
    <s v="Yes"/>
    <n v="1"/>
    <x v="1"/>
    <x v="1"/>
  </r>
  <r>
    <x v="498"/>
    <s v="Ivy"/>
    <s v="Le"/>
    <n v="25"/>
    <x v="0"/>
    <n v="1999"/>
    <n v="50000"/>
    <x v="0"/>
    <s v="Female"/>
    <s v="it"/>
    <s v="IT"/>
    <s v="Assistant"/>
    <d v="2019-03-25T00:00:00"/>
    <d v="2019-03-25T00:00:00"/>
    <s v="B"/>
    <x v="35"/>
    <s v="ivy.le@saltcorp.com"/>
    <m/>
    <s v="contract"/>
    <s v="Contract"/>
    <m/>
    <n v="7"/>
    <m/>
    <m/>
    <m/>
    <n v="63"/>
    <m/>
    <s v=""/>
    <n v="1"/>
    <x v="0"/>
    <x v="0"/>
  </r>
  <r>
    <x v="499"/>
    <s v="Charlie"/>
    <s v="Jackson"/>
    <s v="thirty"/>
    <x v="8"/>
    <n v="1994"/>
    <n v="50000"/>
    <x v="0"/>
    <s v="Female"/>
    <s v="HR"/>
    <s v="HR"/>
    <s v="Manager"/>
    <d v="2019-12-01T00:00:00"/>
    <d v="2019-12-01T00:00:00"/>
    <s v="F"/>
    <x v="61"/>
    <s v="charlie.jackson@saltcorp.com"/>
    <s v="098-765-4321"/>
    <s v="Full-Time"/>
    <s v="Full-Time"/>
    <s v="EMP-2020-0047"/>
    <n v="5"/>
    <n v="12"/>
    <m/>
    <m/>
    <m/>
    <s v="no"/>
    <s v="No"/>
    <n v="4"/>
    <x v="0"/>
    <x v="0"/>
  </r>
  <r>
    <x v="500"/>
    <s v="Ivy"/>
    <s v="Patel"/>
    <m/>
    <x v="32"/>
    <n v="1992"/>
    <n v="50000"/>
    <x v="0"/>
    <s v="Male"/>
    <s v="sales"/>
    <s v="Sales"/>
    <s v="Assistant"/>
    <d v="2020-02-20T00:00:00"/>
    <d v="2020-02-20T00:00:00"/>
    <s v="F"/>
    <x v="61"/>
    <s v="ivy.patel@saltcorp.com"/>
    <s v="123-456-7890"/>
    <s v="Full-Time"/>
    <s v="Full-Time"/>
    <m/>
    <n v="3"/>
    <s v="N/A"/>
    <m/>
    <m/>
    <m/>
    <s v="YES"/>
    <s v="Yes"/>
    <n v="5"/>
    <x v="1"/>
    <x v="1"/>
  </r>
  <r>
    <x v="501"/>
    <s v="Alice"/>
    <s v="Thomas"/>
    <s v="thirty"/>
    <x v="8"/>
    <n v="1994"/>
    <n v="50000"/>
    <x v="0"/>
    <s v="Female"/>
    <s v="Marketing"/>
    <s v="Marketing"/>
    <s v="Analyst"/>
    <d v="2018-04-05T00:00:00"/>
    <d v="2018-04-05T00:00:00"/>
    <s v="F"/>
    <x v="89"/>
    <s v="alice.thomas@saltcorp.com"/>
    <s v="555-555-5555"/>
    <s v="Full-Time"/>
    <s v="Full-Time"/>
    <s v="EMP-2020-0065"/>
    <n v="5"/>
    <m/>
    <n v="17"/>
    <m/>
    <m/>
    <s v="YES"/>
    <s v="Yes"/>
    <n v="2"/>
    <x v="1"/>
    <x v="1"/>
  </r>
  <r>
    <x v="502"/>
    <s v="Alice"/>
    <s v="Rivera"/>
    <n v="25"/>
    <x v="0"/>
    <n v="1999"/>
    <n v="50000"/>
    <x v="0"/>
    <s v="Female"/>
    <s v="sales"/>
    <s v="Sales"/>
    <s v="Analyst"/>
    <d v="2020-01-15T00:00:00"/>
    <d v="2020-01-15T00:00:00"/>
    <s v="B"/>
    <x v="35"/>
    <s v="alice.rivera@saltcorp.com"/>
    <s v="098-765-4321"/>
    <s v="contract"/>
    <s v="Contract"/>
    <m/>
    <n v="6"/>
    <n v="6"/>
    <n v="10"/>
    <m/>
    <n v="5"/>
    <s v="no"/>
    <s v="No"/>
    <n v="4"/>
    <x v="0"/>
    <x v="0"/>
  </r>
  <r>
    <x v="503"/>
    <s v="David"/>
    <s v="Sullivan"/>
    <n v="25"/>
    <x v="0"/>
    <n v="1999"/>
    <n v="55000"/>
    <x v="6"/>
    <s v="Male"/>
    <s v="finance"/>
    <s v="Finance"/>
    <s v="Director"/>
    <d v="2018-04-05T00:00:00"/>
    <d v="2018-04-05T00:00:00"/>
    <s v="D"/>
    <x v="24"/>
    <s v="david.sullivan@saltcorp.com"/>
    <s v="123-456-7890"/>
    <s v="Full-Time"/>
    <s v="Full-Time"/>
    <m/>
    <n v="1"/>
    <m/>
    <m/>
    <d v="2023-01-15T00:00:00"/>
    <m/>
    <s v="no"/>
    <s v="No"/>
    <n v="1"/>
    <x v="1"/>
    <x v="1"/>
  </r>
  <r>
    <x v="504"/>
    <s v="Ivy"/>
    <s v="Schmidt"/>
    <n v="40"/>
    <x v="7"/>
    <n v="1984"/>
    <n v="65000"/>
    <x v="1"/>
    <s v="Male"/>
    <s v="Marketing"/>
    <s v="Marketing"/>
    <s v="Assistant"/>
    <d v="2020-02-20T00:00:00"/>
    <d v="2020-02-20T00:00:00"/>
    <s v="B"/>
    <x v="16"/>
    <s v="ivy.schmidt@saltcorp.com"/>
    <s v="123-456-7890"/>
    <s v="Full-Time"/>
    <s v="Full-Time"/>
    <m/>
    <n v="3"/>
    <s v="N/A"/>
    <m/>
    <m/>
    <n v="15"/>
    <s v="YES"/>
    <s v="Yes"/>
    <n v="3"/>
    <x v="0"/>
    <x v="0"/>
  </r>
  <r>
    <x v="505"/>
    <s v="Frank"/>
    <s v="Gibson"/>
    <n v="35"/>
    <x v="2"/>
    <n v="1989"/>
    <n v="70000"/>
    <x v="5"/>
    <s v="Female"/>
    <s v="Marketing"/>
    <s v="Marketing"/>
    <s v="Director"/>
    <d v="2019-03-25T00:00:00"/>
    <d v="2019-03-25T00:00:00"/>
    <s v="F"/>
    <x v="12"/>
    <s v="frank.gibson@saltcorp.com"/>
    <s v="123-456-7890"/>
    <s v="contract"/>
    <s v="Contract"/>
    <m/>
    <n v="2"/>
    <s v="N/A"/>
    <m/>
    <d v="2021-10-01T00:00:00"/>
    <n v="29"/>
    <s v="YES"/>
    <s v="Yes"/>
    <n v="4"/>
    <x v="0"/>
    <x v="0"/>
  </r>
  <r>
    <x v="506"/>
    <s v="Charlie"/>
    <s v="Harris"/>
    <n v="35"/>
    <x v="2"/>
    <n v="1989"/>
    <n v="50000"/>
    <x v="0"/>
    <s v="Male"/>
    <s v="HR"/>
    <s v="HR"/>
    <s v="Clerk"/>
    <d v="2020-01-15T00:00:00"/>
    <d v="2020-01-15T00:00:00"/>
    <s v="C"/>
    <x v="69"/>
    <s v="charlie.harris@saltcorp.com"/>
    <s v="098-765-4321"/>
    <s v="Full-Time"/>
    <s v="Full-Time"/>
    <m/>
    <n v="1"/>
    <n v="14"/>
    <m/>
    <m/>
    <m/>
    <s v="no"/>
    <s v="No"/>
    <n v="1"/>
    <x v="1"/>
    <x v="1"/>
  </r>
  <r>
    <x v="507"/>
    <s v="Alice"/>
    <s v="Campos"/>
    <s v="thirty"/>
    <x v="8"/>
    <n v="1994"/>
    <n v="55000"/>
    <x v="6"/>
    <s v="Male"/>
    <s v="finance"/>
    <s v="Finance"/>
    <s v="Analyst"/>
    <d v="2020-01-15T00:00:00"/>
    <d v="2020-01-15T00:00:00"/>
    <s v="A"/>
    <x v="41"/>
    <s v="alice.campos@saltcorp.com"/>
    <s v="555-555-5555"/>
    <s v="Full-Time"/>
    <s v="Full-Time"/>
    <m/>
    <n v="1"/>
    <m/>
    <n v="6"/>
    <d v="2023-03-05T00:00:00"/>
    <m/>
    <s v="YES"/>
    <s v="Yes"/>
    <n v="2"/>
    <x v="1"/>
    <x v="1"/>
  </r>
  <r>
    <x v="508"/>
    <s v="David"/>
    <s v="O'Brien"/>
    <m/>
    <x v="22"/>
    <n v="1970"/>
    <n v="55000"/>
    <x v="6"/>
    <s v="Male"/>
    <s v="it"/>
    <s v="IT"/>
    <s v="Director"/>
    <d v="2019-03-25T00:00:00"/>
    <d v="2019-03-25T00:00:00"/>
    <s v="F"/>
    <x v="61"/>
    <s v="david.o'brien@saltcorp.com"/>
    <s v="555-555-5555"/>
    <s v="contract"/>
    <s v="Contract"/>
    <s v="EMP-2019-0093"/>
    <n v="7"/>
    <m/>
    <m/>
    <d v="2021-10-01T00:00:00"/>
    <m/>
    <s v="no"/>
    <s v="No"/>
    <n v="3"/>
    <x v="0"/>
    <x v="0"/>
  </r>
  <r>
    <x v="509"/>
    <s v="Ivy"/>
    <s v="Vega"/>
    <n v="50"/>
    <x v="10"/>
    <n v="1974"/>
    <n v="55000"/>
    <x v="6"/>
    <s v="Female"/>
    <s v="HR"/>
    <s v="HR"/>
    <s v="Clerk"/>
    <d v="2018-04-05T00:00:00"/>
    <d v="2018-04-05T00:00:00"/>
    <s v="C"/>
    <x v="2"/>
    <s v="ivy.vega@saltcorp.com"/>
    <s v="123-456-7890"/>
    <s v="Full-Time"/>
    <s v="Full-Time"/>
    <s v="EMP-2018-0096"/>
    <n v="2"/>
    <m/>
    <n v="13"/>
    <m/>
    <m/>
    <s v="YES"/>
    <s v="Yes"/>
    <n v="3"/>
    <x v="0"/>
    <x v="0"/>
  </r>
  <r>
    <x v="510"/>
    <s v="Charlie"/>
    <s v="Rivera"/>
    <n v="35"/>
    <x v="2"/>
    <n v="1989"/>
    <n v="65000"/>
    <x v="1"/>
    <s v="Male"/>
    <s v="HR"/>
    <s v="HR"/>
    <s v="Director"/>
    <d v="2019-12-01T00:00:00"/>
    <d v="2019-12-01T00:00:00"/>
    <s v="D"/>
    <x v="24"/>
    <s v="charlie.rivera@saltcorp.com"/>
    <s v="098-765-4321"/>
    <s v="Part-Time"/>
    <s v="Part-Time"/>
    <m/>
    <n v="5"/>
    <m/>
    <n v="15"/>
    <d v="2023-03-05T00:00:00"/>
    <m/>
    <m/>
    <s v=""/>
    <n v="1"/>
    <x v="1"/>
    <x v="1"/>
  </r>
  <r>
    <x v="511"/>
    <s v="Ivy"/>
    <s v="Singh"/>
    <n v="40"/>
    <x v="7"/>
    <n v="1984"/>
    <n v="70000"/>
    <x v="5"/>
    <s v="Male"/>
    <s v="sales"/>
    <s v="Sales"/>
    <s v="Assistant"/>
    <d v="2018-04-05T00:00:00"/>
    <d v="2018-04-05T00:00:00"/>
    <s v="F"/>
    <x v="88"/>
    <s v="ivy.singh@saltcorp.com"/>
    <s v="123-456-7890"/>
    <s v="contract"/>
    <s v="Contract"/>
    <s v="EMP-2020-0008"/>
    <n v="4"/>
    <m/>
    <m/>
    <d v="2023-03-05T00:00:00"/>
    <m/>
    <s v="no"/>
    <s v="No"/>
    <n v="5"/>
    <x v="0"/>
    <x v="0"/>
  </r>
  <r>
    <x v="512"/>
    <s v="Grace"/>
    <s v="Wang"/>
    <s v="thirty"/>
    <x v="8"/>
    <n v="1994"/>
    <n v="65000"/>
    <x v="1"/>
    <s v="Female"/>
    <s v="sales"/>
    <s v="Sales"/>
    <s v="Assistant"/>
    <d v="2020-02-20T00:00:00"/>
    <d v="2020-02-20T00:00:00"/>
    <s v="C"/>
    <x v="7"/>
    <s v="grace.wang@saltcorp.com"/>
    <s v=" "/>
    <s v="contract"/>
    <s v="Contract"/>
    <m/>
    <n v="6"/>
    <m/>
    <n v="20"/>
    <m/>
    <m/>
    <s v="YES"/>
    <s v="Yes"/>
    <n v="5"/>
    <x v="0"/>
    <x v="0"/>
  </r>
  <r>
    <x v="513"/>
    <s v="David"/>
    <s v="Hoffman"/>
    <s v="thirty"/>
    <x v="8"/>
    <n v="1994"/>
    <s v="SIXTY THOUSAND"/>
    <x v="2"/>
    <s v="Male"/>
    <s v="sales"/>
    <s v="Sales"/>
    <s v="Assistant"/>
    <d v="2019-12-01T00:00:00"/>
    <d v="2019-12-01T00:00:00"/>
    <s v="F"/>
    <x v="90"/>
    <s v="david.hoffman@saltcorp.com"/>
    <s v="555-555-5555"/>
    <s v="Part-Time"/>
    <s v="Part-Time"/>
    <s v="EMP-2019-0053"/>
    <n v="4"/>
    <n v="2"/>
    <n v="7"/>
    <d v="2023-01-15T00:00:00"/>
    <m/>
    <s v="YES"/>
    <s v="Yes"/>
    <n v="1"/>
    <x v="0"/>
    <x v="0"/>
  </r>
  <r>
    <x v="514"/>
    <s v="Charlie"/>
    <s v="Taylor"/>
    <n v="50"/>
    <x v="10"/>
    <n v="1974"/>
    <n v="55000"/>
    <x v="6"/>
    <s v="Male"/>
    <s v="HR"/>
    <s v="HR"/>
    <s v="Assistant"/>
    <d v="2018-04-05T00:00:00"/>
    <d v="2018-04-05T00:00:00"/>
    <s v="B"/>
    <x v="26"/>
    <s v="charlie.taylor@saltcorp.com"/>
    <m/>
    <s v="contract"/>
    <s v="Contract"/>
    <m/>
    <n v="7"/>
    <m/>
    <n v="5"/>
    <m/>
    <m/>
    <s v="YES"/>
    <s v="Yes"/>
    <n v="5"/>
    <x v="1"/>
    <x v="1"/>
  </r>
  <r>
    <x v="515"/>
    <s v="Jack"/>
    <s v="Murphy"/>
    <n v="40"/>
    <x v="7"/>
    <n v="1984"/>
    <s v="SIXTY THOUSAND"/>
    <x v="2"/>
    <s v="Male"/>
    <s v="it"/>
    <s v="IT"/>
    <s v="Manager"/>
    <d v="2019-03-25T00:00:00"/>
    <d v="2019-03-25T00:00:00"/>
    <s v="C"/>
    <x v="44"/>
    <s v="jack.murphy@saltcorp.com"/>
    <s v="123-456-7890"/>
    <s v="Full-Time"/>
    <s v="Full-Time"/>
    <m/>
    <n v="3"/>
    <s v="N/A"/>
    <m/>
    <m/>
    <m/>
    <s v="YES"/>
    <s v="Yes"/>
    <n v="4"/>
    <x v="1"/>
    <x v="1"/>
  </r>
  <r>
    <x v="516"/>
    <s v="Eve"/>
    <s v="Armstrong"/>
    <m/>
    <x v="0"/>
    <n v="1999"/>
    <n v="58600"/>
    <x v="8"/>
    <s v="Female"/>
    <s v="Marketing"/>
    <s v="Marketing"/>
    <s v="Clerk"/>
    <d v="2020-02-20T00:00:00"/>
    <d v="2020-02-20T00:00:00"/>
    <s v="B"/>
    <x v="45"/>
    <s v="eve.armstrong@saltcorp.com"/>
    <s v=" "/>
    <s v="Part-Time"/>
    <s v="Part-Time"/>
    <m/>
    <n v="3"/>
    <m/>
    <m/>
    <m/>
    <n v="42"/>
    <m/>
    <s v=""/>
    <n v="5"/>
    <x v="0"/>
    <x v="0"/>
  </r>
  <r>
    <x v="517"/>
    <s v="Eve"/>
    <s v="Garrett"/>
    <n v="40"/>
    <x v="7"/>
    <n v="1984"/>
    <n v="50000"/>
    <x v="0"/>
    <s v="Female"/>
    <s v="sales"/>
    <s v="Sales"/>
    <s v="Clerk"/>
    <d v="2020-02-20T00:00:00"/>
    <d v="2020-02-20T00:00:00"/>
    <s v="B"/>
    <x v="21"/>
    <s v="eve.garrett@saltcorp.com"/>
    <s v="555-555-5555"/>
    <s v="contract"/>
    <s v="Contract"/>
    <m/>
    <n v="3"/>
    <m/>
    <n v="14"/>
    <d v="2024-08-12T00:00:00"/>
    <n v="32"/>
    <s v="YES"/>
    <s v="Yes"/>
    <n v="4"/>
    <x v="0"/>
    <x v="0"/>
  </r>
  <r>
    <x v="518"/>
    <s v="Charlie"/>
    <s v="Moore"/>
    <m/>
    <x v="25"/>
    <n v="1998"/>
    <n v="50000"/>
    <x v="0"/>
    <s v="Male"/>
    <s v="it"/>
    <s v="IT"/>
    <s v="Assistant"/>
    <d v="2020-02-20T00:00:00"/>
    <d v="2020-02-20T00:00:00"/>
    <s v="C"/>
    <x v="23"/>
    <s v="charlie.moore@saltcorp.com"/>
    <s v="098-765-4321"/>
    <s v="Full-Time"/>
    <s v="Full-Time"/>
    <s v="EMP-2019-0016"/>
    <n v="4"/>
    <m/>
    <m/>
    <d v="2023-03-05T00:00:00"/>
    <n v="49"/>
    <s v="no"/>
    <s v="No"/>
    <n v="2"/>
    <x v="0"/>
    <x v="0"/>
  </r>
  <r>
    <x v="519"/>
    <s v="Ivy"/>
    <s v="Matthews"/>
    <n v="40"/>
    <x v="7"/>
    <n v="1984"/>
    <n v="65000"/>
    <x v="1"/>
    <s v="Female"/>
    <s v="finance"/>
    <s v="Finance"/>
    <s v="Manager"/>
    <d v="2019-12-01T00:00:00"/>
    <d v="2019-12-01T00:00:00"/>
    <s v="A"/>
    <x v="32"/>
    <s v="ivy.matthews@saltcorp.com"/>
    <s v="555-555-5555"/>
    <s v="Part-Time"/>
    <s v="Part-Time"/>
    <m/>
    <n v="5"/>
    <n v="7"/>
    <n v="3"/>
    <m/>
    <m/>
    <s v="no"/>
    <s v="No"/>
    <n v="1"/>
    <x v="1"/>
    <x v="1"/>
  </r>
  <r>
    <x v="520"/>
    <s v="David"/>
    <s v="Cohen"/>
    <n v="40"/>
    <x v="7"/>
    <n v="1984"/>
    <n v="70000"/>
    <x v="5"/>
    <s v="Male"/>
    <s v="sales"/>
    <s v="Sales"/>
    <s v="Assistant"/>
    <d v="2020-01-15T00:00:00"/>
    <d v="2020-01-15T00:00:00"/>
    <s v="C"/>
    <x v="31"/>
    <s v="david.cohen@saltcorp.com"/>
    <s v="098-765-4321"/>
    <s v="Full-Time"/>
    <s v="Full-Time"/>
    <s v="EMP-2018-0094"/>
    <n v="4"/>
    <n v="5"/>
    <n v="16"/>
    <m/>
    <m/>
    <s v="no"/>
    <s v="No"/>
    <n v="3"/>
    <x v="0"/>
    <x v="0"/>
  </r>
  <r>
    <x v="521"/>
    <s v="Eve"/>
    <s v="Parker"/>
    <n v="25"/>
    <x v="0"/>
    <n v="1999"/>
    <s v="SIXTY THOUSAND"/>
    <x v="2"/>
    <s v="Male"/>
    <s v="Marketing"/>
    <s v="Marketing"/>
    <s v="Manager"/>
    <d v="2019-12-01T00:00:00"/>
    <d v="2019-12-01T00:00:00"/>
    <s v="A"/>
    <x v="70"/>
    <s v="eve.parker@saltcorp.com"/>
    <s v="098-765-4321"/>
    <s v="Full-Time"/>
    <s v="Full-Time"/>
    <m/>
    <n v="2"/>
    <m/>
    <m/>
    <d v="2022-06-20T00:00:00"/>
    <n v="25"/>
    <s v="YES"/>
    <s v="Yes"/>
    <n v="5"/>
    <x v="0"/>
    <x v="0"/>
  </r>
  <r>
    <x v="522"/>
    <s v="David"/>
    <s v="Walsh"/>
    <s v="thirty"/>
    <x v="8"/>
    <n v="1994"/>
    <n v="70000"/>
    <x v="5"/>
    <s v="Male"/>
    <s v="finance"/>
    <s v="Finance"/>
    <s v="Assistant"/>
    <d v="2018-04-05T00:00:00"/>
    <d v="2018-04-05T00:00:00"/>
    <s v="F"/>
    <x v="71"/>
    <s v="david.walsh@saltcorp.com"/>
    <s v="123-456-7890"/>
    <s v="Full-Time"/>
    <s v="Full-Time"/>
    <m/>
    <n v="3"/>
    <m/>
    <m/>
    <m/>
    <n v="12"/>
    <s v="no"/>
    <s v="No"/>
    <n v="3"/>
    <x v="1"/>
    <x v="1"/>
  </r>
  <r>
    <x v="523"/>
    <s v="Eve"/>
    <s v="Hansen"/>
    <n v="40"/>
    <x v="7"/>
    <n v="1984"/>
    <n v="65000"/>
    <x v="1"/>
    <s v="Female"/>
    <s v="finance"/>
    <s v="Finance"/>
    <s v="Analyst"/>
    <d v="2020-01-15T00:00:00"/>
    <d v="2020-01-15T00:00:00"/>
    <s v="F"/>
    <x v="80"/>
    <s v="eve.hansen@saltcorp.com"/>
    <s v="123-456-7890"/>
    <s v="contract"/>
    <s v="Contract"/>
    <m/>
    <n v="1"/>
    <s v="N/A"/>
    <m/>
    <m/>
    <n v="62"/>
    <s v="no"/>
    <s v="No"/>
    <n v="2"/>
    <x v="0"/>
    <x v="0"/>
  </r>
  <r>
    <x v="524"/>
    <s v="Grace"/>
    <s v="Davidson"/>
    <n v="50"/>
    <x v="10"/>
    <n v="1974"/>
    <n v="50000"/>
    <x v="0"/>
    <s v="Female"/>
    <s v="Marketing"/>
    <s v="Marketing"/>
    <s v="Analyst"/>
    <d v="2018-04-05T00:00:00"/>
    <d v="2018-04-05T00:00:00"/>
    <s v="C"/>
    <x v="44"/>
    <s v="grace.davidson@saltcorp.com"/>
    <s v="555-555-5555"/>
    <s v="Part-Time"/>
    <s v="Part-Time"/>
    <m/>
    <n v="8"/>
    <m/>
    <n v="3"/>
    <d v="2024-08-12T00:00:00"/>
    <m/>
    <s v="YES"/>
    <s v="Yes"/>
    <n v="1"/>
    <x v="1"/>
    <x v="1"/>
  </r>
  <r>
    <x v="525"/>
    <s v="Ivy"/>
    <s v="Hudson"/>
    <n v="40"/>
    <x v="7"/>
    <n v="1984"/>
    <n v="70000"/>
    <x v="5"/>
    <s v="Male"/>
    <s v="sales"/>
    <s v="Sales"/>
    <s v="Director"/>
    <d v="2020-01-15T00:00:00"/>
    <d v="2020-01-15T00:00:00"/>
    <s v="F"/>
    <x v="89"/>
    <s v="ivy.hudson@saltcorp.com"/>
    <s v=" "/>
    <s v="Part-Time"/>
    <s v="Part-Time"/>
    <m/>
    <n v="2"/>
    <m/>
    <n v="5"/>
    <m/>
    <m/>
    <s v="no"/>
    <s v="No"/>
    <n v="4"/>
    <x v="0"/>
    <x v="0"/>
  </r>
  <r>
    <x v="526"/>
    <s v="Grace"/>
    <s v="Armstrong"/>
    <n v="35"/>
    <x v="2"/>
    <n v="1989"/>
    <n v="70000"/>
    <x v="5"/>
    <s v="Female"/>
    <s v="HR"/>
    <s v="HR"/>
    <s v="Assistant"/>
    <d v="2019-12-01T00:00:00"/>
    <d v="2019-12-01T00:00:00"/>
    <s v="D"/>
    <x v="22"/>
    <s v="grace.armstrong@saltcorp.com"/>
    <s v="555-555-5555"/>
    <s v="Full-Time"/>
    <s v="Full-Time"/>
    <s v="EMP-2018-0031"/>
    <n v="5"/>
    <m/>
    <m/>
    <m/>
    <m/>
    <s v="no"/>
    <s v="No"/>
    <n v="3"/>
    <x v="0"/>
    <x v="0"/>
  </r>
  <r>
    <x v="527"/>
    <s v="Eve"/>
    <s v="Bell"/>
    <s v="thirty"/>
    <x v="8"/>
    <n v="1994"/>
    <n v="50000"/>
    <x v="0"/>
    <s v="Female"/>
    <s v="Marketing"/>
    <s v="Marketing"/>
    <s v="Clerk"/>
    <d v="2020-02-20T00:00:00"/>
    <d v="2020-02-20T00:00:00"/>
    <s v="B"/>
    <x v="26"/>
    <s v="eve.bell@saltcorp.com"/>
    <m/>
    <s v="Full-Time"/>
    <s v="Full-Time"/>
    <m/>
    <n v="2"/>
    <m/>
    <n v="17"/>
    <d v="2021-10-01T00:00:00"/>
    <m/>
    <s v="no"/>
    <s v="No"/>
    <n v="2"/>
    <x v="1"/>
    <x v="1"/>
  </r>
  <r>
    <x v="528"/>
    <s v="Jack"/>
    <s v="Kelly"/>
    <n v="35"/>
    <x v="2"/>
    <n v="1989"/>
    <s v="SIXTY THOUSAND"/>
    <x v="2"/>
    <s v="Male"/>
    <s v="Marketing"/>
    <s v="Marketing"/>
    <s v="Director"/>
    <d v="2019-03-25T00:00:00"/>
    <d v="2019-03-25T00:00:00"/>
    <s v="B"/>
    <x v="21"/>
    <s v="jack.kelly@saltcorp.com"/>
    <s v="098-765-4321"/>
    <s v="contract"/>
    <s v="Contract"/>
    <s v="EMP-2020-0007"/>
    <n v="5"/>
    <n v="5"/>
    <n v="18"/>
    <m/>
    <m/>
    <s v="no"/>
    <s v="No"/>
    <n v="4"/>
    <x v="0"/>
    <x v="0"/>
  </r>
  <r>
    <x v="529"/>
    <s v="Jack"/>
    <s v="O'Connor"/>
    <s v="thirty"/>
    <x v="8"/>
    <n v="1994"/>
    <n v="50000"/>
    <x v="0"/>
    <s v="Male"/>
    <s v="Marketing"/>
    <s v="Marketing"/>
    <s v="Analyst"/>
    <d v="2020-02-20T00:00:00"/>
    <d v="2020-02-20T00:00:00"/>
    <s v="A"/>
    <x v="25"/>
    <s v="jack.o'connor@saltcorp.com"/>
    <s v="098-765-4321"/>
    <s v="Part-Time"/>
    <s v="Part-Time"/>
    <s v="EMP-2019-0057"/>
    <n v="2"/>
    <n v="10"/>
    <m/>
    <d v="2024-08-12T00:00:00"/>
    <n v="46"/>
    <s v="YES"/>
    <s v="Yes"/>
    <n v="4"/>
    <x v="0"/>
    <x v="0"/>
  </r>
  <r>
    <x v="530"/>
    <s v="Grace"/>
    <s v="Oliver"/>
    <n v="35"/>
    <x v="2"/>
    <n v="1989"/>
    <n v="70000"/>
    <x v="5"/>
    <s v="Male"/>
    <s v="finance"/>
    <s v="Finance"/>
    <s v="Assistant"/>
    <d v="2019-12-01T00:00:00"/>
    <d v="2019-12-01T00:00:00"/>
    <s v="F"/>
    <x v="47"/>
    <s v="grace.oliver@saltcorp.com"/>
    <s v="123-456-7890"/>
    <s v="Part-Time"/>
    <s v="Part-Time"/>
    <m/>
    <n v="4"/>
    <s v="N/A"/>
    <m/>
    <m/>
    <m/>
    <s v="YES"/>
    <s v="Yes"/>
    <n v="5"/>
    <x v="1"/>
    <x v="1"/>
  </r>
  <r>
    <x v="531"/>
    <s v="Jack"/>
    <s v="Weber"/>
    <n v="40"/>
    <x v="7"/>
    <n v="1984"/>
    <s v="SIXTY THOUSAND"/>
    <x v="2"/>
    <s v="Male"/>
    <s v="it"/>
    <s v="IT"/>
    <s v="Director"/>
    <d v="2020-01-15T00:00:00"/>
    <d v="2020-01-15T00:00:00"/>
    <s v="A"/>
    <x v="32"/>
    <s v="jack.weber@saltcorp.com"/>
    <s v=" "/>
    <s v="Part-Time"/>
    <s v="Part-Time"/>
    <m/>
    <n v="8"/>
    <m/>
    <n v="14"/>
    <d v="2023-01-15T00:00:00"/>
    <n v="54"/>
    <m/>
    <s v=""/>
    <n v="5"/>
    <x v="0"/>
    <x v="0"/>
  </r>
  <r>
    <x v="532"/>
    <s v="Eve"/>
    <s v="West"/>
    <n v="40"/>
    <x v="7"/>
    <n v="1984"/>
    <s v="SIXTY THOUSAND"/>
    <x v="2"/>
    <s v="Male"/>
    <s v="HR"/>
    <s v="HR"/>
    <s v="Assistant"/>
    <d v="2020-02-20T00:00:00"/>
    <d v="2020-02-20T00:00:00"/>
    <s v="B"/>
    <x v="6"/>
    <s v="eve.west@saltcorp.com"/>
    <s v="123-456-7890"/>
    <s v="Full-Time"/>
    <s v="Full-Time"/>
    <m/>
    <n v="6"/>
    <m/>
    <m/>
    <s v="N/A"/>
    <m/>
    <m/>
    <s v=""/>
    <n v="3"/>
    <x v="0"/>
    <x v="0"/>
  </r>
  <r>
    <x v="533"/>
    <s v="Charlie"/>
    <s v="Barnett"/>
    <n v="25"/>
    <x v="0"/>
    <n v="1999"/>
    <n v="50000"/>
    <x v="0"/>
    <s v="Male"/>
    <s v="sales"/>
    <s v="Sales"/>
    <s v="Analyst"/>
    <d v="2019-12-01T00:00:00"/>
    <d v="2019-12-01T00:00:00"/>
    <s v="B"/>
    <x v="10"/>
    <s v="charlie.barnett@saltcorp.com"/>
    <m/>
    <s v="Part-Time"/>
    <s v="Part-Time"/>
    <s v="EMP-2020-0042"/>
    <n v="6"/>
    <m/>
    <n v="8"/>
    <d v="2024-08-12T00:00:00"/>
    <m/>
    <m/>
    <s v=""/>
    <n v="4"/>
    <x v="0"/>
    <x v="0"/>
  </r>
  <r>
    <x v="534"/>
    <s v="Grace"/>
    <s v="Wang"/>
    <n v="50"/>
    <x v="10"/>
    <n v="1974"/>
    <n v="70000"/>
    <x v="5"/>
    <s v="Female"/>
    <s v="sales"/>
    <s v="Sales"/>
    <s v="Director"/>
    <d v="2018-04-05T00:00:00"/>
    <d v="2018-04-05T00:00:00"/>
    <s v="F"/>
    <x v="84"/>
    <s v="grace.wang@saltcorp.com"/>
    <s v="555-555-5555"/>
    <s v="Full-Time"/>
    <s v="Full-Time"/>
    <m/>
    <n v="3"/>
    <n v="15"/>
    <m/>
    <m/>
    <m/>
    <s v="YES"/>
    <s v="Yes"/>
    <n v="2"/>
    <x v="1"/>
    <x v="1"/>
  </r>
  <r>
    <x v="535"/>
    <s v="Bob"/>
    <s v="Oliver"/>
    <n v="35"/>
    <x v="2"/>
    <n v="1989"/>
    <n v="65000"/>
    <x v="1"/>
    <s v="Male"/>
    <s v="it"/>
    <s v="IT"/>
    <s v="Analyst"/>
    <d v="2019-03-25T00:00:00"/>
    <d v="2019-03-25T00:00:00"/>
    <s v="D"/>
    <x v="30"/>
    <s v="bob.oliver@saltcorp.com"/>
    <s v="555-555-5555"/>
    <s v="contract"/>
    <s v="Contract"/>
    <s v="EMP-2019-0036"/>
    <n v="4"/>
    <n v="5"/>
    <m/>
    <m/>
    <m/>
    <m/>
    <s v=""/>
    <n v="5"/>
    <x v="1"/>
    <x v="1"/>
  </r>
  <r>
    <x v="536"/>
    <s v="Ivy"/>
    <s v="Singh"/>
    <m/>
    <x v="18"/>
    <n v="1977"/>
    <n v="70000"/>
    <x v="5"/>
    <s v="Female"/>
    <s v="Marketing"/>
    <s v="Marketing"/>
    <s v="Manager"/>
    <d v="2020-02-20T00:00:00"/>
    <d v="2020-02-20T00:00:00"/>
    <s v="D"/>
    <x v="43"/>
    <s v="ivy.singh@saltcorp.com"/>
    <s v=" "/>
    <s v="contract"/>
    <s v="Contract"/>
    <s v="EMP-2020-0095"/>
    <n v="2"/>
    <m/>
    <m/>
    <d v="2022-06-20T00:00:00"/>
    <n v="55"/>
    <s v="YES"/>
    <s v="Yes"/>
    <n v="5"/>
    <x v="1"/>
    <x v="1"/>
  </r>
  <r>
    <x v="537"/>
    <s v="Jack"/>
    <s v="Kelly"/>
    <n v="25"/>
    <x v="0"/>
    <n v="1999"/>
    <n v="55000"/>
    <x v="6"/>
    <s v="Male"/>
    <s v="HR"/>
    <s v="HR"/>
    <s v="Analyst"/>
    <d v="2020-01-15T00:00:00"/>
    <d v="2020-01-15T00:00:00"/>
    <s v="F"/>
    <x v="19"/>
    <s v="jack.kelly@saltcorp.com"/>
    <s v="123-456-7890"/>
    <s v="Full-Time"/>
    <s v="Full-Time"/>
    <m/>
    <n v="5"/>
    <s v="N/A"/>
    <n v="9"/>
    <m/>
    <n v="48"/>
    <m/>
    <s v=""/>
    <n v="4"/>
    <x v="1"/>
    <x v="1"/>
  </r>
  <r>
    <x v="538"/>
    <s v="Jack"/>
    <s v="Garrett"/>
    <n v="35"/>
    <x v="2"/>
    <n v="1989"/>
    <n v="58300"/>
    <x v="12"/>
    <s v="Male"/>
    <s v="sales"/>
    <s v="Sales"/>
    <s v="Assistant"/>
    <d v="2018-04-05T00:00:00"/>
    <d v="2018-04-05T00:00:00"/>
    <s v="F"/>
    <x v="12"/>
    <s v="jack.garrett@saltcorp.com"/>
    <s v="123-456-7890"/>
    <s v="Full-Time"/>
    <s v="Full-Time"/>
    <m/>
    <n v="2"/>
    <m/>
    <m/>
    <s v="N/A"/>
    <m/>
    <s v="no"/>
    <s v="No"/>
    <n v="5"/>
    <x v="1"/>
    <x v="1"/>
  </r>
  <r>
    <x v="539"/>
    <s v="Alice"/>
    <s v="Gutierrez"/>
    <n v="35"/>
    <x v="2"/>
    <n v="1989"/>
    <n v="65000"/>
    <x v="1"/>
    <s v="Female"/>
    <s v="sales"/>
    <s v="Sales"/>
    <s v="Clerk"/>
    <d v="2019-12-01T00:00:00"/>
    <d v="2019-12-01T00:00:00"/>
    <s v="A"/>
    <x v="11"/>
    <s v="alice.gutierrez@saltcorp.com"/>
    <m/>
    <s v="Full-Time"/>
    <s v="Full-Time"/>
    <m/>
    <n v="4"/>
    <s v="N/A"/>
    <n v="16"/>
    <d v="2023-03-05T00:00:00"/>
    <n v="68"/>
    <m/>
    <s v=""/>
    <n v="1"/>
    <x v="0"/>
    <x v="0"/>
  </r>
  <r>
    <x v="540"/>
    <s v="Frank"/>
    <s v="Torres"/>
    <n v="25"/>
    <x v="0"/>
    <n v="1999"/>
    <s v="SIXTY THOUSAND"/>
    <x v="2"/>
    <s v="Male"/>
    <s v="Marketing"/>
    <s v="Marketing"/>
    <s v="Analyst"/>
    <d v="2019-03-25T00:00:00"/>
    <d v="2019-03-25T00:00:00"/>
    <s v="F"/>
    <x v="55"/>
    <s v="frank.torres@saltcorp.com"/>
    <s v="555-555-5555"/>
    <s v="contract"/>
    <s v="Contract"/>
    <m/>
    <n v="6"/>
    <n v="5"/>
    <n v="1"/>
    <s v="N/A"/>
    <n v="25"/>
    <s v="no"/>
    <s v="No"/>
    <n v="1"/>
    <x v="1"/>
    <x v="1"/>
  </r>
  <r>
    <x v="541"/>
    <s v="Grace"/>
    <s v="Byrd"/>
    <n v="40"/>
    <x v="7"/>
    <n v="1984"/>
    <n v="65000"/>
    <x v="1"/>
    <s v="Female"/>
    <s v="it"/>
    <s v="IT"/>
    <s v="Clerk"/>
    <d v="2020-01-15T00:00:00"/>
    <d v="2020-01-15T00:00:00"/>
    <s v="D"/>
    <x v="27"/>
    <s v="grace.byrd@saltcorp.com"/>
    <s v="123-456-7890"/>
    <s v="Part-Time"/>
    <s v="Part-Time"/>
    <s v="EMP-2020-0061"/>
    <n v="8"/>
    <n v="15"/>
    <m/>
    <m/>
    <m/>
    <s v="YES"/>
    <s v="Yes"/>
    <n v="3"/>
    <x v="0"/>
    <x v="0"/>
  </r>
  <r>
    <x v="542"/>
    <s v="Hannah"/>
    <s v="Powers"/>
    <n v="35"/>
    <x v="2"/>
    <n v="1989"/>
    <s v="SIXTY THOUSAND"/>
    <x v="2"/>
    <s v="Male"/>
    <s v="HR"/>
    <s v="HR"/>
    <s v="Manager"/>
    <d v="2019-12-01T00:00:00"/>
    <d v="2019-12-01T00:00:00"/>
    <s v="F"/>
    <x v="28"/>
    <s v="hannah.powers@saltcorp.com"/>
    <s v=" "/>
    <s v="contract"/>
    <s v="Contract"/>
    <s v="EMP-2019-0091"/>
    <n v="8"/>
    <m/>
    <m/>
    <m/>
    <m/>
    <m/>
    <s v=""/>
    <n v="5"/>
    <x v="0"/>
    <x v="0"/>
  </r>
  <r>
    <x v="543"/>
    <s v="Jack"/>
    <s v="Kelly"/>
    <n v="40"/>
    <x v="7"/>
    <n v="1984"/>
    <s v="SIXTY THOUSAND"/>
    <x v="2"/>
    <s v="Male"/>
    <s v="it"/>
    <s v="IT"/>
    <s v="Director"/>
    <d v="2019-12-01T00:00:00"/>
    <d v="2019-12-01T00:00:00"/>
    <s v="A"/>
    <x v="3"/>
    <s v="jack.kelly@saltcorp.com"/>
    <s v="555-555-5555"/>
    <s v="Part-Time"/>
    <s v="Part-Time"/>
    <m/>
    <n v="6"/>
    <m/>
    <n v="19"/>
    <m/>
    <n v="35"/>
    <s v="YES"/>
    <s v="Yes"/>
    <n v="2"/>
    <x v="1"/>
    <x v="1"/>
  </r>
  <r>
    <x v="544"/>
    <s v="Ivy"/>
    <s v="Knight"/>
    <n v="25"/>
    <x v="0"/>
    <n v="1999"/>
    <n v="65000"/>
    <x v="1"/>
    <s v="Female"/>
    <s v="it"/>
    <s v="IT"/>
    <s v="Director"/>
    <d v="2020-02-20T00:00:00"/>
    <d v="2020-02-20T00:00:00"/>
    <s v="A"/>
    <x v="52"/>
    <s v="ivy.knight@saltcorp.com"/>
    <m/>
    <s v="contract"/>
    <s v="Contract"/>
    <m/>
    <n v="5"/>
    <m/>
    <m/>
    <m/>
    <m/>
    <s v="YES"/>
    <s v="Yes"/>
    <n v="2"/>
    <x v="1"/>
    <x v="1"/>
  </r>
  <r>
    <x v="545"/>
    <s v="Bob"/>
    <s v="Smith"/>
    <n v="40"/>
    <x v="7"/>
    <n v="1984"/>
    <s v="SIXTY THOUSAND"/>
    <x v="2"/>
    <s v="Male"/>
    <s v="HR"/>
    <s v="HR"/>
    <s v="Clerk"/>
    <d v="2020-02-20T00:00:00"/>
    <d v="2020-02-20T00:00:00"/>
    <s v="A"/>
    <x v="9"/>
    <s v="bob.smith@saltcorp.com"/>
    <s v=" "/>
    <s v="Full-Time"/>
    <s v="Full-Time"/>
    <s v="EMP-2018-0050"/>
    <n v="3"/>
    <m/>
    <n v="8"/>
    <d v="2023-01-15T00:00:00"/>
    <m/>
    <s v="YES"/>
    <s v="Yes"/>
    <n v="2"/>
    <x v="1"/>
    <x v="1"/>
  </r>
  <r>
    <x v="546"/>
    <s v="Jack"/>
    <s v="Hudson"/>
    <s v="thirty"/>
    <x v="8"/>
    <n v="1994"/>
    <s v="SIXTY THOUSAND"/>
    <x v="2"/>
    <s v="Female"/>
    <s v="HR"/>
    <s v="HR"/>
    <s v="Director"/>
    <d v="2020-01-15T00:00:00"/>
    <d v="2020-01-15T00:00:00"/>
    <s v="A"/>
    <x v="3"/>
    <s v="jack.hudson@saltcorp.com"/>
    <s v="098-765-4321"/>
    <s v="contract"/>
    <s v="Contract"/>
    <s v="EMP-2019-0083"/>
    <n v="6"/>
    <m/>
    <m/>
    <d v="2023-03-05T00:00:00"/>
    <n v="44"/>
    <s v="no"/>
    <s v="No"/>
    <n v="2"/>
    <x v="0"/>
    <x v="0"/>
  </r>
  <r>
    <x v="547"/>
    <s v="Bob"/>
    <s v="Vega"/>
    <m/>
    <x v="26"/>
    <n v="1988"/>
    <n v="55000"/>
    <x v="6"/>
    <s v="Male"/>
    <s v="sales"/>
    <s v="Sales"/>
    <s v="Analyst"/>
    <d v="2019-12-01T00:00:00"/>
    <d v="2019-12-01T00:00:00"/>
    <s v="C"/>
    <x v="8"/>
    <s v="bob.vega@saltcorp.com"/>
    <m/>
    <s v="Full-Time"/>
    <s v="Full-Time"/>
    <m/>
    <n v="6"/>
    <m/>
    <m/>
    <s v="N/A"/>
    <m/>
    <s v="YES"/>
    <s v="Yes"/>
    <n v="4"/>
    <x v="0"/>
    <x v="0"/>
  </r>
  <r>
    <x v="548"/>
    <s v="Eve"/>
    <s v="Stevens"/>
    <n v="35"/>
    <x v="2"/>
    <n v="1989"/>
    <n v="70000"/>
    <x v="5"/>
    <s v="Female"/>
    <s v="sales"/>
    <s v="Sales"/>
    <s v="Clerk"/>
    <d v="2020-02-20T00:00:00"/>
    <d v="2020-02-20T00:00:00"/>
    <s v="F"/>
    <x v="36"/>
    <s v="eve.stevens@saltcorp.com"/>
    <s v=" "/>
    <s v="Part-Time"/>
    <s v="Part-Time"/>
    <m/>
    <n v="7"/>
    <n v="6"/>
    <m/>
    <d v="2024-08-12T00:00:00"/>
    <m/>
    <s v="no"/>
    <s v="No"/>
    <n v="4"/>
    <x v="0"/>
    <x v="0"/>
  </r>
  <r>
    <x v="549"/>
    <s v="Eve"/>
    <s v="Cooper"/>
    <n v="50"/>
    <x v="10"/>
    <n v="1974"/>
    <n v="70000"/>
    <x v="5"/>
    <s v="Male"/>
    <s v="HR"/>
    <s v="HR"/>
    <s v="Assistant"/>
    <d v="2019-03-25T00:00:00"/>
    <d v="2019-03-25T00:00:00"/>
    <s v="B"/>
    <x v="14"/>
    <s v="eve.cooper@saltcorp.com"/>
    <s v="123-456-7890"/>
    <s v="Full-Time"/>
    <s v="Full-Time"/>
    <m/>
    <n v="3"/>
    <m/>
    <m/>
    <d v="2022-06-20T00:00:00"/>
    <m/>
    <s v="no"/>
    <s v="No"/>
    <n v="5"/>
    <x v="1"/>
    <x v="1"/>
  </r>
  <r>
    <x v="550"/>
    <s v="Frank"/>
    <s v="Torres"/>
    <m/>
    <x v="6"/>
    <n v="1991"/>
    <n v="60800"/>
    <x v="19"/>
    <s v="Male"/>
    <s v="finance"/>
    <s v="Finance"/>
    <s v="Analyst"/>
    <d v="2019-03-25T00:00:00"/>
    <d v="2019-03-25T00:00:00"/>
    <s v="F"/>
    <x v="36"/>
    <s v="frank.torres@saltcorp.com"/>
    <s v="098-765-4321"/>
    <s v="Full-Time"/>
    <s v="Full-Time"/>
    <s v="EMP-2020-0006"/>
    <n v="1"/>
    <s v="N/A"/>
    <n v="10"/>
    <d v="2021-10-01T00:00:00"/>
    <m/>
    <s v="YES"/>
    <s v="Yes"/>
    <n v="5"/>
    <x v="0"/>
    <x v="0"/>
  </r>
  <r>
    <x v="551"/>
    <s v="Charlie"/>
    <s v="Harris"/>
    <n v="40"/>
    <x v="7"/>
    <n v="1984"/>
    <n v="60000"/>
    <x v="2"/>
    <s v="Male"/>
    <s v="sales"/>
    <s v="Sales"/>
    <s v="Analyst"/>
    <d v="2019-12-01T00:00:00"/>
    <d v="2019-12-01T00:00:00"/>
    <s v="C"/>
    <x v="69"/>
    <s v="charlie.harris@saltcorp.com"/>
    <m/>
    <s v="Part-Time"/>
    <s v="Part-Time"/>
    <m/>
    <n v="6"/>
    <n v="1"/>
    <n v="19"/>
    <s v="N/A"/>
    <n v="65"/>
    <s v="no"/>
    <s v="No"/>
    <n v="1"/>
    <x v="1"/>
    <x v="1"/>
  </r>
  <r>
    <x v="552"/>
    <s v="Hannah"/>
    <s v="Brooks"/>
    <n v="35"/>
    <x v="2"/>
    <n v="1989"/>
    <n v="55000"/>
    <x v="6"/>
    <s v="Female"/>
    <s v="finance"/>
    <s v="Finance"/>
    <s v="Analyst"/>
    <d v="2020-02-20T00:00:00"/>
    <d v="2020-02-20T00:00:00"/>
    <s v="A"/>
    <x v="76"/>
    <s v="hannah.brooks@saltcorp.com"/>
    <s v="123-456-7890"/>
    <s v="contract"/>
    <s v="Contract"/>
    <m/>
    <n v="4"/>
    <m/>
    <n v="3"/>
    <d v="2022-06-20T00:00:00"/>
    <m/>
    <m/>
    <s v=""/>
    <n v="4"/>
    <x v="0"/>
    <x v="0"/>
  </r>
  <r>
    <x v="553"/>
    <s v="Alice"/>
    <s v="Baker"/>
    <n v="40"/>
    <x v="7"/>
    <n v="1984"/>
    <n v="61500"/>
    <x v="11"/>
    <s v="Female"/>
    <s v="HR"/>
    <s v="HR"/>
    <s v="Assistant"/>
    <d v="2020-01-15T00:00:00"/>
    <d v="2020-01-15T00:00:00"/>
    <s v="C"/>
    <x v="31"/>
    <s v="alice.baker@saltcorp.com"/>
    <s v="098-765-4321"/>
    <s v="Part-Time"/>
    <s v="Part-Time"/>
    <s v="EMP-2018-0028"/>
    <n v="4"/>
    <s v="N/A"/>
    <m/>
    <s v="N/A"/>
    <m/>
    <m/>
    <s v=""/>
    <n v="5"/>
    <x v="0"/>
    <x v="0"/>
  </r>
  <r>
    <x v="554"/>
    <s v="Frank"/>
    <s v="Hernandez"/>
    <s v="thirty"/>
    <x v="8"/>
    <n v="1994"/>
    <n v="65000"/>
    <x v="1"/>
    <s v="Female"/>
    <s v="sales"/>
    <s v="Sales"/>
    <s v="Manager"/>
    <d v="2020-01-15T00:00:00"/>
    <d v="2020-01-15T00:00:00"/>
    <s v="D"/>
    <x v="15"/>
    <s v="frank.hernandez@saltcorp.com"/>
    <s v="555-555-5555"/>
    <s v="Part-Time"/>
    <s v="Part-Time"/>
    <m/>
    <n v="7"/>
    <m/>
    <m/>
    <d v="2023-03-05T00:00:00"/>
    <m/>
    <s v="no"/>
    <s v="No"/>
    <n v="2"/>
    <x v="0"/>
    <x v="0"/>
  </r>
  <r>
    <x v="555"/>
    <s v="David"/>
    <s v="Gutierrez"/>
    <n v="25"/>
    <x v="0"/>
    <n v="1999"/>
    <n v="50000"/>
    <x v="0"/>
    <s v="Male"/>
    <s v="it"/>
    <s v="IT"/>
    <s v="Director"/>
    <d v="2020-01-15T00:00:00"/>
    <d v="2020-01-15T00:00:00"/>
    <s v="D"/>
    <x v="18"/>
    <s v="david.gutierrez@saltcorp.com"/>
    <s v="123-456-7890"/>
    <s v="Full-Time"/>
    <s v="Full-Time"/>
    <m/>
    <n v="5"/>
    <s v="N/A"/>
    <m/>
    <s v="N/A"/>
    <m/>
    <s v="no"/>
    <s v="No"/>
    <n v="4"/>
    <x v="0"/>
    <x v="0"/>
  </r>
  <r>
    <x v="556"/>
    <s v="Alice"/>
    <s v="Lee"/>
    <n v="35"/>
    <x v="2"/>
    <n v="1989"/>
    <n v="50000"/>
    <x v="0"/>
    <s v="Female"/>
    <s v="HR"/>
    <s v="HR"/>
    <s v="Clerk"/>
    <d v="2019-03-25T00:00:00"/>
    <d v="2019-03-25T00:00:00"/>
    <s v="F"/>
    <x v="40"/>
    <s v="alice.lee@saltcorp.com"/>
    <s v=" "/>
    <s v="Part-Time"/>
    <s v="Part-Time"/>
    <s v="EMP-2018-0051"/>
    <n v="6"/>
    <m/>
    <n v="7"/>
    <d v="2024-08-12T00:00:00"/>
    <m/>
    <s v="YES"/>
    <s v="Yes"/>
    <n v="4"/>
    <x v="1"/>
    <x v="1"/>
  </r>
  <r>
    <x v="557"/>
    <s v="Grace"/>
    <s v="Wang"/>
    <s v="thirty"/>
    <x v="8"/>
    <n v="1994"/>
    <n v="50000"/>
    <x v="0"/>
    <s v="Female"/>
    <s v="Marketing"/>
    <s v="Marketing"/>
    <s v="Manager"/>
    <d v="2020-02-20T00:00:00"/>
    <d v="2020-02-20T00:00:00"/>
    <s v="F"/>
    <x v="90"/>
    <s v="grace.wang@saltcorp.com"/>
    <m/>
    <s v="Full-Time"/>
    <s v="Full-Time"/>
    <m/>
    <n v="3"/>
    <m/>
    <n v="7"/>
    <m/>
    <m/>
    <s v="YES"/>
    <s v="Yes"/>
    <n v="2"/>
    <x v="1"/>
    <x v="1"/>
  </r>
  <r>
    <x v="558"/>
    <s v="Ivy"/>
    <s v="Gupta"/>
    <s v="thirty"/>
    <x v="8"/>
    <n v="1994"/>
    <n v="55000"/>
    <x v="6"/>
    <s v="Female"/>
    <s v="finance"/>
    <s v="Finance"/>
    <s v="Clerk"/>
    <d v="2020-02-20T00:00:00"/>
    <d v="2020-02-20T00:00:00"/>
    <s v="B"/>
    <x v="45"/>
    <s v="ivy.gupta@saltcorp.com"/>
    <s v="098-765-4321"/>
    <s v="Full-Time"/>
    <s v="Full-Time"/>
    <m/>
    <n v="6"/>
    <s v="N/A"/>
    <m/>
    <m/>
    <m/>
    <s v="no"/>
    <s v="No"/>
    <n v="4"/>
    <x v="0"/>
    <x v="0"/>
  </r>
  <r>
    <x v="559"/>
    <s v="David"/>
    <s v="Sullivan"/>
    <n v="35"/>
    <x v="2"/>
    <n v="1989"/>
    <n v="55000"/>
    <x v="6"/>
    <s v="Female"/>
    <s v="HR"/>
    <s v="HR"/>
    <s v="Director"/>
    <d v="2019-03-25T00:00:00"/>
    <d v="2019-03-25T00:00:00"/>
    <s v="B"/>
    <x v="10"/>
    <s v="david.sullivan@saltcorp.com"/>
    <s v="123-456-7890"/>
    <s v="Part-Time"/>
    <s v="Part-Time"/>
    <s v="EMP-2019-0060"/>
    <n v="8"/>
    <m/>
    <n v="9"/>
    <m/>
    <m/>
    <m/>
    <s v=""/>
    <n v="2"/>
    <x v="0"/>
    <x v="0"/>
  </r>
  <r>
    <x v="560"/>
    <s v="David"/>
    <s v="Olson"/>
    <n v="40"/>
    <x v="7"/>
    <n v="1984"/>
    <s v="SIXTY THOUSAND"/>
    <x v="2"/>
    <s v="Male"/>
    <s v="HR"/>
    <s v="HR"/>
    <s v="Assistant"/>
    <d v="2020-01-15T00:00:00"/>
    <d v="2020-01-15T00:00:00"/>
    <s v="D"/>
    <x v="34"/>
    <s v="david.olson@saltcorp.com"/>
    <s v="555-555-5555"/>
    <s v="Full-Time"/>
    <s v="Full-Time"/>
    <m/>
    <n v="8"/>
    <m/>
    <m/>
    <m/>
    <m/>
    <s v="no"/>
    <s v="No"/>
    <n v="5"/>
    <x v="0"/>
    <x v="0"/>
  </r>
  <r>
    <x v="561"/>
    <s v="Frank"/>
    <s v="Pearson"/>
    <n v="50"/>
    <x v="10"/>
    <n v="1974"/>
    <n v="50000"/>
    <x v="0"/>
    <s v="Male"/>
    <s v="sales"/>
    <s v="Sales"/>
    <s v="Analyst"/>
    <d v="2020-01-15T00:00:00"/>
    <d v="2020-01-15T00:00:00"/>
    <s v="A"/>
    <x v="50"/>
    <s v="frank.pearson@saltcorp.com"/>
    <m/>
    <s v="Full-Time"/>
    <s v="Full-Time"/>
    <m/>
    <n v="8"/>
    <m/>
    <n v="19"/>
    <d v="2023-03-05T00:00:00"/>
    <m/>
    <m/>
    <s v=""/>
    <n v="1"/>
    <x v="0"/>
    <x v="0"/>
  </r>
  <r>
    <x v="562"/>
    <s v="Charlie"/>
    <s v="Clark"/>
    <s v="thirty"/>
    <x v="8"/>
    <n v="1994"/>
    <n v="65000"/>
    <x v="1"/>
    <s v="Female"/>
    <s v="sales"/>
    <s v="Sales"/>
    <s v="Analyst"/>
    <d v="2019-12-01T00:00:00"/>
    <d v="2019-12-01T00:00:00"/>
    <s v="C"/>
    <x v="8"/>
    <s v="charlie.clark@saltcorp.com"/>
    <m/>
    <s v="Part-Time"/>
    <s v="Part-Time"/>
    <m/>
    <n v="6"/>
    <m/>
    <m/>
    <m/>
    <m/>
    <m/>
    <s v=""/>
    <n v="3"/>
    <x v="1"/>
    <x v="1"/>
  </r>
  <r>
    <x v="563"/>
    <s v="Frank"/>
    <s v="Hanson"/>
    <m/>
    <x v="32"/>
    <n v="1992"/>
    <n v="58300"/>
    <x v="12"/>
    <s v="Female"/>
    <s v="sales"/>
    <s v="Sales"/>
    <s v="Assistant"/>
    <d v="2018-04-05T00:00:00"/>
    <d v="2018-04-05T00:00:00"/>
    <s v="B"/>
    <x v="26"/>
    <s v="frank.hanson@saltcorp.com"/>
    <s v="123-456-7890"/>
    <s v="contract"/>
    <s v="Contract"/>
    <m/>
    <n v="5"/>
    <m/>
    <m/>
    <m/>
    <n v="77"/>
    <s v="no"/>
    <s v="No"/>
    <n v="1"/>
    <x v="1"/>
    <x v="1"/>
  </r>
  <r>
    <x v="564"/>
    <s v="Grace"/>
    <s v="Sims"/>
    <s v="thirty"/>
    <x v="8"/>
    <n v="1994"/>
    <n v="65000"/>
    <x v="1"/>
    <s v="Female"/>
    <s v="Marketing"/>
    <s v="Marketing"/>
    <s v="Manager"/>
    <d v="2020-02-20T00:00:00"/>
    <d v="2020-02-20T00:00:00"/>
    <s v="B"/>
    <x v="26"/>
    <s v="grace.sims@saltcorp.com"/>
    <s v="555-555-5555"/>
    <s v="contract"/>
    <s v="Contract"/>
    <m/>
    <n v="8"/>
    <n v="7"/>
    <n v="17"/>
    <m/>
    <m/>
    <s v="YES"/>
    <s v="Yes"/>
    <n v="5"/>
    <x v="1"/>
    <x v="1"/>
  </r>
  <r>
    <x v="565"/>
    <s v="Jack"/>
    <s v="O'Neill"/>
    <n v="50"/>
    <x v="10"/>
    <n v="1974"/>
    <n v="61500"/>
    <x v="11"/>
    <s v="Male"/>
    <s v="sales"/>
    <s v="Sales"/>
    <s v="Manager"/>
    <d v="2020-02-20T00:00:00"/>
    <d v="2020-02-20T00:00:00"/>
    <s v="A"/>
    <x v="3"/>
    <s v="jack.o'neill@saltcorp.com"/>
    <s v="098-765-4321"/>
    <s v="Full-Time"/>
    <s v="Full-Time"/>
    <m/>
    <n v="2"/>
    <n v="15"/>
    <n v="4"/>
    <m/>
    <n v="72"/>
    <s v="YES"/>
    <s v="Yes"/>
    <n v="5"/>
    <x v="0"/>
    <x v="0"/>
  </r>
  <r>
    <x v="566"/>
    <s v="Jack"/>
    <s v="Walker"/>
    <n v="40"/>
    <x v="7"/>
    <n v="1984"/>
    <n v="50000"/>
    <x v="0"/>
    <s v="Female"/>
    <s v="HR"/>
    <s v="HR"/>
    <s v="Clerk"/>
    <d v="2020-02-20T00:00:00"/>
    <d v="2020-02-20T00:00:00"/>
    <s v="A"/>
    <x v="52"/>
    <s v="jack.walker@saltcorp.com"/>
    <s v="123-456-7890"/>
    <s v="Full-Time"/>
    <s v="Full-Time"/>
    <s v="EMP-2019-0038"/>
    <n v="3"/>
    <m/>
    <m/>
    <s v="N/A"/>
    <n v="13"/>
    <m/>
    <s v=""/>
    <n v="5"/>
    <x v="0"/>
    <x v="0"/>
  </r>
  <r>
    <x v="567"/>
    <s v="Charlie"/>
    <s v="Hansen"/>
    <n v="40"/>
    <x v="7"/>
    <n v="1984"/>
    <n v="50000"/>
    <x v="0"/>
    <s v="Male"/>
    <s v="sales"/>
    <s v="Sales"/>
    <s v="Assistant"/>
    <d v="2018-04-05T00:00:00"/>
    <d v="2018-04-05T00:00:00"/>
    <s v="F"/>
    <x v="62"/>
    <s v="charlie.hansen@saltcorp.com"/>
    <s v="098-765-4321"/>
    <s v="Full-Time"/>
    <s v="Full-Time"/>
    <m/>
    <n v="2"/>
    <m/>
    <m/>
    <m/>
    <m/>
    <s v="YES"/>
    <s v="Yes"/>
    <n v="1"/>
    <x v="1"/>
    <x v="1"/>
  </r>
  <r>
    <x v="568"/>
    <s v="Grace"/>
    <s v="Hoffman"/>
    <m/>
    <x v="7"/>
    <n v="1984"/>
    <n v="50000"/>
    <x v="0"/>
    <s v="Female"/>
    <s v="it"/>
    <s v="IT"/>
    <s v="Manager"/>
    <d v="2019-12-01T00:00:00"/>
    <d v="2019-12-01T00:00:00"/>
    <s v="C"/>
    <x v="29"/>
    <s v="grace.hoffman@saltcorp.com"/>
    <m/>
    <s v="contract"/>
    <s v="Contract"/>
    <m/>
    <n v="5"/>
    <s v="N/A"/>
    <n v="19"/>
    <d v="2022-06-20T00:00:00"/>
    <m/>
    <m/>
    <s v=""/>
    <n v="5"/>
    <x v="1"/>
    <x v="1"/>
  </r>
  <r>
    <x v="569"/>
    <s v="Charlie"/>
    <s v="McCoy"/>
    <s v="thirty"/>
    <x v="8"/>
    <n v="1994"/>
    <n v="55000"/>
    <x v="6"/>
    <s v="Male"/>
    <s v="sales"/>
    <s v="Sales"/>
    <s v="Assistant"/>
    <d v="2018-04-05T00:00:00"/>
    <d v="2018-04-05T00:00:00"/>
    <s v="A"/>
    <x v="51"/>
    <s v="charlie.mccoy@saltcorp.com"/>
    <s v="098-765-4321"/>
    <s v="Full-Time"/>
    <s v="Full-Time"/>
    <m/>
    <n v="3"/>
    <m/>
    <m/>
    <m/>
    <m/>
    <s v="no"/>
    <s v="No"/>
    <n v="5"/>
    <x v="1"/>
    <x v="1"/>
  </r>
  <r>
    <x v="570"/>
    <s v="Bob"/>
    <s v="Davis"/>
    <n v="40"/>
    <x v="7"/>
    <n v="1984"/>
    <n v="60500"/>
    <x v="7"/>
    <s v="Male"/>
    <s v="Marketing"/>
    <s v="Marketing"/>
    <s v="Director"/>
    <d v="2020-01-15T00:00:00"/>
    <d v="2020-01-15T00:00:00"/>
    <s v="B"/>
    <x v="16"/>
    <s v="bob.davis@saltcorp.com"/>
    <s v="555-555-5555"/>
    <s v="contract"/>
    <s v="Contract"/>
    <m/>
    <n v="4"/>
    <m/>
    <m/>
    <d v="2022-06-20T00:00:00"/>
    <m/>
    <s v="YES"/>
    <s v="Yes"/>
    <n v="1"/>
    <x v="0"/>
    <x v="0"/>
  </r>
  <r>
    <x v="571"/>
    <s v="Jack"/>
    <s v="Kelly"/>
    <n v="50"/>
    <x v="10"/>
    <n v="1974"/>
    <n v="55000"/>
    <x v="6"/>
    <s v="Male"/>
    <s v="it"/>
    <s v="IT"/>
    <s v="Analyst"/>
    <d v="2020-01-15T00:00:00"/>
    <d v="2020-01-15T00:00:00"/>
    <s v="B"/>
    <x v="49"/>
    <s v="jack.kelly@saltcorp.com"/>
    <s v=" "/>
    <s v="Full-Time"/>
    <s v="Full-Time"/>
    <m/>
    <n v="5"/>
    <n v="1"/>
    <m/>
    <d v="2023-01-15T00:00:00"/>
    <m/>
    <s v="no"/>
    <s v="No"/>
    <n v="5"/>
    <x v="0"/>
    <x v="0"/>
  </r>
  <r>
    <x v="572"/>
    <s v="David"/>
    <s v="Byrd"/>
    <n v="35"/>
    <x v="2"/>
    <n v="1989"/>
    <n v="55000"/>
    <x v="6"/>
    <s v="Male"/>
    <s v="HR"/>
    <s v="HR"/>
    <s v="Analyst"/>
    <d v="2020-02-20T00:00:00"/>
    <d v="2020-02-20T00:00:00"/>
    <s v="D"/>
    <x v="30"/>
    <s v="david.byrd@saltcorp.com"/>
    <s v="555-555-5555"/>
    <s v="Part-Time"/>
    <s v="Part-Time"/>
    <m/>
    <n v="2"/>
    <s v="N/A"/>
    <n v="9"/>
    <d v="2022-06-20T00:00:00"/>
    <m/>
    <s v="YES"/>
    <s v="Yes"/>
    <n v="3"/>
    <x v="0"/>
    <x v="0"/>
  </r>
  <r>
    <x v="573"/>
    <s v="Hannah"/>
    <s v="Long"/>
    <n v="25"/>
    <x v="0"/>
    <n v="1999"/>
    <n v="70000"/>
    <x v="5"/>
    <s v="Female"/>
    <s v="HR"/>
    <s v="HR"/>
    <s v="Analyst"/>
    <d v="2019-03-25T00:00:00"/>
    <d v="2019-03-25T00:00:00"/>
    <s v="A"/>
    <x v="3"/>
    <s v="hannah.long@saltcorp.com"/>
    <s v="098-765-4321"/>
    <s v="contract"/>
    <s v="Contract"/>
    <m/>
    <n v="2"/>
    <m/>
    <m/>
    <s v="N/A"/>
    <m/>
    <m/>
    <s v=""/>
    <n v="3"/>
    <x v="0"/>
    <x v="0"/>
  </r>
  <r>
    <x v="574"/>
    <s v="Ivy"/>
    <s v="Powers"/>
    <n v="25"/>
    <x v="0"/>
    <n v="1999"/>
    <n v="65000"/>
    <x v="1"/>
    <s v="Male"/>
    <s v="finance"/>
    <s v="Finance"/>
    <s v="Assistant"/>
    <d v="2020-02-20T00:00:00"/>
    <d v="2020-02-20T00:00:00"/>
    <s v="F"/>
    <x v="87"/>
    <s v="ivy.powers@saltcorp.com"/>
    <s v="123-456-7890"/>
    <s v="Part-Time"/>
    <s v="Part-Time"/>
    <m/>
    <n v="1"/>
    <m/>
    <m/>
    <m/>
    <n v="20"/>
    <m/>
    <s v=""/>
    <n v="3"/>
    <x v="0"/>
    <x v="0"/>
  </r>
  <r>
    <x v="575"/>
    <s v="Grace"/>
    <s v="Gutierrez"/>
    <n v="25"/>
    <x v="0"/>
    <n v="1999"/>
    <n v="65000"/>
    <x v="1"/>
    <s v="Female"/>
    <s v="it"/>
    <s v="IT"/>
    <s v="Assistant"/>
    <d v="2019-03-25T00:00:00"/>
    <d v="2019-03-25T00:00:00"/>
    <s v="C"/>
    <x v="31"/>
    <s v="grace.gutierrez@saltcorp.com"/>
    <m/>
    <s v="Full-Time"/>
    <s v="Full-Time"/>
    <s v="EMP-2018-0086"/>
    <n v="1"/>
    <m/>
    <n v="2"/>
    <m/>
    <m/>
    <s v="no"/>
    <s v="No"/>
    <n v="2"/>
    <x v="1"/>
    <x v="1"/>
  </r>
  <r>
    <x v="576"/>
    <s v="Alice"/>
    <s v="Rivera"/>
    <s v="thirty"/>
    <x v="8"/>
    <n v="1994"/>
    <s v="SIXTY THOUSAND"/>
    <x v="2"/>
    <s v="Male"/>
    <s v="finance"/>
    <s v="Finance"/>
    <s v="Clerk"/>
    <d v="2018-04-05T00:00:00"/>
    <d v="2018-04-05T00:00:00"/>
    <s v="F"/>
    <x v="75"/>
    <s v="alice.rivera@saltcorp.com"/>
    <s v=" "/>
    <s v="contract"/>
    <s v="Contract"/>
    <m/>
    <n v="7"/>
    <m/>
    <m/>
    <s v="N/A"/>
    <m/>
    <s v="no"/>
    <s v="No"/>
    <n v="1"/>
    <x v="0"/>
    <x v="0"/>
  </r>
  <r>
    <x v="577"/>
    <s v="Charlie"/>
    <s v="Andrews"/>
    <m/>
    <x v="30"/>
    <n v="1997"/>
    <n v="55000"/>
    <x v="6"/>
    <s v="Female"/>
    <s v="it"/>
    <s v="IT"/>
    <s v="Analyst"/>
    <d v="2020-01-15T00:00:00"/>
    <d v="2020-01-15T00:00:00"/>
    <s v="B"/>
    <x v="16"/>
    <s v="charlie.andrews@saltcorp.com"/>
    <s v="123-456-7890"/>
    <s v="Full-Time"/>
    <s v="Full-Time"/>
    <s v="EMP-2020-0020"/>
    <n v="4"/>
    <m/>
    <n v="0"/>
    <m/>
    <m/>
    <m/>
    <s v=""/>
    <n v="1"/>
    <x v="0"/>
    <x v="0"/>
  </r>
  <r>
    <x v="578"/>
    <s v="Ivy"/>
    <s v="Hanson"/>
    <n v="40"/>
    <x v="7"/>
    <n v="1984"/>
    <n v="58600"/>
    <x v="8"/>
    <s v="Female"/>
    <s v="it"/>
    <s v="IT"/>
    <s v="Clerk"/>
    <d v="2019-03-25T00:00:00"/>
    <d v="2019-03-25T00:00:00"/>
    <s v="F"/>
    <x v="39"/>
    <s v="ivy.hanson@saltcorp.com"/>
    <s v="123-456-7890"/>
    <s v="Full-Time"/>
    <s v="Full-Time"/>
    <s v="EMP-2019-0048"/>
    <n v="1"/>
    <m/>
    <n v="15"/>
    <d v="2024-08-12T00:00:00"/>
    <m/>
    <m/>
    <s v=""/>
    <n v="2"/>
    <x v="0"/>
    <x v="0"/>
  </r>
  <r>
    <x v="579"/>
    <s v="Alice"/>
    <s v="Lee"/>
    <n v="35"/>
    <x v="2"/>
    <n v="1989"/>
    <n v="70000"/>
    <x v="5"/>
    <s v="Female"/>
    <s v="Marketing"/>
    <s v="Marketing"/>
    <s v="Analyst"/>
    <d v="2018-04-05T00:00:00"/>
    <d v="2018-04-05T00:00:00"/>
    <s v="B"/>
    <x v="14"/>
    <s v="alice.lee@saltcorp.com"/>
    <s v="555-555-5555"/>
    <s v="Full-Time"/>
    <s v="Full-Time"/>
    <m/>
    <n v="5"/>
    <n v="6"/>
    <n v="3"/>
    <d v="2024-08-12T00:00:00"/>
    <n v="42"/>
    <s v="no"/>
    <s v="No"/>
    <n v="3"/>
    <x v="0"/>
    <x v="0"/>
  </r>
  <r>
    <x v="580"/>
    <s v="Ivy"/>
    <s v="Sharma"/>
    <n v="50"/>
    <x v="10"/>
    <n v="1974"/>
    <n v="70000"/>
    <x v="5"/>
    <s v="Female"/>
    <s v="finance"/>
    <s v="Finance"/>
    <s v="Clerk"/>
    <d v="2020-01-15T00:00:00"/>
    <d v="2020-01-15T00:00:00"/>
    <s v="B"/>
    <x v="49"/>
    <s v="ivy.sharma@saltcorp.com"/>
    <s v="098-765-4321"/>
    <s v="Full-Time"/>
    <s v="Full-Time"/>
    <m/>
    <n v="8"/>
    <m/>
    <n v="0"/>
    <m/>
    <m/>
    <s v="YES"/>
    <s v="Yes"/>
    <n v="5"/>
    <x v="1"/>
    <x v="1"/>
  </r>
  <r>
    <x v="581"/>
    <s v="Hannah"/>
    <s v="Gray"/>
    <n v="35"/>
    <x v="2"/>
    <n v="1989"/>
    <n v="65000"/>
    <x v="1"/>
    <s v="Female"/>
    <s v="Marketing"/>
    <s v="Marketing"/>
    <s v="Clerk"/>
    <d v="2019-03-25T00:00:00"/>
    <d v="2019-03-25T00:00:00"/>
    <s v="B"/>
    <x v="14"/>
    <s v="hannah.gray@saltcorp.com"/>
    <s v="555-555-5555"/>
    <s v="Full-Time"/>
    <s v="Full-Time"/>
    <m/>
    <n v="3"/>
    <m/>
    <n v="11"/>
    <m/>
    <m/>
    <m/>
    <s v=""/>
    <n v="1"/>
    <x v="0"/>
    <x v="0"/>
  </r>
  <r>
    <x v="582"/>
    <s v="Alice"/>
    <s v="Hudson"/>
    <n v="50"/>
    <x v="10"/>
    <n v="1974"/>
    <n v="55000"/>
    <x v="6"/>
    <s v="Female"/>
    <s v="it"/>
    <s v="IT"/>
    <s v="Director"/>
    <d v="2020-02-20T00:00:00"/>
    <d v="2020-02-20T00:00:00"/>
    <s v="B"/>
    <x v="14"/>
    <s v="alice.hudson@saltcorp.com"/>
    <s v="098-765-4321"/>
    <s v="Full-Time"/>
    <s v="Full-Time"/>
    <s v="EMP-2020-0037"/>
    <n v="6"/>
    <n v="4"/>
    <m/>
    <m/>
    <n v="23"/>
    <m/>
    <s v=""/>
    <n v="1"/>
    <x v="0"/>
    <x v="0"/>
  </r>
  <r>
    <x v="583"/>
    <s v="Frank"/>
    <s v="Perez"/>
    <s v="thirty"/>
    <x v="8"/>
    <n v="1994"/>
    <s v="SIXTY THOUSAND"/>
    <x v="2"/>
    <s v="Male"/>
    <s v="HR"/>
    <s v="HR"/>
    <s v="Clerk"/>
    <d v="2020-02-20T00:00:00"/>
    <d v="2020-02-20T00:00:00"/>
    <s v="B"/>
    <x v="14"/>
    <s v="frank.perez@saltcorp.com"/>
    <s v="555-555-5555"/>
    <s v="Part-Time"/>
    <s v="Part-Time"/>
    <m/>
    <n v="7"/>
    <n v="1"/>
    <m/>
    <m/>
    <n v="25"/>
    <s v="no"/>
    <s v="No"/>
    <n v="3"/>
    <x v="1"/>
    <x v="1"/>
  </r>
  <r>
    <x v="584"/>
    <s v="Eve"/>
    <s v="Barnett"/>
    <n v="25"/>
    <x v="0"/>
    <n v="1999"/>
    <n v="55000"/>
    <x v="6"/>
    <s v="Female"/>
    <s v="it"/>
    <s v="IT"/>
    <s v="Assistant"/>
    <d v="2020-02-20T00:00:00"/>
    <d v="2020-02-20T00:00:00"/>
    <s v="D"/>
    <x v="15"/>
    <s v="eve.barnett@saltcorp.com"/>
    <s v="123-456-7890"/>
    <s v="Part-Time"/>
    <s v="Part-Time"/>
    <s v="EMP-2018-0014"/>
    <n v="4"/>
    <m/>
    <m/>
    <d v="2021-10-01T00:00:00"/>
    <m/>
    <s v="YES"/>
    <s v="Yes"/>
    <n v="3"/>
    <x v="0"/>
    <x v="0"/>
  </r>
  <r>
    <x v="585"/>
    <s v="Frank"/>
    <s v="Sanchez"/>
    <s v="thirty"/>
    <x v="8"/>
    <n v="1994"/>
    <n v="50000"/>
    <x v="0"/>
    <s v="Male"/>
    <s v="Marketing"/>
    <s v="Marketing"/>
    <s v="Clerk"/>
    <d v="2018-04-05T00:00:00"/>
    <d v="2018-04-05T00:00:00"/>
    <s v="F"/>
    <x v="68"/>
    <s v="frank.sanchez@saltcorp.com"/>
    <m/>
    <s v="Full-Time"/>
    <s v="Full-Time"/>
    <m/>
    <n v="5"/>
    <m/>
    <m/>
    <d v="2023-03-05T00:00:00"/>
    <m/>
    <s v="YES"/>
    <s v="Yes"/>
    <n v="3"/>
    <x v="0"/>
    <x v="0"/>
  </r>
  <r>
    <x v="586"/>
    <s v="Jack"/>
    <s v="Walsh"/>
    <m/>
    <x v="29"/>
    <n v="1990"/>
    <n v="55000"/>
    <x v="6"/>
    <s v="Male"/>
    <s v="finance"/>
    <s v="Finance"/>
    <s v="Analyst"/>
    <d v="2020-02-20T00:00:00"/>
    <d v="2020-02-20T00:00:00"/>
    <s v="D"/>
    <x v="30"/>
    <s v="jack.walsh@saltcorp.com"/>
    <s v="098-765-4321"/>
    <s v="Full-Time"/>
    <s v="Full-Time"/>
    <m/>
    <n v="3"/>
    <s v="N/A"/>
    <m/>
    <m/>
    <m/>
    <s v="YES"/>
    <s v="Yes"/>
    <n v="1"/>
    <x v="1"/>
    <x v="1"/>
  </r>
  <r>
    <x v="587"/>
    <s v="Eve"/>
    <s v="Hoffman"/>
    <m/>
    <x v="2"/>
    <n v="1989"/>
    <n v="50000"/>
    <x v="0"/>
    <s v="Female"/>
    <s v="finance"/>
    <s v="Finance"/>
    <s v="Clerk"/>
    <d v="2019-12-01T00:00:00"/>
    <d v="2019-12-01T00:00:00"/>
    <s v="D"/>
    <x v="0"/>
    <s v="eve.hoffman@saltcorp.com"/>
    <s v=" "/>
    <s v="contract"/>
    <s v="Contract"/>
    <m/>
    <n v="8"/>
    <s v="N/A"/>
    <n v="7"/>
    <m/>
    <n v="46"/>
    <m/>
    <s v=""/>
    <n v="2"/>
    <x v="1"/>
    <x v="1"/>
  </r>
  <r>
    <x v="588"/>
    <s v="Frank"/>
    <s v="Lucas"/>
    <n v="50"/>
    <x v="10"/>
    <n v="1974"/>
    <n v="50000"/>
    <x v="0"/>
    <s v="Male"/>
    <s v="Marketing"/>
    <s v="Marketing"/>
    <s v="Manager"/>
    <d v="2020-01-15T00:00:00"/>
    <d v="2020-01-15T00:00:00"/>
    <s v="A"/>
    <x v="50"/>
    <s v="frank.lucas@saltcorp.com"/>
    <s v=" "/>
    <s v="contract"/>
    <s v="Contract"/>
    <m/>
    <n v="2"/>
    <n v="2"/>
    <m/>
    <d v="2024-08-12T00:00:00"/>
    <n v="75"/>
    <s v="YES"/>
    <s v="Yes"/>
    <n v="5"/>
    <x v="0"/>
    <x v="0"/>
  </r>
  <r>
    <x v="589"/>
    <s v="Eve"/>
    <s v="Stevens"/>
    <n v="40"/>
    <x v="7"/>
    <n v="1984"/>
    <s v="SIXTY THOUSAND"/>
    <x v="2"/>
    <s v="Male"/>
    <s v="finance"/>
    <s v="Finance"/>
    <s v="Analyst"/>
    <d v="2018-04-05T00:00:00"/>
    <d v="2018-04-05T00:00:00"/>
    <s v="A"/>
    <x v="51"/>
    <s v="eve.stevens@saltcorp.com"/>
    <s v="123-456-7890"/>
    <s v="Full-Time"/>
    <s v="Full-Time"/>
    <m/>
    <n v="7"/>
    <m/>
    <n v="18"/>
    <d v="2023-03-05T00:00:00"/>
    <n v="45"/>
    <s v="YES"/>
    <s v="Yes"/>
    <n v="1"/>
    <x v="0"/>
    <x v="0"/>
  </r>
  <r>
    <x v="590"/>
    <s v="Eve"/>
    <s v="Lucas"/>
    <n v="40"/>
    <x v="7"/>
    <n v="1984"/>
    <n v="61500"/>
    <x v="11"/>
    <s v="Male"/>
    <s v="sales"/>
    <s v="Sales"/>
    <s v="Manager"/>
    <d v="2020-02-20T00:00:00"/>
    <d v="2020-02-20T00:00:00"/>
    <s v="A"/>
    <x v="9"/>
    <s v="eve.lucas@saltcorp.com"/>
    <s v="555-555-5555"/>
    <s v="Full-Time"/>
    <s v="Full-Time"/>
    <m/>
    <n v="6"/>
    <m/>
    <n v="9"/>
    <m/>
    <m/>
    <s v="YES"/>
    <s v="Yes"/>
    <n v="2"/>
    <x v="0"/>
    <x v="0"/>
  </r>
  <r>
    <x v="591"/>
    <s v="David"/>
    <s v="Hanson"/>
    <n v="50"/>
    <x v="10"/>
    <n v="1974"/>
    <n v="65000"/>
    <x v="1"/>
    <s v="Male"/>
    <s v="HR"/>
    <s v="HR"/>
    <s v="Analyst"/>
    <d v="2020-01-15T00:00:00"/>
    <d v="2020-01-15T00:00:00"/>
    <s v="C"/>
    <x v="44"/>
    <s v="david.hanson@saltcorp.com"/>
    <s v="555-555-5555"/>
    <s v="Full-Time"/>
    <s v="Full-Time"/>
    <m/>
    <n v="1"/>
    <n v="2"/>
    <m/>
    <m/>
    <m/>
    <s v="no"/>
    <s v="No"/>
    <n v="1"/>
    <x v="1"/>
    <x v="1"/>
  </r>
  <r>
    <x v="592"/>
    <s v="Charlie"/>
    <s v="Martin"/>
    <m/>
    <x v="20"/>
    <n v="1993"/>
    <n v="55000"/>
    <x v="6"/>
    <s v="Male"/>
    <s v="HR"/>
    <s v="HR"/>
    <s v="Assistant"/>
    <d v="2019-03-25T00:00:00"/>
    <d v="2019-03-25T00:00:00"/>
    <s v="A"/>
    <x v="25"/>
    <s v="charlie.martin@saltcorp.com"/>
    <s v="123-456-7890"/>
    <s v="Part-Time"/>
    <s v="Part-Time"/>
    <m/>
    <n v="4"/>
    <m/>
    <m/>
    <m/>
    <n v="77"/>
    <m/>
    <s v=""/>
    <n v="4"/>
    <x v="1"/>
    <x v="1"/>
  </r>
  <r>
    <x v="593"/>
    <s v="Charlie"/>
    <s v="Aguilar"/>
    <m/>
    <x v="1"/>
    <n v="1983"/>
    <n v="50000"/>
    <x v="0"/>
    <s v="Male"/>
    <s v="HR"/>
    <s v="HR"/>
    <s v="Assistant"/>
    <d v="2020-02-20T00:00:00"/>
    <d v="2020-02-20T00:00:00"/>
    <s v="F"/>
    <x v="91"/>
    <s v="charlie.aguilar@saltcorp.com"/>
    <s v=" "/>
    <s v="Part-Time"/>
    <s v="Part-Time"/>
    <m/>
    <n v="3"/>
    <m/>
    <m/>
    <m/>
    <m/>
    <s v="no"/>
    <s v="No"/>
    <n v="4"/>
    <x v="0"/>
    <x v="0"/>
  </r>
  <r>
    <x v="594"/>
    <s v="David"/>
    <s v="Medina"/>
    <m/>
    <x v="29"/>
    <n v="1990"/>
    <n v="55000"/>
    <x v="6"/>
    <s v="Male"/>
    <s v="finance"/>
    <s v="Finance"/>
    <s v="Assistant"/>
    <d v="2020-01-15T00:00:00"/>
    <d v="2020-01-15T00:00:00"/>
    <s v="D"/>
    <x v="34"/>
    <s v="david.medina@saltcorp.com"/>
    <s v=" "/>
    <s v="Full-Time"/>
    <s v="Full-Time"/>
    <m/>
    <n v="3"/>
    <m/>
    <n v="19"/>
    <s v="N/A"/>
    <m/>
    <s v="YES"/>
    <s v="Yes"/>
    <n v="3"/>
    <x v="0"/>
    <x v="0"/>
  </r>
  <r>
    <x v="595"/>
    <s v="Ivy"/>
    <s v="Kumar"/>
    <s v="thirty"/>
    <x v="8"/>
    <n v="1994"/>
    <n v="59500"/>
    <x v="3"/>
    <s v="Female"/>
    <s v="finance"/>
    <s v="Finance"/>
    <s v="Manager"/>
    <d v="2019-12-01T00:00:00"/>
    <d v="2019-12-01T00:00:00"/>
    <s v="F"/>
    <x v="42"/>
    <s v="ivy.kumar@saltcorp.com"/>
    <s v="555-555-5555"/>
    <s v="contract"/>
    <s v="Contract"/>
    <m/>
    <n v="8"/>
    <m/>
    <n v="11"/>
    <m/>
    <m/>
    <s v="no"/>
    <s v="No"/>
    <n v="2"/>
    <x v="1"/>
    <x v="1"/>
  </r>
  <r>
    <x v="596"/>
    <s v="Bob"/>
    <s v="Gutierrez"/>
    <m/>
    <x v="33"/>
    <n v="1963"/>
    <n v="65000"/>
    <x v="1"/>
    <s v="Female"/>
    <s v="it"/>
    <s v="IT"/>
    <s v="Director"/>
    <d v="2019-03-25T00:00:00"/>
    <d v="2019-03-25T00:00:00"/>
    <s v="A"/>
    <x v="70"/>
    <s v="bob.gutierrez@saltcorp.com"/>
    <s v="098-765-4321"/>
    <s v="Part-Time"/>
    <s v="Part-Time"/>
    <m/>
    <n v="3"/>
    <s v="N/A"/>
    <m/>
    <s v="N/A"/>
    <n v="25"/>
    <s v="no"/>
    <s v="No"/>
    <n v="4"/>
    <x v="0"/>
    <x v="0"/>
  </r>
  <r>
    <x v="597"/>
    <s v="Ivy"/>
    <s v="Desai"/>
    <n v="35"/>
    <x v="2"/>
    <n v="1989"/>
    <n v="59300"/>
    <x v="13"/>
    <s v="Female"/>
    <s v="it"/>
    <s v="IT"/>
    <s v="Analyst"/>
    <d v="2019-12-01T00:00:00"/>
    <d v="2019-12-01T00:00:00"/>
    <s v="C"/>
    <x v="29"/>
    <s v="ivy.desai@saltcorp.com"/>
    <m/>
    <s v="Full-Time"/>
    <s v="Full-Time"/>
    <m/>
    <n v="3"/>
    <m/>
    <m/>
    <d v="2023-01-15T00:00:00"/>
    <m/>
    <m/>
    <s v=""/>
    <n v="1"/>
    <x v="1"/>
    <x v="1"/>
  </r>
  <r>
    <x v="598"/>
    <s v="Alice"/>
    <s v="Powers"/>
    <n v="25"/>
    <x v="0"/>
    <n v="1999"/>
    <n v="65000"/>
    <x v="1"/>
    <s v="Female"/>
    <s v="HR"/>
    <s v="HR"/>
    <s v="Assistant"/>
    <d v="2020-01-15T00:00:00"/>
    <d v="2020-01-15T00:00:00"/>
    <s v="C"/>
    <x v="8"/>
    <s v="alice.powers@saltcorp.com"/>
    <s v="098-765-4321"/>
    <s v="contract"/>
    <s v="Contract"/>
    <m/>
    <n v="3"/>
    <n v="3"/>
    <n v="4"/>
    <d v="2023-03-05T00:00:00"/>
    <m/>
    <s v="YES"/>
    <s v="Yes"/>
    <n v="2"/>
    <x v="1"/>
    <x v="1"/>
  </r>
  <r>
    <x v="599"/>
    <s v="Alice"/>
    <s v="Anderson"/>
    <m/>
    <x v="11"/>
    <n v="1985"/>
    <n v="70000"/>
    <x v="5"/>
    <s v="Male"/>
    <s v="sales"/>
    <s v="Sales"/>
    <s v="Analyst"/>
    <d v="2019-12-01T00:00:00"/>
    <d v="2019-12-01T00:00:00"/>
    <s v="D"/>
    <x v="43"/>
    <s v="alice.anderson@saltcorp.com"/>
    <s v=" "/>
    <s v="contract"/>
    <s v="Contract"/>
    <m/>
    <n v="8"/>
    <s v="N/A"/>
    <m/>
    <d v="2022-06-20T00:00:00"/>
    <n v="57"/>
    <m/>
    <s v=""/>
    <n v="2"/>
    <x v="0"/>
    <x v="0"/>
  </r>
  <r>
    <x v="600"/>
    <s v="Eve"/>
    <s v="Carter"/>
    <n v="50"/>
    <x v="10"/>
    <n v="1974"/>
    <n v="65000"/>
    <x v="1"/>
    <s v="Male"/>
    <s v="it"/>
    <s v="IT"/>
    <s v="Manager"/>
    <d v="2020-01-15T00:00:00"/>
    <d v="2020-01-15T00:00:00"/>
    <s v="F"/>
    <x v="73"/>
    <s v="eve.carter@saltcorp.com"/>
    <s v="098-765-4321"/>
    <s v="Full-Time"/>
    <s v="Full-Time"/>
    <m/>
    <n v="6"/>
    <m/>
    <m/>
    <m/>
    <n v="12"/>
    <s v="no"/>
    <s v="No"/>
    <n v="5"/>
    <x v="0"/>
    <x v="0"/>
  </r>
  <r>
    <x v="601"/>
    <s v="Frank"/>
    <s v="Sanchez"/>
    <n v="25"/>
    <x v="0"/>
    <n v="1999"/>
    <s v="SIXTY THOUSAND"/>
    <x v="2"/>
    <s v="Male"/>
    <s v="it"/>
    <s v="IT"/>
    <s v="Director"/>
    <d v="2020-01-15T00:00:00"/>
    <d v="2020-01-15T00:00:00"/>
    <s v="B"/>
    <x v="49"/>
    <s v="frank.sanchez@saltcorp.com"/>
    <m/>
    <s v="Full-Time"/>
    <s v="Full-Time"/>
    <m/>
    <n v="1"/>
    <s v="N/A"/>
    <m/>
    <s v="N/A"/>
    <n v="55"/>
    <s v="no"/>
    <s v="No"/>
    <n v="3"/>
    <x v="0"/>
    <x v="0"/>
  </r>
  <r>
    <x v="602"/>
    <s v="Frank"/>
    <s v="Powers"/>
    <s v="thirty"/>
    <x v="8"/>
    <n v="1994"/>
    <n v="59500"/>
    <x v="3"/>
    <s v="Female"/>
    <s v="finance"/>
    <s v="Finance"/>
    <s v="Manager"/>
    <d v="2019-12-01T00:00:00"/>
    <d v="2019-12-01T00:00:00"/>
    <s v="F"/>
    <x v="92"/>
    <s v="frank.powers@saltcorp.com"/>
    <s v="098-765-4321"/>
    <s v="Full-Time"/>
    <s v="Full-Time"/>
    <s v="EMP-2018-0076"/>
    <n v="4"/>
    <m/>
    <m/>
    <d v="2022-06-20T00:00:00"/>
    <m/>
    <m/>
    <s v=""/>
    <n v="4"/>
    <x v="0"/>
    <x v="0"/>
  </r>
  <r>
    <x v="603"/>
    <s v="Charlie"/>
    <s v="Clark"/>
    <n v="50"/>
    <x v="10"/>
    <n v="1974"/>
    <n v="50000"/>
    <x v="0"/>
    <s v="Male"/>
    <s v="sales"/>
    <s v="Sales"/>
    <s v="Analyst"/>
    <d v="2020-01-15T00:00:00"/>
    <d v="2020-01-15T00:00:00"/>
    <s v="A"/>
    <x v="3"/>
    <s v="charlie.clark@saltcorp.com"/>
    <s v="098-765-4321"/>
    <s v="contract"/>
    <s v="Contract"/>
    <s v="EMP-2020-0051"/>
    <n v="8"/>
    <m/>
    <m/>
    <d v="2023-03-05T00:00:00"/>
    <m/>
    <s v="no"/>
    <s v="No"/>
    <n v="2"/>
    <x v="0"/>
    <x v="0"/>
  </r>
  <r>
    <x v="604"/>
    <s v="Grace"/>
    <s v="Hanson"/>
    <n v="25"/>
    <x v="0"/>
    <n v="1999"/>
    <n v="70000"/>
    <x v="5"/>
    <s v="Female"/>
    <s v="HR"/>
    <s v="HR"/>
    <s v="Director"/>
    <d v="2020-02-20T00:00:00"/>
    <d v="2020-02-20T00:00:00"/>
    <s v="B"/>
    <x v="49"/>
    <s v="grace.hanson@saltcorp.com"/>
    <s v="098-765-4321"/>
    <s v="contract"/>
    <s v="Contract"/>
    <m/>
    <n v="4"/>
    <m/>
    <m/>
    <d v="2023-01-15T00:00:00"/>
    <n v="76"/>
    <s v="YES"/>
    <s v="Yes"/>
    <n v="1"/>
    <x v="1"/>
    <x v="1"/>
  </r>
  <r>
    <x v="605"/>
    <s v="Ivy"/>
    <s v="Singh"/>
    <n v="50"/>
    <x v="10"/>
    <n v="1974"/>
    <s v="SIXTY THOUSAND"/>
    <x v="2"/>
    <s v="Female"/>
    <s v="it"/>
    <s v="IT"/>
    <s v="Director"/>
    <d v="2020-01-15T00:00:00"/>
    <d v="2020-01-15T00:00:00"/>
    <s v="C"/>
    <x v="29"/>
    <s v="ivy.singh@saltcorp.com"/>
    <s v="098-765-4321"/>
    <s v="contract"/>
    <s v="Contract"/>
    <m/>
    <n v="2"/>
    <m/>
    <m/>
    <m/>
    <n v="33"/>
    <m/>
    <s v=""/>
    <n v="5"/>
    <x v="0"/>
    <x v="0"/>
  </r>
  <r>
    <x v="606"/>
    <s v="Jack"/>
    <s v="Walsh"/>
    <s v="thirty"/>
    <x v="8"/>
    <n v="1994"/>
    <n v="55000"/>
    <x v="6"/>
    <s v="Female"/>
    <s v="sales"/>
    <s v="Sales"/>
    <s v="Manager"/>
    <d v="2018-04-05T00:00:00"/>
    <d v="2018-04-05T00:00:00"/>
    <s v="D"/>
    <x v="24"/>
    <s v="jack.walsh@saltcorp.com"/>
    <s v="123-456-7890"/>
    <s v="Part-Time"/>
    <s v="Part-Time"/>
    <m/>
    <n v="5"/>
    <n v="10"/>
    <m/>
    <m/>
    <m/>
    <s v="YES"/>
    <s v="Yes"/>
    <n v="2"/>
    <x v="1"/>
    <x v="1"/>
  </r>
  <r>
    <x v="607"/>
    <s v="Hannah"/>
    <s v="Long"/>
    <n v="35"/>
    <x v="2"/>
    <n v="1989"/>
    <n v="58300"/>
    <x v="12"/>
    <s v="Female"/>
    <s v="sales"/>
    <s v="Sales"/>
    <s v="Assistant"/>
    <d v="2020-01-15T00:00:00"/>
    <d v="2020-01-15T00:00:00"/>
    <s v="D"/>
    <x v="17"/>
    <s v="hannah.long@saltcorp.com"/>
    <s v=" "/>
    <s v="Full-Time"/>
    <s v="Full-Time"/>
    <m/>
    <n v="6"/>
    <n v="11"/>
    <m/>
    <d v="2024-08-12T00:00:00"/>
    <n v="54"/>
    <s v="YES"/>
    <s v="Yes"/>
    <n v="2"/>
    <x v="1"/>
    <x v="1"/>
  </r>
  <r>
    <x v="608"/>
    <s v="Frank"/>
    <s v="Ramirez"/>
    <s v="thirty"/>
    <x v="8"/>
    <n v="1994"/>
    <n v="50000"/>
    <x v="0"/>
    <s v="Male"/>
    <s v="HR"/>
    <s v="HR"/>
    <s v="Analyst"/>
    <d v="2018-04-05T00:00:00"/>
    <d v="2018-04-05T00:00:00"/>
    <s v="C"/>
    <x v="20"/>
    <s v="frank.ramirez@saltcorp.com"/>
    <m/>
    <s v="contract"/>
    <s v="Contract"/>
    <s v="EMP-2019-0030"/>
    <n v="4"/>
    <s v="N/A"/>
    <m/>
    <m/>
    <n v="42"/>
    <s v="YES"/>
    <s v="Yes"/>
    <n v="1"/>
    <x v="1"/>
    <x v="1"/>
  </r>
  <r>
    <x v="609"/>
    <s v="Hannah"/>
    <s v="Ross"/>
    <s v="thirty"/>
    <x v="8"/>
    <n v="1994"/>
    <n v="65000"/>
    <x v="1"/>
    <s v="Female"/>
    <s v="sales"/>
    <s v="Sales"/>
    <s v="Clerk"/>
    <d v="2020-01-15T00:00:00"/>
    <d v="2020-01-15T00:00:00"/>
    <s v="A"/>
    <x v="32"/>
    <s v="hannah.ross@saltcorp.com"/>
    <s v=" "/>
    <s v="Full-Time"/>
    <s v="Full-Time"/>
    <m/>
    <n v="1"/>
    <m/>
    <m/>
    <m/>
    <m/>
    <s v="YES"/>
    <s v="Yes"/>
    <n v="2"/>
    <x v="0"/>
    <x v="0"/>
  </r>
  <r>
    <x v="610"/>
    <s v="Eve"/>
    <s v="Cooper"/>
    <n v="50"/>
    <x v="10"/>
    <n v="1974"/>
    <n v="50000"/>
    <x v="0"/>
    <s v="Female"/>
    <s v="sales"/>
    <s v="Sales"/>
    <s v="Clerk"/>
    <d v="2020-01-15T00:00:00"/>
    <d v="2020-01-15T00:00:00"/>
    <s v="C"/>
    <x v="69"/>
    <s v="eve.cooper@saltcorp.com"/>
    <s v="123-456-7890"/>
    <s v="Part-Time"/>
    <s v="Part-Time"/>
    <m/>
    <n v="4"/>
    <m/>
    <n v="17"/>
    <d v="2023-03-05T00:00:00"/>
    <m/>
    <s v="YES"/>
    <s v="Yes"/>
    <n v="5"/>
    <x v="0"/>
    <x v="0"/>
  </r>
  <r>
    <x v="611"/>
    <s v="Hannah"/>
    <s v="Powell"/>
    <n v="40"/>
    <x v="7"/>
    <n v="1984"/>
    <n v="55000"/>
    <x v="6"/>
    <s v="Female"/>
    <s v="sales"/>
    <s v="Sales"/>
    <s v="Manager"/>
    <d v="2019-12-01T00:00:00"/>
    <d v="2019-12-01T00:00:00"/>
    <s v="A"/>
    <x v="51"/>
    <s v="hannah.powell@saltcorp.com"/>
    <s v="123-456-7890"/>
    <s v="contract"/>
    <s v="Contract"/>
    <m/>
    <n v="6"/>
    <m/>
    <m/>
    <d v="2021-10-01T00:00:00"/>
    <n v="10"/>
    <s v="YES"/>
    <s v="Yes"/>
    <n v="4"/>
    <x v="0"/>
    <x v="0"/>
  </r>
  <r>
    <x v="612"/>
    <s v="Jack"/>
    <s v="Dixon"/>
    <m/>
    <x v="20"/>
    <n v="1993"/>
    <n v="70000"/>
    <x v="5"/>
    <s v="Female"/>
    <s v="it"/>
    <s v="IT"/>
    <s v="Analyst"/>
    <d v="2020-02-20T00:00:00"/>
    <d v="2020-02-20T00:00:00"/>
    <s v="B"/>
    <x v="10"/>
    <s v="jack.dixon@saltcorp.com"/>
    <s v="123-456-7890"/>
    <s v="Full-Time"/>
    <s v="Full-Time"/>
    <m/>
    <n v="7"/>
    <m/>
    <n v="12"/>
    <d v="2023-03-05T00:00:00"/>
    <n v="79"/>
    <s v="YES"/>
    <s v="Yes"/>
    <n v="1"/>
    <x v="1"/>
    <x v="1"/>
  </r>
  <r>
    <x v="613"/>
    <s v="David"/>
    <s v="Murphy"/>
    <m/>
    <x v="11"/>
    <n v="1985"/>
    <n v="70000"/>
    <x v="5"/>
    <s v="Female"/>
    <s v="HR"/>
    <s v="HR"/>
    <s v="Analyst"/>
    <d v="2020-02-20T00:00:00"/>
    <d v="2020-02-20T00:00:00"/>
    <s v="C"/>
    <x v="2"/>
    <s v="david.murphy@saltcorp.com"/>
    <s v="123-456-7890"/>
    <s v="Full-Time"/>
    <s v="Full-Time"/>
    <m/>
    <n v="8"/>
    <m/>
    <m/>
    <d v="2024-08-12T00:00:00"/>
    <m/>
    <s v="YES"/>
    <s v="Yes"/>
    <n v="4"/>
    <x v="1"/>
    <x v="1"/>
  </r>
  <r>
    <x v="614"/>
    <s v="Jack"/>
    <s v="Sullivan"/>
    <n v="35"/>
    <x v="2"/>
    <n v="1989"/>
    <n v="61500"/>
    <x v="11"/>
    <s v="Female"/>
    <s v="sales"/>
    <s v="Sales"/>
    <s v="Manager"/>
    <d v="2019-03-25T00:00:00"/>
    <d v="2019-03-25T00:00:00"/>
    <s v="A"/>
    <x v="51"/>
    <s v="jack.sullivan@saltcorp.com"/>
    <s v="098-765-4321"/>
    <s v="contract"/>
    <s v="Contract"/>
    <s v="EMP-2020-0038"/>
    <n v="8"/>
    <m/>
    <m/>
    <d v="2021-10-01T00:00:00"/>
    <m/>
    <s v="YES"/>
    <s v="Yes"/>
    <n v="4"/>
    <x v="0"/>
    <x v="0"/>
  </r>
  <r>
    <x v="615"/>
    <s v="Hannah"/>
    <s v="Hughes"/>
    <n v="35"/>
    <x v="2"/>
    <n v="1989"/>
    <n v="70000"/>
    <x v="5"/>
    <s v="Female"/>
    <s v="sales"/>
    <s v="Sales"/>
    <s v="Analyst"/>
    <d v="2019-12-01T00:00:00"/>
    <d v="2019-12-01T00:00:00"/>
    <s v="B"/>
    <x v="35"/>
    <s v="hannah.hughes@saltcorp.com"/>
    <s v=" "/>
    <s v="Part-Time"/>
    <s v="Part-Time"/>
    <s v="EMP-2018-0035"/>
    <n v="1"/>
    <s v="N/A"/>
    <n v="10"/>
    <m/>
    <m/>
    <s v="no"/>
    <s v="No"/>
    <n v="5"/>
    <x v="0"/>
    <x v="0"/>
  </r>
  <r>
    <x v="616"/>
    <s v="Jack"/>
    <s v="O'Connor"/>
    <m/>
    <x v="29"/>
    <n v="1990"/>
    <n v="59800"/>
    <x v="21"/>
    <s v="Male"/>
    <s v="it"/>
    <s v="IT"/>
    <s v="Assistant"/>
    <d v="2019-12-01T00:00:00"/>
    <d v="2019-12-01T00:00:00"/>
    <s v="C"/>
    <x v="23"/>
    <s v="jack.o'connor@saltcorp.com"/>
    <s v="555-555-5555"/>
    <s v="Part-Time"/>
    <s v="Part-Time"/>
    <m/>
    <n v="1"/>
    <m/>
    <n v="9"/>
    <m/>
    <m/>
    <s v="YES"/>
    <s v="Yes"/>
    <n v="3"/>
    <x v="0"/>
    <x v="0"/>
  </r>
  <r>
    <x v="617"/>
    <s v="Bob"/>
    <s v="Olson"/>
    <n v="40"/>
    <x v="7"/>
    <n v="1984"/>
    <n v="59000"/>
    <x v="20"/>
    <s v="Female"/>
    <s v="HR"/>
    <s v="HR"/>
    <s v="Manager"/>
    <d v="2020-02-20T00:00:00"/>
    <d v="2020-02-20T00:00:00"/>
    <s v="D"/>
    <x v="0"/>
    <s v="bob.olson@saltcorp.com"/>
    <m/>
    <s v="contract"/>
    <s v="Contract"/>
    <s v="EMP-2019-0014"/>
    <n v="6"/>
    <n v="15"/>
    <m/>
    <d v="2024-08-12T00:00:00"/>
    <m/>
    <s v="YES"/>
    <s v="Yes"/>
    <n v="2"/>
    <x v="0"/>
    <x v="0"/>
  </r>
  <r>
    <x v="618"/>
    <s v="Eve"/>
    <s v="Parker"/>
    <m/>
    <x v="6"/>
    <n v="1991"/>
    <n v="58500"/>
    <x v="4"/>
    <s v="Male"/>
    <s v="finance"/>
    <s v="Finance"/>
    <s v="Assistant"/>
    <d v="2019-12-01T00:00:00"/>
    <d v="2019-12-01T00:00:00"/>
    <s v="C"/>
    <x v="7"/>
    <s v="eve.parker@saltcorp.com"/>
    <s v="123-456-7890"/>
    <s v="Full-Time"/>
    <s v="Full-Time"/>
    <m/>
    <n v="2"/>
    <s v="N/A"/>
    <m/>
    <m/>
    <m/>
    <s v="no"/>
    <s v="No"/>
    <n v="2"/>
    <x v="0"/>
    <x v="0"/>
  </r>
  <r>
    <x v="619"/>
    <s v="Ivy"/>
    <s v="Sharma"/>
    <n v="40"/>
    <x v="7"/>
    <n v="1984"/>
    <n v="65000"/>
    <x v="1"/>
    <s v="Female"/>
    <s v="it"/>
    <s v="IT"/>
    <s v="Analyst"/>
    <d v="2020-02-20T00:00:00"/>
    <d v="2020-02-20T00:00:00"/>
    <s v="F"/>
    <x v="64"/>
    <s v="ivy.sharma@saltcorp.com"/>
    <s v=" "/>
    <s v="Full-Time"/>
    <s v="Full-Time"/>
    <s v="EMP-2018-0017"/>
    <n v="5"/>
    <m/>
    <m/>
    <m/>
    <m/>
    <s v="no"/>
    <s v="No"/>
    <n v="3"/>
    <x v="0"/>
    <x v="0"/>
  </r>
  <r>
    <x v="620"/>
    <s v="David"/>
    <s v="Kim"/>
    <n v="35"/>
    <x v="2"/>
    <n v="1989"/>
    <s v="SIXTY THOUSAND"/>
    <x v="2"/>
    <s v="Female"/>
    <s v="HR"/>
    <s v="HR"/>
    <s v="Manager"/>
    <d v="2019-12-01T00:00:00"/>
    <d v="2019-12-01T00:00:00"/>
    <s v="C"/>
    <x v="31"/>
    <s v="david.kim@saltcorp.com"/>
    <s v="123-456-7890"/>
    <s v="Part-Time"/>
    <s v="Part-Time"/>
    <m/>
    <n v="5"/>
    <m/>
    <m/>
    <m/>
    <n v="41"/>
    <s v="no"/>
    <s v="No"/>
    <n v="2"/>
    <x v="0"/>
    <x v="0"/>
  </r>
  <r>
    <x v="621"/>
    <s v="Frank"/>
    <s v="Gonzalez"/>
    <n v="25"/>
    <x v="0"/>
    <n v="1999"/>
    <n v="60000"/>
    <x v="2"/>
    <s v="Male"/>
    <s v="sales"/>
    <s v="Sales"/>
    <s v="Analyst"/>
    <d v="2020-01-15T00:00:00"/>
    <d v="2020-01-15T00:00:00"/>
    <s v="F"/>
    <x v="93"/>
    <s v="frank.gonzalez@saltcorp.com"/>
    <s v="123-456-7890"/>
    <s v="Full-Time"/>
    <s v="Full-Time"/>
    <s v="EMP-2018-0004"/>
    <n v="3"/>
    <s v="N/A"/>
    <m/>
    <m/>
    <m/>
    <m/>
    <s v=""/>
    <n v="1"/>
    <x v="1"/>
    <x v="1"/>
  </r>
  <r>
    <x v="622"/>
    <s v="Alice"/>
    <s v="Navarro"/>
    <n v="50"/>
    <x v="10"/>
    <n v="1974"/>
    <n v="59000"/>
    <x v="20"/>
    <s v="Female"/>
    <s v="HR"/>
    <s v="HR"/>
    <s v="Manager"/>
    <d v="2020-02-20T00:00:00"/>
    <d v="2020-02-20T00:00:00"/>
    <s v="B"/>
    <x v="21"/>
    <s v="alice.navarro@saltcorp.com"/>
    <s v="123-456-7890"/>
    <s v="contract"/>
    <s v="Contract"/>
    <m/>
    <n v="7"/>
    <m/>
    <n v="6"/>
    <d v="2023-01-15T00:00:00"/>
    <n v="10"/>
    <s v="no"/>
    <s v="No"/>
    <n v="3"/>
    <x v="1"/>
    <x v="1"/>
  </r>
  <r>
    <x v="623"/>
    <s v="Ivy"/>
    <s v="Byrd"/>
    <n v="35"/>
    <x v="2"/>
    <n v="1989"/>
    <s v="SIXTY THOUSAND"/>
    <x v="2"/>
    <s v="Female"/>
    <s v="HR"/>
    <s v="HR"/>
    <s v="Analyst"/>
    <d v="2020-02-20T00:00:00"/>
    <d v="2020-02-20T00:00:00"/>
    <s v="C"/>
    <x v="31"/>
    <s v="ivy.byrd@saltcorp.com"/>
    <s v="123-456-7890"/>
    <s v="contract"/>
    <s v="Contract"/>
    <m/>
    <n v="7"/>
    <n v="2"/>
    <m/>
    <m/>
    <m/>
    <m/>
    <s v=""/>
    <n v="1"/>
    <x v="0"/>
    <x v="0"/>
  </r>
  <r>
    <x v="624"/>
    <s v="Alice"/>
    <s v="Lee"/>
    <n v="35"/>
    <x v="2"/>
    <n v="1989"/>
    <n v="50000"/>
    <x v="0"/>
    <s v="Female"/>
    <s v="HR"/>
    <s v="HR"/>
    <s v="Assistant"/>
    <d v="2018-04-05T00:00:00"/>
    <d v="2018-04-05T00:00:00"/>
    <s v="B"/>
    <x v="26"/>
    <s v="alice.lee@saltcorp.com"/>
    <s v="123-456-7890"/>
    <s v="Full-Time"/>
    <s v="Full-Time"/>
    <m/>
    <n v="6"/>
    <m/>
    <m/>
    <m/>
    <m/>
    <m/>
    <s v=""/>
    <n v="3"/>
    <x v="0"/>
    <x v="0"/>
  </r>
  <r>
    <x v="625"/>
    <s v="Eve"/>
    <s v="Turner"/>
    <s v="thirty"/>
    <x v="8"/>
    <n v="1994"/>
    <n v="58500"/>
    <x v="4"/>
    <s v="Female"/>
    <s v="finance"/>
    <s v="Finance"/>
    <s v="Assistant"/>
    <d v="2019-12-01T00:00:00"/>
    <d v="2019-12-01T00:00:00"/>
    <s v="B"/>
    <x v="45"/>
    <s v="eve.turner@saltcorp.com"/>
    <m/>
    <s v="contract"/>
    <s v="Contract"/>
    <m/>
    <n v="2"/>
    <n v="6"/>
    <n v="4"/>
    <d v="2021-10-01T00:00:00"/>
    <m/>
    <s v="YES"/>
    <s v="Yes"/>
    <n v="5"/>
    <x v="1"/>
    <x v="1"/>
  </r>
  <r>
    <x v="626"/>
    <s v="David"/>
    <s v="Gomez"/>
    <s v="thirty"/>
    <x v="8"/>
    <n v="1994"/>
    <n v="65000"/>
    <x v="1"/>
    <s v="Female"/>
    <s v="HR"/>
    <s v="HR"/>
    <s v="Analyst"/>
    <d v="2019-12-01T00:00:00"/>
    <d v="2019-12-01T00:00:00"/>
    <s v="A"/>
    <x v="3"/>
    <s v="david.gomez@saltcorp.com"/>
    <s v=" "/>
    <s v="Full-Time"/>
    <s v="Full-Time"/>
    <m/>
    <n v="5"/>
    <s v="N/A"/>
    <n v="4"/>
    <s v="N/A"/>
    <m/>
    <s v="YES"/>
    <s v="Yes"/>
    <n v="1"/>
    <x v="0"/>
    <x v="0"/>
  </r>
  <r>
    <x v="627"/>
    <s v="Charlie"/>
    <s v="Vega"/>
    <s v="thirty"/>
    <x v="8"/>
    <n v="1994"/>
    <n v="70000"/>
    <x v="5"/>
    <s v="Female"/>
    <s v="finance"/>
    <s v="Finance"/>
    <s v="Manager"/>
    <d v="2020-02-20T00:00:00"/>
    <d v="2020-02-20T00:00:00"/>
    <s v="B"/>
    <x v="45"/>
    <s v="charlie.vega@saltcorp.com"/>
    <s v="123-456-7890"/>
    <s v="Part-Time"/>
    <s v="Part-Time"/>
    <m/>
    <n v="7"/>
    <n v="14"/>
    <n v="6"/>
    <m/>
    <m/>
    <s v="YES"/>
    <s v="Yes"/>
    <n v="3"/>
    <x v="0"/>
    <x v="0"/>
  </r>
  <r>
    <x v="628"/>
    <s v="Frank"/>
    <s v="Perez"/>
    <n v="50"/>
    <x v="10"/>
    <n v="1974"/>
    <n v="70000"/>
    <x v="5"/>
    <s v="Male"/>
    <s v="sales"/>
    <s v="Sales"/>
    <s v="Clerk"/>
    <d v="2020-01-15T00:00:00"/>
    <d v="2020-01-15T00:00:00"/>
    <s v="B"/>
    <x v="14"/>
    <s v="frank.perez@saltcorp.com"/>
    <s v="123-456-7890"/>
    <s v="Part-Time"/>
    <s v="Part-Time"/>
    <m/>
    <n v="4"/>
    <n v="2"/>
    <m/>
    <d v="2023-01-15T00:00:00"/>
    <m/>
    <s v="YES"/>
    <s v="Yes"/>
    <n v="2"/>
    <x v="1"/>
    <x v="1"/>
  </r>
  <r>
    <x v="629"/>
    <s v="Bob"/>
    <s v="Miller"/>
    <s v="thirty"/>
    <x v="8"/>
    <n v="1994"/>
    <n v="55000"/>
    <x v="6"/>
    <s v="Male"/>
    <s v="finance"/>
    <s v="Finance"/>
    <s v="Assistant"/>
    <d v="2020-01-15T00:00:00"/>
    <d v="2020-01-15T00:00:00"/>
    <s v="C"/>
    <x v="20"/>
    <s v="bob.miller@saltcorp.com"/>
    <s v="123-456-7890"/>
    <s v="Full-Time"/>
    <s v="Full-Time"/>
    <m/>
    <n v="7"/>
    <m/>
    <n v="13"/>
    <s v="N/A"/>
    <n v="8"/>
    <s v="YES"/>
    <s v="Yes"/>
    <n v="3"/>
    <x v="0"/>
    <x v="0"/>
  </r>
  <r>
    <x v="630"/>
    <s v="Charlie"/>
    <s v="Ward"/>
    <n v="40"/>
    <x v="7"/>
    <n v="1984"/>
    <n v="55000"/>
    <x v="6"/>
    <s v="Female"/>
    <s v="sales"/>
    <s v="Sales"/>
    <s v="Assistant"/>
    <d v="2020-01-15T00:00:00"/>
    <d v="2020-01-15T00:00:00"/>
    <s v="C"/>
    <x v="20"/>
    <s v="charlie.ward@saltcorp.com"/>
    <s v="123-456-7890"/>
    <s v="Full-Time"/>
    <s v="Full-Time"/>
    <s v="EMP-2019-0062"/>
    <n v="6"/>
    <s v="N/A"/>
    <m/>
    <s v="N/A"/>
    <m/>
    <s v="YES"/>
    <s v="Yes"/>
    <n v="1"/>
    <x v="1"/>
    <x v="1"/>
  </r>
  <r>
    <x v="631"/>
    <s v="Eve"/>
    <s v="Cooper"/>
    <m/>
    <x v="6"/>
    <n v="1991"/>
    <n v="70000"/>
    <x v="5"/>
    <s v="Female"/>
    <s v="sales"/>
    <s v="Sales"/>
    <s v="Clerk"/>
    <d v="2019-12-01T00:00:00"/>
    <d v="2019-12-01T00:00:00"/>
    <s v="D"/>
    <x v="24"/>
    <s v="eve.cooper@saltcorp.com"/>
    <s v="098-765-4321"/>
    <s v="Part-Time"/>
    <s v="Part-Time"/>
    <m/>
    <n v="6"/>
    <s v="N/A"/>
    <m/>
    <d v="2022-06-20T00:00:00"/>
    <n v="46"/>
    <s v="no"/>
    <s v="No"/>
    <n v="5"/>
    <x v="0"/>
    <x v="0"/>
  </r>
  <r>
    <x v="632"/>
    <s v="Ivy"/>
    <s v="Reddy"/>
    <n v="25"/>
    <x v="0"/>
    <n v="1999"/>
    <n v="70000"/>
    <x v="5"/>
    <s v="Female"/>
    <s v="finance"/>
    <s v="Finance"/>
    <s v="Analyst"/>
    <d v="2018-04-05T00:00:00"/>
    <d v="2018-04-05T00:00:00"/>
    <s v="A"/>
    <x v="51"/>
    <s v="ivy.reddy@saltcorp.com"/>
    <s v="098-765-4321"/>
    <s v="Part-Time"/>
    <s v="Part-Time"/>
    <m/>
    <n v="8"/>
    <s v="N/A"/>
    <n v="7"/>
    <m/>
    <m/>
    <s v="no"/>
    <s v="No"/>
    <n v="1"/>
    <x v="1"/>
    <x v="1"/>
  </r>
  <r>
    <x v="633"/>
    <s v="Bob"/>
    <s v="Miller"/>
    <n v="35"/>
    <x v="2"/>
    <n v="1989"/>
    <n v="65000"/>
    <x v="1"/>
    <s v="Male"/>
    <s v="it"/>
    <s v="IT"/>
    <s v="Manager"/>
    <d v="2020-02-20T00:00:00"/>
    <d v="2020-02-20T00:00:00"/>
    <s v="B"/>
    <x v="49"/>
    <s v="bob.miller@saltcorp.com"/>
    <s v="555-555-5555"/>
    <s v="contract"/>
    <s v="Contract"/>
    <m/>
    <n v="8"/>
    <m/>
    <m/>
    <m/>
    <n v="67"/>
    <m/>
    <s v=""/>
    <n v="4"/>
    <x v="0"/>
    <x v="0"/>
  </r>
  <r>
    <x v="634"/>
    <s v="Jack"/>
    <s v="Harrison"/>
    <n v="40"/>
    <x v="7"/>
    <n v="1984"/>
    <s v="SIXTY THOUSAND"/>
    <x v="2"/>
    <s v="Male"/>
    <s v="Marketing"/>
    <s v="Marketing"/>
    <s v="Analyst"/>
    <d v="2019-03-25T00:00:00"/>
    <d v="2019-03-25T00:00:00"/>
    <s v="A"/>
    <x v="51"/>
    <s v="jack.harrison@saltcorp.com"/>
    <s v="123-456-7890"/>
    <s v="Full-Time"/>
    <s v="Full-Time"/>
    <m/>
    <n v="1"/>
    <m/>
    <n v="15"/>
    <m/>
    <n v="41"/>
    <s v="YES"/>
    <s v="Yes"/>
    <n v="2"/>
    <x v="1"/>
    <x v="1"/>
  </r>
  <r>
    <x v="635"/>
    <s v="Hannah"/>
    <s v="Gray"/>
    <n v="25"/>
    <x v="0"/>
    <n v="1999"/>
    <n v="55000"/>
    <x v="6"/>
    <s v="Male"/>
    <s v="HR"/>
    <s v="HR"/>
    <s v="Director"/>
    <d v="2018-04-05T00:00:00"/>
    <d v="2018-04-05T00:00:00"/>
    <s v="F"/>
    <x v="94"/>
    <s v="hannah.gray@saltcorp.com"/>
    <s v="555-555-5555"/>
    <s v="contract"/>
    <s v="Contract"/>
    <m/>
    <n v="3"/>
    <n v="9"/>
    <m/>
    <m/>
    <n v="5"/>
    <s v="YES"/>
    <s v="Yes"/>
    <n v="5"/>
    <x v="1"/>
    <x v="1"/>
  </r>
  <r>
    <x v="636"/>
    <s v="Bob"/>
    <s v="Miller"/>
    <n v="40"/>
    <x v="7"/>
    <n v="1984"/>
    <s v="SIXTY THOUSAND"/>
    <x v="2"/>
    <s v="Male"/>
    <s v="Marketing"/>
    <s v="Marketing"/>
    <s v="Assistant"/>
    <d v="2019-03-25T00:00:00"/>
    <d v="2019-03-25T00:00:00"/>
    <s v="B"/>
    <x v="45"/>
    <s v="bob.miller@saltcorp.com"/>
    <m/>
    <s v="Full-Time"/>
    <s v="Full-Time"/>
    <m/>
    <n v="8"/>
    <s v="N/A"/>
    <n v="3"/>
    <d v="2023-03-05T00:00:00"/>
    <m/>
    <s v="YES"/>
    <s v="Yes"/>
    <n v="5"/>
    <x v="1"/>
    <x v="1"/>
  </r>
  <r>
    <x v="637"/>
    <s v="Eve"/>
    <s v="Aguilar"/>
    <n v="40"/>
    <x v="7"/>
    <n v="1984"/>
    <n v="65000"/>
    <x v="1"/>
    <s v="Female"/>
    <s v="HR"/>
    <s v="HR"/>
    <s v="Director"/>
    <d v="2018-04-05T00:00:00"/>
    <d v="2018-04-05T00:00:00"/>
    <s v="A"/>
    <x v="70"/>
    <s v="eve.aguilar@saltcorp.com"/>
    <s v="555-555-5555"/>
    <s v="Full-Time"/>
    <s v="Full-Time"/>
    <m/>
    <n v="3"/>
    <m/>
    <m/>
    <m/>
    <m/>
    <s v="YES"/>
    <s v="Yes"/>
    <n v="3"/>
    <x v="0"/>
    <x v="0"/>
  </r>
  <r>
    <x v="638"/>
    <s v="Grace"/>
    <s v="Mason"/>
    <n v="35"/>
    <x v="2"/>
    <n v="1989"/>
    <n v="70000"/>
    <x v="5"/>
    <s v="Male"/>
    <s v="HR"/>
    <s v="HR"/>
    <s v="Assistant"/>
    <d v="2020-01-15T00:00:00"/>
    <d v="2020-01-15T00:00:00"/>
    <s v="D"/>
    <x v="15"/>
    <s v="grace.mason@saltcorp.com"/>
    <s v=" "/>
    <s v="Part-Time"/>
    <s v="Part-Time"/>
    <m/>
    <n v="4"/>
    <m/>
    <m/>
    <m/>
    <m/>
    <s v="no"/>
    <s v="No"/>
    <n v="3"/>
    <x v="0"/>
    <x v="0"/>
  </r>
  <r>
    <x v="639"/>
    <s v="Hannah"/>
    <s v="Bell"/>
    <m/>
    <x v="25"/>
    <n v="1998"/>
    <n v="58300"/>
    <x v="12"/>
    <s v="Male"/>
    <s v="sales"/>
    <s v="Sales"/>
    <s v="Assistant"/>
    <d v="2019-12-01T00:00:00"/>
    <d v="2019-12-01T00:00:00"/>
    <s v="D"/>
    <x v="34"/>
    <s v="hannah.bell@saltcorp.com"/>
    <s v="098-765-4321"/>
    <s v="Full-Time"/>
    <s v="Full-Time"/>
    <m/>
    <n v="2"/>
    <m/>
    <n v="6"/>
    <m/>
    <m/>
    <m/>
    <s v=""/>
    <n v="1"/>
    <x v="1"/>
    <x v="1"/>
  </r>
  <r>
    <x v="640"/>
    <s v="Alice"/>
    <s v="Olson"/>
    <s v="thirty"/>
    <x v="8"/>
    <n v="1994"/>
    <s v="SIXTY THOUSAND"/>
    <x v="2"/>
    <s v="Male"/>
    <s v="HR"/>
    <s v="HR"/>
    <s v="Director"/>
    <d v="2019-03-25T00:00:00"/>
    <d v="2019-03-25T00:00:00"/>
    <s v="B"/>
    <x v="45"/>
    <s v="alice.olson@saltcorp.com"/>
    <s v="098-765-4321"/>
    <s v="Part-Time"/>
    <s v="Part-Time"/>
    <m/>
    <n v="5"/>
    <n v="3"/>
    <n v="3"/>
    <m/>
    <m/>
    <s v="YES"/>
    <s v="Yes"/>
    <n v="2"/>
    <x v="1"/>
    <x v="1"/>
  </r>
  <r>
    <x v="641"/>
    <s v="Frank"/>
    <s v="Medina"/>
    <n v="50"/>
    <x v="10"/>
    <n v="1974"/>
    <n v="70000"/>
    <x v="5"/>
    <s v="Male"/>
    <s v="HR"/>
    <s v="HR"/>
    <s v="Director"/>
    <d v="2018-04-05T00:00:00"/>
    <d v="2018-04-05T00:00:00"/>
    <s v="F"/>
    <x v="72"/>
    <s v="frank.medina@saltcorp.com"/>
    <s v="123-456-7890"/>
    <s v="contract"/>
    <s v="Contract"/>
    <m/>
    <n v="4"/>
    <m/>
    <m/>
    <m/>
    <m/>
    <m/>
    <s v=""/>
    <n v="3"/>
    <x v="0"/>
    <x v="0"/>
  </r>
  <r>
    <x v="642"/>
    <s v="Alice"/>
    <s v="Thompson"/>
    <m/>
    <x v="2"/>
    <n v="1989"/>
    <n v="70000"/>
    <x v="5"/>
    <s v="Female"/>
    <s v="finance"/>
    <s v="Finance"/>
    <s v="Analyst"/>
    <d v="2019-12-01T00:00:00"/>
    <d v="2019-12-01T00:00:00"/>
    <s v="D"/>
    <x v="0"/>
    <s v="alice.thompson@saltcorp.com"/>
    <s v="123-456-7890"/>
    <s v="contract"/>
    <s v="Contract"/>
    <s v="EMP-2019-0047"/>
    <n v="3"/>
    <m/>
    <m/>
    <s v="N/A"/>
    <m/>
    <m/>
    <s v=""/>
    <n v="1"/>
    <x v="1"/>
    <x v="1"/>
  </r>
  <r>
    <x v="643"/>
    <s v="Bob"/>
    <s v="Matthews"/>
    <n v="50"/>
    <x v="10"/>
    <n v="1974"/>
    <n v="50000"/>
    <x v="0"/>
    <s v="Male"/>
    <s v="Marketing"/>
    <s v="Marketing"/>
    <s v="Director"/>
    <d v="2019-03-25T00:00:00"/>
    <d v="2019-03-25T00:00:00"/>
    <s v="D"/>
    <x v="43"/>
    <s v="bob.matthews@saltcorp.com"/>
    <m/>
    <s v="contract"/>
    <s v="Contract"/>
    <m/>
    <n v="3"/>
    <n v="6"/>
    <m/>
    <m/>
    <n v="40"/>
    <s v="YES"/>
    <s v="Yes"/>
    <n v="3"/>
    <x v="0"/>
    <x v="0"/>
  </r>
  <r>
    <x v="644"/>
    <s v="Alice"/>
    <s v="Dominguez"/>
    <n v="35"/>
    <x v="2"/>
    <n v="1989"/>
    <s v="SIXTY THOUSAND"/>
    <x v="2"/>
    <s v="Female"/>
    <s v="finance"/>
    <s v="Finance"/>
    <s v="Analyst"/>
    <d v="2020-02-20T00:00:00"/>
    <d v="2020-02-20T00:00:00"/>
    <s v="F"/>
    <x v="66"/>
    <s v="alice.dominguez@saltcorp.com"/>
    <m/>
    <s v="contract"/>
    <s v="Contract"/>
    <m/>
    <n v="3"/>
    <m/>
    <m/>
    <d v="2022-06-20T00:00:00"/>
    <m/>
    <m/>
    <s v=""/>
    <n v="3"/>
    <x v="0"/>
    <x v="0"/>
  </r>
  <r>
    <x v="645"/>
    <s v="Eve"/>
    <s v="Bell"/>
    <n v="35"/>
    <x v="2"/>
    <n v="1989"/>
    <n v="60400"/>
    <x v="26"/>
    <s v="Female"/>
    <s v="HR"/>
    <s v="HR"/>
    <s v="Analyst"/>
    <d v="2018-04-05T00:00:00"/>
    <d v="2018-04-05T00:00:00"/>
    <s v="A"/>
    <x v="76"/>
    <s v="eve.bell@saltcorp.com"/>
    <s v=" "/>
    <s v="contract"/>
    <s v="Contract"/>
    <m/>
    <n v="6"/>
    <m/>
    <m/>
    <m/>
    <n v="63"/>
    <m/>
    <s v=""/>
    <n v="3"/>
    <x v="0"/>
    <x v="0"/>
  </r>
  <r>
    <x v="646"/>
    <s v="Jack"/>
    <s v="O'Neill"/>
    <n v="35"/>
    <x v="2"/>
    <n v="1989"/>
    <s v="SIXTY THOUSAND"/>
    <x v="2"/>
    <s v="Male"/>
    <s v="sales"/>
    <s v="Sales"/>
    <s v="Analyst"/>
    <d v="2020-02-20T00:00:00"/>
    <d v="2020-02-20T00:00:00"/>
    <s v="D"/>
    <x v="0"/>
    <s v="jack.o'neill@saltcorp.com"/>
    <s v="123-456-7890"/>
    <s v="Part-Time"/>
    <s v="Part-Time"/>
    <m/>
    <n v="2"/>
    <s v="N/A"/>
    <m/>
    <m/>
    <m/>
    <s v="no"/>
    <s v="No"/>
    <n v="3"/>
    <x v="0"/>
    <x v="0"/>
  </r>
  <r>
    <x v="647"/>
    <s v="Ivy"/>
    <s v="Desai"/>
    <n v="25"/>
    <x v="0"/>
    <n v="1999"/>
    <n v="70000"/>
    <x v="5"/>
    <s v="Female"/>
    <s v="finance"/>
    <s v="Finance"/>
    <s v="Assistant"/>
    <d v="2020-01-15T00:00:00"/>
    <d v="2020-01-15T00:00:00"/>
    <s v="C"/>
    <x v="8"/>
    <s v="ivy.desai@saltcorp.com"/>
    <s v="123-456-7890"/>
    <s v="contract"/>
    <s v="Contract"/>
    <s v="EMP-2019-0089"/>
    <n v="4"/>
    <m/>
    <m/>
    <m/>
    <m/>
    <s v="YES"/>
    <s v="Yes"/>
    <n v="5"/>
    <x v="0"/>
    <x v="0"/>
  </r>
  <r>
    <x v="648"/>
    <s v="Frank"/>
    <s v="Figueroa"/>
    <n v="50"/>
    <x v="10"/>
    <n v="1974"/>
    <n v="58500"/>
    <x v="4"/>
    <s v="Male"/>
    <s v="finance"/>
    <s v="Finance"/>
    <s v="Assistant"/>
    <d v="2020-02-20T00:00:00"/>
    <d v="2020-02-20T00:00:00"/>
    <s v="D"/>
    <x v="24"/>
    <s v="frank.figueroa@saltcorp.com"/>
    <m/>
    <s v="Full-Time"/>
    <s v="Full-Time"/>
    <m/>
    <n v="7"/>
    <m/>
    <n v="11"/>
    <m/>
    <m/>
    <s v="YES"/>
    <s v="Yes"/>
    <n v="3"/>
    <x v="0"/>
    <x v="0"/>
  </r>
  <r>
    <x v="649"/>
    <s v="Alice"/>
    <s v="Rogers"/>
    <m/>
    <x v="31"/>
    <n v="1966"/>
    <n v="65000"/>
    <x v="1"/>
    <s v="Female"/>
    <s v="it"/>
    <s v="IT"/>
    <s v="Director"/>
    <d v="2020-02-20T00:00:00"/>
    <d v="2020-02-20T00:00:00"/>
    <s v="A"/>
    <x v="41"/>
    <s v="alice.rogers@saltcorp.com"/>
    <m/>
    <s v="Full-Time"/>
    <s v="Full-Time"/>
    <m/>
    <n v="6"/>
    <m/>
    <n v="3"/>
    <m/>
    <n v="65"/>
    <s v="YES"/>
    <s v="Yes"/>
    <n v="4"/>
    <x v="1"/>
    <x v="1"/>
  </r>
  <r>
    <x v="650"/>
    <s v="Alice"/>
    <s v="Anderson"/>
    <m/>
    <x v="15"/>
    <n v="1986"/>
    <n v="50000"/>
    <x v="0"/>
    <s v="Female"/>
    <s v="HR"/>
    <s v="HR"/>
    <s v="Assistant"/>
    <d v="2018-04-05T00:00:00"/>
    <d v="2018-04-05T00:00:00"/>
    <s v="A"/>
    <x v="3"/>
    <s v="alice.anderson@saltcorp.com"/>
    <m/>
    <s v="contract"/>
    <s v="Contract"/>
    <m/>
    <n v="2"/>
    <m/>
    <n v="16"/>
    <m/>
    <m/>
    <m/>
    <s v=""/>
    <n v="2"/>
    <x v="0"/>
    <x v="0"/>
  </r>
  <r>
    <x v="651"/>
    <s v="Bob"/>
    <s v="Bell"/>
    <n v="40"/>
    <x v="7"/>
    <n v="1984"/>
    <n v="70000"/>
    <x v="5"/>
    <s v="Female"/>
    <s v="sales"/>
    <s v="Sales"/>
    <s v="Director"/>
    <d v="2020-01-15T00:00:00"/>
    <d v="2020-01-15T00:00:00"/>
    <s v="B"/>
    <x v="6"/>
    <s v="bob.bell@saltcorp.com"/>
    <s v="098-765-4321"/>
    <s v="contract"/>
    <s v="Contract"/>
    <m/>
    <n v="8"/>
    <m/>
    <m/>
    <d v="2023-03-05T00:00:00"/>
    <n v="77"/>
    <s v="YES"/>
    <s v="Yes"/>
    <n v="5"/>
    <x v="0"/>
    <x v="0"/>
  </r>
  <r>
    <x v="652"/>
    <s v="Ivy"/>
    <s v="Jordan"/>
    <n v="40"/>
    <x v="7"/>
    <n v="1984"/>
    <n v="55000"/>
    <x v="6"/>
    <s v="Female"/>
    <s v="finance"/>
    <s v="Finance"/>
    <s v="Assistant"/>
    <d v="2020-02-20T00:00:00"/>
    <d v="2020-02-20T00:00:00"/>
    <s v="C"/>
    <x v="20"/>
    <s v="ivy.jordan@saltcorp.com"/>
    <s v="555-555-5555"/>
    <s v="Part-Time"/>
    <s v="Part-Time"/>
    <m/>
    <n v="8"/>
    <m/>
    <m/>
    <d v="2021-10-01T00:00:00"/>
    <m/>
    <s v="YES"/>
    <s v="Yes"/>
    <n v="2"/>
    <x v="0"/>
    <x v="0"/>
  </r>
  <r>
    <x v="653"/>
    <s v="Charlie"/>
    <s v="Moore"/>
    <n v="40"/>
    <x v="7"/>
    <n v="1984"/>
    <n v="55000"/>
    <x v="6"/>
    <s v="Male"/>
    <s v="finance"/>
    <s v="Finance"/>
    <s v="Manager"/>
    <d v="2019-12-01T00:00:00"/>
    <d v="2019-12-01T00:00:00"/>
    <s v="A"/>
    <x v="51"/>
    <s v="charlie.moore@saltcorp.com"/>
    <s v="555-555-5555"/>
    <s v="contract"/>
    <s v="Contract"/>
    <m/>
    <n v="8"/>
    <m/>
    <n v="12"/>
    <m/>
    <n v="55"/>
    <s v="no"/>
    <s v="No"/>
    <n v="5"/>
    <x v="1"/>
    <x v="1"/>
  </r>
  <r>
    <x v="654"/>
    <s v="Alice"/>
    <s v="Hanson"/>
    <n v="35"/>
    <x v="2"/>
    <n v="1989"/>
    <n v="50000"/>
    <x v="0"/>
    <s v="Female"/>
    <s v="sales"/>
    <s v="Sales"/>
    <s v="Manager"/>
    <d v="2019-03-25T00:00:00"/>
    <d v="2019-03-25T00:00:00"/>
    <s v="F"/>
    <x v="78"/>
    <s v="alice.hanson@saltcorp.com"/>
    <s v="123-456-7890"/>
    <s v="contract"/>
    <s v="Contract"/>
    <s v="EMP-2018-0014"/>
    <n v="4"/>
    <m/>
    <n v="12"/>
    <m/>
    <n v="60"/>
    <m/>
    <s v=""/>
    <n v="3"/>
    <x v="1"/>
    <x v="1"/>
  </r>
  <r>
    <x v="655"/>
    <s v="Eve"/>
    <s v="Reed"/>
    <m/>
    <x v="3"/>
    <n v="1976"/>
    <n v="65000"/>
    <x v="1"/>
    <s v="Female"/>
    <s v="HR"/>
    <s v="HR"/>
    <s v="Director"/>
    <d v="2020-02-20T00:00:00"/>
    <d v="2020-02-20T00:00:00"/>
    <s v="C"/>
    <x v="29"/>
    <s v="eve.reed@saltcorp.com"/>
    <s v="098-765-4321"/>
    <s v="Full-Time"/>
    <s v="Full-Time"/>
    <m/>
    <n v="3"/>
    <m/>
    <m/>
    <m/>
    <n v="6"/>
    <s v="YES"/>
    <s v="Yes"/>
    <n v="4"/>
    <x v="0"/>
    <x v="0"/>
  </r>
  <r>
    <x v="656"/>
    <s v="Grace"/>
    <s v="Zhou"/>
    <n v="50"/>
    <x v="10"/>
    <n v="1974"/>
    <n v="70000"/>
    <x v="5"/>
    <s v="Female"/>
    <s v="it"/>
    <s v="IT"/>
    <s v="Assistant"/>
    <d v="2020-01-15T00:00:00"/>
    <d v="2020-01-15T00:00:00"/>
    <s v="C"/>
    <x v="69"/>
    <s v="grace.zhou@saltcorp.com"/>
    <m/>
    <s v="Full-Time"/>
    <s v="Full-Time"/>
    <m/>
    <n v="7"/>
    <s v="N/A"/>
    <n v="18"/>
    <d v="2023-01-15T00:00:00"/>
    <m/>
    <m/>
    <s v=""/>
    <n v="3"/>
    <x v="1"/>
    <x v="1"/>
  </r>
  <r>
    <x v="657"/>
    <s v="Frank"/>
    <s v="Lopez"/>
    <n v="35"/>
    <x v="2"/>
    <n v="1989"/>
    <s v="SIXTY THOUSAND"/>
    <x v="2"/>
    <s v="Male"/>
    <s v="finance"/>
    <s v="Finance"/>
    <s v="Assistant"/>
    <d v="2020-02-20T00:00:00"/>
    <d v="2020-02-20T00:00:00"/>
    <s v="F"/>
    <x v="48"/>
    <s v="frank.lopez@saltcorp.com"/>
    <s v="123-456-7890"/>
    <s v="contract"/>
    <s v="Contract"/>
    <s v="EMP-2019-0056"/>
    <n v="1"/>
    <m/>
    <m/>
    <m/>
    <m/>
    <s v="no"/>
    <s v="No"/>
    <n v="5"/>
    <x v="0"/>
    <x v="0"/>
  </r>
  <r>
    <x v="658"/>
    <s v="Alice"/>
    <s v="Ward"/>
    <n v="25"/>
    <x v="0"/>
    <n v="1999"/>
    <n v="50000"/>
    <x v="0"/>
    <s v="Female"/>
    <s v="it"/>
    <s v="IT"/>
    <s v="Analyst"/>
    <d v="2019-03-25T00:00:00"/>
    <d v="2019-03-25T00:00:00"/>
    <s v="D"/>
    <x v="34"/>
    <s v="alice.ward@saltcorp.com"/>
    <s v="098-765-4321"/>
    <s v="contract"/>
    <s v="Contract"/>
    <m/>
    <n v="4"/>
    <m/>
    <m/>
    <m/>
    <m/>
    <m/>
    <s v=""/>
    <n v="5"/>
    <x v="0"/>
    <x v="0"/>
  </r>
  <r>
    <x v="659"/>
    <s v="Eve"/>
    <s v="Mitchell"/>
    <n v="40"/>
    <x v="7"/>
    <n v="1984"/>
    <n v="65000"/>
    <x v="1"/>
    <s v="Male"/>
    <s v="Marketing"/>
    <s v="Marketing"/>
    <s v="Clerk"/>
    <d v="2020-01-15T00:00:00"/>
    <d v="2020-01-15T00:00:00"/>
    <s v="F"/>
    <x v="1"/>
    <s v="eve.mitchell@saltcorp.com"/>
    <s v=" "/>
    <s v="Part-Time"/>
    <s v="Part-Time"/>
    <m/>
    <n v="1"/>
    <s v="N/A"/>
    <m/>
    <m/>
    <m/>
    <s v="YES"/>
    <s v="Yes"/>
    <n v="2"/>
    <x v="0"/>
    <x v="0"/>
  </r>
  <r>
    <x v="660"/>
    <s v="Eve"/>
    <s v="Wells"/>
    <n v="35"/>
    <x v="2"/>
    <n v="1989"/>
    <s v="SIXTY THOUSAND"/>
    <x v="2"/>
    <s v="Male"/>
    <s v="HR"/>
    <s v="HR"/>
    <s v="Director"/>
    <d v="2018-04-05T00:00:00"/>
    <d v="2018-04-05T00:00:00"/>
    <s v="F"/>
    <x v="28"/>
    <s v="eve.wells@saltcorp.com"/>
    <s v="098-765-4321"/>
    <s v="contract"/>
    <s v="Contract"/>
    <m/>
    <n v="3"/>
    <n v="10"/>
    <m/>
    <d v="2023-01-15T00:00:00"/>
    <m/>
    <s v="YES"/>
    <s v="Yes"/>
    <n v="1"/>
    <x v="1"/>
    <x v="1"/>
  </r>
  <r>
    <x v="661"/>
    <s v="Frank"/>
    <s v="Le"/>
    <n v="35"/>
    <x v="2"/>
    <n v="1989"/>
    <n v="55000"/>
    <x v="6"/>
    <s v="Female"/>
    <s v="Marketing"/>
    <s v="Marketing"/>
    <s v="Clerk"/>
    <d v="2020-01-15T00:00:00"/>
    <d v="2020-01-15T00:00:00"/>
    <s v="D"/>
    <x v="43"/>
    <s v="frank.le@saltcorp.com"/>
    <s v="123-456-7890"/>
    <s v="contract"/>
    <s v="Contract"/>
    <m/>
    <n v="3"/>
    <m/>
    <n v="8"/>
    <m/>
    <m/>
    <s v="YES"/>
    <s v="Yes"/>
    <n v="4"/>
    <x v="1"/>
    <x v="1"/>
  </r>
  <r>
    <x v="662"/>
    <s v="Charlie"/>
    <s v="Moore"/>
    <n v="25"/>
    <x v="0"/>
    <n v="1999"/>
    <n v="55000"/>
    <x v="6"/>
    <s v="Male"/>
    <s v="Marketing"/>
    <s v="Marketing"/>
    <s v="Clerk"/>
    <d v="2018-04-05T00:00:00"/>
    <d v="2018-04-05T00:00:00"/>
    <s v="D"/>
    <x v="30"/>
    <s v="charlie.moore@saltcorp.com"/>
    <s v="555-555-5555"/>
    <s v="Full-Time"/>
    <s v="Full-Time"/>
    <m/>
    <n v="3"/>
    <m/>
    <m/>
    <d v="2024-08-12T00:00:00"/>
    <m/>
    <s v="YES"/>
    <s v="Yes"/>
    <n v="3"/>
    <x v="0"/>
    <x v="0"/>
  </r>
  <r>
    <x v="663"/>
    <s v="Eve"/>
    <s v="Parker"/>
    <s v="thirty"/>
    <x v="8"/>
    <n v="1994"/>
    <s v="SIXTY THOUSAND"/>
    <x v="2"/>
    <s v="Male"/>
    <s v="Marketing"/>
    <s v="Marketing"/>
    <s v="Director"/>
    <d v="2020-01-15T00:00:00"/>
    <d v="2020-01-15T00:00:00"/>
    <s v="D"/>
    <x v="30"/>
    <s v="eve.parker@saltcorp.com"/>
    <m/>
    <s v="contract"/>
    <s v="Contract"/>
    <s v="EMP-2019-0011"/>
    <n v="1"/>
    <m/>
    <m/>
    <m/>
    <n v="62"/>
    <s v="YES"/>
    <s v="Yes"/>
    <n v="4"/>
    <x v="1"/>
    <x v="1"/>
  </r>
  <r>
    <x v="664"/>
    <s v="Grace"/>
    <s v="Aguilar"/>
    <m/>
    <x v="12"/>
    <n v="1996"/>
    <n v="50000"/>
    <x v="0"/>
    <s v="Female"/>
    <s v="HR"/>
    <s v="HR"/>
    <s v="Assistant"/>
    <d v="2019-03-25T00:00:00"/>
    <d v="2019-03-25T00:00:00"/>
    <s v="D"/>
    <x v="22"/>
    <s v="grace.aguilar@saltcorp.com"/>
    <s v=" "/>
    <s v="Full-Time"/>
    <s v="Full-Time"/>
    <m/>
    <n v="3"/>
    <s v="N/A"/>
    <m/>
    <d v="2024-08-12T00:00:00"/>
    <m/>
    <s v="no"/>
    <s v="No"/>
    <n v="1"/>
    <x v="0"/>
    <x v="0"/>
  </r>
  <r>
    <x v="665"/>
    <s v="Eve"/>
    <s v="Young"/>
    <n v="50"/>
    <x v="10"/>
    <n v="1974"/>
    <n v="55000"/>
    <x v="6"/>
    <s v="Female"/>
    <s v="HR"/>
    <s v="HR"/>
    <s v="Director"/>
    <d v="2019-03-25T00:00:00"/>
    <d v="2019-03-25T00:00:00"/>
    <s v="D"/>
    <x v="24"/>
    <s v="eve.young@saltcorp.com"/>
    <s v="098-765-4321"/>
    <s v="contract"/>
    <s v="Contract"/>
    <m/>
    <n v="1"/>
    <s v="N/A"/>
    <m/>
    <d v="2023-01-15T00:00:00"/>
    <m/>
    <s v="no"/>
    <s v="No"/>
    <n v="4"/>
    <x v="0"/>
    <x v="0"/>
  </r>
  <r>
    <x v="666"/>
    <s v="Eve"/>
    <s v="Parker"/>
    <s v="thirty"/>
    <x v="8"/>
    <n v="1994"/>
    <n v="70000"/>
    <x v="5"/>
    <s v="Female"/>
    <s v="sales"/>
    <s v="Sales"/>
    <s v="Clerk"/>
    <d v="2020-01-15T00:00:00"/>
    <d v="2020-01-15T00:00:00"/>
    <s v="F"/>
    <x v="39"/>
    <s v="eve.parker@saltcorp.com"/>
    <s v="123-456-7890"/>
    <s v="contract"/>
    <s v="Contract"/>
    <m/>
    <n v="3"/>
    <n v="10"/>
    <m/>
    <m/>
    <n v="67"/>
    <s v="YES"/>
    <s v="Yes"/>
    <n v="5"/>
    <x v="0"/>
    <x v="0"/>
  </r>
  <r>
    <x v="667"/>
    <s v="Eve"/>
    <s v="Reed"/>
    <n v="40"/>
    <x v="7"/>
    <n v="1984"/>
    <n v="59800"/>
    <x v="21"/>
    <s v="Female"/>
    <s v="it"/>
    <s v="IT"/>
    <s v="Assistant"/>
    <d v="2020-02-20T00:00:00"/>
    <d v="2020-02-20T00:00:00"/>
    <s v="B"/>
    <x v="35"/>
    <s v="eve.reed@saltcorp.com"/>
    <s v="123-456-7890"/>
    <s v="Part-Time"/>
    <s v="Part-Time"/>
    <s v="EMP-2019-0041"/>
    <n v="5"/>
    <m/>
    <m/>
    <m/>
    <n v="52"/>
    <s v="YES"/>
    <s v="Yes"/>
    <n v="2"/>
    <x v="1"/>
    <x v="1"/>
  </r>
  <r>
    <x v="668"/>
    <s v="Jack"/>
    <s v="O'Neill"/>
    <n v="35"/>
    <x v="2"/>
    <n v="1989"/>
    <s v="SIXTY THOUSAND"/>
    <x v="2"/>
    <s v="Male"/>
    <s v="it"/>
    <s v="IT"/>
    <s v="Manager"/>
    <d v="2019-03-25T00:00:00"/>
    <d v="2019-03-25T00:00:00"/>
    <s v="B"/>
    <x v="21"/>
    <s v="jack.o'neill@saltcorp.com"/>
    <m/>
    <s v="Part-Time"/>
    <s v="Part-Time"/>
    <s v="EMP-2020-0015"/>
    <n v="3"/>
    <s v="N/A"/>
    <n v="11"/>
    <m/>
    <m/>
    <s v="no"/>
    <s v="No"/>
    <n v="4"/>
    <x v="0"/>
    <x v="0"/>
  </r>
  <r>
    <x v="669"/>
    <s v="Jack"/>
    <s v="Mason"/>
    <n v="25"/>
    <x v="0"/>
    <n v="1999"/>
    <s v="SIXTY THOUSAND"/>
    <x v="2"/>
    <s v="Male"/>
    <s v="sales"/>
    <s v="Sales"/>
    <s v="Director"/>
    <d v="2018-04-05T00:00:00"/>
    <d v="2018-04-05T00:00:00"/>
    <s v="A"/>
    <x v="52"/>
    <s v="jack.mason@saltcorp.com"/>
    <s v="123-456-7890"/>
    <s v="Part-Time"/>
    <s v="Part-Time"/>
    <m/>
    <n v="7"/>
    <n v="11"/>
    <m/>
    <m/>
    <m/>
    <s v="YES"/>
    <s v="Yes"/>
    <n v="1"/>
    <x v="0"/>
    <x v="0"/>
  </r>
  <r>
    <x v="670"/>
    <s v="Charlie"/>
    <s v="White"/>
    <n v="25"/>
    <x v="0"/>
    <n v="1999"/>
    <n v="55000"/>
    <x v="6"/>
    <s v="Female"/>
    <s v="sales"/>
    <s v="Sales"/>
    <s v="Director"/>
    <d v="2018-04-05T00:00:00"/>
    <d v="2018-04-05T00:00:00"/>
    <s v="B"/>
    <x v="26"/>
    <s v="charlie.white@saltcorp.com"/>
    <s v="123-456-7890"/>
    <s v="Full-Time"/>
    <s v="Full-Time"/>
    <m/>
    <n v="1"/>
    <m/>
    <m/>
    <m/>
    <m/>
    <m/>
    <s v=""/>
    <n v="2"/>
    <x v="1"/>
    <x v="1"/>
  </r>
  <r>
    <x v="671"/>
    <s v="Alice"/>
    <s v="Santos"/>
    <m/>
    <x v="30"/>
    <n v="1997"/>
    <n v="50000"/>
    <x v="0"/>
    <s v="Female"/>
    <s v="Marketing"/>
    <s v="Marketing"/>
    <s v="Assistant"/>
    <d v="2019-12-01T00:00:00"/>
    <d v="2019-12-01T00:00:00"/>
    <s v="B"/>
    <x v="14"/>
    <s v="alice.santos@saltcorp.com"/>
    <m/>
    <s v="contract"/>
    <s v="Contract"/>
    <m/>
    <n v="5"/>
    <m/>
    <m/>
    <m/>
    <m/>
    <s v="YES"/>
    <s v="Yes"/>
    <n v="5"/>
    <x v="0"/>
    <x v="0"/>
  </r>
  <r>
    <x v="672"/>
    <s v="Eve"/>
    <s v="Sims"/>
    <s v="thirty"/>
    <x v="8"/>
    <n v="1994"/>
    <n v="70000"/>
    <x v="5"/>
    <s v="Female"/>
    <s v="sales"/>
    <s v="Sales"/>
    <s v="Manager"/>
    <d v="2018-04-05T00:00:00"/>
    <d v="2018-04-05T00:00:00"/>
    <s v="F"/>
    <x v="38"/>
    <s v="eve.sims@saltcorp.com"/>
    <s v=" "/>
    <s v="Full-Time"/>
    <s v="Full-Time"/>
    <m/>
    <n v="2"/>
    <m/>
    <n v="1"/>
    <s v="N/A"/>
    <m/>
    <m/>
    <s v=""/>
    <n v="4"/>
    <x v="1"/>
    <x v="1"/>
  </r>
  <r>
    <x v="673"/>
    <s v="Ivy"/>
    <s v="Patel"/>
    <m/>
    <x v="3"/>
    <n v="1976"/>
    <n v="50000"/>
    <x v="0"/>
    <s v="Female"/>
    <s v="finance"/>
    <s v="Finance"/>
    <s v="Manager"/>
    <d v="2019-12-01T00:00:00"/>
    <d v="2019-12-01T00:00:00"/>
    <s v="D"/>
    <x v="0"/>
    <s v="ivy.patel@saltcorp.com"/>
    <s v="555-555-5555"/>
    <s v="contract"/>
    <s v="Contract"/>
    <m/>
    <n v="4"/>
    <s v="N/A"/>
    <m/>
    <m/>
    <n v="74"/>
    <s v="YES"/>
    <s v="Yes"/>
    <n v="2"/>
    <x v="0"/>
    <x v="0"/>
  </r>
  <r>
    <x v="674"/>
    <s v="Alice"/>
    <s v="Thompson"/>
    <n v="35"/>
    <x v="2"/>
    <n v="1989"/>
    <n v="65000"/>
    <x v="1"/>
    <s v="Female"/>
    <s v="it"/>
    <s v="IT"/>
    <s v="Assistant"/>
    <d v="2020-01-15T00:00:00"/>
    <d v="2020-01-15T00:00:00"/>
    <s v="D"/>
    <x v="27"/>
    <s v="alice.thompson@saltcorp.com"/>
    <s v="555-555-5555"/>
    <s v="contract"/>
    <s v="Contract"/>
    <m/>
    <n v="8"/>
    <m/>
    <m/>
    <m/>
    <m/>
    <s v="no"/>
    <s v="No"/>
    <n v="4"/>
    <x v="0"/>
    <x v="0"/>
  </r>
  <r>
    <x v="675"/>
    <s v="Charlie"/>
    <s v="Figueroa"/>
    <m/>
    <x v="7"/>
    <n v="1984"/>
    <n v="65000"/>
    <x v="1"/>
    <s v="Female"/>
    <s v="sales"/>
    <s v="Sales"/>
    <s v="Analyst"/>
    <d v="2020-01-15T00:00:00"/>
    <d v="2020-01-15T00:00:00"/>
    <s v="F"/>
    <x v="62"/>
    <s v="charlie.figueroa@saltcorp.com"/>
    <s v="098-765-4321"/>
    <s v="Part-Time"/>
    <s v="Part-Time"/>
    <m/>
    <n v="8"/>
    <s v="N/A"/>
    <m/>
    <d v="2022-06-20T00:00:00"/>
    <m/>
    <s v="no"/>
    <s v="No"/>
    <n v="4"/>
    <x v="0"/>
    <x v="0"/>
  </r>
  <r>
    <x v="676"/>
    <s v="David"/>
    <s v="Walsh"/>
    <n v="50"/>
    <x v="10"/>
    <n v="1974"/>
    <n v="60300"/>
    <x v="14"/>
    <s v="Male"/>
    <s v="finance"/>
    <s v="Finance"/>
    <s v="Director"/>
    <d v="2020-01-15T00:00:00"/>
    <d v="2020-01-15T00:00:00"/>
    <s v="B"/>
    <x v="26"/>
    <s v="david.walsh@saltcorp.com"/>
    <s v=" "/>
    <s v="Part-Time"/>
    <s v="Part-Time"/>
    <s v="EMP-2019-0050"/>
    <n v="8"/>
    <m/>
    <n v="3"/>
    <d v="2023-01-15T00:00:00"/>
    <n v="64"/>
    <s v="no"/>
    <s v="No"/>
    <n v="4"/>
    <x v="1"/>
    <x v="1"/>
  </r>
  <r>
    <x v="677"/>
    <s v="Alice"/>
    <s v="Chen"/>
    <n v="25"/>
    <x v="0"/>
    <n v="1999"/>
    <n v="55000"/>
    <x v="6"/>
    <s v="Female"/>
    <s v="finance"/>
    <s v="Finance"/>
    <s v="Director"/>
    <d v="2020-02-20T00:00:00"/>
    <d v="2020-02-20T00:00:00"/>
    <s v="F"/>
    <x v="74"/>
    <s v="alice.chen@saltcorp.com"/>
    <s v="098-765-4321"/>
    <s v="Part-Time"/>
    <s v="Part-Time"/>
    <m/>
    <n v="3"/>
    <m/>
    <m/>
    <m/>
    <m/>
    <s v="no"/>
    <s v="No"/>
    <n v="2"/>
    <x v="0"/>
    <x v="0"/>
  </r>
  <r>
    <x v="678"/>
    <s v="Alice"/>
    <s v="Sims"/>
    <n v="25"/>
    <x v="0"/>
    <n v="1999"/>
    <n v="55000"/>
    <x v="6"/>
    <s v="Female"/>
    <s v="finance"/>
    <s v="Finance"/>
    <s v="Clerk"/>
    <d v="2020-02-20T00:00:00"/>
    <d v="2020-02-20T00:00:00"/>
    <s v="A"/>
    <x v="50"/>
    <s v="alice.sims@saltcorp.com"/>
    <s v="555-555-5555"/>
    <s v="contract"/>
    <s v="Contract"/>
    <s v="EMP-2018-0074"/>
    <n v="4"/>
    <n v="12"/>
    <m/>
    <m/>
    <m/>
    <s v="no"/>
    <s v="No"/>
    <n v="2"/>
    <x v="1"/>
    <x v="1"/>
  </r>
  <r>
    <x v="679"/>
    <s v="Hannah"/>
    <s v="Gray"/>
    <n v="40"/>
    <x v="7"/>
    <n v="1984"/>
    <n v="55000"/>
    <x v="6"/>
    <s v="Female"/>
    <s v="finance"/>
    <s v="Finance"/>
    <s v="Assistant"/>
    <d v="2019-12-01T00:00:00"/>
    <d v="2019-12-01T00:00:00"/>
    <s v="D"/>
    <x v="24"/>
    <s v="hannah.gray@saltcorp.com"/>
    <m/>
    <s v="Full-Time"/>
    <s v="Full-Time"/>
    <m/>
    <n v="7"/>
    <s v="N/A"/>
    <m/>
    <m/>
    <m/>
    <s v="YES"/>
    <s v="Yes"/>
    <n v="2"/>
    <x v="0"/>
    <x v="0"/>
  </r>
  <r>
    <x v="680"/>
    <s v="Bob"/>
    <s v="Gibson"/>
    <n v="40"/>
    <x v="7"/>
    <n v="1984"/>
    <n v="58600"/>
    <x v="8"/>
    <s v="Male"/>
    <s v="Marketing"/>
    <s v="Marketing"/>
    <s v="Clerk"/>
    <d v="2018-04-05T00:00:00"/>
    <d v="2018-04-05T00:00:00"/>
    <s v="C"/>
    <x v="29"/>
    <s v="bob.gibson@saltcorp.com"/>
    <s v="123-456-7890"/>
    <s v="Part-Time"/>
    <s v="Part-Time"/>
    <m/>
    <n v="3"/>
    <m/>
    <n v="6"/>
    <d v="2021-10-01T00:00:00"/>
    <m/>
    <s v="YES"/>
    <s v="Yes"/>
    <n v="2"/>
    <x v="1"/>
    <x v="1"/>
  </r>
  <r>
    <x v="681"/>
    <s v="Hannah"/>
    <s v="Medina"/>
    <n v="35"/>
    <x v="2"/>
    <n v="1989"/>
    <n v="65000"/>
    <x v="1"/>
    <s v="Female"/>
    <s v="finance"/>
    <s v="Finance"/>
    <s v="Clerk"/>
    <d v="2018-04-05T00:00:00"/>
    <d v="2018-04-05T00:00:00"/>
    <s v="A"/>
    <x v="76"/>
    <s v="hannah.medina@saltcorp.com"/>
    <s v="555-555-5555"/>
    <s v="Full-Time"/>
    <s v="Full-Time"/>
    <m/>
    <n v="3"/>
    <m/>
    <m/>
    <d v="2022-06-20T00:00:00"/>
    <m/>
    <m/>
    <s v=""/>
    <n v="4"/>
    <x v="0"/>
    <x v="0"/>
  </r>
  <r>
    <x v="682"/>
    <s v="Grace"/>
    <s v="Gomez"/>
    <n v="50"/>
    <x v="10"/>
    <n v="1974"/>
    <n v="50000"/>
    <x v="0"/>
    <s v="Female"/>
    <s v="Marketing"/>
    <s v="Marketing"/>
    <s v="Manager"/>
    <d v="2020-01-15T00:00:00"/>
    <d v="2020-01-15T00:00:00"/>
    <s v="A"/>
    <x v="41"/>
    <s v="grace.gomez@saltcorp.com"/>
    <s v=" "/>
    <s v="Full-Time"/>
    <s v="Full-Time"/>
    <m/>
    <n v="5"/>
    <m/>
    <n v="2"/>
    <d v="2023-01-15T00:00:00"/>
    <m/>
    <s v="no"/>
    <s v="No"/>
    <n v="4"/>
    <x v="0"/>
    <x v="0"/>
  </r>
  <r>
    <x v="683"/>
    <s v="Jack"/>
    <s v="Young"/>
    <s v="thirty"/>
    <x v="8"/>
    <n v="1994"/>
    <n v="60500"/>
    <x v="7"/>
    <s v="Female"/>
    <s v="Marketing"/>
    <s v="Marketing"/>
    <s v="Director"/>
    <d v="2019-03-25T00:00:00"/>
    <d v="2019-03-25T00:00:00"/>
    <s v="F"/>
    <x v="5"/>
    <s v="jack.young@saltcorp.com"/>
    <s v="555-555-5555"/>
    <s v="contract"/>
    <s v="Contract"/>
    <m/>
    <n v="3"/>
    <m/>
    <m/>
    <d v="2024-08-12T00:00:00"/>
    <m/>
    <s v="YES"/>
    <s v="Yes"/>
    <n v="5"/>
    <x v="0"/>
    <x v="0"/>
  </r>
  <r>
    <x v="684"/>
    <s v="Jack"/>
    <s v="Dominguez"/>
    <m/>
    <x v="0"/>
    <n v="1999"/>
    <n v="61300"/>
    <x v="18"/>
    <s v="Female"/>
    <s v="finance"/>
    <s v="Finance"/>
    <s v="Clerk"/>
    <d v="2020-02-20T00:00:00"/>
    <d v="2020-02-20T00:00:00"/>
    <s v="B"/>
    <x v="16"/>
    <s v="jack.dominguez@saltcorp.com"/>
    <s v=" "/>
    <s v="contract"/>
    <s v="Contract"/>
    <m/>
    <n v="6"/>
    <m/>
    <m/>
    <m/>
    <n v="58"/>
    <s v="YES"/>
    <s v="Yes"/>
    <n v="1"/>
    <x v="0"/>
    <x v="0"/>
  </r>
  <r>
    <x v="685"/>
    <s v="Bob"/>
    <s v="Garcia"/>
    <n v="35"/>
    <x v="2"/>
    <n v="1989"/>
    <n v="50000"/>
    <x v="0"/>
    <s v="Male"/>
    <s v="it"/>
    <s v="IT"/>
    <s v="Manager"/>
    <d v="2020-02-20T00:00:00"/>
    <d v="2020-02-20T00:00:00"/>
    <s v="D"/>
    <x v="43"/>
    <s v="bob.garcia@saltcorp.com"/>
    <s v=" "/>
    <s v="Part-Time"/>
    <s v="Part-Time"/>
    <m/>
    <n v="8"/>
    <m/>
    <n v="5"/>
    <d v="2023-01-15T00:00:00"/>
    <m/>
    <s v="YES"/>
    <s v="Yes"/>
    <n v="5"/>
    <x v="0"/>
    <x v="0"/>
  </r>
  <r>
    <x v="686"/>
    <s v="Frank"/>
    <s v="Mason"/>
    <n v="40"/>
    <x v="7"/>
    <n v="1984"/>
    <n v="55000"/>
    <x v="6"/>
    <s v="Male"/>
    <s v="finance"/>
    <s v="Finance"/>
    <s v="Assistant"/>
    <d v="2020-01-15T00:00:00"/>
    <d v="2020-01-15T00:00:00"/>
    <s v="C"/>
    <x v="20"/>
    <s v="frank.mason@saltcorp.com"/>
    <s v=" "/>
    <s v="Full-Time"/>
    <s v="Full-Time"/>
    <m/>
    <n v="2"/>
    <n v="15"/>
    <m/>
    <m/>
    <m/>
    <s v="YES"/>
    <s v="Yes"/>
    <n v="1"/>
    <x v="1"/>
    <x v="1"/>
  </r>
  <r>
    <x v="687"/>
    <s v="Frank"/>
    <s v="Flores"/>
    <m/>
    <x v="20"/>
    <n v="1993"/>
    <n v="70000"/>
    <x v="5"/>
    <s v="Female"/>
    <s v="finance"/>
    <s v="Finance"/>
    <s v="Clerk"/>
    <d v="2020-02-20T00:00:00"/>
    <d v="2020-02-20T00:00:00"/>
    <s v="A"/>
    <x v="11"/>
    <s v="frank.flores@saltcorp.com"/>
    <s v="098-765-4321"/>
    <s v="Full-Time"/>
    <s v="Full-Time"/>
    <s v="EMP-2019-0015"/>
    <n v="4"/>
    <s v="N/A"/>
    <n v="14"/>
    <m/>
    <m/>
    <s v="YES"/>
    <s v="Yes"/>
    <n v="3"/>
    <x v="1"/>
    <x v="1"/>
  </r>
  <r>
    <x v="688"/>
    <s v="Charlie"/>
    <s v="Byrd"/>
    <n v="40"/>
    <x v="7"/>
    <n v="1984"/>
    <n v="50000"/>
    <x v="0"/>
    <s v="Male"/>
    <s v="finance"/>
    <s v="Finance"/>
    <s v="Director"/>
    <d v="2020-01-15T00:00:00"/>
    <d v="2020-01-15T00:00:00"/>
    <s v="C"/>
    <x v="58"/>
    <s v="charlie.byrd@saltcorp.com"/>
    <m/>
    <s v="Part-Time"/>
    <s v="Part-Time"/>
    <m/>
    <n v="7"/>
    <n v="7"/>
    <n v="16"/>
    <m/>
    <n v="47"/>
    <s v="YES"/>
    <s v="Yes"/>
    <n v="3"/>
    <x v="0"/>
    <x v="0"/>
  </r>
  <r>
    <x v="689"/>
    <s v="Bob"/>
    <s v="Johnson"/>
    <m/>
    <x v="16"/>
    <n v="2000"/>
    <n v="65000"/>
    <x v="1"/>
    <s v="Male"/>
    <s v="it"/>
    <s v="IT"/>
    <s v="Clerk"/>
    <d v="2019-12-01T00:00:00"/>
    <d v="2019-12-01T00:00:00"/>
    <s v="B"/>
    <x v="45"/>
    <s v="bob.johnson@saltcorp.com"/>
    <s v="555-555-5555"/>
    <s v="Part-Time"/>
    <s v="Part-Time"/>
    <m/>
    <n v="7"/>
    <s v="N/A"/>
    <n v="12"/>
    <m/>
    <n v="75"/>
    <s v="no"/>
    <s v="No"/>
    <n v="4"/>
    <x v="1"/>
    <x v="1"/>
  </r>
  <r>
    <x v="690"/>
    <s v="Alice"/>
    <s v="Bishop"/>
    <s v="thirty"/>
    <x v="8"/>
    <n v="1994"/>
    <s v="SIXTY THOUSAND"/>
    <x v="2"/>
    <s v="Male"/>
    <s v="HR"/>
    <s v="HR"/>
    <s v="Assistant"/>
    <d v="2018-04-05T00:00:00"/>
    <d v="2018-04-05T00:00:00"/>
    <s v="B"/>
    <x v="16"/>
    <s v="alice.bishop@saltcorp.com"/>
    <m/>
    <s v="contract"/>
    <s v="Contract"/>
    <m/>
    <n v="3"/>
    <m/>
    <n v="0"/>
    <d v="2023-01-15T00:00:00"/>
    <m/>
    <s v="YES"/>
    <s v="Yes"/>
    <n v="2"/>
    <x v="0"/>
    <x v="0"/>
  </r>
  <r>
    <x v="691"/>
    <s v="Frank"/>
    <s v="Sanchez"/>
    <n v="35"/>
    <x v="2"/>
    <n v="1989"/>
    <s v="SIXTY THOUSAND"/>
    <x v="2"/>
    <s v="Male"/>
    <s v="HR"/>
    <s v="HR"/>
    <s v="Clerk"/>
    <d v="2019-03-25T00:00:00"/>
    <d v="2019-03-25T00:00:00"/>
    <s v="C"/>
    <x v="7"/>
    <s v="frank.sanchez@saltcorp.com"/>
    <s v="123-456-7890"/>
    <s v="contract"/>
    <s v="Contract"/>
    <m/>
    <n v="2"/>
    <s v="N/A"/>
    <m/>
    <d v="2021-10-01T00:00:00"/>
    <m/>
    <m/>
    <s v=""/>
    <n v="2"/>
    <x v="1"/>
    <x v="1"/>
  </r>
  <r>
    <x v="692"/>
    <s v="Eve"/>
    <s v="Turner"/>
    <m/>
    <x v="22"/>
    <n v="1970"/>
    <n v="60500"/>
    <x v="7"/>
    <s v="Male"/>
    <s v="Marketing"/>
    <s v="Marketing"/>
    <s v="Director"/>
    <d v="2018-04-05T00:00:00"/>
    <d v="2018-04-05T00:00:00"/>
    <s v="D"/>
    <x v="18"/>
    <s v="eve.turner@saltcorp.com"/>
    <s v="555-555-5555"/>
    <s v="Full-Time"/>
    <s v="Full-Time"/>
    <s v="EMP-2019-0018"/>
    <n v="1"/>
    <s v="N/A"/>
    <m/>
    <m/>
    <m/>
    <s v="YES"/>
    <s v="Yes"/>
    <n v="5"/>
    <x v="0"/>
    <x v="0"/>
  </r>
  <r>
    <x v="693"/>
    <s v="Ivy"/>
    <s v="Desai"/>
    <n v="50"/>
    <x v="10"/>
    <n v="1974"/>
    <s v="SIXTY THOUSAND"/>
    <x v="2"/>
    <s v="Male"/>
    <s v="Marketing"/>
    <s v="Marketing"/>
    <s v="Manager"/>
    <d v="2018-04-05T00:00:00"/>
    <d v="2018-04-05T00:00:00"/>
    <s v="B"/>
    <x v="54"/>
    <s v="ivy.desai@saltcorp.com"/>
    <m/>
    <s v="Full-Time"/>
    <s v="Full-Time"/>
    <s v="EMP-2019-0080"/>
    <n v="4"/>
    <m/>
    <m/>
    <s v="N/A"/>
    <m/>
    <m/>
    <s v=""/>
    <n v="4"/>
    <x v="1"/>
    <x v="1"/>
  </r>
  <r>
    <x v="694"/>
    <s v="Alice"/>
    <s v="Thompson"/>
    <n v="25"/>
    <x v="0"/>
    <n v="1999"/>
    <n v="70000"/>
    <x v="5"/>
    <s v="Male"/>
    <s v="it"/>
    <s v="IT"/>
    <s v="Director"/>
    <d v="2019-12-01T00:00:00"/>
    <d v="2019-12-01T00:00:00"/>
    <s v="C"/>
    <x v="20"/>
    <s v="alice.thompson@saltcorp.com"/>
    <m/>
    <s v="Full-Time"/>
    <s v="Full-Time"/>
    <m/>
    <n v="7"/>
    <m/>
    <m/>
    <d v="2023-03-05T00:00:00"/>
    <m/>
    <s v="YES"/>
    <s v="Yes"/>
    <n v="1"/>
    <x v="1"/>
    <x v="1"/>
  </r>
  <r>
    <x v="695"/>
    <s v="Grace"/>
    <s v="Andrews"/>
    <n v="50"/>
    <x v="10"/>
    <n v="1974"/>
    <n v="55000"/>
    <x v="6"/>
    <s v="Female"/>
    <s v="sales"/>
    <s v="Sales"/>
    <s v="Manager"/>
    <d v="2020-02-20T00:00:00"/>
    <d v="2020-02-20T00:00:00"/>
    <s v="A"/>
    <x v="11"/>
    <s v="grace.andrews@saltcorp.com"/>
    <s v="123-456-7890"/>
    <s v="contract"/>
    <s v="Contract"/>
    <m/>
    <n v="3"/>
    <m/>
    <n v="15"/>
    <m/>
    <m/>
    <s v="no"/>
    <s v="No"/>
    <n v="2"/>
    <x v="1"/>
    <x v="1"/>
  </r>
  <r>
    <x v="696"/>
    <s v="Eve"/>
    <s v="Turner"/>
    <n v="50"/>
    <x v="10"/>
    <n v="1974"/>
    <n v="65000"/>
    <x v="1"/>
    <s v="Male"/>
    <s v="HR"/>
    <s v="HR"/>
    <s v="Analyst"/>
    <d v="2019-03-25T00:00:00"/>
    <d v="2019-03-25T00:00:00"/>
    <s v="C"/>
    <x v="7"/>
    <s v="eve.turner@saltcorp.com"/>
    <s v=" "/>
    <s v="Part-Time"/>
    <s v="Part-Time"/>
    <m/>
    <n v="2"/>
    <m/>
    <m/>
    <d v="2023-01-15T00:00:00"/>
    <m/>
    <s v="no"/>
    <s v="No"/>
    <n v="4"/>
    <x v="0"/>
    <x v="0"/>
  </r>
  <r>
    <x v="697"/>
    <s v="Eve"/>
    <s v="Dominguez"/>
    <n v="25"/>
    <x v="0"/>
    <n v="1999"/>
    <n v="70000"/>
    <x v="5"/>
    <s v="Male"/>
    <s v="Marketing"/>
    <s v="Marketing"/>
    <s v="Director"/>
    <d v="2020-02-20T00:00:00"/>
    <d v="2020-02-20T00:00:00"/>
    <s v="C"/>
    <x v="58"/>
    <s v="eve.dominguez@saltcorp.com"/>
    <s v="555-555-5555"/>
    <s v="Part-Time"/>
    <s v="Part-Time"/>
    <m/>
    <n v="3"/>
    <m/>
    <m/>
    <m/>
    <m/>
    <s v="no"/>
    <s v="No"/>
    <n v="2"/>
    <x v="1"/>
    <x v="1"/>
  </r>
  <r>
    <x v="698"/>
    <s v="Bob"/>
    <s v="Knight"/>
    <n v="50"/>
    <x v="10"/>
    <n v="1974"/>
    <n v="65000"/>
    <x v="1"/>
    <s v="Male"/>
    <s v="HR"/>
    <s v="HR"/>
    <s v="Director"/>
    <d v="2018-04-05T00:00:00"/>
    <d v="2018-04-05T00:00:00"/>
    <s v="F"/>
    <x v="1"/>
    <s v="bob.knight@saltcorp.com"/>
    <s v="555-555-5555"/>
    <s v="Full-Time"/>
    <s v="Full-Time"/>
    <m/>
    <n v="8"/>
    <m/>
    <n v="8"/>
    <s v="N/A"/>
    <m/>
    <s v="no"/>
    <s v="No"/>
    <n v="5"/>
    <x v="0"/>
    <x v="0"/>
  </r>
  <r>
    <x v="699"/>
    <s v="Charlie"/>
    <s v="Rogers"/>
    <m/>
    <x v="2"/>
    <n v="1989"/>
    <n v="65000"/>
    <x v="1"/>
    <s v="Male"/>
    <s v="it"/>
    <s v="IT"/>
    <s v="Assistant"/>
    <d v="2020-01-15T00:00:00"/>
    <d v="2020-01-15T00:00:00"/>
    <s v="B"/>
    <x v="45"/>
    <s v="charlie.rogers@saltcorp.com"/>
    <s v="123-456-7890"/>
    <s v="Full-Time"/>
    <s v="Full-Time"/>
    <s v="EMP-2020-0004"/>
    <n v="1"/>
    <n v="11"/>
    <m/>
    <d v="2022-06-20T00:00:00"/>
    <m/>
    <m/>
    <s v=""/>
    <n v="1"/>
    <x v="1"/>
    <x v="1"/>
  </r>
  <r>
    <x v="700"/>
    <s v="Grace"/>
    <s v="Pearson"/>
    <m/>
    <x v="6"/>
    <n v="1991"/>
    <n v="55000"/>
    <x v="6"/>
    <s v="Male"/>
    <s v="it"/>
    <s v="IT"/>
    <s v="Clerk"/>
    <d v="2018-04-05T00:00:00"/>
    <d v="2018-04-05T00:00:00"/>
    <s v="D"/>
    <x v="30"/>
    <s v="grace.pearson@saltcorp.com"/>
    <s v=" "/>
    <s v="Full-Time"/>
    <s v="Full-Time"/>
    <m/>
    <n v="2"/>
    <m/>
    <n v="13"/>
    <s v="N/A"/>
    <m/>
    <m/>
    <s v=""/>
    <n v="5"/>
    <x v="1"/>
    <x v="1"/>
  </r>
  <r>
    <x v="701"/>
    <s v="Frank"/>
    <s v="Gonzalez"/>
    <m/>
    <x v="9"/>
    <n v="1987"/>
    <n v="61500"/>
    <x v="11"/>
    <s v="Male"/>
    <s v="sales"/>
    <s v="Sales"/>
    <s v="Manager"/>
    <d v="2020-02-20T00:00:00"/>
    <d v="2020-02-20T00:00:00"/>
    <s v="D"/>
    <x v="17"/>
    <s v="frank.gonzalez@saltcorp.com"/>
    <s v="555-555-5555"/>
    <s v="contract"/>
    <s v="Contract"/>
    <m/>
    <n v="2"/>
    <m/>
    <m/>
    <d v="2022-06-20T00:00:00"/>
    <n v="31"/>
    <s v="YES"/>
    <s v="Yes"/>
    <n v="1"/>
    <x v="0"/>
    <x v="0"/>
  </r>
  <r>
    <x v="702"/>
    <s v="Bob"/>
    <s v="Miller"/>
    <n v="25"/>
    <x v="0"/>
    <n v="1999"/>
    <s v="SIXTY THOUSAND"/>
    <x v="2"/>
    <s v="Male"/>
    <s v="sales"/>
    <s v="Sales"/>
    <s v="Manager"/>
    <d v="2018-04-05T00:00:00"/>
    <d v="2018-04-05T00:00:00"/>
    <s v="F"/>
    <x v="57"/>
    <s v="bob.miller@saltcorp.com"/>
    <s v="555-555-5555"/>
    <s v="Part-Time"/>
    <s v="Part-Time"/>
    <m/>
    <n v="8"/>
    <m/>
    <m/>
    <d v="2022-06-20T00:00:00"/>
    <m/>
    <s v="YES"/>
    <s v="Yes"/>
    <n v="4"/>
    <x v="0"/>
    <x v="0"/>
  </r>
  <r>
    <x v="703"/>
    <s v="Frank"/>
    <s v="Gonzalez"/>
    <n v="50"/>
    <x v="10"/>
    <n v="1974"/>
    <n v="55000"/>
    <x v="6"/>
    <s v="Male"/>
    <s v="it"/>
    <s v="IT"/>
    <s v="Assistant"/>
    <d v="2020-01-15T00:00:00"/>
    <d v="2020-01-15T00:00:00"/>
    <s v="D"/>
    <x v="22"/>
    <s v="frank.gonzalez@saltcorp.com"/>
    <s v="555-555-5555"/>
    <s v="contract"/>
    <s v="Contract"/>
    <m/>
    <n v="3"/>
    <m/>
    <n v="7"/>
    <d v="2023-01-15T00:00:00"/>
    <m/>
    <m/>
    <s v=""/>
    <n v="2"/>
    <x v="0"/>
    <x v="0"/>
  </r>
  <r>
    <x v="704"/>
    <s v="Bob"/>
    <s v="Medina"/>
    <n v="25"/>
    <x v="0"/>
    <n v="1999"/>
    <n v="70000"/>
    <x v="5"/>
    <s v="Female"/>
    <s v="Marketing"/>
    <s v="Marketing"/>
    <s v="Assistant"/>
    <d v="2019-12-01T00:00:00"/>
    <d v="2019-12-01T00:00:00"/>
    <s v="C"/>
    <x v="2"/>
    <s v="bob.medina@saltcorp.com"/>
    <s v=" "/>
    <s v="Full-Time"/>
    <s v="Full-Time"/>
    <s v="EMP-2019-0070"/>
    <n v="1"/>
    <n v="11"/>
    <m/>
    <m/>
    <n v="28"/>
    <s v="YES"/>
    <s v="Yes"/>
    <n v="5"/>
    <x v="1"/>
    <x v="1"/>
  </r>
  <r>
    <x v="705"/>
    <s v="Bob"/>
    <s v="McCoy"/>
    <m/>
    <x v="29"/>
    <n v="1990"/>
    <n v="58800"/>
    <x v="17"/>
    <s v="Male"/>
    <s v="HR"/>
    <s v="HR"/>
    <s v="Clerk"/>
    <d v="2020-02-20T00:00:00"/>
    <d v="2020-02-20T00:00:00"/>
    <s v="F"/>
    <x v="57"/>
    <s v="bob.mccoy@saltcorp.com"/>
    <s v="123-456-7890"/>
    <s v="contract"/>
    <s v="Contract"/>
    <s v="EMP-2019-0070"/>
    <n v="7"/>
    <m/>
    <m/>
    <m/>
    <m/>
    <s v="YES"/>
    <s v="Yes"/>
    <n v="4"/>
    <x v="0"/>
    <x v="0"/>
  </r>
  <r>
    <x v="706"/>
    <s v="Bob"/>
    <s v="Brown"/>
    <n v="50"/>
    <x v="10"/>
    <n v="1974"/>
    <n v="70000"/>
    <x v="5"/>
    <s v="Male"/>
    <s v="finance"/>
    <s v="Finance"/>
    <s v="Clerk"/>
    <d v="2018-04-05T00:00:00"/>
    <d v="2018-04-05T00:00:00"/>
    <s v="A"/>
    <x v="3"/>
    <s v="bob.brown@saltcorp.com"/>
    <s v="555-555-5555"/>
    <s v="Part-Time"/>
    <s v="Part-Time"/>
    <m/>
    <n v="7"/>
    <m/>
    <n v="9"/>
    <m/>
    <m/>
    <s v="no"/>
    <s v="No"/>
    <n v="3"/>
    <x v="0"/>
    <x v="0"/>
  </r>
  <r>
    <x v="707"/>
    <s v="Charlie"/>
    <s v="White"/>
    <n v="50"/>
    <x v="10"/>
    <n v="1974"/>
    <n v="63000"/>
    <x v="9"/>
    <s v="Male"/>
    <s v="sales"/>
    <s v="Sales"/>
    <s v="Director"/>
    <d v="2020-02-20T00:00:00"/>
    <d v="2020-02-20T00:00:00"/>
    <s v="B"/>
    <x v="45"/>
    <s v="charlie.white@saltcorp.com"/>
    <m/>
    <s v="contract"/>
    <s v="Contract"/>
    <s v="EMP-2020-0097"/>
    <n v="6"/>
    <m/>
    <n v="3"/>
    <d v="2023-03-05T00:00:00"/>
    <n v="48"/>
    <s v="YES"/>
    <s v="Yes"/>
    <n v="3"/>
    <x v="0"/>
    <x v="0"/>
  </r>
  <r>
    <x v="708"/>
    <s v="Bob"/>
    <s v="Garrett"/>
    <n v="40"/>
    <x v="7"/>
    <n v="1984"/>
    <n v="70000"/>
    <x v="5"/>
    <s v="Male"/>
    <s v="finance"/>
    <s v="Finance"/>
    <s v="Analyst"/>
    <d v="2019-12-01T00:00:00"/>
    <d v="2019-12-01T00:00:00"/>
    <s v="B"/>
    <x v="35"/>
    <s v="bob.garrett@saltcorp.com"/>
    <s v=" "/>
    <s v="contract"/>
    <s v="Contract"/>
    <m/>
    <n v="1"/>
    <n v="5"/>
    <m/>
    <d v="2023-03-05T00:00:00"/>
    <n v="59"/>
    <s v="YES"/>
    <s v="Yes"/>
    <n v="3"/>
    <x v="1"/>
    <x v="1"/>
  </r>
  <r>
    <x v="709"/>
    <s v="David"/>
    <s v="Ross"/>
    <n v="40"/>
    <x v="7"/>
    <n v="1984"/>
    <n v="55000"/>
    <x v="6"/>
    <s v="Female"/>
    <s v="Marketing"/>
    <s v="Marketing"/>
    <s v="Clerk"/>
    <d v="2018-04-05T00:00:00"/>
    <d v="2018-04-05T00:00:00"/>
    <s v="B"/>
    <x v="49"/>
    <s v="david.ross@saltcorp.com"/>
    <s v="098-765-4321"/>
    <s v="Part-Time"/>
    <s v="Part-Time"/>
    <s v="EMP-2018-0057"/>
    <n v="7"/>
    <m/>
    <m/>
    <m/>
    <n v="10"/>
    <s v="YES"/>
    <s v="Yes"/>
    <n v="3"/>
    <x v="0"/>
    <x v="0"/>
  </r>
  <r>
    <x v="710"/>
    <s v="Ivy"/>
    <s v="Shah"/>
    <s v="thirty"/>
    <x v="8"/>
    <n v="1994"/>
    <n v="58300"/>
    <x v="12"/>
    <s v="Female"/>
    <s v="sales"/>
    <s v="Sales"/>
    <s v="Assistant"/>
    <d v="2018-04-05T00:00:00"/>
    <d v="2018-04-05T00:00:00"/>
    <s v="C"/>
    <x v="58"/>
    <s v="ivy.shah@saltcorp.com"/>
    <s v="123-456-7890"/>
    <s v="contract"/>
    <s v="Contract"/>
    <m/>
    <n v="4"/>
    <m/>
    <m/>
    <m/>
    <m/>
    <s v="no"/>
    <s v="No"/>
    <n v="3"/>
    <x v="0"/>
    <x v="0"/>
  </r>
  <r>
    <x v="711"/>
    <s v="Frank"/>
    <s v="Flores"/>
    <n v="35"/>
    <x v="2"/>
    <n v="1989"/>
    <n v="61300"/>
    <x v="18"/>
    <s v="Female"/>
    <s v="finance"/>
    <s v="Finance"/>
    <s v="Clerk"/>
    <d v="2020-02-20T00:00:00"/>
    <d v="2020-02-20T00:00:00"/>
    <s v="A"/>
    <x v="52"/>
    <s v="frank.flores@saltcorp.com"/>
    <m/>
    <s v="Full-Time"/>
    <s v="Full-Time"/>
    <m/>
    <n v="8"/>
    <s v="N/A"/>
    <n v="9"/>
    <m/>
    <m/>
    <s v="no"/>
    <s v="No"/>
    <n v="5"/>
    <x v="0"/>
    <x v="0"/>
  </r>
  <r>
    <x v="712"/>
    <s v="Alice"/>
    <s v="Chen"/>
    <n v="40"/>
    <x v="7"/>
    <n v="1984"/>
    <n v="65000"/>
    <x v="1"/>
    <s v="Female"/>
    <s v="Marketing"/>
    <s v="Marketing"/>
    <s v="Manager"/>
    <d v="2020-02-20T00:00:00"/>
    <d v="2020-02-20T00:00:00"/>
    <s v="F"/>
    <x v="95"/>
    <s v="alice.chen@saltcorp.com"/>
    <s v="555-555-5555"/>
    <s v="Full-Time"/>
    <s v="Full-Time"/>
    <s v="EMP-2018-0079"/>
    <n v="7"/>
    <n v="2"/>
    <m/>
    <m/>
    <m/>
    <s v="YES"/>
    <s v="Yes"/>
    <n v="5"/>
    <x v="1"/>
    <x v="1"/>
  </r>
  <r>
    <x v="713"/>
    <s v="Hannah"/>
    <s v="Walker"/>
    <n v="25"/>
    <x v="0"/>
    <n v="1999"/>
    <n v="65000"/>
    <x v="1"/>
    <s v="Female"/>
    <s v="HR"/>
    <s v="HR"/>
    <s v="Analyst"/>
    <d v="2020-01-15T00:00:00"/>
    <d v="2020-01-15T00:00:00"/>
    <s v="F"/>
    <x v="61"/>
    <s v="hannah.walker@saltcorp.com"/>
    <s v="098-765-4321"/>
    <s v="Full-Time"/>
    <s v="Full-Time"/>
    <m/>
    <n v="6"/>
    <m/>
    <m/>
    <d v="2021-10-01T00:00:00"/>
    <m/>
    <m/>
    <s v=""/>
    <n v="5"/>
    <x v="0"/>
    <x v="0"/>
  </r>
  <r>
    <x v="714"/>
    <s v="Grace"/>
    <s v="Olson"/>
    <n v="40"/>
    <x v="7"/>
    <n v="1984"/>
    <n v="50000"/>
    <x v="0"/>
    <s v="Female"/>
    <s v="Marketing"/>
    <s v="Marketing"/>
    <s v="Director"/>
    <d v="2019-12-01T00:00:00"/>
    <d v="2019-12-01T00:00:00"/>
    <s v="B"/>
    <x v="26"/>
    <s v="grace.olson@saltcorp.com"/>
    <s v="123-456-7890"/>
    <s v="Part-Time"/>
    <s v="Part-Time"/>
    <m/>
    <n v="2"/>
    <m/>
    <m/>
    <m/>
    <n v="17"/>
    <s v="no"/>
    <s v="No"/>
    <n v="1"/>
    <x v="1"/>
    <x v="1"/>
  </r>
  <r>
    <x v="715"/>
    <s v="Jack"/>
    <s v="Medina"/>
    <s v="thirty"/>
    <x v="8"/>
    <n v="1994"/>
    <n v="70000"/>
    <x v="5"/>
    <s v="Female"/>
    <s v="sales"/>
    <s v="Sales"/>
    <s v="Manager"/>
    <d v="2020-01-15T00:00:00"/>
    <d v="2020-01-15T00:00:00"/>
    <s v="A"/>
    <x v="70"/>
    <s v="jack.medina@saltcorp.com"/>
    <s v=" "/>
    <s v="contract"/>
    <s v="Contract"/>
    <m/>
    <n v="7"/>
    <m/>
    <m/>
    <d v="2023-03-05T00:00:00"/>
    <m/>
    <m/>
    <s v=""/>
    <n v="2"/>
    <x v="1"/>
    <x v="1"/>
  </r>
  <r>
    <x v="716"/>
    <s v="Charlie"/>
    <s v="Burns"/>
    <n v="50"/>
    <x v="10"/>
    <n v="1974"/>
    <n v="65000"/>
    <x v="1"/>
    <s v="Female"/>
    <s v="it"/>
    <s v="IT"/>
    <s v="Manager"/>
    <d v="2018-04-05T00:00:00"/>
    <d v="2018-04-05T00:00:00"/>
    <s v="A"/>
    <x v="25"/>
    <s v="charlie.burns@saltcorp.com"/>
    <s v="098-765-4321"/>
    <s v="contract"/>
    <s v="Contract"/>
    <s v="EMP-2020-0087"/>
    <n v="3"/>
    <m/>
    <n v="12"/>
    <d v="2023-03-05T00:00:00"/>
    <n v="49"/>
    <m/>
    <s v=""/>
    <n v="4"/>
    <x v="1"/>
    <x v="1"/>
  </r>
  <r>
    <x v="717"/>
    <s v="Alice"/>
    <s v="Thompson"/>
    <s v="thirty"/>
    <x v="8"/>
    <n v="1994"/>
    <n v="50000"/>
    <x v="0"/>
    <s v="Male"/>
    <s v="HR"/>
    <s v="HR"/>
    <s v="Analyst"/>
    <d v="2020-02-20T00:00:00"/>
    <d v="2020-02-20T00:00:00"/>
    <s v="A"/>
    <x v="51"/>
    <s v="alice.thompson@saltcorp.com"/>
    <s v="098-765-4321"/>
    <s v="Part-Time"/>
    <s v="Part-Time"/>
    <m/>
    <n v="5"/>
    <n v="9"/>
    <n v="15"/>
    <d v="2024-08-12T00:00:00"/>
    <n v="16"/>
    <s v="YES"/>
    <s v="Yes"/>
    <n v="4"/>
    <x v="0"/>
    <x v="0"/>
  </r>
  <r>
    <x v="718"/>
    <s v="Eve"/>
    <s v="Gomez"/>
    <n v="50"/>
    <x v="10"/>
    <n v="1974"/>
    <n v="65000"/>
    <x v="1"/>
    <s v="Female"/>
    <s v="finance"/>
    <s v="Finance"/>
    <s v="Director"/>
    <d v="2018-04-05T00:00:00"/>
    <d v="2018-04-05T00:00:00"/>
    <s v="D"/>
    <x v="18"/>
    <s v="eve.gomez@saltcorp.com"/>
    <m/>
    <s v="Full-Time"/>
    <s v="Full-Time"/>
    <m/>
    <n v="8"/>
    <m/>
    <n v="8"/>
    <s v="N/A"/>
    <m/>
    <s v="YES"/>
    <s v="Yes"/>
    <n v="5"/>
    <x v="0"/>
    <x v="0"/>
  </r>
  <r>
    <x v="719"/>
    <s v="David"/>
    <s v="Williamson"/>
    <n v="50"/>
    <x v="10"/>
    <n v="1974"/>
    <n v="70000"/>
    <x v="5"/>
    <s v="Female"/>
    <s v="sales"/>
    <s v="Sales"/>
    <s v="Assistant"/>
    <d v="2018-04-05T00:00:00"/>
    <d v="2018-04-05T00:00:00"/>
    <s v="D"/>
    <x v="27"/>
    <s v="david.williamson@saltcorp.com"/>
    <s v="123-456-7890"/>
    <s v="Part-Time"/>
    <s v="Part-Time"/>
    <s v="EMP-2018-0032"/>
    <n v="4"/>
    <n v="4"/>
    <n v="5"/>
    <s v="N/A"/>
    <m/>
    <s v="YES"/>
    <s v="Yes"/>
    <n v="4"/>
    <x v="1"/>
    <x v="1"/>
  </r>
  <r>
    <x v="720"/>
    <s v="Jack"/>
    <s v="Figueroa"/>
    <n v="35"/>
    <x v="2"/>
    <n v="1989"/>
    <n v="60100"/>
    <x v="10"/>
    <s v="Female"/>
    <s v="it"/>
    <s v="IT"/>
    <s v="Director"/>
    <d v="2019-03-25T00:00:00"/>
    <d v="2019-03-25T00:00:00"/>
    <s v="B"/>
    <x v="35"/>
    <s v="jack.figueroa@saltcorp.com"/>
    <m/>
    <s v="Part-Time"/>
    <s v="Part-Time"/>
    <m/>
    <n v="2"/>
    <m/>
    <n v="13"/>
    <m/>
    <m/>
    <s v="YES"/>
    <s v="Yes"/>
    <n v="2"/>
    <x v="1"/>
    <x v="1"/>
  </r>
  <r>
    <x v="721"/>
    <s v="Hannah"/>
    <s v="Hughes"/>
    <n v="40"/>
    <x v="7"/>
    <n v="1984"/>
    <s v="SIXTY THOUSAND"/>
    <x v="2"/>
    <s v="Female"/>
    <s v="Marketing"/>
    <s v="Marketing"/>
    <s v="Clerk"/>
    <d v="2019-03-25T00:00:00"/>
    <d v="2019-03-25T00:00:00"/>
    <s v="A"/>
    <x v="76"/>
    <s v="hannah.hughes@saltcorp.com"/>
    <m/>
    <s v="Full-Time"/>
    <s v="Full-Time"/>
    <m/>
    <n v="5"/>
    <s v="N/A"/>
    <m/>
    <s v="N/A"/>
    <m/>
    <m/>
    <s v=""/>
    <n v="5"/>
    <x v="1"/>
    <x v="1"/>
  </r>
  <r>
    <x v="722"/>
    <s v="Alice"/>
    <s v="Anderson"/>
    <n v="25"/>
    <x v="0"/>
    <n v="1999"/>
    <n v="70000"/>
    <x v="5"/>
    <s v="Male"/>
    <s v="it"/>
    <s v="IT"/>
    <s v="Manager"/>
    <d v="2018-04-05T00:00:00"/>
    <d v="2018-04-05T00:00:00"/>
    <s v="A"/>
    <x v="50"/>
    <s v="alice.anderson@saltcorp.com"/>
    <s v="555-555-5555"/>
    <s v="Full-Time"/>
    <s v="Full-Time"/>
    <m/>
    <n v="7"/>
    <n v="3"/>
    <n v="7"/>
    <m/>
    <n v="35"/>
    <m/>
    <s v=""/>
    <n v="3"/>
    <x v="0"/>
    <x v="0"/>
  </r>
  <r>
    <x v="723"/>
    <s v="Jack"/>
    <s v="Burns"/>
    <n v="25"/>
    <x v="0"/>
    <n v="1999"/>
    <n v="55000"/>
    <x v="6"/>
    <s v="Male"/>
    <s v="sales"/>
    <s v="Sales"/>
    <s v="Clerk"/>
    <d v="2020-02-20T00:00:00"/>
    <d v="2020-02-20T00:00:00"/>
    <s v="F"/>
    <x v="65"/>
    <s v="jack.burns@saltcorp.com"/>
    <s v=" "/>
    <s v="Part-Time"/>
    <s v="Part-Time"/>
    <m/>
    <n v="5"/>
    <s v="N/A"/>
    <n v="17"/>
    <m/>
    <n v="75"/>
    <m/>
    <s v=""/>
    <n v="4"/>
    <x v="0"/>
    <x v="0"/>
  </r>
  <r>
    <x v="724"/>
    <s v="Alice"/>
    <s v="Wells"/>
    <m/>
    <x v="30"/>
    <n v="1997"/>
    <n v="65000"/>
    <x v="1"/>
    <s v="Female"/>
    <s v="sales"/>
    <s v="Sales"/>
    <s v="Assistant"/>
    <d v="2018-04-05T00:00:00"/>
    <d v="2018-04-05T00:00:00"/>
    <s v="F"/>
    <x v="94"/>
    <s v="alice.wells@saltcorp.com"/>
    <s v="098-765-4321"/>
    <s v="Full-Time"/>
    <s v="Full-Time"/>
    <m/>
    <n v="4"/>
    <n v="3"/>
    <n v="7"/>
    <m/>
    <n v="57"/>
    <s v="no"/>
    <s v="No"/>
    <n v="5"/>
    <x v="1"/>
    <x v="1"/>
  </r>
  <r>
    <x v="725"/>
    <s v="David"/>
    <s v="Armstrong"/>
    <n v="50"/>
    <x v="10"/>
    <n v="1974"/>
    <n v="65000"/>
    <x v="1"/>
    <s v="Female"/>
    <s v="it"/>
    <s v="IT"/>
    <s v="Clerk"/>
    <d v="2019-03-25T00:00:00"/>
    <d v="2019-03-25T00:00:00"/>
    <s v="B"/>
    <x v="6"/>
    <s v="david.armstrong@saltcorp.com"/>
    <s v="123-456-7890"/>
    <s v="Part-Time"/>
    <s v="Part-Time"/>
    <m/>
    <n v="1"/>
    <m/>
    <m/>
    <d v="2023-03-05T00:00:00"/>
    <m/>
    <m/>
    <s v=""/>
    <n v="2"/>
    <x v="0"/>
    <x v="0"/>
  </r>
  <r>
    <x v="726"/>
    <s v="Hannah"/>
    <s v="Le"/>
    <n v="25"/>
    <x v="0"/>
    <n v="1999"/>
    <n v="60500"/>
    <x v="7"/>
    <s v="Female"/>
    <s v="Marketing"/>
    <s v="Marketing"/>
    <s v="Director"/>
    <d v="2020-02-20T00:00:00"/>
    <d v="2020-02-20T00:00:00"/>
    <s v="A"/>
    <x v="25"/>
    <s v="hannah.le@saltcorp.com"/>
    <s v=" "/>
    <s v="Full-Time"/>
    <s v="Full-Time"/>
    <m/>
    <n v="1"/>
    <s v="N/A"/>
    <n v="7"/>
    <m/>
    <n v="69"/>
    <s v="no"/>
    <s v="No"/>
    <n v="3"/>
    <x v="0"/>
    <x v="0"/>
  </r>
  <r>
    <x v="727"/>
    <s v="Eve"/>
    <s v="Knight"/>
    <n v="35"/>
    <x v="2"/>
    <n v="1989"/>
    <n v="55000"/>
    <x v="6"/>
    <s v="Female"/>
    <s v="it"/>
    <s v="IT"/>
    <s v="Clerk"/>
    <d v="2018-04-05T00:00:00"/>
    <d v="2018-04-05T00:00:00"/>
    <s v="B"/>
    <x v="54"/>
    <s v="eve.knight@saltcorp.com"/>
    <s v=" "/>
    <s v="Full-Time"/>
    <s v="Full-Time"/>
    <m/>
    <n v="2"/>
    <n v="8"/>
    <n v="11"/>
    <d v="2024-08-12T00:00:00"/>
    <m/>
    <s v="no"/>
    <s v="No"/>
    <n v="4"/>
    <x v="1"/>
    <x v="1"/>
  </r>
  <r>
    <x v="728"/>
    <s v="Bob"/>
    <s v="Brown"/>
    <n v="50"/>
    <x v="10"/>
    <n v="1974"/>
    <n v="58300"/>
    <x v="12"/>
    <s v="Female"/>
    <s v="sales"/>
    <s v="Sales"/>
    <s v="Assistant"/>
    <d v="2019-12-01T00:00:00"/>
    <d v="2019-12-01T00:00:00"/>
    <s v="F"/>
    <x v="47"/>
    <s v="bob.brown@saltcorp.com"/>
    <s v="123-456-7890"/>
    <s v="Full-Time"/>
    <s v="Full-Time"/>
    <m/>
    <n v="1"/>
    <n v="0"/>
    <m/>
    <d v="2024-08-12T00:00:00"/>
    <m/>
    <s v="no"/>
    <s v="No"/>
    <n v="3"/>
    <x v="0"/>
    <x v="0"/>
  </r>
  <r>
    <x v="729"/>
    <s v="Frank"/>
    <s v="Flores"/>
    <n v="35"/>
    <x v="2"/>
    <n v="1989"/>
    <n v="55000"/>
    <x v="6"/>
    <s v="Female"/>
    <s v="sales"/>
    <s v="Sales"/>
    <s v="Assistant"/>
    <d v="2019-12-01T00:00:00"/>
    <d v="2019-12-01T00:00:00"/>
    <s v="F"/>
    <x v="87"/>
    <s v="frank.flores@saltcorp.com"/>
    <s v=" "/>
    <s v="Full-Time"/>
    <s v="Full-Time"/>
    <m/>
    <n v="7"/>
    <m/>
    <m/>
    <d v="2023-03-05T00:00:00"/>
    <m/>
    <m/>
    <s v=""/>
    <n v="1"/>
    <x v="1"/>
    <x v="1"/>
  </r>
  <r>
    <x v="730"/>
    <s v="Eve"/>
    <s v="Mason"/>
    <n v="25"/>
    <x v="0"/>
    <n v="1999"/>
    <s v="SIXTY THOUSAND"/>
    <x v="2"/>
    <s v="Female"/>
    <s v="finance"/>
    <s v="Finance"/>
    <s v="Assistant"/>
    <d v="2018-04-05T00:00:00"/>
    <d v="2018-04-05T00:00:00"/>
    <s v="D"/>
    <x v="17"/>
    <s v="eve.mason@saltcorp.com"/>
    <s v="555-555-5555"/>
    <s v="Full-Time"/>
    <s v="Full-Time"/>
    <m/>
    <n v="4"/>
    <m/>
    <m/>
    <s v="N/A"/>
    <m/>
    <s v="no"/>
    <s v="No"/>
    <n v="1"/>
    <x v="1"/>
    <x v="1"/>
  </r>
  <r>
    <x v="731"/>
    <s v="Bob"/>
    <s v="Miller"/>
    <n v="25"/>
    <x v="0"/>
    <n v="1999"/>
    <n v="65000"/>
    <x v="1"/>
    <s v="Female"/>
    <s v="finance"/>
    <s v="Finance"/>
    <s v="Director"/>
    <d v="2020-02-20T00:00:00"/>
    <d v="2020-02-20T00:00:00"/>
    <s v="B"/>
    <x v="10"/>
    <s v="bob.miller@saltcorp.com"/>
    <s v=" "/>
    <s v="contract"/>
    <s v="Contract"/>
    <m/>
    <n v="6"/>
    <m/>
    <n v="17"/>
    <d v="2022-06-20T00:00:00"/>
    <m/>
    <s v="no"/>
    <s v="No"/>
    <n v="4"/>
    <x v="0"/>
    <x v="0"/>
  </r>
  <r>
    <x v="732"/>
    <s v="Charlie"/>
    <s v="Jackson"/>
    <m/>
    <x v="29"/>
    <n v="1990"/>
    <n v="65000"/>
    <x v="1"/>
    <s v="Male"/>
    <s v="HR"/>
    <s v="HR"/>
    <s v="Assistant"/>
    <d v="2018-04-05T00:00:00"/>
    <d v="2018-04-05T00:00:00"/>
    <s v="B"/>
    <x v="54"/>
    <s v="charlie.jackson@saltcorp.com"/>
    <s v="555-555-5555"/>
    <s v="Part-Time"/>
    <s v="Part-Time"/>
    <m/>
    <n v="7"/>
    <n v="0"/>
    <m/>
    <d v="2021-10-01T00:00:00"/>
    <m/>
    <s v="YES"/>
    <s v="Yes"/>
    <n v="4"/>
    <x v="1"/>
    <x v="1"/>
  </r>
  <r>
    <x v="733"/>
    <s v="Ivy"/>
    <s v="Gupta"/>
    <n v="25"/>
    <x v="0"/>
    <n v="1999"/>
    <s v="SIXTY THOUSAND"/>
    <x v="2"/>
    <s v="Female"/>
    <s v="sales"/>
    <s v="Sales"/>
    <s v="Manager"/>
    <d v="2018-04-05T00:00:00"/>
    <d v="2018-04-05T00:00:00"/>
    <s v="A"/>
    <x v="41"/>
    <s v="ivy.gupta@saltcorp.com"/>
    <s v="098-765-4321"/>
    <s v="Part-Time"/>
    <s v="Part-Time"/>
    <m/>
    <n v="6"/>
    <m/>
    <n v="4"/>
    <s v="N/A"/>
    <m/>
    <s v="no"/>
    <s v="No"/>
    <n v="5"/>
    <x v="0"/>
    <x v="0"/>
  </r>
  <r>
    <x v="734"/>
    <s v="Grace"/>
    <s v="Zhou"/>
    <n v="50"/>
    <x v="10"/>
    <n v="1974"/>
    <n v="50000"/>
    <x v="0"/>
    <s v="Male"/>
    <s v="finance"/>
    <s v="Finance"/>
    <s v="Assistant"/>
    <d v="2019-03-25T00:00:00"/>
    <d v="2019-03-25T00:00:00"/>
    <s v="A"/>
    <x v="25"/>
    <s v="grace.zhou@saltcorp.com"/>
    <s v="098-765-4321"/>
    <s v="contract"/>
    <s v="Contract"/>
    <s v="EMP-2019-0003"/>
    <n v="2"/>
    <n v="7"/>
    <n v="13"/>
    <m/>
    <m/>
    <s v="YES"/>
    <s v="Yes"/>
    <n v="5"/>
    <x v="0"/>
    <x v="0"/>
  </r>
  <r>
    <x v="735"/>
    <s v="Grace"/>
    <s v="Knight"/>
    <n v="50"/>
    <x v="10"/>
    <n v="1974"/>
    <n v="58600"/>
    <x v="8"/>
    <s v="Male"/>
    <s v="it"/>
    <s v="IT"/>
    <s v="Clerk"/>
    <d v="2019-12-01T00:00:00"/>
    <d v="2019-12-01T00:00:00"/>
    <s v="D"/>
    <x v="27"/>
    <s v="grace.knight@saltcorp.com"/>
    <m/>
    <s v="contract"/>
    <s v="Contract"/>
    <m/>
    <n v="3"/>
    <m/>
    <n v="2"/>
    <d v="2023-01-15T00:00:00"/>
    <m/>
    <s v="no"/>
    <s v="No"/>
    <n v="1"/>
    <x v="1"/>
    <x v="1"/>
  </r>
  <r>
    <x v="736"/>
    <s v="Frank"/>
    <s v="Dixon"/>
    <n v="50"/>
    <x v="10"/>
    <n v="1974"/>
    <s v="SIXTY THOUSAND"/>
    <x v="2"/>
    <s v="Male"/>
    <s v="Marketing"/>
    <s v="Marketing"/>
    <s v="Clerk"/>
    <d v="2019-03-25T00:00:00"/>
    <d v="2019-03-25T00:00:00"/>
    <s v="C"/>
    <x v="69"/>
    <s v="frank.dixon@saltcorp.com"/>
    <s v="555-555-5555"/>
    <s v="Full-Time"/>
    <s v="Full-Time"/>
    <m/>
    <n v="7"/>
    <m/>
    <m/>
    <d v="2022-06-20T00:00:00"/>
    <n v="27"/>
    <s v="YES"/>
    <s v="Yes"/>
    <n v="4"/>
    <x v="0"/>
    <x v="0"/>
  </r>
  <r>
    <x v="737"/>
    <s v="Hannah"/>
    <s v="Powell"/>
    <m/>
    <x v="2"/>
    <n v="1989"/>
    <n v="58600"/>
    <x v="8"/>
    <s v="Male"/>
    <s v="it"/>
    <s v="IT"/>
    <s v="Clerk"/>
    <d v="2019-03-25T00:00:00"/>
    <d v="2019-03-25T00:00:00"/>
    <s v="C"/>
    <x v="20"/>
    <s v="hannah.powell@saltcorp.com"/>
    <s v="098-765-4321"/>
    <s v="Full-Time"/>
    <s v="Full-Time"/>
    <m/>
    <n v="5"/>
    <m/>
    <m/>
    <m/>
    <n v="48"/>
    <s v="no"/>
    <s v="No"/>
    <n v="4"/>
    <x v="0"/>
    <x v="0"/>
  </r>
  <r>
    <x v="738"/>
    <s v="David"/>
    <s v="Ward"/>
    <m/>
    <x v="18"/>
    <n v="1977"/>
    <n v="70000"/>
    <x v="5"/>
    <s v="Male"/>
    <s v="Marketing"/>
    <s v="Marketing"/>
    <s v="Director"/>
    <d v="2018-04-05T00:00:00"/>
    <d v="2018-04-05T00:00:00"/>
    <s v="C"/>
    <x v="20"/>
    <s v="david.ward@saltcorp.com"/>
    <s v=" "/>
    <s v="Full-Time"/>
    <s v="Full-Time"/>
    <m/>
    <n v="5"/>
    <n v="0"/>
    <n v="11"/>
    <m/>
    <n v="61"/>
    <s v="YES"/>
    <s v="Yes"/>
    <n v="3"/>
    <x v="1"/>
    <x v="1"/>
  </r>
  <r>
    <x v="739"/>
    <s v="Hannah"/>
    <s v="Lucas"/>
    <n v="25"/>
    <x v="0"/>
    <n v="1999"/>
    <n v="65000"/>
    <x v="1"/>
    <s v="Male"/>
    <s v="finance"/>
    <s v="Finance"/>
    <s v="Clerk"/>
    <d v="2019-03-25T00:00:00"/>
    <d v="2019-03-25T00:00:00"/>
    <s v="B"/>
    <x v="35"/>
    <s v="hannah.lucas@saltcorp.com"/>
    <s v="123-456-7890"/>
    <s v="Part-Time"/>
    <s v="Part-Time"/>
    <m/>
    <n v="7"/>
    <m/>
    <n v="18"/>
    <m/>
    <n v="21"/>
    <s v="YES"/>
    <s v="Yes"/>
    <n v="1"/>
    <x v="0"/>
    <x v="0"/>
  </r>
  <r>
    <x v="740"/>
    <s v="David"/>
    <s v="Sullivan"/>
    <s v="thirty"/>
    <x v="8"/>
    <n v="1994"/>
    <n v="60900"/>
    <x v="15"/>
    <s v="Female"/>
    <s v="HR"/>
    <s v="HR"/>
    <s v="Director"/>
    <d v="2019-12-01T00:00:00"/>
    <d v="2019-12-01T00:00:00"/>
    <s v="B"/>
    <x v="10"/>
    <s v="david.sullivan@saltcorp.com"/>
    <s v="123-456-7890"/>
    <s v="Part-Time"/>
    <s v="Part-Time"/>
    <m/>
    <n v="6"/>
    <m/>
    <m/>
    <m/>
    <n v="51"/>
    <m/>
    <s v=""/>
    <n v="3"/>
    <x v="0"/>
    <x v="0"/>
  </r>
  <r>
    <x v="741"/>
    <s v="Hannah"/>
    <s v="Brooks"/>
    <s v="thirty"/>
    <x v="8"/>
    <n v="1994"/>
    <n v="55000"/>
    <x v="6"/>
    <s v="Male"/>
    <s v="it"/>
    <s v="IT"/>
    <s v="Director"/>
    <d v="2019-03-25T00:00:00"/>
    <d v="2019-03-25T00:00:00"/>
    <s v="F"/>
    <x v="66"/>
    <s v="hannah.brooks@saltcorp.com"/>
    <s v="555-555-5555"/>
    <s v="contract"/>
    <s v="Contract"/>
    <m/>
    <n v="5"/>
    <m/>
    <n v="15"/>
    <m/>
    <m/>
    <s v="YES"/>
    <s v="Yes"/>
    <n v="4"/>
    <x v="0"/>
    <x v="0"/>
  </r>
  <r>
    <x v="742"/>
    <s v="Ivy"/>
    <s v="Davidson"/>
    <m/>
    <x v="7"/>
    <n v="1984"/>
    <n v="59800"/>
    <x v="21"/>
    <s v="Female"/>
    <s v="it"/>
    <s v="IT"/>
    <s v="Assistant"/>
    <d v="2019-12-01T00:00:00"/>
    <d v="2019-12-01T00:00:00"/>
    <s v="B"/>
    <x v="6"/>
    <s v="ivy.davidson@saltcorp.com"/>
    <m/>
    <s v="contract"/>
    <s v="Contract"/>
    <m/>
    <n v="7"/>
    <s v="N/A"/>
    <n v="14"/>
    <m/>
    <m/>
    <s v="no"/>
    <s v="No"/>
    <n v="1"/>
    <x v="1"/>
    <x v="1"/>
  </r>
  <r>
    <x v="743"/>
    <s v="Charlie"/>
    <s v="Harris"/>
    <n v="25"/>
    <x v="0"/>
    <n v="1999"/>
    <n v="70000"/>
    <x v="5"/>
    <s v="Female"/>
    <s v="it"/>
    <s v="IT"/>
    <s v="Manager"/>
    <d v="2019-03-25T00:00:00"/>
    <d v="2019-03-25T00:00:00"/>
    <s v="B"/>
    <x v="14"/>
    <s v="charlie.harris@saltcorp.com"/>
    <s v=" "/>
    <s v="Full-Time"/>
    <s v="Full-Time"/>
    <s v="EMP-2018-0001"/>
    <n v="4"/>
    <m/>
    <n v="4"/>
    <s v="N/A"/>
    <n v="18"/>
    <s v="YES"/>
    <s v="Yes"/>
    <n v="2"/>
    <x v="1"/>
    <x v="1"/>
  </r>
  <r>
    <x v="744"/>
    <s v="Charlie"/>
    <s v="Schmidt"/>
    <s v="thirty"/>
    <x v="8"/>
    <n v="1994"/>
    <n v="65000"/>
    <x v="1"/>
    <s v="Female"/>
    <s v="Marketing"/>
    <s v="Marketing"/>
    <s v="Assistant"/>
    <d v="2019-12-01T00:00:00"/>
    <d v="2019-12-01T00:00:00"/>
    <s v="B"/>
    <x v="6"/>
    <s v="charlie.schmidt@saltcorp.com"/>
    <s v="555-555-5555"/>
    <s v="Full-Time"/>
    <s v="Full-Time"/>
    <s v="EMP-2018-0076"/>
    <n v="7"/>
    <m/>
    <m/>
    <d v="2023-01-15T00:00:00"/>
    <n v="60"/>
    <s v="YES"/>
    <s v="Yes"/>
    <n v="4"/>
    <x v="1"/>
    <x v="1"/>
  </r>
  <r>
    <x v="745"/>
    <s v="Bob"/>
    <s v="Rodriguez"/>
    <n v="25"/>
    <x v="0"/>
    <n v="1999"/>
    <s v="SIXTY THOUSAND"/>
    <x v="2"/>
    <s v="Female"/>
    <s v="finance"/>
    <s v="Finance"/>
    <s v="Assistant"/>
    <d v="2019-03-25T00:00:00"/>
    <d v="2019-03-25T00:00:00"/>
    <s v="D"/>
    <x v="17"/>
    <s v="bob.rodriguez@saltcorp.com"/>
    <s v="123-456-7890"/>
    <s v="Full-Time"/>
    <s v="Full-Time"/>
    <s v="EMP-2019-0002"/>
    <n v="8"/>
    <m/>
    <m/>
    <s v="N/A"/>
    <m/>
    <s v="YES"/>
    <s v="Yes"/>
    <n v="2"/>
    <x v="1"/>
    <x v="1"/>
  </r>
  <r>
    <x v="746"/>
    <s v="Jack"/>
    <s v="Sullivan"/>
    <n v="25"/>
    <x v="0"/>
    <n v="1999"/>
    <n v="70000"/>
    <x v="5"/>
    <s v="Male"/>
    <s v="it"/>
    <s v="IT"/>
    <s v="Director"/>
    <d v="2019-03-25T00:00:00"/>
    <d v="2019-03-25T00:00:00"/>
    <s v="B"/>
    <x v="16"/>
    <s v="jack.sullivan@saltcorp.com"/>
    <s v="555-555-5555"/>
    <s v="Full-Time"/>
    <s v="Full-Time"/>
    <m/>
    <n v="3"/>
    <s v="N/A"/>
    <m/>
    <m/>
    <m/>
    <s v="no"/>
    <s v="No"/>
    <n v="1"/>
    <x v="1"/>
    <x v="1"/>
  </r>
  <r>
    <x v="747"/>
    <s v="Charlie"/>
    <s v="Clark"/>
    <n v="25"/>
    <x v="0"/>
    <n v="1999"/>
    <n v="65000"/>
    <x v="1"/>
    <s v="Male"/>
    <s v="it"/>
    <s v="IT"/>
    <s v="Director"/>
    <d v="2020-02-20T00:00:00"/>
    <d v="2020-02-20T00:00:00"/>
    <s v="A"/>
    <x v="25"/>
    <s v="charlie.clark@saltcorp.com"/>
    <s v=" "/>
    <s v="Full-Time"/>
    <s v="Full-Time"/>
    <m/>
    <n v="6"/>
    <n v="10"/>
    <m/>
    <m/>
    <m/>
    <s v="no"/>
    <s v="No"/>
    <n v="5"/>
    <x v="0"/>
    <x v="0"/>
  </r>
  <r>
    <x v="748"/>
    <s v="Charlie"/>
    <s v="Bishop"/>
    <n v="40"/>
    <x v="7"/>
    <n v="1984"/>
    <n v="58800"/>
    <x v="17"/>
    <s v="Female"/>
    <s v="HR"/>
    <s v="HR"/>
    <s v="Clerk"/>
    <d v="2019-12-01T00:00:00"/>
    <d v="2019-12-01T00:00:00"/>
    <s v="A"/>
    <x v="52"/>
    <s v="charlie.bishop@saltcorp.com"/>
    <s v="098-765-4321"/>
    <s v="Full-Time"/>
    <s v="Full-Time"/>
    <m/>
    <n v="8"/>
    <s v="N/A"/>
    <n v="16"/>
    <d v="2023-03-05T00:00:00"/>
    <m/>
    <s v="YES"/>
    <s v="Yes"/>
    <n v="3"/>
    <x v="1"/>
    <x v="1"/>
  </r>
  <r>
    <x v="749"/>
    <s v="Eve"/>
    <s v="Bell"/>
    <n v="50"/>
    <x v="10"/>
    <n v="1974"/>
    <n v="50000"/>
    <x v="0"/>
    <s v="Male"/>
    <s v="HR"/>
    <s v="HR"/>
    <s v="Clerk"/>
    <d v="2019-12-01T00:00:00"/>
    <d v="2019-12-01T00:00:00"/>
    <s v="F"/>
    <x v="64"/>
    <s v="eve.bell@saltcorp.com"/>
    <s v=" "/>
    <s v="Full-Time"/>
    <s v="Full-Time"/>
    <m/>
    <n v="5"/>
    <m/>
    <m/>
    <m/>
    <m/>
    <s v="YES"/>
    <s v="Yes"/>
    <n v="2"/>
    <x v="0"/>
    <x v="0"/>
  </r>
  <r>
    <x v="750"/>
    <s v="Eve"/>
    <s v="Carter"/>
    <n v="25"/>
    <x v="0"/>
    <n v="1999"/>
    <n v="50000"/>
    <x v="0"/>
    <s v="Female"/>
    <s v="finance"/>
    <s v="Finance"/>
    <s v="Assistant"/>
    <d v="2019-12-01T00:00:00"/>
    <d v="2019-12-01T00:00:00"/>
    <s v="D"/>
    <x v="34"/>
    <s v="eve.carter@saltcorp.com"/>
    <s v="098-765-4321"/>
    <s v="Part-Time"/>
    <s v="Part-Time"/>
    <m/>
    <n v="5"/>
    <m/>
    <n v="6"/>
    <m/>
    <n v="79"/>
    <m/>
    <s v=""/>
    <n v="3"/>
    <x v="1"/>
    <x v="1"/>
  </r>
  <r>
    <x v="751"/>
    <s v="Bob"/>
    <s v="Byrd"/>
    <n v="40"/>
    <x v="7"/>
    <n v="1984"/>
    <n v="55000"/>
    <x v="6"/>
    <s v="Male"/>
    <s v="finance"/>
    <s v="Finance"/>
    <s v="Analyst"/>
    <d v="2020-01-15T00:00:00"/>
    <d v="2020-01-15T00:00:00"/>
    <s v="A"/>
    <x v="52"/>
    <s v="bob.byrd@saltcorp.com"/>
    <s v="098-765-4321"/>
    <s v="Part-Time"/>
    <s v="Part-Time"/>
    <s v="EMP-2020-0073"/>
    <n v="6"/>
    <n v="1"/>
    <n v="5"/>
    <m/>
    <m/>
    <s v="no"/>
    <s v="No"/>
    <n v="3"/>
    <x v="1"/>
    <x v="1"/>
  </r>
  <r>
    <x v="752"/>
    <s v="Jack"/>
    <s v="Aguilar"/>
    <m/>
    <x v="11"/>
    <n v="1985"/>
    <n v="65000"/>
    <x v="1"/>
    <s v="Male"/>
    <s v="sales"/>
    <s v="Sales"/>
    <s v="Analyst"/>
    <d v="2019-03-25T00:00:00"/>
    <d v="2019-03-25T00:00:00"/>
    <s v="D"/>
    <x v="24"/>
    <s v="jack.aguilar@saltcorp.com"/>
    <s v="098-765-4321"/>
    <s v="Full-Time"/>
    <s v="Full-Time"/>
    <m/>
    <n v="7"/>
    <s v="N/A"/>
    <m/>
    <d v="2023-03-05T00:00:00"/>
    <n v="22"/>
    <s v="no"/>
    <s v="No"/>
    <n v="4"/>
    <x v="0"/>
    <x v="0"/>
  </r>
  <r>
    <x v="753"/>
    <s v="Frank"/>
    <s v="Ramirez"/>
    <s v="thirty"/>
    <x v="8"/>
    <n v="1994"/>
    <n v="50000"/>
    <x v="0"/>
    <s v="Male"/>
    <s v="HR"/>
    <s v="HR"/>
    <s v="Clerk"/>
    <d v="2019-12-01T00:00:00"/>
    <d v="2019-12-01T00:00:00"/>
    <s v="D"/>
    <x v="22"/>
    <s v="frank.ramirez@saltcorp.com"/>
    <s v="555-555-5555"/>
    <s v="contract"/>
    <s v="Contract"/>
    <s v="EMP-2020-0096"/>
    <n v="3"/>
    <s v="N/A"/>
    <n v="20"/>
    <m/>
    <n v="70"/>
    <s v="no"/>
    <s v="No"/>
    <n v="4"/>
    <x v="1"/>
    <x v="1"/>
  </r>
  <r>
    <x v="754"/>
    <s v="Eve"/>
    <s v="Carter"/>
    <n v="50"/>
    <x v="10"/>
    <n v="1974"/>
    <s v="SIXTY THOUSAND"/>
    <x v="2"/>
    <s v="Female"/>
    <s v="sales"/>
    <s v="Sales"/>
    <s v="Analyst"/>
    <d v="2020-01-15T00:00:00"/>
    <d v="2020-01-15T00:00:00"/>
    <s v="F"/>
    <x v="5"/>
    <s v="eve.carter@saltcorp.com"/>
    <s v="123-456-7890"/>
    <s v="Part-Time"/>
    <s v="Part-Time"/>
    <m/>
    <n v="2"/>
    <m/>
    <m/>
    <m/>
    <n v="39"/>
    <s v="YES"/>
    <s v="Yes"/>
    <n v="5"/>
    <x v="0"/>
    <x v="0"/>
  </r>
  <r>
    <x v="755"/>
    <s v="Frank"/>
    <s v="Torres"/>
    <s v="thirty"/>
    <x v="8"/>
    <n v="1994"/>
    <n v="65000"/>
    <x v="1"/>
    <s v="Male"/>
    <s v="Marketing"/>
    <s v="Marketing"/>
    <s v="Clerk"/>
    <d v="2020-02-20T00:00:00"/>
    <d v="2020-02-20T00:00:00"/>
    <s v="D"/>
    <x v="17"/>
    <s v="frank.torres@saltcorp.com"/>
    <s v="555-555-5555"/>
    <s v="Full-Time"/>
    <s v="Full-Time"/>
    <s v="EMP-2019-0028"/>
    <n v="4"/>
    <m/>
    <n v="20"/>
    <m/>
    <m/>
    <s v="YES"/>
    <s v="Yes"/>
    <n v="2"/>
    <x v="1"/>
    <x v="1"/>
  </r>
  <r>
    <x v="756"/>
    <s v="Alice"/>
    <s v="Anderson"/>
    <n v="50"/>
    <x v="10"/>
    <n v="1974"/>
    <s v="SIXTY THOUSAND"/>
    <x v="2"/>
    <s v="Male"/>
    <s v="sales"/>
    <s v="Sales"/>
    <s v="Director"/>
    <d v="2019-12-01T00:00:00"/>
    <d v="2019-12-01T00:00:00"/>
    <s v="B"/>
    <x v="26"/>
    <s v="alice.anderson@saltcorp.com"/>
    <s v="123-456-7890"/>
    <s v="Full-Time"/>
    <s v="Full-Time"/>
    <m/>
    <n v="8"/>
    <s v="N/A"/>
    <n v="3"/>
    <d v="2024-08-12T00:00:00"/>
    <m/>
    <s v="no"/>
    <s v="No"/>
    <n v="5"/>
    <x v="0"/>
    <x v="0"/>
  </r>
  <r>
    <x v="757"/>
    <s v="Eve"/>
    <s v="Rogers"/>
    <s v="thirty"/>
    <x v="8"/>
    <n v="1994"/>
    <s v="SIXTY THOUSAND"/>
    <x v="2"/>
    <s v="Female"/>
    <s v="it"/>
    <s v="IT"/>
    <s v="Assistant"/>
    <d v="2019-12-01T00:00:00"/>
    <d v="2019-12-01T00:00:00"/>
    <s v="D"/>
    <x v="27"/>
    <s v="eve.rogers@saltcorp.com"/>
    <s v=" "/>
    <s v="Part-Time"/>
    <s v="Part-Time"/>
    <m/>
    <n v="3"/>
    <m/>
    <m/>
    <m/>
    <m/>
    <m/>
    <s v=""/>
    <n v="3"/>
    <x v="1"/>
    <x v="1"/>
  </r>
  <r>
    <x v="758"/>
    <s v="Ivy"/>
    <s v="Gupta"/>
    <n v="50"/>
    <x v="10"/>
    <n v="1974"/>
    <n v="50000"/>
    <x v="0"/>
    <s v="Female"/>
    <s v="sales"/>
    <s v="Sales"/>
    <s v="Manager"/>
    <d v="2020-01-15T00:00:00"/>
    <d v="2020-01-15T00:00:00"/>
    <s v="F"/>
    <x v="12"/>
    <s v="ivy.gupta@saltcorp.com"/>
    <m/>
    <s v="Part-Time"/>
    <s v="Part-Time"/>
    <s v="EMP-2019-0041"/>
    <n v="2"/>
    <s v="N/A"/>
    <n v="17"/>
    <d v="2023-01-15T00:00:00"/>
    <n v="66"/>
    <s v="YES"/>
    <s v="Yes"/>
    <n v="2"/>
    <x v="0"/>
    <x v="0"/>
  </r>
  <r>
    <x v="759"/>
    <s v="Jack"/>
    <s v="Murphy"/>
    <s v="thirty"/>
    <x v="8"/>
    <n v="1994"/>
    <n v="65000"/>
    <x v="1"/>
    <s v="Male"/>
    <s v="finance"/>
    <s v="Finance"/>
    <s v="Assistant"/>
    <d v="2019-03-25T00:00:00"/>
    <d v="2019-03-25T00:00:00"/>
    <s v="F"/>
    <x v="19"/>
    <s v="jack.murphy@saltcorp.com"/>
    <s v=" "/>
    <s v="Full-Time"/>
    <s v="Full-Time"/>
    <s v="EMP-2020-0011"/>
    <n v="4"/>
    <s v="N/A"/>
    <m/>
    <d v="2021-10-01T00:00:00"/>
    <n v="27"/>
    <s v="no"/>
    <s v="No"/>
    <n v="1"/>
    <x v="0"/>
    <x v="0"/>
  </r>
  <r>
    <x v="760"/>
    <s v="Bob"/>
    <s v="Davis"/>
    <s v="thirty"/>
    <x v="8"/>
    <n v="1994"/>
    <n v="58600"/>
    <x v="8"/>
    <s v="Male"/>
    <s v="Marketing"/>
    <s v="Marketing"/>
    <s v="Clerk"/>
    <d v="2020-02-20T00:00:00"/>
    <d v="2020-02-20T00:00:00"/>
    <s v="F"/>
    <x v="96"/>
    <s v="bob.davis@saltcorp.com"/>
    <s v="555-555-5555"/>
    <s v="Full-Time"/>
    <s v="Full-Time"/>
    <m/>
    <n v="7"/>
    <n v="2"/>
    <m/>
    <m/>
    <m/>
    <s v="YES"/>
    <s v="Yes"/>
    <n v="4"/>
    <x v="0"/>
    <x v="0"/>
  </r>
  <r>
    <x v="761"/>
    <s v="Alice"/>
    <s v="Baker"/>
    <s v="thirty"/>
    <x v="8"/>
    <n v="1994"/>
    <n v="70000"/>
    <x v="5"/>
    <s v="Female"/>
    <s v="it"/>
    <s v="IT"/>
    <s v="Clerk"/>
    <d v="2019-12-01T00:00:00"/>
    <d v="2019-12-01T00:00:00"/>
    <s v="A"/>
    <x v="9"/>
    <s v="alice.baker@saltcorp.com"/>
    <s v="555-555-5555"/>
    <s v="Full-Time"/>
    <s v="Full-Time"/>
    <m/>
    <n v="6"/>
    <n v="12"/>
    <n v="18"/>
    <m/>
    <m/>
    <s v="no"/>
    <s v="No"/>
    <n v="3"/>
    <x v="0"/>
    <x v="0"/>
  </r>
  <r>
    <x v="762"/>
    <s v="Jack"/>
    <s v="Ross"/>
    <s v="thirty"/>
    <x v="8"/>
    <n v="1994"/>
    <n v="50000"/>
    <x v="0"/>
    <s v="Female"/>
    <s v="sales"/>
    <s v="Sales"/>
    <s v="Assistant"/>
    <d v="2019-03-25T00:00:00"/>
    <d v="2019-03-25T00:00:00"/>
    <s v="B"/>
    <x v="45"/>
    <s v="jack.ross@saltcorp.com"/>
    <s v="123-456-7890"/>
    <s v="Part-Time"/>
    <s v="Part-Time"/>
    <m/>
    <n v="1"/>
    <m/>
    <n v="15"/>
    <m/>
    <m/>
    <s v="YES"/>
    <s v="Yes"/>
    <n v="4"/>
    <x v="1"/>
    <x v="1"/>
  </r>
  <r>
    <x v="763"/>
    <s v="Ivy"/>
    <s v="Desai"/>
    <m/>
    <x v="8"/>
    <n v="1994"/>
    <n v="50000"/>
    <x v="0"/>
    <s v="Female"/>
    <s v="Marketing"/>
    <s v="Marketing"/>
    <s v="Clerk"/>
    <d v="2020-02-20T00:00:00"/>
    <d v="2020-02-20T00:00:00"/>
    <s v="A"/>
    <x v="52"/>
    <s v="ivy.desai@saltcorp.com"/>
    <s v="555-555-5555"/>
    <s v="Full-Time"/>
    <s v="Full-Time"/>
    <s v="EMP-2020-0066"/>
    <n v="3"/>
    <m/>
    <m/>
    <m/>
    <m/>
    <s v="YES"/>
    <s v="Yes"/>
    <n v="3"/>
    <x v="0"/>
    <x v="0"/>
  </r>
  <r>
    <x v="764"/>
    <s v="Jack"/>
    <s v="Le"/>
    <n v="25"/>
    <x v="0"/>
    <n v="1999"/>
    <n v="60300"/>
    <x v="14"/>
    <s v="Male"/>
    <s v="Marketing"/>
    <s v="Marketing"/>
    <s v="Analyst"/>
    <d v="2018-04-05T00:00:00"/>
    <d v="2018-04-05T00:00:00"/>
    <s v="C"/>
    <x v="7"/>
    <s v="jack.le@saltcorp.com"/>
    <s v="098-765-4321"/>
    <s v="Full-Time"/>
    <s v="Full-Time"/>
    <s v="EMP-2019-0083"/>
    <n v="7"/>
    <m/>
    <m/>
    <d v="2021-10-01T00:00:00"/>
    <m/>
    <s v="YES"/>
    <s v="Yes"/>
    <n v="3"/>
    <x v="0"/>
    <x v="0"/>
  </r>
  <r>
    <x v="765"/>
    <s v="Ivy"/>
    <s v="Aguilar"/>
    <n v="35"/>
    <x v="2"/>
    <n v="1989"/>
    <n v="65000"/>
    <x v="1"/>
    <s v="Male"/>
    <s v="it"/>
    <s v="IT"/>
    <s v="Analyst"/>
    <d v="2018-04-05T00:00:00"/>
    <d v="2018-04-05T00:00:00"/>
    <s v="B"/>
    <x v="21"/>
    <s v="ivy.aguilar@saltcorp.com"/>
    <s v="555-555-5555"/>
    <s v="contract"/>
    <s v="Contract"/>
    <m/>
    <n v="1"/>
    <n v="12"/>
    <m/>
    <m/>
    <m/>
    <s v="YES"/>
    <s v="Yes"/>
    <n v="3"/>
    <x v="0"/>
    <x v="0"/>
  </r>
  <r>
    <x v="766"/>
    <s v="Ivy"/>
    <s v="Singh"/>
    <n v="40"/>
    <x v="7"/>
    <n v="1984"/>
    <n v="65000"/>
    <x v="1"/>
    <s v="Female"/>
    <s v="sales"/>
    <s v="Sales"/>
    <s v="Clerk"/>
    <d v="2020-02-20T00:00:00"/>
    <d v="2020-02-20T00:00:00"/>
    <s v="D"/>
    <x v="15"/>
    <s v="ivy.singh@saltcorp.com"/>
    <s v="123-456-7890"/>
    <s v="Part-Time"/>
    <s v="Part-Time"/>
    <m/>
    <n v="2"/>
    <s v="N/A"/>
    <m/>
    <m/>
    <m/>
    <s v="YES"/>
    <s v="Yes"/>
    <n v="1"/>
    <x v="0"/>
    <x v="0"/>
  </r>
  <r>
    <x v="767"/>
    <s v="Frank"/>
    <s v="Matthews"/>
    <n v="35"/>
    <x v="2"/>
    <n v="1989"/>
    <s v="SIXTY THOUSAND"/>
    <x v="2"/>
    <s v="Male"/>
    <s v="Marketing"/>
    <s v="Marketing"/>
    <s v="Clerk"/>
    <d v="2020-01-15T00:00:00"/>
    <d v="2020-01-15T00:00:00"/>
    <s v="F"/>
    <x v="1"/>
    <s v="frank.matthews@saltcorp.com"/>
    <s v="123-456-7890"/>
    <s v="Part-Time"/>
    <s v="Part-Time"/>
    <m/>
    <n v="3"/>
    <s v="N/A"/>
    <m/>
    <d v="2022-06-20T00:00:00"/>
    <n v="55"/>
    <s v="YES"/>
    <s v="Yes"/>
    <n v="4"/>
    <x v="1"/>
    <x v="1"/>
  </r>
  <r>
    <x v="768"/>
    <s v="Hannah"/>
    <s v="Hughes"/>
    <n v="35"/>
    <x v="2"/>
    <n v="1989"/>
    <n v="60300"/>
    <x v="14"/>
    <s v="Female"/>
    <s v="Marketing"/>
    <s v="Marketing"/>
    <s v="Analyst"/>
    <d v="2020-02-20T00:00:00"/>
    <d v="2020-02-20T00:00:00"/>
    <s v="C"/>
    <x v="44"/>
    <s v="hannah.hughes@saltcorp.com"/>
    <s v="098-765-4321"/>
    <s v="Part-Time"/>
    <s v="Part-Time"/>
    <m/>
    <n v="8"/>
    <s v="N/A"/>
    <n v="10"/>
    <d v="2021-10-01T00:00:00"/>
    <n v="21"/>
    <s v="no"/>
    <s v="No"/>
    <n v="4"/>
    <x v="0"/>
    <x v="0"/>
  </r>
  <r>
    <x v="769"/>
    <s v="Alice"/>
    <s v="Lee"/>
    <n v="50"/>
    <x v="10"/>
    <n v="1974"/>
    <n v="58800"/>
    <x v="17"/>
    <s v="Female"/>
    <s v="HR"/>
    <s v="HR"/>
    <s v="Clerk"/>
    <d v="2020-02-20T00:00:00"/>
    <d v="2020-02-20T00:00:00"/>
    <s v="B"/>
    <x v="35"/>
    <s v="alice.lee@saltcorp.com"/>
    <s v="123-456-7890"/>
    <s v="contract"/>
    <s v="Contract"/>
    <m/>
    <n v="7"/>
    <s v="N/A"/>
    <m/>
    <m/>
    <m/>
    <s v="no"/>
    <s v="No"/>
    <n v="3"/>
    <x v="0"/>
    <x v="0"/>
  </r>
  <r>
    <x v="770"/>
    <s v="Jack"/>
    <s v="O'Neill"/>
    <n v="25"/>
    <x v="0"/>
    <n v="1999"/>
    <n v="65000"/>
    <x v="1"/>
    <s v="Male"/>
    <s v="Marketing"/>
    <s v="Marketing"/>
    <s v="Clerk"/>
    <d v="2020-01-15T00:00:00"/>
    <d v="2020-01-15T00:00:00"/>
    <s v="A"/>
    <x v="51"/>
    <s v="jack.o'neill@saltcorp.com"/>
    <m/>
    <s v="Full-Time"/>
    <s v="Full-Time"/>
    <m/>
    <n v="2"/>
    <s v="N/A"/>
    <n v="16"/>
    <d v="2021-10-01T00:00:00"/>
    <n v="41"/>
    <s v="YES"/>
    <s v="Yes"/>
    <n v="2"/>
    <x v="1"/>
    <x v="1"/>
  </r>
  <r>
    <x v="771"/>
    <s v="David"/>
    <s v="Kim"/>
    <n v="50"/>
    <x v="10"/>
    <n v="1974"/>
    <s v="SIXTY THOUSAND"/>
    <x v="2"/>
    <s v="Male"/>
    <s v="HR"/>
    <s v="HR"/>
    <s v="Assistant"/>
    <d v="2020-01-15T00:00:00"/>
    <d v="2020-01-15T00:00:00"/>
    <s v="F"/>
    <x v="40"/>
    <s v="david.kim@saltcorp.com"/>
    <s v=" "/>
    <s v="Full-Time"/>
    <s v="Full-Time"/>
    <s v="EMP-2018-0076"/>
    <n v="2"/>
    <n v="4"/>
    <n v="12"/>
    <d v="2021-10-01T00:00:00"/>
    <m/>
    <s v="YES"/>
    <s v="Yes"/>
    <n v="2"/>
    <x v="1"/>
    <x v="1"/>
  </r>
  <r>
    <x v="772"/>
    <s v="Alice"/>
    <s v="Anderson"/>
    <n v="25"/>
    <x v="0"/>
    <n v="1999"/>
    <n v="50000"/>
    <x v="0"/>
    <s v="Female"/>
    <s v="sales"/>
    <s v="Sales"/>
    <s v="Manager"/>
    <d v="2019-03-25T00:00:00"/>
    <d v="2019-03-25T00:00:00"/>
    <s v="A"/>
    <x v="25"/>
    <s v="alice.anderson@saltcorp.com"/>
    <s v="555-555-5555"/>
    <s v="Part-Time"/>
    <s v="Part-Time"/>
    <s v="EMP-2018-0006"/>
    <n v="5"/>
    <n v="1"/>
    <n v="4"/>
    <d v="2021-10-01T00:00:00"/>
    <n v="8"/>
    <m/>
    <s v=""/>
    <n v="5"/>
    <x v="0"/>
    <x v="0"/>
  </r>
  <r>
    <x v="773"/>
    <s v="Hannah"/>
    <s v="Foster"/>
    <n v="25"/>
    <x v="0"/>
    <n v="1999"/>
    <n v="55000"/>
    <x v="6"/>
    <s v="Female"/>
    <s v="sales"/>
    <s v="Sales"/>
    <s v="Analyst"/>
    <d v="2019-03-25T00:00:00"/>
    <d v="2019-03-25T00:00:00"/>
    <s v="B"/>
    <x v="10"/>
    <s v="hannah.foster@saltcorp.com"/>
    <m/>
    <s v="Full-Time"/>
    <s v="Full-Time"/>
    <m/>
    <n v="4"/>
    <m/>
    <m/>
    <d v="2022-06-20T00:00:00"/>
    <m/>
    <s v="YES"/>
    <s v="Yes"/>
    <n v="4"/>
    <x v="0"/>
    <x v="0"/>
  </r>
  <r>
    <x v="774"/>
    <s v="Alice"/>
    <s v="Martinez"/>
    <s v="thirty"/>
    <x v="8"/>
    <n v="1994"/>
    <n v="70000"/>
    <x v="5"/>
    <s v="Female"/>
    <s v="sales"/>
    <s v="Sales"/>
    <s v="Assistant"/>
    <d v="2020-01-15T00:00:00"/>
    <d v="2020-01-15T00:00:00"/>
    <s v="B"/>
    <x v="35"/>
    <s v="alice.martinez@saltcorp.com"/>
    <s v="555-555-5555"/>
    <s v="contract"/>
    <s v="Contract"/>
    <m/>
    <n v="6"/>
    <m/>
    <m/>
    <d v="2023-03-05T00:00:00"/>
    <m/>
    <s v="YES"/>
    <s v="Yes"/>
    <n v="4"/>
    <x v="1"/>
    <x v="1"/>
  </r>
  <r>
    <x v="775"/>
    <s v="Charlie"/>
    <s v="Lucas"/>
    <m/>
    <x v="17"/>
    <n v="1978"/>
    <n v="50000"/>
    <x v="0"/>
    <s v="Male"/>
    <s v="finance"/>
    <s v="Finance"/>
    <s v="Manager"/>
    <d v="2018-04-05T00:00:00"/>
    <d v="2018-04-05T00:00:00"/>
    <s v="C"/>
    <x v="44"/>
    <s v="charlie.lucas@saltcorp.com"/>
    <m/>
    <s v="Part-Time"/>
    <s v="Part-Time"/>
    <m/>
    <n v="2"/>
    <n v="3"/>
    <m/>
    <d v="2023-03-05T00:00:00"/>
    <m/>
    <s v="no"/>
    <s v="No"/>
    <n v="1"/>
    <x v="0"/>
    <x v="0"/>
  </r>
  <r>
    <x v="776"/>
    <s v="David"/>
    <s v="Cohen"/>
    <s v="thirty"/>
    <x v="8"/>
    <n v="1994"/>
    <n v="65000"/>
    <x v="1"/>
    <s v="Male"/>
    <s v="sales"/>
    <s v="Sales"/>
    <s v="Clerk"/>
    <d v="2018-04-05T00:00:00"/>
    <d v="2018-04-05T00:00:00"/>
    <s v="D"/>
    <x v="15"/>
    <s v="david.cohen@saltcorp.com"/>
    <s v="555-555-5555"/>
    <s v="Full-Time"/>
    <s v="Full-Time"/>
    <m/>
    <n v="1"/>
    <s v="N/A"/>
    <m/>
    <m/>
    <m/>
    <s v="YES"/>
    <s v="Yes"/>
    <n v="1"/>
    <x v="0"/>
    <x v="0"/>
  </r>
  <r>
    <x v="777"/>
    <s v="Hannah"/>
    <s v="Perry"/>
    <m/>
    <x v="26"/>
    <n v="1988"/>
    <n v="70000"/>
    <x v="5"/>
    <s v="Female"/>
    <s v="Marketing"/>
    <s v="Marketing"/>
    <s v="Clerk"/>
    <d v="2020-02-20T00:00:00"/>
    <d v="2020-02-20T00:00:00"/>
    <s v="A"/>
    <x v="11"/>
    <s v="hannah.perry@saltcorp.com"/>
    <s v="098-765-4321"/>
    <s v="Full-Time"/>
    <s v="Full-Time"/>
    <m/>
    <n v="7"/>
    <s v="N/A"/>
    <m/>
    <d v="2021-10-01T00:00:00"/>
    <m/>
    <s v="no"/>
    <s v="No"/>
    <n v="5"/>
    <x v="0"/>
    <x v="0"/>
  </r>
  <r>
    <x v="778"/>
    <s v="Frank"/>
    <s v="Hoffman"/>
    <n v="50"/>
    <x v="10"/>
    <n v="1974"/>
    <n v="55000"/>
    <x v="6"/>
    <s v="Male"/>
    <s v="it"/>
    <s v="IT"/>
    <s v="Assistant"/>
    <d v="2019-12-01T00:00:00"/>
    <d v="2019-12-01T00:00:00"/>
    <s v="C"/>
    <x v="2"/>
    <s v="frank.hoffman@saltcorp.com"/>
    <s v="123-456-7890"/>
    <s v="Part-Time"/>
    <s v="Part-Time"/>
    <m/>
    <n v="7"/>
    <n v="10"/>
    <n v="1"/>
    <s v="N/A"/>
    <m/>
    <m/>
    <s v=""/>
    <n v="4"/>
    <x v="0"/>
    <x v="0"/>
  </r>
  <r>
    <x v="779"/>
    <s v="Jack"/>
    <s v="Jordan"/>
    <m/>
    <x v="8"/>
    <n v="1994"/>
    <n v="55000"/>
    <x v="6"/>
    <s v="Male"/>
    <s v="HR"/>
    <s v="HR"/>
    <s v="Clerk"/>
    <d v="2020-02-20T00:00:00"/>
    <d v="2020-02-20T00:00:00"/>
    <s v="F"/>
    <x v="92"/>
    <s v="jack.jordan@saltcorp.com"/>
    <s v="123-456-7890"/>
    <s v="Full-Time"/>
    <s v="Full-Time"/>
    <m/>
    <n v="5"/>
    <n v="5"/>
    <n v="19"/>
    <m/>
    <m/>
    <s v="no"/>
    <s v="No"/>
    <n v="1"/>
    <x v="1"/>
    <x v="1"/>
  </r>
  <r>
    <x v="780"/>
    <s v="Grace"/>
    <s v="Bell"/>
    <n v="50"/>
    <x v="10"/>
    <n v="1974"/>
    <s v="SIXTY THOUSAND"/>
    <x v="2"/>
    <s v="Female"/>
    <s v="finance"/>
    <s v="Finance"/>
    <s v="Director"/>
    <d v="2020-02-20T00:00:00"/>
    <d v="2020-02-20T00:00:00"/>
    <s v="D"/>
    <x v="24"/>
    <s v="grace.bell@saltcorp.com"/>
    <s v="098-765-4321"/>
    <s v="Part-Time"/>
    <s v="Part-Time"/>
    <m/>
    <n v="1"/>
    <n v="13"/>
    <m/>
    <m/>
    <m/>
    <s v="YES"/>
    <s v="Yes"/>
    <n v="2"/>
    <x v="1"/>
    <x v="1"/>
  </r>
  <r>
    <x v="781"/>
    <s v="Hannah"/>
    <s v="Williamson"/>
    <n v="35"/>
    <x v="2"/>
    <n v="1989"/>
    <n v="70000"/>
    <x v="5"/>
    <s v="Female"/>
    <s v="sales"/>
    <s v="Sales"/>
    <s v="Assistant"/>
    <d v="2019-12-01T00:00:00"/>
    <d v="2019-12-01T00:00:00"/>
    <s v="C"/>
    <x v="23"/>
    <s v="hannah.williamson@saltcorp.com"/>
    <m/>
    <s v="contract"/>
    <s v="Contract"/>
    <s v="EMP-2018-0008"/>
    <n v="3"/>
    <s v="N/A"/>
    <n v="15"/>
    <m/>
    <m/>
    <s v="no"/>
    <s v="No"/>
    <n v="2"/>
    <x v="0"/>
    <x v="0"/>
  </r>
  <r>
    <x v="782"/>
    <s v="Bob"/>
    <s v="Smith"/>
    <n v="35"/>
    <x v="2"/>
    <n v="1989"/>
    <s v="SIXTY THOUSAND"/>
    <x v="2"/>
    <s v="Male"/>
    <s v="sales"/>
    <s v="Sales"/>
    <s v="Manager"/>
    <d v="2020-01-15T00:00:00"/>
    <d v="2020-01-15T00:00:00"/>
    <s v="A"/>
    <x v="41"/>
    <s v="bob.smith@saltcorp.com"/>
    <s v=" "/>
    <s v="Full-Time"/>
    <s v="Full-Time"/>
    <m/>
    <n v="8"/>
    <n v="1"/>
    <n v="9"/>
    <m/>
    <m/>
    <s v="YES"/>
    <s v="Yes"/>
    <n v="5"/>
    <x v="0"/>
    <x v="0"/>
  </r>
  <r>
    <x v="783"/>
    <s v="Jack"/>
    <s v="Ryan"/>
    <m/>
    <x v="6"/>
    <n v="1991"/>
    <n v="50000"/>
    <x v="0"/>
    <s v="Male"/>
    <s v="it"/>
    <s v="IT"/>
    <s v="Assistant"/>
    <d v="2018-04-05T00:00:00"/>
    <d v="2018-04-05T00:00:00"/>
    <s v="B"/>
    <x v="54"/>
    <s v="jack.ryan@saltcorp.com"/>
    <m/>
    <s v="Full-Time"/>
    <s v="Full-Time"/>
    <m/>
    <n v="8"/>
    <m/>
    <m/>
    <m/>
    <m/>
    <s v="YES"/>
    <s v="Yes"/>
    <n v="1"/>
    <x v="1"/>
    <x v="1"/>
  </r>
  <r>
    <x v="784"/>
    <s v="Hannah"/>
    <s v="Long"/>
    <m/>
    <x v="30"/>
    <n v="1997"/>
    <n v="59300"/>
    <x v="13"/>
    <s v="Male"/>
    <s v="it"/>
    <s v="IT"/>
    <s v="Analyst"/>
    <d v="2020-02-20T00:00:00"/>
    <d v="2020-02-20T00:00:00"/>
    <s v="F"/>
    <x v="68"/>
    <s v="hannah.long@saltcorp.com"/>
    <s v="123-456-7890"/>
    <s v="Full-Time"/>
    <s v="Full-Time"/>
    <s v="EMP-2020-0023"/>
    <n v="1"/>
    <m/>
    <m/>
    <m/>
    <m/>
    <m/>
    <s v=""/>
    <n v="2"/>
    <x v="0"/>
    <x v="0"/>
  </r>
  <r>
    <x v="785"/>
    <s v="Charlie"/>
    <s v="Jordan"/>
    <n v="50"/>
    <x v="10"/>
    <n v="1974"/>
    <n v="58500"/>
    <x v="4"/>
    <s v="Male"/>
    <s v="finance"/>
    <s v="Finance"/>
    <s v="Assistant"/>
    <d v="2019-12-01T00:00:00"/>
    <d v="2019-12-01T00:00:00"/>
    <s v="A"/>
    <x v="51"/>
    <s v="charlie.jordan@saltcorp.com"/>
    <s v=" "/>
    <s v="contract"/>
    <s v="Contract"/>
    <s v="EMP-2018-0090"/>
    <n v="4"/>
    <m/>
    <m/>
    <m/>
    <m/>
    <m/>
    <s v=""/>
    <n v="2"/>
    <x v="0"/>
    <x v="0"/>
  </r>
  <r>
    <x v="786"/>
    <s v="Grace"/>
    <s v="Yang"/>
    <s v="thirty"/>
    <x v="8"/>
    <n v="1994"/>
    <n v="58800"/>
    <x v="17"/>
    <s v="Male"/>
    <s v="HR"/>
    <s v="HR"/>
    <s v="Clerk"/>
    <d v="2019-03-25T00:00:00"/>
    <d v="2019-03-25T00:00:00"/>
    <s v="D"/>
    <x v="27"/>
    <s v="grace.yang@saltcorp.com"/>
    <s v="555-555-5555"/>
    <s v="Full-Time"/>
    <s v="Full-Time"/>
    <m/>
    <n v="5"/>
    <s v="N/A"/>
    <n v="5"/>
    <d v="2021-10-01T00:00:00"/>
    <m/>
    <m/>
    <s v=""/>
    <n v="4"/>
    <x v="0"/>
    <x v="0"/>
  </r>
  <r>
    <x v="787"/>
    <s v="Charlie"/>
    <s v="Gomez"/>
    <n v="50"/>
    <x v="10"/>
    <n v="1974"/>
    <n v="70000"/>
    <x v="5"/>
    <s v="Male"/>
    <s v="sales"/>
    <s v="Sales"/>
    <s v="Clerk"/>
    <d v="2020-02-20T00:00:00"/>
    <d v="2020-02-20T00:00:00"/>
    <s v="D"/>
    <x v="18"/>
    <s v="charlie.gomez@saltcorp.com"/>
    <s v=" "/>
    <s v="Part-Time"/>
    <s v="Part-Time"/>
    <s v="EMP-2020-0034"/>
    <n v="4"/>
    <s v="N/A"/>
    <n v="8"/>
    <d v="2021-10-01T00:00:00"/>
    <m/>
    <s v="YES"/>
    <s v="Yes"/>
    <n v="1"/>
    <x v="0"/>
    <x v="0"/>
  </r>
  <r>
    <x v="788"/>
    <s v="Grace"/>
    <s v="Figueroa"/>
    <s v="thirty"/>
    <x v="8"/>
    <n v="1994"/>
    <n v="60300"/>
    <x v="14"/>
    <s v="Male"/>
    <s v="finance"/>
    <s v="Finance"/>
    <s v="Director"/>
    <d v="2018-04-05T00:00:00"/>
    <d v="2018-04-05T00:00:00"/>
    <s v="B"/>
    <x v="14"/>
    <s v="grace.figueroa@saltcorp.com"/>
    <m/>
    <s v="Full-Time"/>
    <s v="Full-Time"/>
    <m/>
    <n v="1"/>
    <n v="5"/>
    <n v="3"/>
    <m/>
    <m/>
    <s v="no"/>
    <s v="No"/>
    <n v="5"/>
    <x v="0"/>
    <x v="0"/>
  </r>
  <r>
    <x v="789"/>
    <s v="Bob"/>
    <s v="Rodriguez"/>
    <n v="35"/>
    <x v="2"/>
    <n v="1989"/>
    <n v="50000"/>
    <x v="0"/>
    <s v="Male"/>
    <s v="Marketing"/>
    <s v="Marketing"/>
    <s v="Director"/>
    <d v="2020-01-15T00:00:00"/>
    <d v="2020-01-15T00:00:00"/>
    <s v="B"/>
    <x v="16"/>
    <s v="bob.rodriguez@saltcorp.com"/>
    <s v="098-765-4321"/>
    <s v="contract"/>
    <s v="Contract"/>
    <s v="EMP-2018-0099"/>
    <n v="4"/>
    <s v="N/A"/>
    <n v="12"/>
    <m/>
    <m/>
    <s v="no"/>
    <s v="No"/>
    <n v="2"/>
    <x v="1"/>
    <x v="1"/>
  </r>
  <r>
    <x v="790"/>
    <s v="Jack"/>
    <s v="Andrews"/>
    <n v="25"/>
    <x v="0"/>
    <n v="1999"/>
    <s v="SIXTY THOUSAND"/>
    <x v="2"/>
    <s v="Male"/>
    <s v="Marketing"/>
    <s v="Marketing"/>
    <s v="Director"/>
    <d v="2020-02-20T00:00:00"/>
    <d v="2020-02-20T00:00:00"/>
    <s v="F"/>
    <x v="80"/>
    <s v="jack.andrews@saltcorp.com"/>
    <s v="555-555-5555"/>
    <s v="contract"/>
    <s v="Contract"/>
    <m/>
    <n v="3"/>
    <m/>
    <m/>
    <m/>
    <m/>
    <s v="YES"/>
    <s v="Yes"/>
    <n v="5"/>
    <x v="0"/>
    <x v="0"/>
  </r>
  <r>
    <x v="791"/>
    <s v="Frank"/>
    <s v="Flores"/>
    <m/>
    <x v="26"/>
    <n v="1988"/>
    <n v="70000"/>
    <x v="5"/>
    <s v="Male"/>
    <s v="finance"/>
    <s v="Finance"/>
    <s v="Manager"/>
    <d v="2020-02-20T00:00:00"/>
    <d v="2020-02-20T00:00:00"/>
    <s v="F"/>
    <x v="62"/>
    <s v="frank.flores@saltcorp.com"/>
    <m/>
    <s v="Full-Time"/>
    <s v="Full-Time"/>
    <m/>
    <n v="1"/>
    <n v="0"/>
    <m/>
    <m/>
    <n v="28"/>
    <s v="no"/>
    <s v="No"/>
    <n v="1"/>
    <x v="1"/>
    <x v="1"/>
  </r>
  <r>
    <x v="792"/>
    <s v="Charlie"/>
    <s v="Santos"/>
    <s v="thirty"/>
    <x v="8"/>
    <n v="1994"/>
    <s v="SIXTY THOUSAND"/>
    <x v="2"/>
    <s v="Male"/>
    <s v="sales"/>
    <s v="Sales"/>
    <s v="Director"/>
    <d v="2019-12-01T00:00:00"/>
    <d v="2019-12-01T00:00:00"/>
    <s v="B"/>
    <x v="26"/>
    <s v="charlie.santos@saltcorp.com"/>
    <s v="555-555-5555"/>
    <s v="Full-Time"/>
    <s v="Full-Time"/>
    <m/>
    <n v="6"/>
    <m/>
    <m/>
    <m/>
    <m/>
    <m/>
    <s v=""/>
    <n v="2"/>
    <x v="0"/>
    <x v="0"/>
  </r>
  <r>
    <x v="793"/>
    <s v="Charlie"/>
    <s v="Knight"/>
    <n v="50"/>
    <x v="10"/>
    <n v="1974"/>
    <n v="70000"/>
    <x v="5"/>
    <s v="Female"/>
    <s v="finance"/>
    <s v="Finance"/>
    <s v="Manager"/>
    <d v="2019-03-25T00:00:00"/>
    <d v="2019-03-25T00:00:00"/>
    <s v="B"/>
    <x v="26"/>
    <s v="charlie.knight@saltcorp.com"/>
    <s v=" "/>
    <s v="Part-Time"/>
    <s v="Part-Time"/>
    <m/>
    <n v="4"/>
    <m/>
    <n v="16"/>
    <m/>
    <m/>
    <m/>
    <s v=""/>
    <n v="4"/>
    <x v="0"/>
    <x v="0"/>
  </r>
  <r>
    <x v="794"/>
    <s v="Ivy"/>
    <s v="Kumar"/>
    <n v="35"/>
    <x v="2"/>
    <n v="1989"/>
    <s v="SIXTY THOUSAND"/>
    <x v="2"/>
    <s v="Male"/>
    <s v="sales"/>
    <s v="Sales"/>
    <s v="Director"/>
    <d v="2019-03-25T00:00:00"/>
    <d v="2019-03-25T00:00:00"/>
    <s v="D"/>
    <x v="34"/>
    <s v="ivy.kumar@saltcorp.com"/>
    <s v="123-456-7890"/>
    <s v="Full-Time"/>
    <s v="Full-Time"/>
    <m/>
    <n v="1"/>
    <s v="N/A"/>
    <n v="1"/>
    <d v="2023-01-15T00:00:00"/>
    <m/>
    <m/>
    <s v=""/>
    <n v="2"/>
    <x v="1"/>
    <x v="1"/>
  </r>
  <r>
    <x v="795"/>
    <s v="Grace"/>
    <s v="West"/>
    <s v="thirty"/>
    <x v="8"/>
    <n v="1994"/>
    <n v="55000"/>
    <x v="6"/>
    <s v="Male"/>
    <s v="it"/>
    <s v="IT"/>
    <s v="Manager"/>
    <d v="2020-01-15T00:00:00"/>
    <d v="2020-01-15T00:00:00"/>
    <s v="B"/>
    <x v="49"/>
    <s v="grace.west@saltcorp.com"/>
    <m/>
    <s v="contract"/>
    <s v="Contract"/>
    <m/>
    <n v="3"/>
    <m/>
    <n v="7"/>
    <d v="2021-10-01T00:00:00"/>
    <n v="20"/>
    <s v="YES"/>
    <s v="Yes"/>
    <n v="3"/>
    <x v="0"/>
    <x v="0"/>
  </r>
  <r>
    <x v="796"/>
    <s v="Eve"/>
    <s v="Carter"/>
    <n v="50"/>
    <x v="10"/>
    <n v="1974"/>
    <s v="SIXTY THOUSAND"/>
    <x v="2"/>
    <s v="Female"/>
    <s v="finance"/>
    <s v="Finance"/>
    <s v="Assistant"/>
    <d v="2018-04-05T00:00:00"/>
    <d v="2018-04-05T00:00:00"/>
    <s v="C"/>
    <x v="44"/>
    <s v="eve.carter@saltcorp.com"/>
    <s v="098-765-4321"/>
    <s v="Part-Time"/>
    <s v="Part-Time"/>
    <s v="EMP-2018-0032"/>
    <n v="2"/>
    <m/>
    <n v="9"/>
    <m/>
    <m/>
    <s v="YES"/>
    <s v="Yes"/>
    <n v="3"/>
    <x v="0"/>
    <x v="0"/>
  </r>
  <r>
    <x v="797"/>
    <s v="Jack"/>
    <s v="Sullivan"/>
    <m/>
    <x v="32"/>
    <n v="1992"/>
    <n v="58300"/>
    <x v="12"/>
    <s v="Male"/>
    <s v="sales"/>
    <s v="Sales"/>
    <s v="Assistant"/>
    <d v="2020-01-15T00:00:00"/>
    <d v="2020-01-15T00:00:00"/>
    <s v="A"/>
    <x v="52"/>
    <s v="jack.sullivan@saltcorp.com"/>
    <s v=" "/>
    <s v="contract"/>
    <s v="Contract"/>
    <s v="EMP-2019-0020"/>
    <n v="5"/>
    <n v="9"/>
    <m/>
    <m/>
    <m/>
    <s v="YES"/>
    <s v="Yes"/>
    <n v="4"/>
    <x v="0"/>
    <x v="0"/>
  </r>
  <r>
    <x v="798"/>
    <s v="Grace"/>
    <s v="Le"/>
    <m/>
    <x v="6"/>
    <n v="1991"/>
    <n v="55000"/>
    <x v="6"/>
    <s v="Male"/>
    <s v="finance"/>
    <s v="Finance"/>
    <s v="Clerk"/>
    <d v="2020-02-20T00:00:00"/>
    <d v="2020-02-20T00:00:00"/>
    <s v="B"/>
    <x v="10"/>
    <s v="grace.le@saltcorp.com"/>
    <m/>
    <s v="Full-Time"/>
    <s v="Full-Time"/>
    <m/>
    <n v="7"/>
    <m/>
    <m/>
    <d v="2023-01-15T00:00:00"/>
    <n v="37"/>
    <s v="YES"/>
    <s v="Yes"/>
    <n v="2"/>
    <x v="1"/>
    <x v="1"/>
  </r>
  <r>
    <x v="799"/>
    <s v="Ivy"/>
    <s v="Sharma"/>
    <n v="40"/>
    <x v="7"/>
    <n v="1984"/>
    <s v="SIXTY THOUSAND"/>
    <x v="2"/>
    <s v="Female"/>
    <s v="finance"/>
    <s v="Finance"/>
    <s v="Manager"/>
    <d v="2020-02-20T00:00:00"/>
    <d v="2020-02-20T00:00:00"/>
    <s v="F"/>
    <x v="39"/>
    <s v="ivy.sharma@saltcorp.com"/>
    <s v="098-765-4321"/>
    <s v="Full-Time"/>
    <s v="Full-Time"/>
    <m/>
    <n v="6"/>
    <n v="9"/>
    <n v="17"/>
    <m/>
    <m/>
    <m/>
    <s v=""/>
    <n v="2"/>
    <x v="1"/>
    <x v="1"/>
  </r>
  <r>
    <x v="800"/>
    <s v="Alice"/>
    <s v="Pearson"/>
    <n v="25"/>
    <x v="0"/>
    <n v="1999"/>
    <n v="70000"/>
    <x v="5"/>
    <s v="Male"/>
    <s v="sales"/>
    <s v="Sales"/>
    <s v="Analyst"/>
    <d v="2019-03-25T00:00:00"/>
    <d v="2019-03-25T00:00:00"/>
    <s v="C"/>
    <x v="29"/>
    <s v="alice.pearson@saltcorp.com"/>
    <m/>
    <s v="contract"/>
    <s v="Contract"/>
    <m/>
    <n v="7"/>
    <n v="3"/>
    <n v="3"/>
    <m/>
    <m/>
    <s v="YES"/>
    <s v="Yes"/>
    <n v="1"/>
    <x v="0"/>
    <x v="0"/>
  </r>
  <r>
    <x v="801"/>
    <s v="Grace"/>
    <s v="Vega"/>
    <n v="40"/>
    <x v="7"/>
    <n v="1984"/>
    <n v="70000"/>
    <x v="5"/>
    <s v="Male"/>
    <s v="sales"/>
    <s v="Sales"/>
    <s v="Clerk"/>
    <d v="2018-04-05T00:00:00"/>
    <d v="2018-04-05T00:00:00"/>
    <s v="F"/>
    <x v="55"/>
    <s v="grace.vega@saltcorp.com"/>
    <s v=" "/>
    <s v="contract"/>
    <s v="Contract"/>
    <m/>
    <n v="7"/>
    <s v="N/A"/>
    <m/>
    <m/>
    <n v="59"/>
    <s v="YES"/>
    <s v="Yes"/>
    <n v="4"/>
    <x v="0"/>
    <x v="0"/>
  </r>
  <r>
    <x v="802"/>
    <s v="Frank"/>
    <s v="Sanchez"/>
    <n v="35"/>
    <x v="2"/>
    <n v="1989"/>
    <n v="70000"/>
    <x v="5"/>
    <s v="Female"/>
    <s v="HR"/>
    <s v="HR"/>
    <s v="Assistant"/>
    <d v="2019-12-01T00:00:00"/>
    <d v="2019-12-01T00:00:00"/>
    <s v="C"/>
    <x v="7"/>
    <s v="frank.sanchez@saltcorp.com"/>
    <m/>
    <s v="Part-Time"/>
    <s v="Part-Time"/>
    <m/>
    <n v="4"/>
    <n v="15"/>
    <m/>
    <m/>
    <n v="54"/>
    <s v="YES"/>
    <s v="Yes"/>
    <n v="4"/>
    <x v="0"/>
    <x v="0"/>
  </r>
  <r>
    <x v="803"/>
    <s v="Jack"/>
    <s v="Sullivan"/>
    <s v="thirty"/>
    <x v="8"/>
    <n v="1994"/>
    <n v="65000"/>
    <x v="1"/>
    <s v="Male"/>
    <s v="finance"/>
    <s v="Finance"/>
    <s v="Manager"/>
    <d v="2018-04-05T00:00:00"/>
    <d v="2018-04-05T00:00:00"/>
    <s v="B"/>
    <x v="10"/>
    <s v="jack.sullivan@saltcorp.com"/>
    <s v="555-555-5555"/>
    <s v="contract"/>
    <s v="Contract"/>
    <m/>
    <n v="1"/>
    <m/>
    <m/>
    <d v="2023-03-05T00:00:00"/>
    <n v="20"/>
    <s v="YES"/>
    <s v="Yes"/>
    <n v="1"/>
    <x v="1"/>
    <x v="1"/>
  </r>
  <r>
    <x v="804"/>
    <s v="Ivy"/>
    <s v="Desai"/>
    <n v="35"/>
    <x v="2"/>
    <n v="1989"/>
    <n v="50000"/>
    <x v="0"/>
    <s v="Male"/>
    <s v="Marketing"/>
    <s v="Marketing"/>
    <s v="Director"/>
    <d v="2020-02-20T00:00:00"/>
    <d v="2020-02-20T00:00:00"/>
    <s v="A"/>
    <x v="50"/>
    <s v="ivy.desai@saltcorp.com"/>
    <s v=" "/>
    <s v="contract"/>
    <s v="Contract"/>
    <s v="EMP-2020-0007"/>
    <n v="2"/>
    <m/>
    <m/>
    <d v="2024-08-12T00:00:00"/>
    <n v="13"/>
    <s v="YES"/>
    <s v="Yes"/>
    <n v="5"/>
    <x v="0"/>
    <x v="0"/>
  </r>
  <r>
    <x v="805"/>
    <s v="Alice"/>
    <s v="Medina"/>
    <n v="50"/>
    <x v="10"/>
    <n v="1974"/>
    <n v="70000"/>
    <x v="5"/>
    <s v="Female"/>
    <s v="finance"/>
    <s v="Finance"/>
    <s v="Analyst"/>
    <d v="2019-12-01T00:00:00"/>
    <d v="2019-12-01T00:00:00"/>
    <s v="F"/>
    <x v="78"/>
    <s v="alice.medina@saltcorp.com"/>
    <m/>
    <s v="contract"/>
    <s v="Contract"/>
    <m/>
    <n v="2"/>
    <n v="15"/>
    <n v="4"/>
    <m/>
    <n v="39"/>
    <s v="YES"/>
    <s v="Yes"/>
    <n v="5"/>
    <x v="0"/>
    <x v="0"/>
  </r>
  <r>
    <x v="806"/>
    <s v="David"/>
    <s v="Ross"/>
    <m/>
    <x v="7"/>
    <n v="1984"/>
    <n v="55000"/>
    <x v="6"/>
    <s v="Male"/>
    <s v="finance"/>
    <s v="Finance"/>
    <s v="Assistant"/>
    <d v="2018-04-05T00:00:00"/>
    <d v="2018-04-05T00:00:00"/>
    <s v="C"/>
    <x v="8"/>
    <s v="david.ross@saltcorp.com"/>
    <s v="123-456-7890"/>
    <s v="Part-Time"/>
    <s v="Part-Time"/>
    <m/>
    <n v="5"/>
    <m/>
    <n v="6"/>
    <d v="2021-10-01T00:00:00"/>
    <m/>
    <s v="no"/>
    <s v="No"/>
    <n v="4"/>
    <x v="0"/>
    <x v="0"/>
  </r>
  <r>
    <x v="807"/>
    <s v="Ivy"/>
    <s v="Thomas"/>
    <n v="40"/>
    <x v="7"/>
    <n v="1984"/>
    <n v="70000"/>
    <x v="5"/>
    <s v="Female"/>
    <s v="sales"/>
    <s v="Sales"/>
    <s v="Clerk"/>
    <d v="2018-04-05T00:00:00"/>
    <d v="2018-04-05T00:00:00"/>
    <s v="D"/>
    <x v="0"/>
    <s v="ivy.thomas@saltcorp.com"/>
    <m/>
    <s v="Full-Time"/>
    <s v="Full-Time"/>
    <s v="EMP-2020-0059"/>
    <n v="6"/>
    <m/>
    <m/>
    <d v="2024-08-12T00:00:00"/>
    <m/>
    <s v="no"/>
    <s v="No"/>
    <n v="2"/>
    <x v="1"/>
    <x v="1"/>
  </r>
  <r>
    <x v="808"/>
    <s v="David"/>
    <s v="Powers"/>
    <n v="40"/>
    <x v="7"/>
    <n v="1984"/>
    <n v="65000"/>
    <x v="1"/>
    <s v="Female"/>
    <s v="finance"/>
    <s v="Finance"/>
    <s v="Manager"/>
    <d v="2019-12-01T00:00:00"/>
    <d v="2019-12-01T00:00:00"/>
    <s v="B"/>
    <x v="35"/>
    <s v="david.powers@saltcorp.com"/>
    <s v="555-555-5555"/>
    <s v="Part-Time"/>
    <s v="Part-Time"/>
    <m/>
    <n v="6"/>
    <s v="N/A"/>
    <m/>
    <s v="N/A"/>
    <n v="77"/>
    <s v="no"/>
    <s v="No"/>
    <n v="2"/>
    <x v="1"/>
    <x v="1"/>
  </r>
  <r>
    <x v="809"/>
    <s v="Jack"/>
    <s v="Gibson"/>
    <n v="40"/>
    <x v="7"/>
    <n v="1984"/>
    <n v="60800"/>
    <x v="19"/>
    <s v="Male"/>
    <s v="finance"/>
    <s v="Finance"/>
    <s v="Analyst"/>
    <d v="2020-02-20T00:00:00"/>
    <d v="2020-02-20T00:00:00"/>
    <s v="A"/>
    <x v="70"/>
    <s v="jack.gibson@saltcorp.com"/>
    <s v="098-765-4321"/>
    <s v="Part-Time"/>
    <s v="Part-Time"/>
    <m/>
    <n v="5"/>
    <m/>
    <n v="13"/>
    <m/>
    <n v="41"/>
    <s v="no"/>
    <s v="No"/>
    <n v="2"/>
    <x v="1"/>
    <x v="1"/>
  </r>
  <r>
    <x v="810"/>
    <s v="Charlie"/>
    <s v="Clark"/>
    <n v="35"/>
    <x v="2"/>
    <n v="1989"/>
    <n v="55000"/>
    <x v="6"/>
    <s v="Male"/>
    <s v="Marketing"/>
    <s v="Marketing"/>
    <s v="Manager"/>
    <d v="2018-04-05T00:00:00"/>
    <d v="2018-04-05T00:00:00"/>
    <s v="B"/>
    <x v="45"/>
    <s v="charlie.clark@saltcorp.com"/>
    <s v="098-765-4321"/>
    <s v="Part-Time"/>
    <s v="Part-Time"/>
    <s v="EMP-2019-0099"/>
    <n v="4"/>
    <m/>
    <n v="0"/>
    <m/>
    <m/>
    <s v="YES"/>
    <s v="Yes"/>
    <n v="5"/>
    <x v="0"/>
    <x v="0"/>
  </r>
  <r>
    <x v="811"/>
    <s v="Ivy"/>
    <s v="Desai"/>
    <m/>
    <x v="4"/>
    <n v="1973"/>
    <n v="65000"/>
    <x v="1"/>
    <s v="Female"/>
    <s v="sales"/>
    <s v="Sales"/>
    <s v="Director"/>
    <d v="2019-12-01T00:00:00"/>
    <d v="2019-12-01T00:00:00"/>
    <s v="D"/>
    <x v="24"/>
    <s v="ivy.desai@saltcorp.com"/>
    <s v="098-765-4321"/>
    <s v="Full-Time"/>
    <s v="Full-Time"/>
    <s v="EMP-2020-0098"/>
    <n v="4"/>
    <n v="1"/>
    <n v="20"/>
    <m/>
    <m/>
    <s v="no"/>
    <s v="No"/>
    <n v="3"/>
    <x v="0"/>
    <x v="0"/>
  </r>
  <r>
    <x v="812"/>
    <s v="Bob"/>
    <s v="Harrison"/>
    <s v="thirty"/>
    <x v="8"/>
    <n v="1994"/>
    <n v="61300"/>
    <x v="18"/>
    <s v="Male"/>
    <s v="finance"/>
    <s v="Finance"/>
    <s v="Clerk"/>
    <d v="2020-02-20T00:00:00"/>
    <d v="2020-02-20T00:00:00"/>
    <s v="A"/>
    <x v="50"/>
    <s v="bob.harrison@saltcorp.com"/>
    <s v="123-456-7890"/>
    <s v="contract"/>
    <s v="Contract"/>
    <s v="EMP-2019-0004"/>
    <n v="8"/>
    <n v="7"/>
    <n v="8"/>
    <m/>
    <n v="35"/>
    <m/>
    <s v=""/>
    <n v="5"/>
    <x v="0"/>
    <x v="0"/>
  </r>
  <r>
    <x v="813"/>
    <s v="David"/>
    <s v="Harrison"/>
    <n v="50"/>
    <x v="10"/>
    <n v="1974"/>
    <n v="55000"/>
    <x v="6"/>
    <s v="Male"/>
    <s v="it"/>
    <s v="IT"/>
    <s v="Manager"/>
    <d v="2019-12-01T00:00:00"/>
    <d v="2019-12-01T00:00:00"/>
    <s v="D"/>
    <x v="18"/>
    <s v="david.harrison@saltcorp.com"/>
    <s v="555-555-5555"/>
    <s v="Part-Time"/>
    <s v="Part-Time"/>
    <s v="EMP-2020-0089"/>
    <n v="7"/>
    <m/>
    <m/>
    <d v="2022-06-20T00:00:00"/>
    <m/>
    <s v="YES"/>
    <s v="Yes"/>
    <n v="2"/>
    <x v="1"/>
    <x v="1"/>
  </r>
  <r>
    <x v="814"/>
    <s v="Frank"/>
    <s v="Perez"/>
    <s v="thirty"/>
    <x v="8"/>
    <n v="1994"/>
    <s v="SIXTY THOUSAND"/>
    <x v="2"/>
    <s v="Female"/>
    <s v="HR"/>
    <s v="HR"/>
    <s v="Assistant"/>
    <d v="2019-12-01T00:00:00"/>
    <d v="2019-12-01T00:00:00"/>
    <s v="B"/>
    <x v="26"/>
    <s v="frank.perez@saltcorp.com"/>
    <s v=" "/>
    <s v="contract"/>
    <s v="Contract"/>
    <m/>
    <n v="1"/>
    <m/>
    <n v="8"/>
    <d v="2022-06-20T00:00:00"/>
    <m/>
    <s v="YES"/>
    <s v="Yes"/>
    <n v="3"/>
    <x v="0"/>
    <x v="0"/>
  </r>
  <r>
    <x v="815"/>
    <s v="Bob"/>
    <s v="Garcia"/>
    <n v="35"/>
    <x v="2"/>
    <n v="1989"/>
    <n v="50000"/>
    <x v="0"/>
    <s v="Male"/>
    <s v="Marketing"/>
    <s v="Marketing"/>
    <s v="Clerk"/>
    <d v="2018-04-05T00:00:00"/>
    <d v="2018-04-05T00:00:00"/>
    <s v="C"/>
    <x v="2"/>
    <s v="bob.garcia@saltcorp.com"/>
    <s v="098-765-4321"/>
    <s v="Part-Time"/>
    <s v="Part-Time"/>
    <m/>
    <n v="5"/>
    <s v="N/A"/>
    <m/>
    <m/>
    <m/>
    <s v="no"/>
    <s v="No"/>
    <n v="1"/>
    <x v="1"/>
    <x v="1"/>
  </r>
  <r>
    <x v="816"/>
    <s v="Hannah"/>
    <s v="Rivera"/>
    <n v="50"/>
    <x v="10"/>
    <n v="1974"/>
    <n v="50000"/>
    <x v="0"/>
    <s v="Male"/>
    <s v="finance"/>
    <s v="Finance"/>
    <s v="Assistant"/>
    <d v="2020-02-20T00:00:00"/>
    <d v="2020-02-20T00:00:00"/>
    <s v="B"/>
    <x v="6"/>
    <s v="hannah.rivera@saltcorp.com"/>
    <s v="555-555-5555"/>
    <s v="Full-Time"/>
    <s v="Full-Time"/>
    <m/>
    <n v="3"/>
    <m/>
    <n v="13"/>
    <d v="2023-01-15T00:00:00"/>
    <n v="7"/>
    <s v="no"/>
    <s v="No"/>
    <n v="2"/>
    <x v="1"/>
    <x v="1"/>
  </r>
  <r>
    <x v="817"/>
    <s v="Hannah"/>
    <s v="Andrews"/>
    <n v="40"/>
    <x v="7"/>
    <n v="1984"/>
    <n v="65000"/>
    <x v="1"/>
    <s v="Female"/>
    <s v="it"/>
    <s v="IT"/>
    <s v="Manager"/>
    <d v="2018-04-05T00:00:00"/>
    <d v="2018-04-05T00:00:00"/>
    <s v="B"/>
    <x v="45"/>
    <s v="hannah.andrews@saltcorp.com"/>
    <m/>
    <s v="Full-Time"/>
    <s v="Full-Time"/>
    <m/>
    <n v="7"/>
    <s v="N/A"/>
    <m/>
    <d v="2021-10-01T00:00:00"/>
    <n v="39"/>
    <s v="no"/>
    <s v="No"/>
    <n v="4"/>
    <x v="1"/>
    <x v="1"/>
  </r>
  <r>
    <x v="818"/>
    <s v="Alice"/>
    <s v="Davidson"/>
    <n v="25"/>
    <x v="0"/>
    <n v="1999"/>
    <n v="61300"/>
    <x v="18"/>
    <s v="Female"/>
    <s v="finance"/>
    <s v="Finance"/>
    <s v="Clerk"/>
    <d v="2020-01-15T00:00:00"/>
    <d v="2020-01-15T00:00:00"/>
    <s v="B"/>
    <x v="49"/>
    <s v="alice.davidson@saltcorp.com"/>
    <s v="123-456-7890"/>
    <s v="Full-Time"/>
    <s v="Full-Time"/>
    <m/>
    <n v="2"/>
    <m/>
    <m/>
    <m/>
    <m/>
    <s v="YES"/>
    <s v="Yes"/>
    <n v="4"/>
    <x v="1"/>
    <x v="1"/>
  </r>
  <r>
    <x v="819"/>
    <s v="Charlie"/>
    <s v="Bennett"/>
    <n v="35"/>
    <x v="2"/>
    <n v="1989"/>
    <n v="50000"/>
    <x v="0"/>
    <s v="Male"/>
    <s v="finance"/>
    <s v="Finance"/>
    <s v="Assistant"/>
    <d v="2020-01-15T00:00:00"/>
    <d v="2020-01-15T00:00:00"/>
    <s v="F"/>
    <x v="88"/>
    <s v="charlie.bennett@saltcorp.com"/>
    <s v="555-555-5555"/>
    <s v="contract"/>
    <s v="Contract"/>
    <m/>
    <n v="2"/>
    <s v="N/A"/>
    <m/>
    <m/>
    <m/>
    <s v="no"/>
    <s v="No"/>
    <n v="4"/>
    <x v="0"/>
    <x v="0"/>
  </r>
  <r>
    <x v="820"/>
    <s v="Jack"/>
    <s v="O'Neill"/>
    <n v="35"/>
    <x v="2"/>
    <n v="1989"/>
    <n v="63000"/>
    <x v="9"/>
    <s v="Male"/>
    <s v="sales"/>
    <s v="Sales"/>
    <s v="Director"/>
    <d v="2020-02-20T00:00:00"/>
    <d v="2020-02-20T00:00:00"/>
    <s v="D"/>
    <x v="43"/>
    <s v="jack.o'neill@saltcorp.com"/>
    <s v="555-555-5555"/>
    <s v="Part-Time"/>
    <s v="Part-Time"/>
    <m/>
    <n v="5"/>
    <n v="5"/>
    <m/>
    <m/>
    <m/>
    <s v="no"/>
    <s v="No"/>
    <n v="4"/>
    <x v="0"/>
    <x v="0"/>
  </r>
  <r>
    <x v="821"/>
    <s v="Ivy"/>
    <s v="Gupta"/>
    <m/>
    <x v="24"/>
    <n v="1981"/>
    <n v="63000"/>
    <x v="9"/>
    <s v="Female"/>
    <s v="sales"/>
    <s v="Sales"/>
    <s v="Director"/>
    <d v="2019-12-01T00:00:00"/>
    <d v="2019-12-01T00:00:00"/>
    <s v="D"/>
    <x v="22"/>
    <s v="ivy.gupta@saltcorp.com"/>
    <s v=" "/>
    <s v="Full-Time"/>
    <s v="Full-Time"/>
    <s v="EMP-2018-0065"/>
    <n v="6"/>
    <s v="N/A"/>
    <m/>
    <d v="2023-01-15T00:00:00"/>
    <m/>
    <s v="no"/>
    <s v="No"/>
    <n v="2"/>
    <x v="0"/>
    <x v="0"/>
  </r>
  <r>
    <x v="822"/>
    <s v="Eve"/>
    <s v="Graham"/>
    <s v="thirty"/>
    <x v="8"/>
    <n v="1994"/>
    <n v="65000"/>
    <x v="1"/>
    <s v="Female"/>
    <s v="sales"/>
    <s v="Sales"/>
    <s v="Manager"/>
    <d v="2018-04-05T00:00:00"/>
    <d v="2018-04-05T00:00:00"/>
    <s v="D"/>
    <x v="34"/>
    <s v="eve.graham@saltcorp.com"/>
    <s v="555-555-5555"/>
    <s v="Full-Time"/>
    <s v="Full-Time"/>
    <m/>
    <n v="2"/>
    <m/>
    <m/>
    <d v="2024-08-12T00:00:00"/>
    <n v="57"/>
    <m/>
    <s v=""/>
    <n v="4"/>
    <x v="0"/>
    <x v="0"/>
  </r>
  <r>
    <x v="823"/>
    <s v="Frank"/>
    <s v="Thomas"/>
    <n v="35"/>
    <x v="2"/>
    <n v="1989"/>
    <n v="65000"/>
    <x v="1"/>
    <s v="Female"/>
    <s v="it"/>
    <s v="IT"/>
    <s v="Clerk"/>
    <d v="2018-04-05T00:00:00"/>
    <d v="2018-04-05T00:00:00"/>
    <s v="F"/>
    <x v="79"/>
    <s v="frank.thomas@saltcorp.com"/>
    <s v=" "/>
    <s v="Full-Time"/>
    <s v="Full-Time"/>
    <s v="EMP-2019-0085"/>
    <n v="5"/>
    <m/>
    <m/>
    <m/>
    <n v="54"/>
    <m/>
    <s v=""/>
    <n v="5"/>
    <x v="1"/>
    <x v="1"/>
  </r>
  <r>
    <x v="824"/>
    <s v="David"/>
    <s v="Ross"/>
    <n v="35"/>
    <x v="2"/>
    <n v="1989"/>
    <n v="65000"/>
    <x v="1"/>
    <s v="Female"/>
    <s v="finance"/>
    <s v="Finance"/>
    <s v="Analyst"/>
    <d v="2020-02-20T00:00:00"/>
    <d v="2020-02-20T00:00:00"/>
    <s v="C"/>
    <x v="2"/>
    <s v="david.ross@saltcorp.com"/>
    <s v="123-456-7890"/>
    <s v="Part-Time"/>
    <s v="Part-Time"/>
    <m/>
    <n v="5"/>
    <n v="13"/>
    <n v="3"/>
    <s v="N/A"/>
    <n v="31"/>
    <m/>
    <s v=""/>
    <n v="3"/>
    <x v="0"/>
    <x v="0"/>
  </r>
  <r>
    <x v="825"/>
    <s v="Jack"/>
    <s v="Murphy"/>
    <n v="40"/>
    <x v="7"/>
    <n v="1984"/>
    <n v="50000"/>
    <x v="0"/>
    <s v="Male"/>
    <s v="HR"/>
    <s v="HR"/>
    <s v="Clerk"/>
    <d v="2020-02-20T00:00:00"/>
    <d v="2020-02-20T00:00:00"/>
    <s v="B"/>
    <x v="26"/>
    <s v="jack.murphy@saltcorp.com"/>
    <s v="123-456-7890"/>
    <s v="Full-Time"/>
    <s v="Full-Time"/>
    <m/>
    <n v="8"/>
    <s v="N/A"/>
    <m/>
    <s v="N/A"/>
    <m/>
    <s v="no"/>
    <s v="No"/>
    <n v="1"/>
    <x v="0"/>
    <x v="0"/>
  </r>
  <r>
    <x v="826"/>
    <s v="Bob"/>
    <s v="Brown"/>
    <n v="40"/>
    <x v="7"/>
    <n v="1984"/>
    <n v="65000"/>
    <x v="1"/>
    <s v="Male"/>
    <s v="Marketing"/>
    <s v="Marketing"/>
    <s v="Director"/>
    <d v="2020-01-15T00:00:00"/>
    <d v="2020-01-15T00:00:00"/>
    <s v="C"/>
    <x v="23"/>
    <s v="bob.brown@saltcorp.com"/>
    <m/>
    <s v="Full-Time"/>
    <s v="Full-Time"/>
    <s v="EMP-2018-0010"/>
    <n v="7"/>
    <m/>
    <n v="20"/>
    <m/>
    <n v="54"/>
    <m/>
    <s v=""/>
    <n v="1"/>
    <x v="1"/>
    <x v="1"/>
  </r>
  <r>
    <x v="827"/>
    <s v="Hannah"/>
    <s v="Garrett"/>
    <n v="50"/>
    <x v="10"/>
    <n v="1974"/>
    <n v="50000"/>
    <x v="0"/>
    <s v="Female"/>
    <s v="sales"/>
    <s v="Sales"/>
    <s v="Assistant"/>
    <d v="2019-03-25T00:00:00"/>
    <d v="2019-03-25T00:00:00"/>
    <s v="F"/>
    <x v="40"/>
    <s v="hannah.garrett@saltcorp.com"/>
    <s v=" "/>
    <s v="Full-Time"/>
    <s v="Full-Time"/>
    <s v="EMP-2020-0014"/>
    <n v="8"/>
    <m/>
    <m/>
    <m/>
    <n v="52"/>
    <s v="YES"/>
    <s v="Yes"/>
    <n v="4"/>
    <x v="0"/>
    <x v="0"/>
  </r>
  <r>
    <x v="828"/>
    <s v="Frank"/>
    <s v="Ross"/>
    <n v="25"/>
    <x v="0"/>
    <n v="1999"/>
    <n v="65000"/>
    <x v="1"/>
    <s v="Male"/>
    <s v="sales"/>
    <s v="Sales"/>
    <s v="Analyst"/>
    <d v="2020-02-20T00:00:00"/>
    <d v="2020-02-20T00:00:00"/>
    <s v="D"/>
    <x v="43"/>
    <s v="frank.ross@saltcorp.com"/>
    <s v=" "/>
    <s v="Full-Time"/>
    <s v="Full-Time"/>
    <m/>
    <n v="4"/>
    <m/>
    <m/>
    <m/>
    <n v="26"/>
    <s v="no"/>
    <s v="No"/>
    <n v="5"/>
    <x v="0"/>
    <x v="0"/>
  </r>
  <r>
    <x v="829"/>
    <s v="Eve"/>
    <s v="Olson"/>
    <m/>
    <x v="17"/>
    <n v="1978"/>
    <n v="70000"/>
    <x v="5"/>
    <s v="Male"/>
    <s v="finance"/>
    <s v="Finance"/>
    <s v="Manager"/>
    <d v="2019-03-25T00:00:00"/>
    <d v="2019-03-25T00:00:00"/>
    <s v="B"/>
    <x v="10"/>
    <s v="eve.olson@saltcorp.com"/>
    <s v="098-765-4321"/>
    <s v="Part-Time"/>
    <s v="Part-Time"/>
    <s v="EMP-2020-0046"/>
    <n v="6"/>
    <m/>
    <m/>
    <d v="2021-10-01T00:00:00"/>
    <n v="50"/>
    <s v="no"/>
    <s v="No"/>
    <n v="2"/>
    <x v="0"/>
    <x v="0"/>
  </r>
  <r>
    <x v="830"/>
    <s v="Ivy"/>
    <s v="Shah"/>
    <n v="25"/>
    <x v="0"/>
    <n v="1999"/>
    <n v="60800"/>
    <x v="19"/>
    <s v="Female"/>
    <s v="finance"/>
    <s v="Finance"/>
    <s v="Analyst"/>
    <d v="2020-02-20T00:00:00"/>
    <d v="2020-02-20T00:00:00"/>
    <s v="A"/>
    <x v="3"/>
    <s v="ivy.shah@saltcorp.com"/>
    <s v="098-765-4321"/>
    <s v="contract"/>
    <s v="Contract"/>
    <s v="EMP-2019-0034"/>
    <n v="8"/>
    <m/>
    <m/>
    <m/>
    <n v="34"/>
    <s v="no"/>
    <s v="No"/>
    <n v="3"/>
    <x v="0"/>
    <x v="0"/>
  </r>
  <r>
    <x v="831"/>
    <s v="Alice"/>
    <s v="Schmidt"/>
    <n v="50"/>
    <x v="10"/>
    <n v="1974"/>
    <n v="65000"/>
    <x v="1"/>
    <s v="Male"/>
    <s v="it"/>
    <s v="IT"/>
    <s v="Manager"/>
    <d v="2019-12-01T00:00:00"/>
    <d v="2019-12-01T00:00:00"/>
    <s v="A"/>
    <x v="11"/>
    <s v="alice.schmidt@saltcorp.com"/>
    <m/>
    <s v="Full-Time"/>
    <s v="Full-Time"/>
    <m/>
    <n v="8"/>
    <s v="N/A"/>
    <m/>
    <m/>
    <m/>
    <s v="no"/>
    <s v="No"/>
    <n v="5"/>
    <x v="0"/>
    <x v="0"/>
  </r>
  <r>
    <x v="832"/>
    <s v="Eve"/>
    <s v="Weber"/>
    <n v="40"/>
    <x v="7"/>
    <n v="1984"/>
    <n v="55000"/>
    <x v="6"/>
    <s v="Female"/>
    <s v="it"/>
    <s v="IT"/>
    <s v="Analyst"/>
    <d v="2019-12-01T00:00:00"/>
    <d v="2019-12-01T00:00:00"/>
    <s v="C"/>
    <x v="58"/>
    <s v="eve.weber@saltcorp.com"/>
    <s v="123-456-7890"/>
    <s v="Full-Time"/>
    <s v="Full-Time"/>
    <m/>
    <n v="1"/>
    <n v="3"/>
    <n v="9"/>
    <m/>
    <n v="13"/>
    <m/>
    <s v=""/>
    <n v="4"/>
    <x v="1"/>
    <x v="1"/>
  </r>
  <r>
    <x v="833"/>
    <s v="Frank"/>
    <s v="McCoy"/>
    <s v="thirty"/>
    <x v="8"/>
    <n v="1994"/>
    <n v="61500"/>
    <x v="11"/>
    <s v="Female"/>
    <s v="sales"/>
    <s v="Sales"/>
    <s v="Manager"/>
    <d v="2020-01-15T00:00:00"/>
    <d v="2020-01-15T00:00:00"/>
    <s v="D"/>
    <x v="22"/>
    <s v="frank.mccoy@saltcorp.com"/>
    <s v="098-765-4321"/>
    <s v="Full-Time"/>
    <s v="Full-Time"/>
    <m/>
    <n v="8"/>
    <s v="N/A"/>
    <n v="14"/>
    <d v="2023-01-15T00:00:00"/>
    <n v="51"/>
    <s v="no"/>
    <s v="No"/>
    <n v="1"/>
    <x v="1"/>
    <x v="1"/>
  </r>
  <r>
    <x v="834"/>
    <s v="Eve"/>
    <s v="Reed"/>
    <n v="40"/>
    <x v="7"/>
    <n v="1984"/>
    <n v="59500"/>
    <x v="3"/>
    <s v="Female"/>
    <s v="finance"/>
    <s v="Finance"/>
    <s v="Manager"/>
    <d v="2020-01-15T00:00:00"/>
    <d v="2020-01-15T00:00:00"/>
    <s v="A"/>
    <x v="41"/>
    <s v="eve.reed@saltcorp.com"/>
    <s v="555-555-5555"/>
    <s v="Part-Time"/>
    <s v="Part-Time"/>
    <m/>
    <n v="2"/>
    <s v="N/A"/>
    <n v="17"/>
    <d v="2024-08-12T00:00:00"/>
    <n v="62"/>
    <s v="YES"/>
    <s v="Yes"/>
    <n v="5"/>
    <x v="0"/>
    <x v="0"/>
  </r>
  <r>
    <x v="835"/>
    <s v="Frank"/>
    <s v="Gonzalez"/>
    <m/>
    <x v="11"/>
    <n v="1985"/>
    <n v="65000"/>
    <x v="1"/>
    <s v="Female"/>
    <s v="HR"/>
    <s v="HR"/>
    <s v="Analyst"/>
    <d v="2019-03-25T00:00:00"/>
    <d v="2019-03-25T00:00:00"/>
    <s v="C"/>
    <x v="23"/>
    <s v="frank.gonzalez@saltcorp.com"/>
    <s v="123-456-7890"/>
    <s v="Full-Time"/>
    <s v="Full-Time"/>
    <m/>
    <n v="5"/>
    <m/>
    <m/>
    <s v="N/A"/>
    <m/>
    <s v="no"/>
    <s v="No"/>
    <n v="3"/>
    <x v="0"/>
    <x v="0"/>
  </r>
  <r>
    <x v="836"/>
    <s v="Frank"/>
    <s v="Johnston"/>
    <n v="40"/>
    <x v="7"/>
    <n v="1984"/>
    <s v="SIXTY THOUSAND"/>
    <x v="2"/>
    <s v="Male"/>
    <s v="Marketing"/>
    <s v="Marketing"/>
    <s v="Analyst"/>
    <d v="2020-02-20T00:00:00"/>
    <d v="2020-02-20T00:00:00"/>
    <s v="F"/>
    <x v="33"/>
    <s v="frank.johnston@saltcorp.com"/>
    <s v="555-555-5555"/>
    <s v="Full-Time"/>
    <s v="Full-Time"/>
    <m/>
    <n v="2"/>
    <n v="4"/>
    <m/>
    <s v="N/A"/>
    <m/>
    <s v="YES"/>
    <s v="Yes"/>
    <n v="1"/>
    <x v="0"/>
    <x v="0"/>
  </r>
  <r>
    <x v="837"/>
    <s v="Grace"/>
    <s v="Williamson"/>
    <m/>
    <x v="17"/>
    <n v="1978"/>
    <n v="65000"/>
    <x v="1"/>
    <s v="Female"/>
    <s v="finance"/>
    <s v="Finance"/>
    <s v="Manager"/>
    <d v="2018-04-05T00:00:00"/>
    <d v="2018-04-05T00:00:00"/>
    <s v="C"/>
    <x v="7"/>
    <s v="grace.williamson@saltcorp.com"/>
    <s v=" "/>
    <s v="Full-Time"/>
    <s v="Full-Time"/>
    <s v="EMP-2020-0032"/>
    <n v="7"/>
    <m/>
    <n v="9"/>
    <d v="2022-06-20T00:00:00"/>
    <m/>
    <s v="no"/>
    <s v="No"/>
    <n v="4"/>
    <x v="0"/>
    <x v="0"/>
  </r>
  <r>
    <x v="838"/>
    <s v="David"/>
    <s v="Murphy"/>
    <m/>
    <x v="27"/>
    <n v="1965"/>
    <n v="60300"/>
    <x v="14"/>
    <s v="Female"/>
    <s v="finance"/>
    <s v="Finance"/>
    <s v="Director"/>
    <d v="2020-01-15T00:00:00"/>
    <d v="2020-01-15T00:00:00"/>
    <s v="C"/>
    <x v="44"/>
    <s v="david.murphy@saltcorp.com"/>
    <s v="123-456-7890"/>
    <s v="contract"/>
    <s v="Contract"/>
    <s v="EMP-2018-0016"/>
    <n v="4"/>
    <s v="N/A"/>
    <n v="19"/>
    <m/>
    <m/>
    <s v="YES"/>
    <s v="Yes"/>
    <n v="3"/>
    <x v="0"/>
    <x v="0"/>
  </r>
  <r>
    <x v="839"/>
    <s v="Hannah"/>
    <s v="Powell"/>
    <m/>
    <x v="11"/>
    <n v="1985"/>
    <n v="55000"/>
    <x v="6"/>
    <s v="Male"/>
    <s v="it"/>
    <s v="IT"/>
    <s v="Analyst"/>
    <d v="2018-04-05T00:00:00"/>
    <d v="2018-04-05T00:00:00"/>
    <s v="C"/>
    <x v="69"/>
    <s v="hannah.powell@saltcorp.com"/>
    <m/>
    <s v="contract"/>
    <s v="Contract"/>
    <s v="EMP-2018-0017"/>
    <n v="4"/>
    <m/>
    <m/>
    <d v="2023-01-15T00:00:00"/>
    <m/>
    <s v="no"/>
    <s v="No"/>
    <n v="3"/>
    <x v="1"/>
    <x v="1"/>
  </r>
  <r>
    <x v="840"/>
    <s v="Grace"/>
    <s v="Wu"/>
    <n v="50"/>
    <x v="10"/>
    <n v="1974"/>
    <n v="58600"/>
    <x v="8"/>
    <s v="Male"/>
    <s v="Marketing"/>
    <s v="Marketing"/>
    <s v="Clerk"/>
    <d v="2018-04-05T00:00:00"/>
    <d v="2018-04-05T00:00:00"/>
    <s v="B"/>
    <x v="21"/>
    <s v="grace.wu@saltcorp.com"/>
    <s v=" "/>
    <s v="Full-Time"/>
    <s v="Full-Time"/>
    <m/>
    <n v="6"/>
    <m/>
    <n v="0"/>
    <m/>
    <m/>
    <s v="YES"/>
    <s v="Yes"/>
    <n v="2"/>
    <x v="1"/>
    <x v="1"/>
  </r>
  <r>
    <x v="841"/>
    <s v="Ivy"/>
    <s v="Ross"/>
    <m/>
    <x v="29"/>
    <n v="1990"/>
    <n v="55000"/>
    <x v="6"/>
    <s v="Female"/>
    <s v="sales"/>
    <s v="Sales"/>
    <s v="Assistant"/>
    <d v="2020-02-20T00:00:00"/>
    <d v="2020-02-20T00:00:00"/>
    <s v="C"/>
    <x v="58"/>
    <s v="ivy.ross@saltcorp.com"/>
    <s v=" "/>
    <s v="Full-Time"/>
    <s v="Full-Time"/>
    <m/>
    <n v="7"/>
    <s v="N/A"/>
    <n v="19"/>
    <m/>
    <m/>
    <s v="no"/>
    <s v="No"/>
    <n v="3"/>
    <x v="0"/>
    <x v="0"/>
  </r>
  <r>
    <x v="842"/>
    <s v="Grace"/>
    <s v="Huang"/>
    <m/>
    <x v="11"/>
    <n v="1985"/>
    <n v="50000"/>
    <x v="0"/>
    <s v="Female"/>
    <s v="finance"/>
    <s v="Finance"/>
    <s v="Manager"/>
    <d v="2019-03-25T00:00:00"/>
    <d v="2019-03-25T00:00:00"/>
    <s v="C"/>
    <x v="44"/>
    <s v="grace.huang@saltcorp.com"/>
    <s v="555-555-5555"/>
    <s v="Full-Time"/>
    <s v="Full-Time"/>
    <s v="EMP-2020-0034"/>
    <n v="6"/>
    <n v="1"/>
    <n v="16"/>
    <m/>
    <m/>
    <s v="no"/>
    <s v="No"/>
    <n v="1"/>
    <x v="1"/>
    <x v="1"/>
  </r>
  <r>
    <x v="843"/>
    <s v="Charlie"/>
    <s v="Clark"/>
    <s v="thirty"/>
    <x v="8"/>
    <n v="1994"/>
    <n v="70000"/>
    <x v="5"/>
    <s v="Male"/>
    <s v="sales"/>
    <s v="Sales"/>
    <s v="Manager"/>
    <d v="2020-02-20T00:00:00"/>
    <d v="2020-02-20T00:00:00"/>
    <s v="B"/>
    <x v="21"/>
    <s v="charlie.clark@saltcorp.com"/>
    <s v=" "/>
    <s v="Full-Time"/>
    <s v="Full-Time"/>
    <m/>
    <n v="1"/>
    <s v="N/A"/>
    <m/>
    <m/>
    <m/>
    <m/>
    <s v=""/>
    <n v="2"/>
    <x v="0"/>
    <x v="0"/>
  </r>
  <r>
    <x v="844"/>
    <s v="Charlie"/>
    <s v="Harris"/>
    <n v="25"/>
    <x v="0"/>
    <n v="1999"/>
    <n v="58500"/>
    <x v="4"/>
    <s v="Male"/>
    <s v="finance"/>
    <s v="Finance"/>
    <s v="Assistant"/>
    <d v="2020-01-15T00:00:00"/>
    <d v="2020-01-15T00:00:00"/>
    <s v="B"/>
    <x v="35"/>
    <s v="charlie.harris@saltcorp.com"/>
    <s v="098-765-4321"/>
    <s v="Full-Time"/>
    <s v="Full-Time"/>
    <m/>
    <n v="5"/>
    <m/>
    <m/>
    <m/>
    <n v="44"/>
    <m/>
    <s v=""/>
    <n v="5"/>
    <x v="0"/>
    <x v="0"/>
  </r>
  <r>
    <x v="845"/>
    <s v="Hannah"/>
    <s v="Gibson"/>
    <n v="35"/>
    <x v="2"/>
    <n v="1989"/>
    <n v="65000"/>
    <x v="1"/>
    <s v="Male"/>
    <s v="sales"/>
    <s v="Sales"/>
    <s v="Director"/>
    <d v="2018-04-05T00:00:00"/>
    <d v="2018-04-05T00:00:00"/>
    <s v="F"/>
    <x v="86"/>
    <s v="hannah.gibson@saltcorp.com"/>
    <s v="123-456-7890"/>
    <s v="Part-Time"/>
    <s v="Part-Time"/>
    <s v="EMP-2019-0007"/>
    <n v="4"/>
    <m/>
    <n v="6"/>
    <d v="2024-08-12T00:00:00"/>
    <m/>
    <s v="YES"/>
    <s v="Yes"/>
    <n v="5"/>
    <x v="0"/>
    <x v="0"/>
  </r>
  <r>
    <x v="846"/>
    <s v="Eve"/>
    <s v="Stevens"/>
    <n v="25"/>
    <x v="0"/>
    <n v="1999"/>
    <n v="50000"/>
    <x v="0"/>
    <s v="Female"/>
    <s v="Marketing"/>
    <s v="Marketing"/>
    <s v="Assistant"/>
    <d v="2020-02-20T00:00:00"/>
    <d v="2020-02-20T00:00:00"/>
    <s v="D"/>
    <x v="17"/>
    <s v="eve.stevens@saltcorp.com"/>
    <s v="098-765-4321"/>
    <s v="contract"/>
    <s v="Contract"/>
    <m/>
    <n v="5"/>
    <n v="3"/>
    <m/>
    <m/>
    <m/>
    <s v="no"/>
    <s v="No"/>
    <n v="2"/>
    <x v="1"/>
    <x v="1"/>
  </r>
  <r>
    <x v="847"/>
    <s v="David"/>
    <s v="Kim"/>
    <m/>
    <x v="29"/>
    <n v="1990"/>
    <n v="70000"/>
    <x v="5"/>
    <s v="Female"/>
    <s v="it"/>
    <s v="IT"/>
    <s v="Analyst"/>
    <d v="2020-02-20T00:00:00"/>
    <d v="2020-02-20T00:00:00"/>
    <s v="A"/>
    <x v="51"/>
    <s v="david.kim@saltcorp.com"/>
    <s v="555-555-5555"/>
    <s v="contract"/>
    <s v="Contract"/>
    <m/>
    <n v="2"/>
    <s v="N/A"/>
    <n v="13"/>
    <s v="N/A"/>
    <n v="30"/>
    <s v="no"/>
    <s v="No"/>
    <n v="2"/>
    <x v="0"/>
    <x v="0"/>
  </r>
  <r>
    <x v="848"/>
    <s v="Hannah"/>
    <s v="Foster"/>
    <s v="thirty"/>
    <x v="8"/>
    <n v="1994"/>
    <n v="65000"/>
    <x v="1"/>
    <s v="Female"/>
    <s v="Marketing"/>
    <s v="Marketing"/>
    <s v="Assistant"/>
    <d v="2020-02-20T00:00:00"/>
    <d v="2020-02-20T00:00:00"/>
    <s v="A"/>
    <x v="32"/>
    <s v="hannah.foster@saltcorp.com"/>
    <s v="555-555-5555"/>
    <s v="Part-Time"/>
    <s v="Part-Time"/>
    <s v="EMP-2020-0055"/>
    <n v="7"/>
    <m/>
    <m/>
    <d v="2023-01-15T00:00:00"/>
    <m/>
    <m/>
    <s v=""/>
    <n v="4"/>
    <x v="0"/>
    <x v="0"/>
  </r>
  <r>
    <x v="849"/>
    <s v="Frank"/>
    <s v="Garrett"/>
    <n v="40"/>
    <x v="7"/>
    <n v="1984"/>
    <s v="SIXTY THOUSAND"/>
    <x v="2"/>
    <s v="Male"/>
    <s v="HR"/>
    <s v="HR"/>
    <s v="Manager"/>
    <d v="2020-01-15T00:00:00"/>
    <d v="2020-01-15T00:00:00"/>
    <s v="C"/>
    <x v="69"/>
    <s v="frank.garrett@saltcorp.com"/>
    <s v="123-456-7890"/>
    <s v="Full-Time"/>
    <s v="Full-Time"/>
    <m/>
    <n v="6"/>
    <m/>
    <n v="9"/>
    <m/>
    <n v="27"/>
    <m/>
    <s v=""/>
    <n v="2"/>
    <x v="1"/>
    <x v="1"/>
  </r>
  <r>
    <x v="850"/>
    <s v="Bob"/>
    <s v="Rogers"/>
    <s v="thirty"/>
    <x v="8"/>
    <n v="1994"/>
    <n v="65000"/>
    <x v="1"/>
    <s v="Male"/>
    <s v="it"/>
    <s v="IT"/>
    <s v="Assistant"/>
    <d v="2019-03-25T00:00:00"/>
    <d v="2019-03-25T00:00:00"/>
    <s v="F"/>
    <x v="97"/>
    <s v="bob.rogers@saltcorp.com"/>
    <s v=" "/>
    <s v="Part-Time"/>
    <s v="Part-Time"/>
    <m/>
    <n v="2"/>
    <m/>
    <n v="0"/>
    <m/>
    <m/>
    <s v="no"/>
    <s v="No"/>
    <n v="2"/>
    <x v="1"/>
    <x v="1"/>
  </r>
  <r>
    <x v="851"/>
    <s v="David"/>
    <s v="Jordan"/>
    <m/>
    <x v="8"/>
    <n v="1994"/>
    <n v="55000"/>
    <x v="6"/>
    <s v="Male"/>
    <s v="Marketing"/>
    <s v="Marketing"/>
    <s v="Clerk"/>
    <d v="2020-02-20T00:00:00"/>
    <d v="2020-02-20T00:00:00"/>
    <s v="C"/>
    <x v="7"/>
    <s v="david.jordan@saltcorp.com"/>
    <m/>
    <s v="Part-Time"/>
    <s v="Part-Time"/>
    <m/>
    <n v="3"/>
    <m/>
    <m/>
    <m/>
    <m/>
    <m/>
    <s v=""/>
    <n v="3"/>
    <x v="1"/>
    <x v="1"/>
  </r>
  <r>
    <x v="852"/>
    <s v="David"/>
    <s v="O'Brien"/>
    <s v="thirty"/>
    <x v="8"/>
    <n v="1994"/>
    <n v="55000"/>
    <x v="6"/>
    <s v="Female"/>
    <s v="HR"/>
    <s v="HR"/>
    <s v="Analyst"/>
    <d v="2020-01-15T00:00:00"/>
    <d v="2020-01-15T00:00:00"/>
    <s v="A"/>
    <x v="50"/>
    <s v="david.o'brien@saltcorp.com"/>
    <s v="555-555-5555"/>
    <s v="Full-Time"/>
    <s v="Full-Time"/>
    <s v="EMP-2020-0062"/>
    <n v="8"/>
    <m/>
    <m/>
    <d v="2022-06-20T00:00:00"/>
    <n v="28"/>
    <m/>
    <s v=""/>
    <n v="4"/>
    <x v="0"/>
    <x v="0"/>
  </r>
  <r>
    <x v="853"/>
    <s v="Frank"/>
    <s v="Lopez"/>
    <s v="thirty"/>
    <x v="8"/>
    <n v="1994"/>
    <s v="SIXTY THOUSAND"/>
    <x v="2"/>
    <s v="Female"/>
    <s v="finance"/>
    <s v="Finance"/>
    <s v="Assistant"/>
    <d v="2018-04-05T00:00:00"/>
    <d v="2018-04-05T00:00:00"/>
    <s v="B"/>
    <x v="54"/>
    <s v="frank.lopez@saltcorp.com"/>
    <s v="123-456-7890"/>
    <s v="Part-Time"/>
    <s v="Part-Time"/>
    <m/>
    <n v="6"/>
    <s v="N/A"/>
    <n v="6"/>
    <d v="2021-10-01T00:00:00"/>
    <n v="26"/>
    <s v="YES"/>
    <s v="Yes"/>
    <n v="1"/>
    <x v="1"/>
    <x v="1"/>
  </r>
  <r>
    <x v="854"/>
    <s v="Frank"/>
    <s v="Olson"/>
    <m/>
    <x v="13"/>
    <n v="1979"/>
    <n v="50000"/>
    <x v="0"/>
    <s v="Male"/>
    <s v="finance"/>
    <s v="Finance"/>
    <s v="Manager"/>
    <d v="2019-12-01T00:00:00"/>
    <d v="2019-12-01T00:00:00"/>
    <s v="D"/>
    <x v="24"/>
    <s v="frank.olson@saltcorp.com"/>
    <m/>
    <s v="contract"/>
    <s v="Contract"/>
    <m/>
    <n v="6"/>
    <s v="N/A"/>
    <m/>
    <m/>
    <m/>
    <s v="YES"/>
    <s v="Yes"/>
    <n v="3"/>
    <x v="1"/>
    <x v="1"/>
  </r>
  <r>
    <x v="855"/>
    <s v="Alice"/>
    <s v="Lee"/>
    <n v="50"/>
    <x v="10"/>
    <n v="1974"/>
    <n v="70000"/>
    <x v="5"/>
    <s v="Male"/>
    <s v="sales"/>
    <s v="Sales"/>
    <s v="Analyst"/>
    <d v="2020-01-15T00:00:00"/>
    <d v="2020-01-15T00:00:00"/>
    <s v="F"/>
    <x v="71"/>
    <s v="alice.lee@saltcorp.com"/>
    <s v=" "/>
    <s v="Full-Time"/>
    <s v="Full-Time"/>
    <m/>
    <n v="4"/>
    <m/>
    <m/>
    <m/>
    <m/>
    <s v="YES"/>
    <s v="Yes"/>
    <n v="5"/>
    <x v="0"/>
    <x v="0"/>
  </r>
  <r>
    <x v="856"/>
    <s v="Hannah"/>
    <s v="Mason"/>
    <s v="thirty"/>
    <x v="8"/>
    <n v="1994"/>
    <n v="65000"/>
    <x v="1"/>
    <s v="Female"/>
    <s v="it"/>
    <s v="IT"/>
    <s v="Manager"/>
    <d v="2019-12-01T00:00:00"/>
    <d v="2019-12-01T00:00:00"/>
    <s v="B"/>
    <x v="16"/>
    <s v="hannah.mason@saltcorp.com"/>
    <s v="555-555-5555"/>
    <s v="Full-Time"/>
    <s v="Full-Time"/>
    <m/>
    <n v="5"/>
    <m/>
    <n v="20"/>
    <d v="2024-08-12T00:00:00"/>
    <m/>
    <s v="no"/>
    <s v="No"/>
    <n v="4"/>
    <x v="1"/>
    <x v="1"/>
  </r>
  <r>
    <x v="857"/>
    <s v="Frank"/>
    <s v="Jordan"/>
    <n v="35"/>
    <x v="2"/>
    <n v="1989"/>
    <n v="55000"/>
    <x v="6"/>
    <s v="Female"/>
    <s v="finance"/>
    <s v="Finance"/>
    <s v="Director"/>
    <d v="2020-02-20T00:00:00"/>
    <d v="2020-02-20T00:00:00"/>
    <s v="D"/>
    <x v="0"/>
    <s v="frank.jordan@saltcorp.com"/>
    <s v="123-456-7890"/>
    <s v="Full-Time"/>
    <s v="Full-Time"/>
    <m/>
    <n v="3"/>
    <m/>
    <m/>
    <s v="N/A"/>
    <n v="63"/>
    <s v="YES"/>
    <s v="Yes"/>
    <n v="2"/>
    <x v="0"/>
    <x v="0"/>
  </r>
  <r>
    <x v="858"/>
    <s v="Charlie"/>
    <s v="Graham"/>
    <n v="35"/>
    <x v="2"/>
    <n v="1989"/>
    <n v="50000"/>
    <x v="0"/>
    <s v="Female"/>
    <s v="it"/>
    <s v="IT"/>
    <s v="Clerk"/>
    <d v="2020-02-20T00:00:00"/>
    <d v="2020-02-20T00:00:00"/>
    <s v="F"/>
    <x v="81"/>
    <s v="charlie.graham@saltcorp.com"/>
    <s v="123-456-7890"/>
    <s v="Full-Time"/>
    <s v="Full-Time"/>
    <m/>
    <n v="4"/>
    <m/>
    <m/>
    <m/>
    <m/>
    <s v="YES"/>
    <s v="Yes"/>
    <n v="1"/>
    <x v="1"/>
    <x v="1"/>
  </r>
  <r>
    <x v="859"/>
    <s v="Ivy"/>
    <s v="Patel"/>
    <s v="thirty"/>
    <x v="8"/>
    <n v="1994"/>
    <s v="SIXTY THOUSAND"/>
    <x v="2"/>
    <s v="Male"/>
    <s v="finance"/>
    <s v="Finance"/>
    <s v="Director"/>
    <d v="2020-01-15T00:00:00"/>
    <d v="2020-01-15T00:00:00"/>
    <s v="F"/>
    <x v="19"/>
    <s v="ivy.patel@saltcorp.com"/>
    <s v="123-456-7890"/>
    <s v="contract"/>
    <s v="Contract"/>
    <s v="EMP-2019-0035"/>
    <n v="8"/>
    <m/>
    <n v="3"/>
    <s v="N/A"/>
    <n v="13"/>
    <s v="no"/>
    <s v="No"/>
    <n v="4"/>
    <x v="0"/>
    <x v="0"/>
  </r>
  <r>
    <x v="860"/>
    <s v="Bob"/>
    <s v="Wilson"/>
    <n v="50"/>
    <x v="10"/>
    <n v="1974"/>
    <n v="63000"/>
    <x v="9"/>
    <s v="Female"/>
    <s v="sales"/>
    <s v="Sales"/>
    <s v="Clerk"/>
    <d v="2019-12-01T00:00:00"/>
    <d v="2019-12-01T00:00:00"/>
    <s v="A"/>
    <x v="32"/>
    <s v="bob.wilson@saltcorp.com"/>
    <s v="555-555-5555"/>
    <s v="contract"/>
    <s v="Contract"/>
    <s v="EMP-2020-0029"/>
    <n v="4"/>
    <m/>
    <m/>
    <m/>
    <n v="63"/>
    <s v="YES"/>
    <s v="Yes"/>
    <n v="1"/>
    <x v="1"/>
    <x v="1"/>
  </r>
  <r>
    <x v="861"/>
    <s v="Hannah"/>
    <s v="Young"/>
    <n v="40"/>
    <x v="7"/>
    <n v="1984"/>
    <n v="55000"/>
    <x v="6"/>
    <s v="Female"/>
    <s v="Marketing"/>
    <s v="Marketing"/>
    <s v="Assistant"/>
    <d v="2020-02-20T00:00:00"/>
    <d v="2020-02-20T00:00:00"/>
    <s v="B"/>
    <x v="49"/>
    <s v="hannah.young@saltcorp.com"/>
    <m/>
    <s v="contract"/>
    <s v="Contract"/>
    <m/>
    <n v="4"/>
    <n v="1"/>
    <m/>
    <d v="2021-10-01T00:00:00"/>
    <m/>
    <s v="no"/>
    <s v="No"/>
    <n v="3"/>
    <x v="1"/>
    <x v="1"/>
  </r>
  <r>
    <x v="862"/>
    <s v="Jack"/>
    <s v="Oliver"/>
    <m/>
    <x v="6"/>
    <n v="1991"/>
    <s v="SIXTY THOUSAND"/>
    <x v="2"/>
    <s v="Male"/>
    <s v="sales"/>
    <s v="Sales"/>
    <s v="Analyst"/>
    <d v="2018-04-05T00:00:00"/>
    <d v="2018-04-05T00:00:00"/>
    <s v="F"/>
    <x v="74"/>
    <s v="jack.oliver@saltcorp.com"/>
    <s v="123-456-7890"/>
    <s v="Full-Time"/>
    <s v="Full-Time"/>
    <m/>
    <n v="4"/>
    <m/>
    <n v="10"/>
    <m/>
    <n v="56"/>
    <s v="no"/>
    <s v="No"/>
    <n v="2"/>
    <x v="1"/>
    <x v="1"/>
  </r>
  <r>
    <x v="863"/>
    <s v="Charlie"/>
    <s v="Matthews"/>
    <n v="35"/>
    <x v="2"/>
    <n v="1989"/>
    <n v="65000"/>
    <x v="1"/>
    <s v="Male"/>
    <s v="HR"/>
    <s v="HR"/>
    <s v="Assistant"/>
    <d v="2019-03-25T00:00:00"/>
    <d v="2019-03-25T00:00:00"/>
    <s v="F"/>
    <x v="57"/>
    <s v="charlie.matthews@saltcorp.com"/>
    <s v=" "/>
    <s v="Full-Time"/>
    <s v="Full-Time"/>
    <s v="EMP-2020-0030"/>
    <n v="5"/>
    <m/>
    <m/>
    <m/>
    <m/>
    <m/>
    <s v=""/>
    <n v="1"/>
    <x v="1"/>
    <x v="1"/>
  </r>
  <r>
    <x v="864"/>
    <s v="Eve"/>
    <s v="Davidson"/>
    <n v="40"/>
    <x v="7"/>
    <n v="1984"/>
    <n v="70000"/>
    <x v="5"/>
    <s v="Female"/>
    <s v="finance"/>
    <s v="Finance"/>
    <s v="Clerk"/>
    <d v="2019-03-25T00:00:00"/>
    <d v="2019-03-25T00:00:00"/>
    <s v="D"/>
    <x v="24"/>
    <s v="eve.davidson@saltcorp.com"/>
    <s v="123-456-7890"/>
    <s v="contract"/>
    <s v="Contract"/>
    <m/>
    <n v="4"/>
    <m/>
    <n v="2"/>
    <m/>
    <m/>
    <s v="YES"/>
    <s v="Yes"/>
    <n v="4"/>
    <x v="0"/>
    <x v="0"/>
  </r>
  <r>
    <x v="865"/>
    <s v="Frank"/>
    <s v="Ward"/>
    <s v="thirty"/>
    <x v="8"/>
    <n v="1994"/>
    <n v="55000"/>
    <x v="6"/>
    <s v="Male"/>
    <s v="HR"/>
    <s v="HR"/>
    <s v="Clerk"/>
    <d v="2020-02-20T00:00:00"/>
    <d v="2020-02-20T00:00:00"/>
    <s v="A"/>
    <x v="25"/>
    <s v="frank.ward@saltcorp.com"/>
    <m/>
    <s v="Part-Time"/>
    <s v="Part-Time"/>
    <s v="EMP-2020-0008"/>
    <n v="4"/>
    <s v="N/A"/>
    <m/>
    <d v="2022-06-20T00:00:00"/>
    <m/>
    <m/>
    <s v=""/>
    <n v="4"/>
    <x v="1"/>
    <x v="1"/>
  </r>
  <r>
    <x v="866"/>
    <s v="Jack"/>
    <s v="Ryan"/>
    <n v="40"/>
    <x v="7"/>
    <n v="1984"/>
    <n v="55000"/>
    <x v="6"/>
    <s v="Female"/>
    <s v="HR"/>
    <s v="HR"/>
    <s v="Clerk"/>
    <d v="2019-12-01T00:00:00"/>
    <d v="2019-12-01T00:00:00"/>
    <s v="C"/>
    <x v="29"/>
    <s v="jack.ryan@saltcorp.com"/>
    <s v="555-555-5555"/>
    <s v="Full-Time"/>
    <s v="Full-Time"/>
    <s v="EMP-2019-0046"/>
    <n v="4"/>
    <m/>
    <m/>
    <d v="2024-08-12T00:00:00"/>
    <n v="26"/>
    <s v="YES"/>
    <s v="Yes"/>
    <n v="4"/>
    <x v="0"/>
    <x v="0"/>
  </r>
  <r>
    <x v="867"/>
    <s v="Frank"/>
    <s v="Weber"/>
    <n v="25"/>
    <x v="0"/>
    <n v="1999"/>
    <n v="65000"/>
    <x v="1"/>
    <s v="Male"/>
    <s v="it"/>
    <s v="IT"/>
    <s v="Manager"/>
    <d v="2020-02-20T00:00:00"/>
    <d v="2020-02-20T00:00:00"/>
    <s v="A"/>
    <x v="9"/>
    <s v="frank.weber@saltcorp.com"/>
    <s v="123-456-7890"/>
    <s v="Full-Time"/>
    <s v="Full-Time"/>
    <m/>
    <n v="4"/>
    <m/>
    <m/>
    <d v="2023-01-15T00:00:00"/>
    <n v="9"/>
    <s v="no"/>
    <s v="No"/>
    <n v="3"/>
    <x v="1"/>
    <x v="1"/>
  </r>
  <r>
    <x v="868"/>
    <s v="David"/>
    <s v="O'Brien"/>
    <n v="35"/>
    <x v="2"/>
    <n v="1989"/>
    <n v="60800"/>
    <x v="19"/>
    <s v="Female"/>
    <s v="finance"/>
    <s v="Finance"/>
    <s v="Analyst"/>
    <d v="2019-12-01T00:00:00"/>
    <d v="2019-12-01T00:00:00"/>
    <s v="C"/>
    <x v="58"/>
    <s v="david.o'brien@saltcorp.com"/>
    <s v="123-456-7890"/>
    <s v="Part-Time"/>
    <s v="Part-Time"/>
    <m/>
    <n v="6"/>
    <s v="N/A"/>
    <m/>
    <d v="2024-08-12T00:00:00"/>
    <n v="52"/>
    <s v="no"/>
    <s v="No"/>
    <n v="1"/>
    <x v="1"/>
    <x v="1"/>
  </r>
  <r>
    <x v="869"/>
    <s v="Charlie"/>
    <s v="Armstrong"/>
    <s v="thirty"/>
    <x v="8"/>
    <n v="1994"/>
    <n v="50000"/>
    <x v="0"/>
    <s v="Male"/>
    <s v="HR"/>
    <s v="HR"/>
    <s v="Assistant"/>
    <d v="2018-04-05T00:00:00"/>
    <d v="2018-04-05T00:00:00"/>
    <s v="B"/>
    <x v="26"/>
    <s v="charlie.armstrong@saltcorp.com"/>
    <s v=" "/>
    <s v="Part-Time"/>
    <s v="Part-Time"/>
    <s v="EMP-2020-0073"/>
    <n v="3"/>
    <n v="13"/>
    <n v="20"/>
    <m/>
    <n v="53"/>
    <s v="YES"/>
    <s v="Yes"/>
    <n v="4"/>
    <x v="0"/>
    <x v="0"/>
  </r>
  <r>
    <x v="870"/>
    <s v="David"/>
    <s v="Walker"/>
    <m/>
    <x v="32"/>
    <n v="1992"/>
    <n v="70000"/>
    <x v="5"/>
    <s v="Male"/>
    <s v="Marketing"/>
    <s v="Marketing"/>
    <s v="Assistant"/>
    <d v="2019-12-01T00:00:00"/>
    <d v="2019-12-01T00:00:00"/>
    <s v="B"/>
    <x v="35"/>
    <s v="david.walker@saltcorp.com"/>
    <s v=" "/>
    <s v="Part-Time"/>
    <s v="Part-Time"/>
    <m/>
    <n v="2"/>
    <s v="N/A"/>
    <n v="19"/>
    <m/>
    <n v="45"/>
    <m/>
    <s v=""/>
    <n v="1"/>
    <x v="0"/>
    <x v="0"/>
  </r>
  <r>
    <x v="871"/>
    <s v="Alice"/>
    <s v="Gibson"/>
    <n v="50"/>
    <x v="10"/>
    <n v="1974"/>
    <n v="55000"/>
    <x v="6"/>
    <s v="Male"/>
    <s v="HR"/>
    <s v="HR"/>
    <s v="Director"/>
    <d v="2020-02-20T00:00:00"/>
    <d v="2020-02-20T00:00:00"/>
    <s v="F"/>
    <x v="67"/>
    <s v="alice.gibson@saltcorp.com"/>
    <s v="123-456-7890"/>
    <s v="Full-Time"/>
    <s v="Full-Time"/>
    <s v="EMP-2019-0005"/>
    <n v="2"/>
    <n v="2"/>
    <n v="8"/>
    <m/>
    <n v="32"/>
    <m/>
    <s v=""/>
    <n v="5"/>
    <x v="0"/>
    <x v="0"/>
  </r>
  <r>
    <x v="872"/>
    <s v="David"/>
    <s v="McCoy"/>
    <s v="thirty"/>
    <x v="8"/>
    <n v="1994"/>
    <n v="70000"/>
    <x v="5"/>
    <s v="Female"/>
    <s v="Marketing"/>
    <s v="Marketing"/>
    <s v="Clerk"/>
    <d v="2018-04-05T00:00:00"/>
    <d v="2018-04-05T00:00:00"/>
    <s v="B"/>
    <x v="54"/>
    <s v="david.mccoy@saltcorp.com"/>
    <s v="123-456-7890"/>
    <s v="Full-Time"/>
    <s v="Full-Time"/>
    <s v="EMP-2020-0029"/>
    <n v="2"/>
    <m/>
    <n v="6"/>
    <m/>
    <m/>
    <s v="YES"/>
    <s v="Yes"/>
    <n v="4"/>
    <x v="0"/>
    <x v="0"/>
  </r>
  <r>
    <x v="873"/>
    <s v="Alice"/>
    <s v="Johnston"/>
    <m/>
    <x v="20"/>
    <n v="1993"/>
    <n v="55000"/>
    <x v="6"/>
    <s v="Female"/>
    <s v="it"/>
    <s v="IT"/>
    <s v="Clerk"/>
    <d v="2020-01-15T00:00:00"/>
    <d v="2020-01-15T00:00:00"/>
    <s v="F"/>
    <x v="61"/>
    <s v="alice.johnston@saltcorp.com"/>
    <s v=" "/>
    <s v="Part-Time"/>
    <s v="Part-Time"/>
    <m/>
    <n v="8"/>
    <m/>
    <n v="0"/>
    <m/>
    <m/>
    <s v="YES"/>
    <s v="Yes"/>
    <n v="3"/>
    <x v="0"/>
    <x v="0"/>
  </r>
  <r>
    <x v="874"/>
    <s v="Alice"/>
    <s v="Riley"/>
    <n v="50"/>
    <x v="10"/>
    <n v="1974"/>
    <n v="70000"/>
    <x v="5"/>
    <s v="Female"/>
    <s v="HR"/>
    <s v="HR"/>
    <s v="Clerk"/>
    <d v="2019-03-25T00:00:00"/>
    <d v="2019-03-25T00:00:00"/>
    <s v="A"/>
    <x v="3"/>
    <s v="alice.riley@saltcorp.com"/>
    <m/>
    <s v="Part-Time"/>
    <s v="Part-Time"/>
    <m/>
    <n v="1"/>
    <m/>
    <m/>
    <d v="2024-08-12T00:00:00"/>
    <m/>
    <s v="no"/>
    <s v="No"/>
    <n v="1"/>
    <x v="0"/>
    <x v="0"/>
  </r>
  <r>
    <x v="875"/>
    <s v="Jack"/>
    <s v="O'Neill"/>
    <n v="50"/>
    <x v="10"/>
    <n v="1974"/>
    <s v="SIXTY THOUSAND"/>
    <x v="2"/>
    <s v="Male"/>
    <s v="sales"/>
    <s v="Sales"/>
    <s v="Assistant"/>
    <d v="2020-02-20T00:00:00"/>
    <d v="2020-02-20T00:00:00"/>
    <s v="B"/>
    <x v="16"/>
    <s v="jack.o'neill@saltcorp.com"/>
    <s v="098-765-4321"/>
    <s v="contract"/>
    <s v="Contract"/>
    <s v="EMP-2019-0008"/>
    <n v="1"/>
    <m/>
    <n v="10"/>
    <m/>
    <m/>
    <s v="no"/>
    <s v="No"/>
    <n v="2"/>
    <x v="0"/>
    <x v="0"/>
  </r>
  <r>
    <x v="876"/>
    <s v="Frank"/>
    <s v="Andrews"/>
    <s v="thirty"/>
    <x v="8"/>
    <n v="1994"/>
    <n v="55000"/>
    <x v="6"/>
    <s v="Male"/>
    <s v="it"/>
    <s v="IT"/>
    <s v="Director"/>
    <d v="2020-02-20T00:00:00"/>
    <d v="2020-02-20T00:00:00"/>
    <s v="A"/>
    <x v="41"/>
    <s v="frank.andrews@saltcorp.com"/>
    <s v="098-765-4321"/>
    <s v="Full-Time"/>
    <s v="Full-Time"/>
    <s v="EMP-2020-0019"/>
    <n v="8"/>
    <m/>
    <m/>
    <d v="2023-03-05T00:00:00"/>
    <m/>
    <s v="YES"/>
    <s v="Yes"/>
    <n v="2"/>
    <x v="0"/>
    <x v="0"/>
  </r>
  <r>
    <x v="877"/>
    <s v="Eve"/>
    <s v="Parker"/>
    <n v="40"/>
    <x v="7"/>
    <n v="1984"/>
    <n v="70000"/>
    <x v="5"/>
    <s v="Female"/>
    <s v="Marketing"/>
    <s v="Marketing"/>
    <s v="Manager"/>
    <d v="2020-02-20T00:00:00"/>
    <d v="2020-02-20T00:00:00"/>
    <s v="A"/>
    <x v="70"/>
    <s v="eve.parker@saltcorp.com"/>
    <s v="123-456-7890"/>
    <s v="Full-Time"/>
    <s v="Full-Time"/>
    <m/>
    <n v="6"/>
    <s v="N/A"/>
    <n v="0"/>
    <m/>
    <n v="64"/>
    <s v="no"/>
    <s v="No"/>
    <n v="4"/>
    <x v="0"/>
    <x v="0"/>
  </r>
  <r>
    <x v="878"/>
    <s v="David"/>
    <s v="Dixon"/>
    <n v="40"/>
    <x v="7"/>
    <n v="1984"/>
    <n v="50000"/>
    <x v="0"/>
    <s v="Male"/>
    <s v="it"/>
    <s v="IT"/>
    <s v="Analyst"/>
    <d v="2018-04-05T00:00:00"/>
    <d v="2018-04-05T00:00:00"/>
    <s v="B"/>
    <x v="45"/>
    <s v="david.dixon@saltcorp.com"/>
    <s v=" "/>
    <s v="contract"/>
    <s v="Contract"/>
    <m/>
    <n v="6"/>
    <n v="2"/>
    <n v="11"/>
    <s v="N/A"/>
    <m/>
    <s v="no"/>
    <s v="No"/>
    <n v="1"/>
    <x v="1"/>
    <x v="1"/>
  </r>
  <r>
    <x v="879"/>
    <s v="Charlie"/>
    <s v="White"/>
    <n v="50"/>
    <x v="10"/>
    <n v="1974"/>
    <s v="SIXTY THOUSAND"/>
    <x v="2"/>
    <s v="Female"/>
    <s v="HR"/>
    <s v="HR"/>
    <s v="Manager"/>
    <d v="2020-01-15T00:00:00"/>
    <d v="2020-01-15T00:00:00"/>
    <s v="A"/>
    <x v="52"/>
    <s v="charlie.white@saltcorp.com"/>
    <s v="555-555-5555"/>
    <s v="Full-Time"/>
    <s v="Full-Time"/>
    <s v="EMP-2019-0042"/>
    <n v="8"/>
    <n v="4"/>
    <m/>
    <m/>
    <m/>
    <s v="YES"/>
    <s v="Yes"/>
    <n v="1"/>
    <x v="1"/>
    <x v="1"/>
  </r>
  <r>
    <x v="880"/>
    <s v="Alice"/>
    <s v="Lee"/>
    <n v="40"/>
    <x v="7"/>
    <n v="1984"/>
    <s v="SIXTY THOUSAND"/>
    <x v="2"/>
    <s v="Female"/>
    <s v="finance"/>
    <s v="Finance"/>
    <s v="Assistant"/>
    <d v="2019-12-01T00:00:00"/>
    <d v="2019-12-01T00:00:00"/>
    <s v="B"/>
    <x v="10"/>
    <s v="alice.lee@saltcorp.com"/>
    <s v="555-555-5555"/>
    <s v="Part-Time"/>
    <s v="Part-Time"/>
    <m/>
    <n v="5"/>
    <m/>
    <m/>
    <d v="2021-10-01T00:00:00"/>
    <m/>
    <s v="YES"/>
    <s v="Yes"/>
    <n v="4"/>
    <x v="0"/>
    <x v="0"/>
  </r>
  <r>
    <x v="881"/>
    <s v="Frank"/>
    <s v="Harrison"/>
    <n v="25"/>
    <x v="0"/>
    <n v="1999"/>
    <n v="50000"/>
    <x v="0"/>
    <s v="Female"/>
    <s v="finance"/>
    <s v="Finance"/>
    <s v="Clerk"/>
    <d v="2020-01-15T00:00:00"/>
    <d v="2020-01-15T00:00:00"/>
    <s v="B"/>
    <x v="14"/>
    <s v="frank.harrison@saltcorp.com"/>
    <s v="098-765-4321"/>
    <s v="Full-Time"/>
    <s v="Full-Time"/>
    <m/>
    <n v="8"/>
    <m/>
    <m/>
    <d v="2023-01-15T00:00:00"/>
    <m/>
    <s v="YES"/>
    <s v="Yes"/>
    <n v="1"/>
    <x v="1"/>
    <x v="1"/>
  </r>
  <r>
    <x v="882"/>
    <s v="Bob"/>
    <s v="Johnson"/>
    <n v="50"/>
    <x v="10"/>
    <n v="1974"/>
    <n v="70000"/>
    <x v="5"/>
    <s v="Male"/>
    <s v="Marketing"/>
    <s v="Marketing"/>
    <s v="Analyst"/>
    <d v="2018-04-05T00:00:00"/>
    <d v="2018-04-05T00:00:00"/>
    <s v="B"/>
    <x v="10"/>
    <s v="bob.johnson@saltcorp.com"/>
    <m/>
    <s v="Full-Time"/>
    <s v="Full-Time"/>
    <m/>
    <n v="3"/>
    <s v="N/A"/>
    <n v="0"/>
    <m/>
    <n v="49"/>
    <s v="YES"/>
    <s v="Yes"/>
    <n v="2"/>
    <x v="0"/>
    <x v="0"/>
  </r>
  <r>
    <x v="883"/>
    <s v="Hannah"/>
    <s v="Long"/>
    <n v="50"/>
    <x v="10"/>
    <n v="1974"/>
    <n v="65000"/>
    <x v="1"/>
    <s v="Female"/>
    <s v="Marketing"/>
    <s v="Marketing"/>
    <s v="Assistant"/>
    <d v="2020-02-20T00:00:00"/>
    <d v="2020-02-20T00:00:00"/>
    <s v="C"/>
    <x v="23"/>
    <s v="hannah.long@saltcorp.com"/>
    <s v="098-765-4321"/>
    <s v="Part-Time"/>
    <s v="Part-Time"/>
    <s v="EMP-2020-0046"/>
    <n v="5"/>
    <m/>
    <m/>
    <m/>
    <m/>
    <s v="no"/>
    <s v="No"/>
    <n v="3"/>
    <x v="0"/>
    <x v="0"/>
  </r>
  <r>
    <x v="884"/>
    <s v="Jack"/>
    <s v="Sullivan"/>
    <m/>
    <x v="1"/>
    <n v="1983"/>
    <n v="50000"/>
    <x v="0"/>
    <s v="Male"/>
    <s v="finance"/>
    <s v="Finance"/>
    <s v="Assistant"/>
    <d v="2019-03-25T00:00:00"/>
    <d v="2019-03-25T00:00:00"/>
    <s v="A"/>
    <x v="11"/>
    <s v="jack.sullivan@saltcorp.com"/>
    <s v="123-456-7890"/>
    <s v="Full-Time"/>
    <s v="Full-Time"/>
    <m/>
    <n v="7"/>
    <m/>
    <m/>
    <m/>
    <m/>
    <s v="YES"/>
    <s v="Yes"/>
    <n v="1"/>
    <x v="0"/>
    <x v="0"/>
  </r>
  <r>
    <x v="885"/>
    <s v="Eve"/>
    <s v="Mitchell"/>
    <n v="40"/>
    <x v="7"/>
    <n v="1984"/>
    <n v="70000"/>
    <x v="5"/>
    <s v="Female"/>
    <s v="Marketing"/>
    <s v="Marketing"/>
    <s v="Assistant"/>
    <d v="2020-02-20T00:00:00"/>
    <d v="2020-02-20T00:00:00"/>
    <s v="D"/>
    <x v="30"/>
    <s v="eve.mitchell@saltcorp.com"/>
    <m/>
    <s v="contract"/>
    <s v="Contract"/>
    <s v="EMP-2019-0017"/>
    <n v="4"/>
    <m/>
    <m/>
    <m/>
    <m/>
    <s v="no"/>
    <s v="No"/>
    <n v="1"/>
    <x v="0"/>
    <x v="0"/>
  </r>
  <r>
    <x v="886"/>
    <s v="Grace"/>
    <s v="Wang"/>
    <n v="50"/>
    <x v="10"/>
    <n v="1974"/>
    <n v="50000"/>
    <x v="0"/>
    <s v="Female"/>
    <s v="it"/>
    <s v="IT"/>
    <s v="Analyst"/>
    <d v="2019-12-01T00:00:00"/>
    <d v="2019-12-01T00:00:00"/>
    <s v="B"/>
    <x v="35"/>
    <s v="grace.wang@saltcorp.com"/>
    <s v="555-555-5555"/>
    <s v="Full-Time"/>
    <s v="Full-Time"/>
    <m/>
    <n v="3"/>
    <m/>
    <m/>
    <m/>
    <n v="50"/>
    <s v="no"/>
    <s v="No"/>
    <n v="3"/>
    <x v="0"/>
    <x v="0"/>
  </r>
  <r>
    <x v="887"/>
    <s v="Jack"/>
    <s v="Navarro"/>
    <n v="25"/>
    <x v="0"/>
    <n v="1999"/>
    <n v="50000"/>
    <x v="0"/>
    <s v="Male"/>
    <s v="sales"/>
    <s v="Sales"/>
    <s v="Analyst"/>
    <d v="2019-03-25T00:00:00"/>
    <d v="2019-03-25T00:00:00"/>
    <s v="A"/>
    <x v="32"/>
    <s v="jack.navarro@saltcorp.com"/>
    <s v=" "/>
    <s v="contract"/>
    <s v="Contract"/>
    <m/>
    <n v="1"/>
    <m/>
    <n v="9"/>
    <m/>
    <m/>
    <m/>
    <s v=""/>
    <n v="1"/>
    <x v="1"/>
    <x v="1"/>
  </r>
  <r>
    <x v="888"/>
    <s v="Bob"/>
    <s v="Lucas"/>
    <m/>
    <x v="18"/>
    <n v="1977"/>
    <n v="55000"/>
    <x v="6"/>
    <s v="Female"/>
    <s v="sales"/>
    <s v="Sales"/>
    <s v="Director"/>
    <d v="2020-02-20T00:00:00"/>
    <d v="2020-02-20T00:00:00"/>
    <s v="F"/>
    <x v="73"/>
    <s v="bob.lucas@saltcorp.com"/>
    <s v=" "/>
    <s v="Part-Time"/>
    <s v="Part-Time"/>
    <s v="EMP-2020-0005"/>
    <n v="7"/>
    <m/>
    <n v="13"/>
    <s v="N/A"/>
    <m/>
    <s v="YES"/>
    <s v="Yes"/>
    <n v="1"/>
    <x v="1"/>
    <x v="1"/>
  </r>
  <r>
    <x v="889"/>
    <s v="Hannah"/>
    <s v="Hanson"/>
    <s v="thirty"/>
    <x v="8"/>
    <n v="1994"/>
    <n v="70000"/>
    <x v="5"/>
    <s v="Male"/>
    <s v="it"/>
    <s v="IT"/>
    <s v="Director"/>
    <d v="2019-03-25T00:00:00"/>
    <d v="2019-03-25T00:00:00"/>
    <s v="B"/>
    <x v="14"/>
    <s v="hannah.hanson@saltcorp.com"/>
    <s v="123-456-7890"/>
    <s v="Full-Time"/>
    <s v="Full-Time"/>
    <m/>
    <n v="8"/>
    <m/>
    <m/>
    <m/>
    <m/>
    <s v="no"/>
    <s v="No"/>
    <n v="5"/>
    <x v="1"/>
    <x v="1"/>
  </r>
  <r>
    <x v="890"/>
    <s v="Bob"/>
    <s v="Garcia"/>
    <n v="50"/>
    <x v="10"/>
    <n v="1974"/>
    <n v="65000"/>
    <x v="1"/>
    <s v="Female"/>
    <s v="sales"/>
    <s v="Sales"/>
    <s v="Manager"/>
    <d v="2020-01-15T00:00:00"/>
    <d v="2020-01-15T00:00:00"/>
    <s v="B"/>
    <x v="35"/>
    <s v="bob.garcia@saltcorp.com"/>
    <s v="098-765-4321"/>
    <s v="contract"/>
    <s v="Contract"/>
    <m/>
    <n v="1"/>
    <n v="6"/>
    <n v="8"/>
    <d v="2023-03-05T00:00:00"/>
    <m/>
    <m/>
    <s v=""/>
    <n v="1"/>
    <x v="1"/>
    <x v="1"/>
  </r>
  <r>
    <x v="891"/>
    <s v="David"/>
    <s v="Knight"/>
    <n v="25"/>
    <x v="0"/>
    <n v="1999"/>
    <n v="55000"/>
    <x v="6"/>
    <s v="Male"/>
    <s v="HR"/>
    <s v="HR"/>
    <s v="Analyst"/>
    <d v="2018-04-05T00:00:00"/>
    <d v="2018-04-05T00:00:00"/>
    <s v="D"/>
    <x v="0"/>
    <s v="david.knight@saltcorp.com"/>
    <s v="123-456-7890"/>
    <s v="contract"/>
    <s v="Contract"/>
    <m/>
    <n v="6"/>
    <n v="5"/>
    <m/>
    <m/>
    <n v="47"/>
    <s v="YES"/>
    <s v="Yes"/>
    <n v="5"/>
    <x v="0"/>
    <x v="0"/>
  </r>
  <r>
    <x v="892"/>
    <s v="Alice"/>
    <s v="Aguilar"/>
    <n v="35"/>
    <x v="2"/>
    <n v="1989"/>
    <n v="50000"/>
    <x v="0"/>
    <s v="Male"/>
    <s v="it"/>
    <s v="IT"/>
    <s v="Analyst"/>
    <d v="2020-02-20T00:00:00"/>
    <d v="2020-02-20T00:00:00"/>
    <s v="C"/>
    <x v="8"/>
    <s v="alice.aguilar@saltcorp.com"/>
    <s v=" "/>
    <s v="Full-Time"/>
    <s v="Full-Time"/>
    <m/>
    <n v="7"/>
    <m/>
    <m/>
    <d v="2024-08-12T00:00:00"/>
    <m/>
    <s v="no"/>
    <s v="No"/>
    <n v="4"/>
    <x v="0"/>
    <x v="0"/>
  </r>
  <r>
    <x v="893"/>
    <s v="Eve"/>
    <s v="Turner"/>
    <n v="25"/>
    <x v="0"/>
    <n v="1999"/>
    <n v="60300"/>
    <x v="14"/>
    <s v="Male"/>
    <s v="Marketing"/>
    <s v="Marketing"/>
    <s v="Analyst"/>
    <d v="2019-12-01T00:00:00"/>
    <d v="2019-12-01T00:00:00"/>
    <s v="C"/>
    <x v="23"/>
    <s v="eve.turner@saltcorp.com"/>
    <s v="555-555-5555"/>
    <s v="Full-Time"/>
    <s v="Full-Time"/>
    <s v="EMP-2019-0058"/>
    <n v="3"/>
    <m/>
    <m/>
    <m/>
    <n v="71"/>
    <s v="no"/>
    <s v="No"/>
    <n v="2"/>
    <x v="0"/>
    <x v="0"/>
  </r>
  <r>
    <x v="894"/>
    <s v="Ivy"/>
    <s v="Kumar"/>
    <n v="25"/>
    <x v="0"/>
    <n v="1999"/>
    <n v="50000"/>
    <x v="0"/>
    <s v="Male"/>
    <s v="it"/>
    <s v="IT"/>
    <s v="Director"/>
    <d v="2020-01-15T00:00:00"/>
    <d v="2020-01-15T00:00:00"/>
    <s v="B"/>
    <x v="45"/>
    <s v="ivy.kumar@saltcorp.com"/>
    <s v=" "/>
    <s v="contract"/>
    <s v="Contract"/>
    <s v="EMP-2018-0089"/>
    <n v="8"/>
    <m/>
    <m/>
    <m/>
    <m/>
    <s v="no"/>
    <s v="No"/>
    <n v="1"/>
    <x v="0"/>
    <x v="0"/>
  </r>
  <r>
    <x v="895"/>
    <s v="Alice"/>
    <s v="Castillo"/>
    <m/>
    <x v="15"/>
    <n v="1986"/>
    <n v="50000"/>
    <x v="0"/>
    <s v="Female"/>
    <s v="finance"/>
    <s v="Finance"/>
    <s v="Assistant"/>
    <d v="2020-02-20T00:00:00"/>
    <d v="2020-02-20T00:00:00"/>
    <s v="A"/>
    <x v="52"/>
    <s v="alice.castillo@saltcorp.com"/>
    <m/>
    <s v="Full-Time"/>
    <s v="Full-Time"/>
    <s v="EMP-2018-0093"/>
    <n v="2"/>
    <s v="N/A"/>
    <m/>
    <m/>
    <m/>
    <m/>
    <s v=""/>
    <n v="4"/>
    <x v="0"/>
    <x v="0"/>
  </r>
  <r>
    <x v="896"/>
    <s v="Ivy"/>
    <s v="Dominguez"/>
    <s v="thirty"/>
    <x v="8"/>
    <n v="1994"/>
    <n v="70000"/>
    <x v="5"/>
    <s v="Female"/>
    <s v="Marketing"/>
    <s v="Marketing"/>
    <s v="Clerk"/>
    <d v="2020-01-15T00:00:00"/>
    <d v="2020-01-15T00:00:00"/>
    <s v="F"/>
    <x v="57"/>
    <s v="ivy.dominguez@saltcorp.com"/>
    <s v=" "/>
    <s v="Full-Time"/>
    <s v="Full-Time"/>
    <m/>
    <n v="8"/>
    <m/>
    <n v="12"/>
    <m/>
    <n v="70"/>
    <m/>
    <s v=""/>
    <n v="5"/>
    <x v="0"/>
    <x v="0"/>
  </r>
  <r>
    <x v="897"/>
    <s v="Hannah"/>
    <s v="Santos"/>
    <n v="35"/>
    <x v="2"/>
    <n v="1989"/>
    <n v="70000"/>
    <x v="5"/>
    <s v="Female"/>
    <s v="finance"/>
    <s v="Finance"/>
    <s v="Director"/>
    <d v="2019-12-01T00:00:00"/>
    <d v="2019-12-01T00:00:00"/>
    <s v="F"/>
    <x v="74"/>
    <s v="hannah.santos@saltcorp.com"/>
    <s v=" "/>
    <s v="Full-Time"/>
    <s v="Full-Time"/>
    <m/>
    <n v="6"/>
    <m/>
    <n v="11"/>
    <m/>
    <m/>
    <s v="YES"/>
    <s v="Yes"/>
    <n v="4"/>
    <x v="0"/>
    <x v="0"/>
  </r>
  <r>
    <x v="898"/>
    <s v="Frank"/>
    <s v="Schmidt"/>
    <n v="40"/>
    <x v="7"/>
    <n v="1984"/>
    <n v="55000"/>
    <x v="6"/>
    <s v="Male"/>
    <s v="Marketing"/>
    <s v="Marketing"/>
    <s v="Analyst"/>
    <d v="2020-02-20T00:00:00"/>
    <d v="2020-02-20T00:00:00"/>
    <s v="A"/>
    <x v="11"/>
    <s v="frank.schmidt@saltcorp.com"/>
    <m/>
    <s v="contract"/>
    <s v="Contract"/>
    <m/>
    <n v="1"/>
    <m/>
    <m/>
    <d v="2023-01-15T00:00:00"/>
    <n v="47"/>
    <s v="YES"/>
    <s v="Yes"/>
    <n v="2"/>
    <x v="1"/>
    <x v="1"/>
  </r>
  <r>
    <x v="899"/>
    <s v="Grace"/>
    <s v="Wu"/>
    <n v="40"/>
    <x v="7"/>
    <n v="1984"/>
    <n v="65000"/>
    <x v="1"/>
    <s v="Female"/>
    <s v="sales"/>
    <s v="Sales"/>
    <s v="Director"/>
    <d v="2019-12-01T00:00:00"/>
    <d v="2019-12-01T00:00:00"/>
    <s v="B"/>
    <x v="35"/>
    <s v="grace.wu@saltcorp.com"/>
    <s v="098-765-4321"/>
    <s v="Full-Time"/>
    <s v="Full-Time"/>
    <m/>
    <n v="1"/>
    <m/>
    <m/>
    <m/>
    <m/>
    <s v="YES"/>
    <s v="Yes"/>
    <n v="4"/>
    <x v="1"/>
    <x v="1"/>
  </r>
  <r>
    <x v="900"/>
    <s v="Charlie"/>
    <s v="Walker"/>
    <n v="25"/>
    <x v="0"/>
    <n v="1999"/>
    <n v="55000"/>
    <x v="6"/>
    <s v="Male"/>
    <s v="it"/>
    <s v="IT"/>
    <s v="Manager"/>
    <d v="2019-03-25T00:00:00"/>
    <d v="2019-03-25T00:00:00"/>
    <s v="F"/>
    <x v="88"/>
    <s v="charlie.walker@saltcorp.com"/>
    <s v=" "/>
    <s v="Full-Time"/>
    <s v="Full-Time"/>
    <m/>
    <n v="4"/>
    <m/>
    <m/>
    <s v="N/A"/>
    <m/>
    <s v="no"/>
    <s v="No"/>
    <n v="5"/>
    <x v="0"/>
    <x v="0"/>
  </r>
  <r>
    <x v="901"/>
    <s v="Alice"/>
    <s v="Chen"/>
    <m/>
    <x v="2"/>
    <n v="1989"/>
    <s v="SIXTY THOUSAND"/>
    <x v="2"/>
    <s v="Male"/>
    <s v="HR"/>
    <s v="HR"/>
    <s v="Analyst"/>
    <d v="2019-12-01T00:00:00"/>
    <d v="2019-12-01T00:00:00"/>
    <s v="C"/>
    <x v="20"/>
    <s v="alice.chen@saltcorp.com"/>
    <s v="123-456-7890"/>
    <s v="Full-Time"/>
    <s v="Full-Time"/>
    <m/>
    <n v="7"/>
    <m/>
    <m/>
    <s v="N/A"/>
    <n v="40"/>
    <s v="no"/>
    <s v="No"/>
    <n v="4"/>
    <x v="0"/>
    <x v="0"/>
  </r>
  <r>
    <x v="902"/>
    <s v="Eve"/>
    <s v="Turner"/>
    <m/>
    <x v="24"/>
    <n v="1981"/>
    <n v="50000"/>
    <x v="0"/>
    <s v="Male"/>
    <s v="Marketing"/>
    <s v="Marketing"/>
    <s v="Manager"/>
    <d v="2019-03-25T00:00:00"/>
    <d v="2019-03-25T00:00:00"/>
    <s v="A"/>
    <x v="41"/>
    <s v="eve.turner@saltcorp.com"/>
    <s v=" "/>
    <s v="Full-Time"/>
    <s v="Full-Time"/>
    <s v="EMP-2018-0038"/>
    <n v="2"/>
    <m/>
    <m/>
    <d v="2021-10-01T00:00:00"/>
    <n v="10"/>
    <s v="YES"/>
    <s v="Yes"/>
    <n v="2"/>
    <x v="0"/>
    <x v="0"/>
  </r>
  <r>
    <x v="903"/>
    <s v="Bob"/>
    <s v="Johnson"/>
    <n v="40"/>
    <x v="7"/>
    <n v="1984"/>
    <n v="60300"/>
    <x v="14"/>
    <s v="Male"/>
    <s v="Marketing"/>
    <s v="Marketing"/>
    <s v="Analyst"/>
    <d v="2020-02-20T00:00:00"/>
    <d v="2020-02-20T00:00:00"/>
    <s v="D"/>
    <x v="34"/>
    <s v="bob.johnson@saltcorp.com"/>
    <s v="123-456-7890"/>
    <s v="contract"/>
    <s v="Contract"/>
    <m/>
    <n v="6"/>
    <m/>
    <m/>
    <m/>
    <m/>
    <s v="YES"/>
    <s v="Yes"/>
    <n v="4"/>
    <x v="0"/>
    <x v="0"/>
  </r>
  <r>
    <x v="904"/>
    <s v="Eve"/>
    <s v="Castillo"/>
    <n v="35"/>
    <x v="2"/>
    <n v="1989"/>
    <n v="50000"/>
    <x v="0"/>
    <s v="Female"/>
    <s v="finance"/>
    <s v="Finance"/>
    <s v="Director"/>
    <d v="2019-03-25T00:00:00"/>
    <d v="2019-03-25T00:00:00"/>
    <s v="B"/>
    <x v="21"/>
    <s v="eve.castillo@saltcorp.com"/>
    <m/>
    <s v="Part-Time"/>
    <s v="Part-Time"/>
    <m/>
    <n v="6"/>
    <m/>
    <m/>
    <d v="2023-01-15T00:00:00"/>
    <n v="29"/>
    <s v="no"/>
    <s v="No"/>
    <n v="2"/>
    <x v="0"/>
    <x v="0"/>
  </r>
  <r>
    <x v="905"/>
    <s v="Hannah"/>
    <s v="Thomas"/>
    <s v="thirty"/>
    <x v="8"/>
    <n v="1994"/>
    <n v="50000"/>
    <x v="0"/>
    <s v="Female"/>
    <s v="sales"/>
    <s v="Sales"/>
    <s v="Assistant"/>
    <d v="2020-02-20T00:00:00"/>
    <d v="2020-02-20T00:00:00"/>
    <s v="A"/>
    <x v="51"/>
    <s v="hannah.thomas@saltcorp.com"/>
    <s v=" "/>
    <s v="Full-Time"/>
    <s v="Full-Time"/>
    <m/>
    <n v="5"/>
    <n v="14"/>
    <m/>
    <m/>
    <m/>
    <m/>
    <s v=""/>
    <n v="2"/>
    <x v="0"/>
    <x v="0"/>
  </r>
  <r>
    <x v="906"/>
    <s v="Ivy"/>
    <s v="McCoy"/>
    <n v="35"/>
    <x v="2"/>
    <n v="1989"/>
    <n v="55000"/>
    <x v="6"/>
    <s v="Male"/>
    <s v="finance"/>
    <s v="Finance"/>
    <s v="Clerk"/>
    <d v="2020-02-20T00:00:00"/>
    <d v="2020-02-20T00:00:00"/>
    <s v="F"/>
    <x v="64"/>
    <s v="ivy.mccoy@saltcorp.com"/>
    <m/>
    <s v="contract"/>
    <s v="Contract"/>
    <m/>
    <n v="3"/>
    <m/>
    <m/>
    <d v="2022-06-20T00:00:00"/>
    <m/>
    <s v="YES"/>
    <s v="Yes"/>
    <n v="3"/>
    <x v="1"/>
    <x v="1"/>
  </r>
  <r>
    <x v="907"/>
    <s v="Bob"/>
    <s v="Hanson"/>
    <n v="50"/>
    <x v="10"/>
    <n v="1974"/>
    <n v="59500"/>
    <x v="3"/>
    <s v="Male"/>
    <s v="finance"/>
    <s v="Finance"/>
    <s v="Manager"/>
    <d v="2018-04-05T00:00:00"/>
    <d v="2018-04-05T00:00:00"/>
    <s v="B"/>
    <x v="16"/>
    <s v="bob.hanson@saltcorp.com"/>
    <m/>
    <s v="Part-Time"/>
    <s v="Part-Time"/>
    <m/>
    <n v="5"/>
    <m/>
    <m/>
    <m/>
    <m/>
    <s v="no"/>
    <s v="No"/>
    <n v="2"/>
    <x v="1"/>
    <x v="1"/>
  </r>
  <r>
    <x v="908"/>
    <s v="Charlie"/>
    <s v="Lewis"/>
    <n v="50"/>
    <x v="10"/>
    <n v="1974"/>
    <n v="63000"/>
    <x v="9"/>
    <s v="Male"/>
    <s v="sales"/>
    <s v="Sales"/>
    <s v="Director"/>
    <d v="2020-02-20T00:00:00"/>
    <d v="2020-02-20T00:00:00"/>
    <s v="C"/>
    <x v="29"/>
    <s v="charlie.lewis@saltcorp.com"/>
    <s v="098-765-4321"/>
    <s v="contract"/>
    <s v="Contract"/>
    <s v="EMP-2019-0084"/>
    <n v="4"/>
    <s v="N/A"/>
    <n v="18"/>
    <m/>
    <n v="13"/>
    <s v="no"/>
    <s v="No"/>
    <n v="5"/>
    <x v="0"/>
    <x v="0"/>
  </r>
  <r>
    <x v="909"/>
    <s v="Charlie"/>
    <s v="White"/>
    <s v="thirty"/>
    <x v="8"/>
    <n v="1994"/>
    <n v="61500"/>
    <x v="11"/>
    <s v="Male"/>
    <s v="HR"/>
    <s v="HR"/>
    <s v="Assistant"/>
    <d v="2019-03-25T00:00:00"/>
    <d v="2019-03-25T00:00:00"/>
    <s v="B"/>
    <x v="54"/>
    <s v="charlie.white@saltcorp.com"/>
    <s v=" "/>
    <s v="Full-Time"/>
    <s v="Full-Time"/>
    <s v="EMP-2019-0021"/>
    <n v="5"/>
    <m/>
    <m/>
    <m/>
    <m/>
    <m/>
    <s v=""/>
    <n v="5"/>
    <x v="0"/>
    <x v="0"/>
  </r>
  <r>
    <x v="910"/>
    <s v="Alice"/>
    <s v="Williams"/>
    <n v="40"/>
    <x v="7"/>
    <n v="1984"/>
    <n v="55000"/>
    <x v="6"/>
    <s v="Male"/>
    <s v="finance"/>
    <s v="Finance"/>
    <s v="Director"/>
    <d v="2018-04-05T00:00:00"/>
    <d v="2018-04-05T00:00:00"/>
    <s v="B"/>
    <x v="49"/>
    <s v="alice.williams@saltcorp.com"/>
    <s v="123-456-7890"/>
    <s v="Full-Time"/>
    <s v="Full-Time"/>
    <m/>
    <n v="8"/>
    <m/>
    <n v="15"/>
    <m/>
    <n v="26"/>
    <s v="YES"/>
    <s v="Yes"/>
    <n v="1"/>
    <x v="1"/>
    <x v="1"/>
  </r>
  <r>
    <x v="911"/>
    <s v="Hannah"/>
    <s v="Powell"/>
    <s v="thirty"/>
    <x v="8"/>
    <n v="1994"/>
    <n v="50000"/>
    <x v="0"/>
    <s v="Male"/>
    <s v="finance"/>
    <s v="Finance"/>
    <s v="Manager"/>
    <d v="2018-04-05T00:00:00"/>
    <d v="2018-04-05T00:00:00"/>
    <s v="C"/>
    <x v="23"/>
    <s v="hannah.powell@saltcorp.com"/>
    <s v="123-456-7890"/>
    <s v="contract"/>
    <s v="Contract"/>
    <m/>
    <n v="6"/>
    <n v="3"/>
    <n v="8"/>
    <s v="N/A"/>
    <m/>
    <s v="YES"/>
    <s v="Yes"/>
    <n v="2"/>
    <x v="1"/>
    <x v="1"/>
  </r>
  <r>
    <x v="912"/>
    <s v="Frank"/>
    <s v="Perez"/>
    <m/>
    <x v="6"/>
    <n v="1991"/>
    <n v="55000"/>
    <x v="6"/>
    <s v="Female"/>
    <s v="Marketing"/>
    <s v="Marketing"/>
    <s v="Clerk"/>
    <d v="2020-02-20T00:00:00"/>
    <d v="2020-02-20T00:00:00"/>
    <s v="C"/>
    <x v="69"/>
    <s v="frank.perez@saltcorp.com"/>
    <s v=" "/>
    <s v="Full-Time"/>
    <s v="Full-Time"/>
    <s v="EMP-2019-0039"/>
    <n v="6"/>
    <s v="N/A"/>
    <m/>
    <d v="2021-10-01T00:00:00"/>
    <m/>
    <s v="YES"/>
    <s v="Yes"/>
    <n v="5"/>
    <x v="1"/>
    <x v="1"/>
  </r>
  <r>
    <x v="913"/>
    <s v="Hannah"/>
    <s v="Hansen"/>
    <n v="50"/>
    <x v="10"/>
    <n v="1974"/>
    <n v="70000"/>
    <x v="5"/>
    <s v="Female"/>
    <s v="sales"/>
    <s v="Sales"/>
    <s v="Director"/>
    <d v="2019-12-01T00:00:00"/>
    <d v="2019-12-01T00:00:00"/>
    <s v="B"/>
    <x v="35"/>
    <s v="hannah.hansen@saltcorp.com"/>
    <s v="098-765-4321"/>
    <s v="Full-Time"/>
    <s v="Full-Time"/>
    <m/>
    <n v="3"/>
    <m/>
    <n v="7"/>
    <m/>
    <m/>
    <s v="no"/>
    <s v="No"/>
    <n v="5"/>
    <x v="0"/>
    <x v="0"/>
  </r>
  <r>
    <x v="914"/>
    <s v="Ivy"/>
    <s v="Singh"/>
    <n v="25"/>
    <x v="0"/>
    <n v="1999"/>
    <n v="70000"/>
    <x v="5"/>
    <s v="Female"/>
    <s v="it"/>
    <s v="IT"/>
    <s v="Analyst"/>
    <d v="2019-12-01T00:00:00"/>
    <d v="2019-12-01T00:00:00"/>
    <s v="C"/>
    <x v="58"/>
    <s v="ivy.singh@saltcorp.com"/>
    <s v="098-765-4321"/>
    <s v="Full-Time"/>
    <s v="Full-Time"/>
    <m/>
    <n v="8"/>
    <n v="3"/>
    <n v="20"/>
    <m/>
    <m/>
    <s v="no"/>
    <s v="No"/>
    <n v="5"/>
    <x v="0"/>
    <x v="0"/>
  </r>
  <r>
    <x v="915"/>
    <s v="Eve"/>
    <s v="Bishop"/>
    <n v="25"/>
    <x v="0"/>
    <n v="1999"/>
    <n v="55000"/>
    <x v="6"/>
    <s v="Male"/>
    <s v="HR"/>
    <s v="HR"/>
    <s v="Assistant"/>
    <d v="2018-04-05T00:00:00"/>
    <d v="2018-04-05T00:00:00"/>
    <s v="A"/>
    <x v="3"/>
    <s v="eve.bishop@saltcorp.com"/>
    <s v="098-765-4321"/>
    <s v="Part-Time"/>
    <s v="Part-Time"/>
    <m/>
    <n v="7"/>
    <m/>
    <m/>
    <m/>
    <m/>
    <s v="no"/>
    <s v="No"/>
    <n v="1"/>
    <x v="0"/>
    <x v="0"/>
  </r>
  <r>
    <x v="916"/>
    <s v="Charlie"/>
    <s v="Gibson"/>
    <n v="40"/>
    <x v="7"/>
    <n v="1984"/>
    <n v="60900"/>
    <x v="15"/>
    <s v="Male"/>
    <s v="HR"/>
    <s v="HR"/>
    <s v="Director"/>
    <d v="2020-02-20T00:00:00"/>
    <d v="2020-02-20T00:00:00"/>
    <s v="C"/>
    <x v="7"/>
    <s v="charlie.gibson@saltcorp.com"/>
    <s v="123-456-7890"/>
    <s v="Part-Time"/>
    <s v="Part-Time"/>
    <s v="EMP-2019-0026"/>
    <n v="4"/>
    <m/>
    <n v="12"/>
    <d v="2024-08-12T00:00:00"/>
    <m/>
    <s v="YES"/>
    <s v="Yes"/>
    <n v="3"/>
    <x v="0"/>
    <x v="0"/>
  </r>
  <r>
    <x v="917"/>
    <s v="Eve"/>
    <s v="Schmidt"/>
    <m/>
    <x v="8"/>
    <n v="1994"/>
    <n v="50000"/>
    <x v="0"/>
    <s v="Male"/>
    <s v="sales"/>
    <s v="Sales"/>
    <s v="Assistant"/>
    <d v="2019-12-01T00:00:00"/>
    <d v="2019-12-01T00:00:00"/>
    <s v="C"/>
    <x v="58"/>
    <s v="eve.schmidt@saltcorp.com"/>
    <m/>
    <s v="Full-Time"/>
    <s v="Full-Time"/>
    <m/>
    <n v="7"/>
    <n v="1"/>
    <n v="2"/>
    <s v="N/A"/>
    <m/>
    <s v="YES"/>
    <s v="Yes"/>
    <n v="1"/>
    <x v="1"/>
    <x v="1"/>
  </r>
  <r>
    <x v="918"/>
    <s v="Eve"/>
    <s v="Andrews"/>
    <n v="35"/>
    <x v="2"/>
    <n v="1989"/>
    <n v="55000"/>
    <x v="6"/>
    <s v="Female"/>
    <s v="Marketing"/>
    <s v="Marketing"/>
    <s v="Analyst"/>
    <d v="2020-02-20T00:00:00"/>
    <d v="2020-02-20T00:00:00"/>
    <s v="B"/>
    <x v="49"/>
    <s v="eve.andrews@saltcorp.com"/>
    <s v="098-765-4321"/>
    <s v="Full-Time"/>
    <s v="Full-Time"/>
    <m/>
    <n v="6"/>
    <m/>
    <m/>
    <m/>
    <m/>
    <s v="YES"/>
    <s v="Yes"/>
    <n v="1"/>
    <x v="0"/>
    <x v="0"/>
  </r>
  <r>
    <x v="919"/>
    <s v="Eve"/>
    <s v="Bell"/>
    <m/>
    <x v="32"/>
    <n v="1992"/>
    <n v="55000"/>
    <x v="6"/>
    <s v="Female"/>
    <s v="Marketing"/>
    <s v="Marketing"/>
    <s v="Clerk"/>
    <d v="2020-02-20T00:00:00"/>
    <d v="2020-02-20T00:00:00"/>
    <s v="A"/>
    <x v="11"/>
    <s v="eve.bell@saltcorp.com"/>
    <s v="123-456-7890"/>
    <s v="Part-Time"/>
    <s v="Part-Time"/>
    <m/>
    <n v="6"/>
    <m/>
    <n v="11"/>
    <d v="2021-10-01T00:00:00"/>
    <m/>
    <s v="YES"/>
    <s v="Yes"/>
    <n v="3"/>
    <x v="0"/>
    <x v="0"/>
  </r>
  <r>
    <x v="920"/>
    <s v="Charlie"/>
    <s v="Taylor"/>
    <n v="25"/>
    <x v="0"/>
    <n v="1999"/>
    <n v="55000"/>
    <x v="6"/>
    <s v="Male"/>
    <s v="sales"/>
    <s v="Sales"/>
    <s v="Clerk"/>
    <d v="2018-04-05T00:00:00"/>
    <d v="2018-04-05T00:00:00"/>
    <s v="D"/>
    <x v="30"/>
    <s v="charlie.taylor@saltcorp.com"/>
    <s v="123-456-7890"/>
    <s v="Part-Time"/>
    <s v="Part-Time"/>
    <s v="EMP-2020-0034"/>
    <n v="7"/>
    <n v="4"/>
    <n v="10"/>
    <d v="2022-06-20T00:00:00"/>
    <m/>
    <m/>
    <s v=""/>
    <n v="2"/>
    <x v="1"/>
    <x v="1"/>
  </r>
  <r>
    <x v="921"/>
    <s v="Jack"/>
    <s v="Gutierrez"/>
    <n v="25"/>
    <x v="0"/>
    <n v="1999"/>
    <s v="SIXTY THOUSAND"/>
    <x v="2"/>
    <s v="Male"/>
    <s v="Marketing"/>
    <s v="Marketing"/>
    <s v="Analyst"/>
    <d v="2018-04-05T00:00:00"/>
    <d v="2018-04-05T00:00:00"/>
    <s v="D"/>
    <x v="24"/>
    <s v="jack.gutierrez@saltcorp.com"/>
    <m/>
    <s v="Part-Time"/>
    <s v="Part-Time"/>
    <m/>
    <n v="5"/>
    <m/>
    <n v="14"/>
    <d v="2023-03-05T00:00:00"/>
    <m/>
    <m/>
    <s v=""/>
    <n v="3"/>
    <x v="1"/>
    <x v="1"/>
  </r>
  <r>
    <x v="922"/>
    <s v="David"/>
    <s v="Patel"/>
    <n v="50"/>
    <x v="10"/>
    <n v="1974"/>
    <n v="70000"/>
    <x v="5"/>
    <s v="Male"/>
    <s v="HR"/>
    <s v="HR"/>
    <s v="Assistant"/>
    <d v="2020-01-15T00:00:00"/>
    <d v="2020-01-15T00:00:00"/>
    <s v="F"/>
    <x v="37"/>
    <s v="david.patel@saltcorp.com"/>
    <s v=" "/>
    <s v="Part-Time"/>
    <s v="Part-Time"/>
    <m/>
    <n v="8"/>
    <s v="N/A"/>
    <m/>
    <d v="2022-06-20T00:00:00"/>
    <m/>
    <s v="no"/>
    <s v="No"/>
    <n v="3"/>
    <x v="1"/>
    <x v="1"/>
  </r>
  <r>
    <x v="923"/>
    <s v="Ivy"/>
    <s v="Shah"/>
    <m/>
    <x v="23"/>
    <n v="1968"/>
    <n v="60900"/>
    <x v="15"/>
    <s v="Female"/>
    <s v="HR"/>
    <s v="HR"/>
    <s v="Director"/>
    <d v="2019-12-01T00:00:00"/>
    <d v="2019-12-01T00:00:00"/>
    <s v="C"/>
    <x v="23"/>
    <s v="ivy.shah@saltcorp.com"/>
    <s v=" "/>
    <s v="Full-Time"/>
    <s v="Full-Time"/>
    <m/>
    <n v="3"/>
    <s v="N/A"/>
    <m/>
    <d v="2021-10-01T00:00:00"/>
    <m/>
    <s v="YES"/>
    <s v="Yes"/>
    <n v="4"/>
    <x v="0"/>
    <x v="0"/>
  </r>
  <r>
    <x v="924"/>
    <s v="Jack"/>
    <s v="Schmidt"/>
    <m/>
    <x v="30"/>
    <n v="1997"/>
    <n v="65000"/>
    <x v="1"/>
    <s v="Female"/>
    <s v="it"/>
    <s v="IT"/>
    <s v="Analyst"/>
    <d v="2019-12-01T00:00:00"/>
    <d v="2019-12-01T00:00:00"/>
    <s v="C"/>
    <x v="7"/>
    <s v="jack.schmidt@saltcorp.com"/>
    <s v="098-765-4321"/>
    <s v="contract"/>
    <s v="Contract"/>
    <m/>
    <n v="3"/>
    <m/>
    <n v="7"/>
    <m/>
    <m/>
    <s v="YES"/>
    <s v="Yes"/>
    <n v="5"/>
    <x v="0"/>
    <x v="0"/>
  </r>
  <r>
    <x v="925"/>
    <s v="Ivy"/>
    <s v="Ward"/>
    <n v="25"/>
    <x v="0"/>
    <n v="1999"/>
    <n v="61500"/>
    <x v="11"/>
    <s v="Male"/>
    <s v="sales"/>
    <s v="Sales"/>
    <s v="Manager"/>
    <d v="2019-12-01T00:00:00"/>
    <d v="2019-12-01T00:00:00"/>
    <s v="A"/>
    <x v="70"/>
    <s v="ivy.ward@saltcorp.com"/>
    <s v="098-765-4321"/>
    <s v="Full-Time"/>
    <s v="Full-Time"/>
    <m/>
    <n v="4"/>
    <s v="N/A"/>
    <m/>
    <m/>
    <m/>
    <s v="YES"/>
    <s v="Yes"/>
    <n v="2"/>
    <x v="0"/>
    <x v="0"/>
  </r>
  <r>
    <x v="926"/>
    <s v="Bob"/>
    <s v="Hansen"/>
    <n v="35"/>
    <x v="2"/>
    <n v="1989"/>
    <n v="65000"/>
    <x v="1"/>
    <s v="Male"/>
    <s v="finance"/>
    <s v="Finance"/>
    <s v="Assistant"/>
    <d v="2019-03-25T00:00:00"/>
    <d v="2019-03-25T00:00:00"/>
    <s v="D"/>
    <x v="34"/>
    <s v="bob.hansen@saltcorp.com"/>
    <m/>
    <s v="Part-Time"/>
    <s v="Part-Time"/>
    <m/>
    <n v="2"/>
    <m/>
    <n v="6"/>
    <m/>
    <m/>
    <s v="YES"/>
    <s v="Yes"/>
    <n v="4"/>
    <x v="1"/>
    <x v="1"/>
  </r>
  <r>
    <x v="927"/>
    <s v="Hannah"/>
    <s v="Dixon"/>
    <n v="40"/>
    <x v="7"/>
    <n v="1984"/>
    <s v="SIXTY THOUSAND"/>
    <x v="2"/>
    <s v="Male"/>
    <s v="finance"/>
    <s v="Finance"/>
    <s v="Clerk"/>
    <d v="2020-02-20T00:00:00"/>
    <d v="2020-02-20T00:00:00"/>
    <s v="F"/>
    <x v="85"/>
    <s v="hannah.dixon@saltcorp.com"/>
    <s v="098-765-4321"/>
    <s v="Part-Time"/>
    <s v="Part-Time"/>
    <m/>
    <n v="5"/>
    <m/>
    <m/>
    <m/>
    <m/>
    <s v="no"/>
    <s v="No"/>
    <n v="5"/>
    <x v="0"/>
    <x v="0"/>
  </r>
  <r>
    <x v="928"/>
    <s v="Hannah"/>
    <s v="Aguilar"/>
    <n v="40"/>
    <x v="7"/>
    <n v="1984"/>
    <n v="55000"/>
    <x v="6"/>
    <s v="Female"/>
    <s v="it"/>
    <s v="IT"/>
    <s v="Analyst"/>
    <d v="2018-04-05T00:00:00"/>
    <d v="2018-04-05T00:00:00"/>
    <s v="A"/>
    <x v="51"/>
    <s v="hannah.aguilar@saltcorp.com"/>
    <m/>
    <s v="Full-Time"/>
    <s v="Full-Time"/>
    <m/>
    <n v="4"/>
    <m/>
    <m/>
    <m/>
    <n v="56"/>
    <m/>
    <s v=""/>
    <n v="1"/>
    <x v="1"/>
    <x v="1"/>
  </r>
  <r>
    <x v="929"/>
    <s v="Grace"/>
    <s v="Ward"/>
    <m/>
    <x v="12"/>
    <n v="1996"/>
    <s v="SIXTY THOUSAND"/>
    <x v="2"/>
    <s v="Female"/>
    <s v="it"/>
    <s v="IT"/>
    <s v="Clerk"/>
    <d v="2019-12-01T00:00:00"/>
    <d v="2019-12-01T00:00:00"/>
    <s v="C"/>
    <x v="20"/>
    <s v="grace.ward@saltcorp.com"/>
    <s v="123-456-7890"/>
    <s v="contract"/>
    <s v="Contract"/>
    <m/>
    <n v="7"/>
    <n v="5"/>
    <n v="1"/>
    <m/>
    <m/>
    <s v="no"/>
    <s v="No"/>
    <n v="2"/>
    <x v="0"/>
    <x v="0"/>
  </r>
  <r>
    <x v="930"/>
    <s v="Hannah"/>
    <s v="Hudson"/>
    <n v="40"/>
    <x v="7"/>
    <n v="1984"/>
    <s v="SIXTY THOUSAND"/>
    <x v="2"/>
    <s v="Female"/>
    <s v="Marketing"/>
    <s v="Marketing"/>
    <s v="Assistant"/>
    <d v="2020-01-15T00:00:00"/>
    <d v="2020-01-15T00:00:00"/>
    <s v="D"/>
    <x v="17"/>
    <s v="hannah.hudson@saltcorp.com"/>
    <s v="098-765-4321"/>
    <s v="contract"/>
    <s v="Contract"/>
    <m/>
    <n v="7"/>
    <m/>
    <m/>
    <d v="2024-08-12T00:00:00"/>
    <m/>
    <s v="no"/>
    <s v="No"/>
    <n v="4"/>
    <x v="0"/>
    <x v="0"/>
  </r>
  <r>
    <x v="931"/>
    <s v="Charlie"/>
    <s v="White"/>
    <n v="25"/>
    <x v="0"/>
    <n v="1999"/>
    <n v="50000"/>
    <x v="0"/>
    <s v="Female"/>
    <s v="it"/>
    <s v="IT"/>
    <s v="Clerk"/>
    <d v="2019-12-01T00:00:00"/>
    <d v="2019-12-01T00:00:00"/>
    <s v="F"/>
    <x v="94"/>
    <s v="charlie.white@saltcorp.com"/>
    <s v="123-456-7890"/>
    <s v="Full-Time"/>
    <s v="Full-Time"/>
    <m/>
    <n v="4"/>
    <m/>
    <n v="19"/>
    <m/>
    <m/>
    <s v="no"/>
    <s v="No"/>
    <n v="2"/>
    <x v="0"/>
    <x v="0"/>
  </r>
  <r>
    <x v="932"/>
    <s v="Frank"/>
    <s v="Gonzalez"/>
    <n v="25"/>
    <x v="0"/>
    <n v="1999"/>
    <n v="70000"/>
    <x v="5"/>
    <s v="Male"/>
    <s v="it"/>
    <s v="IT"/>
    <s v="Analyst"/>
    <d v="2020-02-20T00:00:00"/>
    <d v="2020-02-20T00:00:00"/>
    <s v="B"/>
    <x v="10"/>
    <s v="frank.gonzalez@saltcorp.com"/>
    <s v="555-555-5555"/>
    <s v="contract"/>
    <s v="Contract"/>
    <m/>
    <n v="3"/>
    <m/>
    <n v="4"/>
    <m/>
    <m/>
    <s v="YES"/>
    <s v="Yes"/>
    <n v="3"/>
    <x v="0"/>
    <x v="0"/>
  </r>
  <r>
    <x v="933"/>
    <s v="Alice"/>
    <s v="Le"/>
    <m/>
    <x v="32"/>
    <n v="1992"/>
    <n v="65000"/>
    <x v="1"/>
    <s v="Male"/>
    <s v="finance"/>
    <s v="Finance"/>
    <s v="Assistant"/>
    <d v="2020-02-20T00:00:00"/>
    <d v="2020-02-20T00:00:00"/>
    <s v="D"/>
    <x v="0"/>
    <s v="alice.le@saltcorp.com"/>
    <m/>
    <s v="Part-Time"/>
    <s v="Part-Time"/>
    <m/>
    <n v="3"/>
    <n v="14"/>
    <n v="4"/>
    <m/>
    <m/>
    <m/>
    <s v=""/>
    <n v="4"/>
    <x v="1"/>
    <x v="1"/>
  </r>
  <r>
    <x v="934"/>
    <s v="Grace"/>
    <s v="Zhou"/>
    <m/>
    <x v="4"/>
    <n v="1973"/>
    <n v="55000"/>
    <x v="6"/>
    <s v="Female"/>
    <s v="Marketing"/>
    <s v="Marketing"/>
    <s v="Manager"/>
    <d v="2018-04-05T00:00:00"/>
    <d v="2018-04-05T00:00:00"/>
    <s v="F"/>
    <x v="46"/>
    <s v="grace.zhou@saltcorp.com"/>
    <s v="555-555-5555"/>
    <s v="Part-Time"/>
    <s v="Part-Time"/>
    <s v="EMP-2019-0023"/>
    <n v="8"/>
    <m/>
    <m/>
    <m/>
    <n v="67"/>
    <s v="no"/>
    <s v="No"/>
    <n v="3"/>
    <x v="0"/>
    <x v="0"/>
  </r>
  <r>
    <x v="935"/>
    <s v="Alice"/>
    <s v="Harrison"/>
    <n v="50"/>
    <x v="10"/>
    <n v="1974"/>
    <n v="65000"/>
    <x v="1"/>
    <s v="Female"/>
    <s v="it"/>
    <s v="IT"/>
    <s v="Analyst"/>
    <d v="2019-03-25T00:00:00"/>
    <d v="2019-03-25T00:00:00"/>
    <s v="A"/>
    <x v="32"/>
    <s v="alice.harrison@saltcorp.com"/>
    <s v="098-765-4321"/>
    <s v="Part-Time"/>
    <s v="Part-Time"/>
    <m/>
    <n v="1"/>
    <m/>
    <m/>
    <m/>
    <m/>
    <s v="no"/>
    <s v="No"/>
    <n v="2"/>
    <x v="0"/>
    <x v="0"/>
  </r>
  <r>
    <x v="936"/>
    <s v="Ivy"/>
    <s v="Oliver"/>
    <m/>
    <x v="14"/>
    <n v="1980"/>
    <n v="60100"/>
    <x v="10"/>
    <s v="Female"/>
    <s v="it"/>
    <s v="IT"/>
    <s v="Director"/>
    <d v="2018-04-05T00:00:00"/>
    <d v="2018-04-05T00:00:00"/>
    <s v="B"/>
    <x v="10"/>
    <s v="ivy.oliver@saltcorp.com"/>
    <s v="123-456-7890"/>
    <s v="contract"/>
    <s v="Contract"/>
    <m/>
    <n v="3"/>
    <s v="N/A"/>
    <m/>
    <m/>
    <n v="56"/>
    <s v="YES"/>
    <s v="Yes"/>
    <n v="1"/>
    <x v="1"/>
    <x v="1"/>
  </r>
  <r>
    <x v="937"/>
    <s v="Alice"/>
    <s v="Ross"/>
    <n v="35"/>
    <x v="2"/>
    <n v="1989"/>
    <n v="65000"/>
    <x v="1"/>
    <s v="Female"/>
    <s v="Marketing"/>
    <s v="Marketing"/>
    <s v="Analyst"/>
    <d v="2019-12-01T00:00:00"/>
    <d v="2019-12-01T00:00:00"/>
    <s v="F"/>
    <x v="82"/>
    <s v="alice.ross@saltcorp.com"/>
    <s v="098-765-4321"/>
    <s v="contract"/>
    <s v="Contract"/>
    <s v="EMP-2020-0056"/>
    <n v="7"/>
    <n v="15"/>
    <m/>
    <m/>
    <m/>
    <s v="no"/>
    <s v="No"/>
    <n v="4"/>
    <x v="0"/>
    <x v="0"/>
  </r>
  <r>
    <x v="938"/>
    <s v="Alice"/>
    <s v="Lee"/>
    <n v="40"/>
    <x v="7"/>
    <n v="1984"/>
    <n v="58300"/>
    <x v="12"/>
    <s v="Male"/>
    <s v="sales"/>
    <s v="Sales"/>
    <s v="Assistant"/>
    <d v="2020-01-15T00:00:00"/>
    <d v="2020-01-15T00:00:00"/>
    <s v="F"/>
    <x v="84"/>
    <s v="alice.lee@saltcorp.com"/>
    <s v="555-555-5555"/>
    <s v="Full-Time"/>
    <s v="Full-Time"/>
    <m/>
    <n v="8"/>
    <s v="N/A"/>
    <m/>
    <m/>
    <m/>
    <s v="YES"/>
    <s v="Yes"/>
    <n v="2"/>
    <x v="1"/>
    <x v="1"/>
  </r>
  <r>
    <x v="939"/>
    <s v="Grace"/>
    <s v="Powers"/>
    <m/>
    <x v="32"/>
    <n v="1992"/>
    <n v="70000"/>
    <x v="5"/>
    <s v="Female"/>
    <s v="Marketing"/>
    <s v="Marketing"/>
    <s v="Analyst"/>
    <d v="2018-04-05T00:00:00"/>
    <d v="2018-04-05T00:00:00"/>
    <s v="C"/>
    <x v="7"/>
    <s v="grace.powers@saltcorp.com"/>
    <s v="098-765-4321"/>
    <s v="Full-Time"/>
    <s v="Full-Time"/>
    <m/>
    <n v="3"/>
    <n v="4"/>
    <n v="6"/>
    <s v="N/A"/>
    <n v="80"/>
    <s v="YES"/>
    <s v="Yes"/>
    <n v="4"/>
    <x v="0"/>
    <x v="0"/>
  </r>
  <r>
    <x v="940"/>
    <s v="Bob"/>
    <s v="Walker"/>
    <s v="thirty"/>
    <x v="8"/>
    <n v="1994"/>
    <n v="59500"/>
    <x v="3"/>
    <s v="Male"/>
    <s v="finance"/>
    <s v="Finance"/>
    <s v="Manager"/>
    <d v="2019-03-25T00:00:00"/>
    <d v="2019-03-25T00:00:00"/>
    <s v="D"/>
    <x v="18"/>
    <s v="bob.walker@saltcorp.com"/>
    <s v=" "/>
    <s v="Full-Time"/>
    <s v="Full-Time"/>
    <m/>
    <n v="6"/>
    <m/>
    <m/>
    <s v="N/A"/>
    <m/>
    <s v="no"/>
    <s v="No"/>
    <n v="4"/>
    <x v="0"/>
    <x v="0"/>
  </r>
  <r>
    <x v="941"/>
    <s v="Eve"/>
    <s v="Thomas"/>
    <n v="50"/>
    <x v="10"/>
    <n v="1974"/>
    <n v="65000"/>
    <x v="1"/>
    <s v="Female"/>
    <s v="sales"/>
    <s v="Sales"/>
    <s v="Manager"/>
    <d v="2018-04-05T00:00:00"/>
    <d v="2018-04-05T00:00:00"/>
    <s v="C"/>
    <x v="7"/>
    <s v="eve.thomas@saltcorp.com"/>
    <s v="555-555-5555"/>
    <s v="Part-Time"/>
    <s v="Part-Time"/>
    <m/>
    <n v="8"/>
    <n v="1"/>
    <n v="6"/>
    <d v="2021-10-01T00:00:00"/>
    <m/>
    <s v="YES"/>
    <s v="Yes"/>
    <n v="2"/>
    <x v="1"/>
    <x v="1"/>
  </r>
  <r>
    <x v="942"/>
    <s v="Hannah"/>
    <s v="Hoffman"/>
    <s v="thirty"/>
    <x v="8"/>
    <n v="1994"/>
    <n v="65000"/>
    <x v="1"/>
    <s v="Female"/>
    <s v="HR"/>
    <s v="HR"/>
    <s v="Director"/>
    <d v="2020-02-20T00:00:00"/>
    <d v="2020-02-20T00:00:00"/>
    <s v="B"/>
    <x v="35"/>
    <s v="hannah.hoffman@saltcorp.com"/>
    <s v="098-765-4321"/>
    <s v="contract"/>
    <s v="Contract"/>
    <m/>
    <n v="5"/>
    <n v="6"/>
    <m/>
    <d v="2023-01-15T00:00:00"/>
    <m/>
    <m/>
    <s v=""/>
    <n v="1"/>
    <x v="0"/>
    <x v="0"/>
  </r>
  <r>
    <x v="943"/>
    <s v="Hannah"/>
    <s v="Powell"/>
    <n v="25"/>
    <x v="0"/>
    <n v="1999"/>
    <n v="58600"/>
    <x v="8"/>
    <s v="Male"/>
    <s v="Marketing"/>
    <s v="Marketing"/>
    <s v="Clerk"/>
    <d v="2019-12-01T00:00:00"/>
    <d v="2019-12-01T00:00:00"/>
    <s v="F"/>
    <x v="78"/>
    <s v="hannah.powell@saltcorp.com"/>
    <s v="123-456-7890"/>
    <s v="Full-Time"/>
    <s v="Full-Time"/>
    <m/>
    <n v="5"/>
    <s v="N/A"/>
    <m/>
    <m/>
    <m/>
    <s v="no"/>
    <s v="No"/>
    <n v="5"/>
    <x v="1"/>
    <x v="1"/>
  </r>
  <r>
    <x v="944"/>
    <s v="Charlie"/>
    <s v="Moore"/>
    <n v="40"/>
    <x v="7"/>
    <n v="1984"/>
    <s v="SIXTY THOUSAND"/>
    <x v="2"/>
    <s v="Male"/>
    <s v="finance"/>
    <s v="Finance"/>
    <s v="Assistant"/>
    <d v="2019-12-01T00:00:00"/>
    <d v="2019-12-01T00:00:00"/>
    <s v="C"/>
    <x v="8"/>
    <s v="charlie.moore@saltcorp.com"/>
    <s v="098-765-4321"/>
    <s v="Part-Time"/>
    <s v="Part-Time"/>
    <m/>
    <n v="1"/>
    <m/>
    <m/>
    <m/>
    <n v="51"/>
    <s v="YES"/>
    <s v="Yes"/>
    <n v="3"/>
    <x v="0"/>
    <x v="0"/>
  </r>
  <r>
    <x v="945"/>
    <s v="Grace"/>
    <s v="Wu"/>
    <m/>
    <x v="6"/>
    <n v="1991"/>
    <n v="70000"/>
    <x v="5"/>
    <s v="Female"/>
    <s v="sales"/>
    <s v="Sales"/>
    <s v="Assistant"/>
    <d v="2019-12-01T00:00:00"/>
    <d v="2019-12-01T00:00:00"/>
    <s v="D"/>
    <x v="18"/>
    <s v="grace.wu@saltcorp.com"/>
    <s v="123-456-7890"/>
    <s v="Full-Time"/>
    <s v="Full-Time"/>
    <m/>
    <n v="7"/>
    <n v="15"/>
    <m/>
    <m/>
    <n v="44"/>
    <s v="no"/>
    <s v="No"/>
    <n v="2"/>
    <x v="0"/>
    <x v="0"/>
  </r>
  <r>
    <x v="946"/>
    <s v="Charlie"/>
    <s v="Taylor"/>
    <s v="thirty"/>
    <x v="8"/>
    <n v="1994"/>
    <n v="50000"/>
    <x v="0"/>
    <s v="Male"/>
    <s v="Marketing"/>
    <s v="Marketing"/>
    <s v="Clerk"/>
    <d v="2019-12-01T00:00:00"/>
    <d v="2019-12-01T00:00:00"/>
    <s v="B"/>
    <x v="21"/>
    <s v="charlie.taylor@saltcorp.com"/>
    <s v=" "/>
    <s v="contract"/>
    <s v="Contract"/>
    <m/>
    <n v="2"/>
    <m/>
    <n v="9"/>
    <m/>
    <n v="79"/>
    <s v="no"/>
    <s v="No"/>
    <n v="4"/>
    <x v="0"/>
    <x v="0"/>
  </r>
  <r>
    <x v="947"/>
    <s v="Frank"/>
    <s v="Sanchez"/>
    <n v="40"/>
    <x v="7"/>
    <n v="1984"/>
    <n v="55000"/>
    <x v="6"/>
    <s v="Male"/>
    <s v="it"/>
    <s v="IT"/>
    <s v="Manager"/>
    <d v="2019-12-01T00:00:00"/>
    <d v="2019-12-01T00:00:00"/>
    <s v="A"/>
    <x v="11"/>
    <s v="frank.sanchez@saltcorp.com"/>
    <s v="098-765-4321"/>
    <s v="Part-Time"/>
    <s v="Part-Time"/>
    <m/>
    <n v="3"/>
    <s v="N/A"/>
    <m/>
    <m/>
    <n v="26"/>
    <s v="no"/>
    <s v="No"/>
    <n v="2"/>
    <x v="0"/>
    <x v="0"/>
  </r>
  <r>
    <x v="948"/>
    <s v="Frank"/>
    <s v="Lopez"/>
    <n v="25"/>
    <x v="0"/>
    <n v="1999"/>
    <n v="65000"/>
    <x v="1"/>
    <s v="Male"/>
    <s v="Marketing"/>
    <s v="Marketing"/>
    <s v="Manager"/>
    <d v="2019-12-01T00:00:00"/>
    <d v="2019-12-01T00:00:00"/>
    <s v="C"/>
    <x v="29"/>
    <s v="frank.lopez@saltcorp.com"/>
    <s v=" "/>
    <s v="contract"/>
    <s v="Contract"/>
    <m/>
    <n v="1"/>
    <m/>
    <n v="12"/>
    <m/>
    <m/>
    <s v="YES"/>
    <s v="Yes"/>
    <n v="3"/>
    <x v="0"/>
    <x v="0"/>
  </r>
  <r>
    <x v="949"/>
    <s v="Charlie"/>
    <s v="Navarro"/>
    <n v="35"/>
    <x v="2"/>
    <n v="1989"/>
    <n v="55000"/>
    <x v="6"/>
    <s v="Male"/>
    <s v="HR"/>
    <s v="HR"/>
    <s v="Analyst"/>
    <d v="2020-01-15T00:00:00"/>
    <d v="2020-01-15T00:00:00"/>
    <s v="B"/>
    <x v="49"/>
    <s v="charlie.navarro@saltcorp.com"/>
    <s v="555-555-5555"/>
    <s v="Full-Time"/>
    <s v="Full-Time"/>
    <m/>
    <n v="4"/>
    <s v="N/A"/>
    <m/>
    <d v="2023-01-15T00:00:00"/>
    <m/>
    <s v="no"/>
    <s v="No"/>
    <n v="4"/>
    <x v="0"/>
    <x v="0"/>
  </r>
  <r>
    <x v="950"/>
    <s v="Grace"/>
    <s v="Huang"/>
    <n v="50"/>
    <x v="10"/>
    <n v="1974"/>
    <n v="50000"/>
    <x v="0"/>
    <s v="Female"/>
    <s v="Marketing"/>
    <s v="Marketing"/>
    <s v="Director"/>
    <d v="2019-03-25T00:00:00"/>
    <d v="2019-03-25T00:00:00"/>
    <s v="A"/>
    <x v="3"/>
    <s v="grace.huang@saltcorp.com"/>
    <s v="123-456-7890"/>
    <s v="Full-Time"/>
    <s v="Full-Time"/>
    <m/>
    <n v="5"/>
    <m/>
    <n v="12"/>
    <m/>
    <m/>
    <s v="YES"/>
    <s v="Yes"/>
    <n v="2"/>
    <x v="1"/>
    <x v="1"/>
  </r>
  <r>
    <x v="951"/>
    <s v="Charlie"/>
    <s v="White"/>
    <n v="40"/>
    <x v="7"/>
    <n v="1984"/>
    <n v="55000"/>
    <x v="6"/>
    <s v="Male"/>
    <s v="sales"/>
    <s v="Sales"/>
    <s v="Director"/>
    <d v="2019-12-01T00:00:00"/>
    <d v="2019-12-01T00:00:00"/>
    <s v="C"/>
    <x v="2"/>
    <s v="charlie.white@saltcorp.com"/>
    <s v="555-555-5555"/>
    <s v="contract"/>
    <s v="Contract"/>
    <m/>
    <n v="8"/>
    <m/>
    <n v="5"/>
    <d v="2022-06-20T00:00:00"/>
    <m/>
    <m/>
    <s v=""/>
    <n v="1"/>
    <x v="1"/>
    <x v="1"/>
  </r>
  <r>
    <x v="952"/>
    <s v="Hannah"/>
    <s v="Perry"/>
    <n v="40"/>
    <x v="7"/>
    <n v="1984"/>
    <n v="50000"/>
    <x v="0"/>
    <s v="Male"/>
    <s v="sales"/>
    <s v="Sales"/>
    <s v="Director"/>
    <d v="2019-03-25T00:00:00"/>
    <d v="2019-03-25T00:00:00"/>
    <s v="B"/>
    <x v="14"/>
    <s v="hannah.perry@saltcorp.com"/>
    <s v="123-456-7890"/>
    <s v="Part-Time"/>
    <s v="Part-Time"/>
    <m/>
    <n v="2"/>
    <m/>
    <m/>
    <m/>
    <n v="17"/>
    <s v="no"/>
    <s v="No"/>
    <n v="5"/>
    <x v="1"/>
    <x v="1"/>
  </r>
  <r>
    <x v="953"/>
    <s v="Jack"/>
    <s v="Walsh"/>
    <n v="35"/>
    <x v="2"/>
    <n v="1989"/>
    <n v="60300"/>
    <x v="14"/>
    <s v="Male"/>
    <s v="Marketing"/>
    <s v="Marketing"/>
    <s v="Analyst"/>
    <d v="2019-12-01T00:00:00"/>
    <d v="2019-12-01T00:00:00"/>
    <s v="B"/>
    <x v="10"/>
    <s v="jack.walsh@saltcorp.com"/>
    <s v=" "/>
    <s v="Full-Time"/>
    <s v="Full-Time"/>
    <m/>
    <n v="8"/>
    <m/>
    <m/>
    <m/>
    <n v="9"/>
    <s v="YES"/>
    <s v="Yes"/>
    <n v="2"/>
    <x v="0"/>
    <x v="0"/>
  </r>
  <r>
    <x v="954"/>
    <s v="David"/>
    <s v="Kim"/>
    <n v="40"/>
    <x v="7"/>
    <n v="1984"/>
    <s v="SIXTY THOUSAND"/>
    <x v="2"/>
    <s v="Male"/>
    <s v="sales"/>
    <s v="Sales"/>
    <s v="Director"/>
    <d v="2018-04-05T00:00:00"/>
    <d v="2018-04-05T00:00:00"/>
    <s v="C"/>
    <x v="2"/>
    <s v="david.kim@saltcorp.com"/>
    <m/>
    <s v="Part-Time"/>
    <s v="Part-Time"/>
    <m/>
    <n v="6"/>
    <n v="3"/>
    <m/>
    <d v="2023-03-05T00:00:00"/>
    <m/>
    <s v="no"/>
    <s v="No"/>
    <n v="1"/>
    <x v="1"/>
    <x v="1"/>
  </r>
  <r>
    <x v="955"/>
    <s v="Alice"/>
    <s v="Williams"/>
    <n v="25"/>
    <x v="0"/>
    <n v="1999"/>
    <n v="65000"/>
    <x v="1"/>
    <s v="Female"/>
    <s v="it"/>
    <s v="IT"/>
    <s v="Clerk"/>
    <d v="2019-12-01T00:00:00"/>
    <d v="2019-12-01T00:00:00"/>
    <s v="B"/>
    <x v="6"/>
    <s v="alice.williams@saltcorp.com"/>
    <s v="098-765-4321"/>
    <s v="contract"/>
    <s v="Contract"/>
    <m/>
    <n v="5"/>
    <m/>
    <m/>
    <s v="N/A"/>
    <m/>
    <s v="no"/>
    <s v="No"/>
    <n v="4"/>
    <x v="0"/>
    <x v="0"/>
  </r>
  <r>
    <x v="956"/>
    <s v="David"/>
    <s v="Ross"/>
    <n v="25"/>
    <x v="0"/>
    <n v="1999"/>
    <n v="50000"/>
    <x v="0"/>
    <s v="Female"/>
    <s v="Marketing"/>
    <s v="Marketing"/>
    <s v="Analyst"/>
    <d v="2020-02-20T00:00:00"/>
    <d v="2020-02-20T00:00:00"/>
    <s v="F"/>
    <x v="1"/>
    <s v="david.ross@saltcorp.com"/>
    <s v=" "/>
    <s v="Full-Time"/>
    <s v="Full-Time"/>
    <m/>
    <n v="6"/>
    <m/>
    <n v="12"/>
    <m/>
    <m/>
    <s v="YES"/>
    <s v="Yes"/>
    <n v="1"/>
    <x v="0"/>
    <x v="0"/>
  </r>
  <r>
    <x v="957"/>
    <s v="Grace"/>
    <s v="Zhang"/>
    <n v="35"/>
    <x v="2"/>
    <n v="1989"/>
    <n v="55000"/>
    <x v="6"/>
    <s v="Male"/>
    <s v="it"/>
    <s v="IT"/>
    <s v="Clerk"/>
    <d v="2020-01-15T00:00:00"/>
    <d v="2020-01-15T00:00:00"/>
    <s v="C"/>
    <x v="8"/>
    <s v="grace.zhang@saltcorp.com"/>
    <s v="123-456-7890"/>
    <s v="contract"/>
    <s v="Contract"/>
    <m/>
    <n v="6"/>
    <m/>
    <m/>
    <m/>
    <m/>
    <s v="no"/>
    <s v="No"/>
    <n v="4"/>
    <x v="0"/>
    <x v="0"/>
  </r>
  <r>
    <x v="958"/>
    <s v="David"/>
    <s v="Sullivan"/>
    <n v="50"/>
    <x v="10"/>
    <n v="1974"/>
    <n v="65000"/>
    <x v="1"/>
    <s v="Male"/>
    <s v="it"/>
    <s v="IT"/>
    <s v="Analyst"/>
    <d v="2018-04-05T00:00:00"/>
    <d v="2018-04-05T00:00:00"/>
    <s v="B"/>
    <x v="16"/>
    <s v="david.sullivan@saltcorp.com"/>
    <s v="123-456-7890"/>
    <s v="Part-Time"/>
    <s v="Part-Time"/>
    <m/>
    <n v="5"/>
    <m/>
    <n v="20"/>
    <m/>
    <m/>
    <s v="YES"/>
    <s v="Yes"/>
    <n v="1"/>
    <x v="1"/>
    <x v="1"/>
  </r>
  <r>
    <x v="959"/>
    <s v="Frank"/>
    <s v="Hudson"/>
    <m/>
    <x v="31"/>
    <n v="1966"/>
    <s v="SIXTY THOUSAND"/>
    <x v="2"/>
    <s v="Male"/>
    <s v="finance"/>
    <s v="Finance"/>
    <s v="Director"/>
    <d v="2018-04-05T00:00:00"/>
    <d v="2018-04-05T00:00:00"/>
    <s v="A"/>
    <x v="9"/>
    <s v="frank.hudson@saltcorp.com"/>
    <s v="123-456-7890"/>
    <s v="Full-Time"/>
    <s v="Full-Time"/>
    <s v="EMP-2020-0088"/>
    <n v="6"/>
    <m/>
    <m/>
    <d v="2023-03-05T00:00:00"/>
    <m/>
    <s v="YES"/>
    <s v="Yes"/>
    <n v="5"/>
    <x v="0"/>
    <x v="0"/>
  </r>
  <r>
    <x v="960"/>
    <s v="Ivy"/>
    <s v="Bennett"/>
    <s v="thirty"/>
    <x v="8"/>
    <n v="1994"/>
    <n v="58600"/>
    <x v="8"/>
    <s v="Male"/>
    <s v="Marketing"/>
    <s v="Marketing"/>
    <s v="Clerk"/>
    <d v="2020-02-20T00:00:00"/>
    <d v="2020-02-20T00:00:00"/>
    <s v="A"/>
    <x v="50"/>
    <s v="ivy.bennett@saltcorp.com"/>
    <s v="123-456-7890"/>
    <s v="contract"/>
    <s v="Contract"/>
    <m/>
    <n v="1"/>
    <n v="1"/>
    <m/>
    <m/>
    <m/>
    <s v="YES"/>
    <s v="Yes"/>
    <n v="5"/>
    <x v="0"/>
    <x v="0"/>
  </r>
  <r>
    <x v="961"/>
    <s v="Alice"/>
    <s v="Weber"/>
    <m/>
    <x v="12"/>
    <n v="1996"/>
    <n v="65000"/>
    <x v="1"/>
    <s v="Female"/>
    <s v="sales"/>
    <s v="Sales"/>
    <s v="Clerk"/>
    <d v="2019-12-01T00:00:00"/>
    <d v="2019-12-01T00:00:00"/>
    <s v="F"/>
    <x v="73"/>
    <s v="alice.weber@saltcorp.com"/>
    <s v="098-765-4321"/>
    <s v="Full-Time"/>
    <s v="Full-Time"/>
    <m/>
    <n v="7"/>
    <n v="12"/>
    <n v="16"/>
    <m/>
    <m/>
    <s v="YES"/>
    <s v="Yes"/>
    <n v="3"/>
    <x v="0"/>
    <x v="0"/>
  </r>
  <r>
    <x v="962"/>
    <s v="Eve"/>
    <s v="Hanson"/>
    <n v="40"/>
    <x v="7"/>
    <n v="1984"/>
    <n v="50000"/>
    <x v="0"/>
    <s v="Female"/>
    <s v="it"/>
    <s v="IT"/>
    <s v="Clerk"/>
    <d v="2020-01-15T00:00:00"/>
    <d v="2020-01-15T00:00:00"/>
    <s v="C"/>
    <x v="29"/>
    <s v="eve.hanson@saltcorp.com"/>
    <s v="555-555-5555"/>
    <s v="contract"/>
    <s v="Contract"/>
    <m/>
    <n v="2"/>
    <m/>
    <m/>
    <m/>
    <m/>
    <s v="no"/>
    <s v="No"/>
    <n v="2"/>
    <x v="0"/>
    <x v="0"/>
  </r>
  <r>
    <x v="963"/>
    <s v="Grace"/>
    <s v="Wu"/>
    <s v="thirty"/>
    <x v="8"/>
    <n v="1994"/>
    <s v="SIXTY THOUSAND"/>
    <x v="2"/>
    <s v="Female"/>
    <s v="finance"/>
    <s v="Finance"/>
    <s v="Analyst"/>
    <d v="2018-04-05T00:00:00"/>
    <d v="2018-04-05T00:00:00"/>
    <s v="B"/>
    <x v="49"/>
    <s v="grace.wu@saltcorp.com"/>
    <m/>
    <s v="Full-Time"/>
    <s v="Full-Time"/>
    <s v="EMP-2020-0012"/>
    <n v="6"/>
    <m/>
    <m/>
    <s v="N/A"/>
    <n v="12"/>
    <m/>
    <s v=""/>
    <n v="3"/>
    <x v="0"/>
    <x v="0"/>
  </r>
  <r>
    <x v="964"/>
    <s v="Alice"/>
    <s v="Thompson"/>
    <n v="35"/>
    <x v="2"/>
    <n v="1989"/>
    <n v="55000"/>
    <x v="6"/>
    <s v="Male"/>
    <s v="Marketing"/>
    <s v="Marketing"/>
    <s v="Assistant"/>
    <d v="2020-01-15T00:00:00"/>
    <d v="2020-01-15T00:00:00"/>
    <s v="B"/>
    <x v="45"/>
    <s v="alice.thompson@saltcorp.com"/>
    <s v="098-765-4321"/>
    <s v="contract"/>
    <s v="Contract"/>
    <m/>
    <n v="4"/>
    <m/>
    <m/>
    <m/>
    <m/>
    <m/>
    <s v=""/>
    <n v="3"/>
    <x v="0"/>
    <x v="0"/>
  </r>
  <r>
    <x v="965"/>
    <s v="David"/>
    <s v="Bennett"/>
    <n v="35"/>
    <x v="2"/>
    <n v="1989"/>
    <s v="SIXTY THOUSAND"/>
    <x v="2"/>
    <s v="Female"/>
    <s v="Marketing"/>
    <s v="Marketing"/>
    <s v="Director"/>
    <d v="2018-04-05T00:00:00"/>
    <d v="2018-04-05T00:00:00"/>
    <s v="A"/>
    <x v="11"/>
    <s v="david.bennett@saltcorp.com"/>
    <s v="123-456-7890"/>
    <s v="Part-Time"/>
    <s v="Part-Time"/>
    <m/>
    <n v="3"/>
    <n v="2"/>
    <m/>
    <m/>
    <m/>
    <s v="YES"/>
    <s v="Yes"/>
    <n v="3"/>
    <x v="0"/>
    <x v="0"/>
  </r>
  <r>
    <x v="966"/>
    <s v="Frank"/>
    <s v="Barnett"/>
    <n v="50"/>
    <x v="10"/>
    <n v="1974"/>
    <s v="SIXTY THOUSAND"/>
    <x v="2"/>
    <s v="Male"/>
    <s v="HR"/>
    <s v="HR"/>
    <s v="Clerk"/>
    <d v="2019-12-01T00:00:00"/>
    <d v="2019-12-01T00:00:00"/>
    <s v="F"/>
    <x v="84"/>
    <s v="frank.barnett@saltcorp.com"/>
    <s v="098-765-4321"/>
    <s v="Full-Time"/>
    <s v="Full-Time"/>
    <m/>
    <n v="5"/>
    <m/>
    <n v="12"/>
    <d v="2024-08-12T00:00:00"/>
    <m/>
    <s v="no"/>
    <s v="No"/>
    <n v="3"/>
    <x v="1"/>
    <x v="1"/>
  </r>
  <r>
    <x v="967"/>
    <s v="Bob"/>
    <s v="Johnson"/>
    <s v="thirty"/>
    <x v="8"/>
    <n v="1994"/>
    <n v="70000"/>
    <x v="5"/>
    <s v="Male"/>
    <s v="HR"/>
    <s v="HR"/>
    <s v="Assistant"/>
    <d v="2018-04-05T00:00:00"/>
    <d v="2018-04-05T00:00:00"/>
    <s v="A"/>
    <x v="50"/>
    <s v="bob.johnson@saltcorp.com"/>
    <s v=" "/>
    <s v="Full-Time"/>
    <s v="Full-Time"/>
    <m/>
    <n v="6"/>
    <n v="4"/>
    <n v="8"/>
    <d v="2023-01-15T00:00:00"/>
    <m/>
    <s v="no"/>
    <s v="No"/>
    <n v="3"/>
    <x v="0"/>
    <x v="0"/>
  </r>
  <r>
    <x v="968"/>
    <s v="Jack"/>
    <s v="Knight"/>
    <n v="25"/>
    <x v="0"/>
    <n v="1999"/>
    <s v="SIXTY THOUSAND"/>
    <x v="2"/>
    <s v="Male"/>
    <s v="it"/>
    <s v="IT"/>
    <s v="Director"/>
    <d v="2018-04-05T00:00:00"/>
    <d v="2018-04-05T00:00:00"/>
    <s v="A"/>
    <x v="51"/>
    <s v="jack.knight@saltcorp.com"/>
    <s v="123-456-7890"/>
    <s v="Full-Time"/>
    <s v="Full-Time"/>
    <m/>
    <n v="6"/>
    <m/>
    <m/>
    <s v="N/A"/>
    <m/>
    <m/>
    <s v=""/>
    <n v="1"/>
    <x v="1"/>
    <x v="1"/>
  </r>
  <r>
    <x v="969"/>
    <s v="Eve"/>
    <s v="Gibson"/>
    <s v="thirty"/>
    <x v="8"/>
    <n v="1994"/>
    <s v="SIXTY THOUSAND"/>
    <x v="2"/>
    <s v="Female"/>
    <s v="HR"/>
    <s v="HR"/>
    <s v="Director"/>
    <d v="2019-03-25T00:00:00"/>
    <d v="2019-03-25T00:00:00"/>
    <s v="F"/>
    <x v="12"/>
    <s v="eve.gibson@saltcorp.com"/>
    <m/>
    <s v="Part-Time"/>
    <s v="Part-Time"/>
    <s v="EMP-2018-0026"/>
    <n v="8"/>
    <m/>
    <n v="9"/>
    <s v="N/A"/>
    <m/>
    <m/>
    <s v=""/>
    <n v="4"/>
    <x v="0"/>
    <x v="0"/>
  </r>
  <r>
    <x v="970"/>
    <s v="Jack"/>
    <s v="Wells"/>
    <n v="40"/>
    <x v="7"/>
    <n v="1984"/>
    <n v="65000"/>
    <x v="1"/>
    <s v="Male"/>
    <s v="it"/>
    <s v="IT"/>
    <s v="Clerk"/>
    <d v="2019-12-01T00:00:00"/>
    <d v="2019-12-01T00:00:00"/>
    <s v="C"/>
    <x v="7"/>
    <s v="jack.wells@saltcorp.com"/>
    <s v="123-456-7890"/>
    <s v="Full-Time"/>
    <s v="Full-Time"/>
    <m/>
    <n v="8"/>
    <n v="11"/>
    <m/>
    <m/>
    <m/>
    <s v="no"/>
    <s v="No"/>
    <n v="4"/>
    <x v="0"/>
    <x v="0"/>
  </r>
  <r>
    <x v="971"/>
    <s v="Alice"/>
    <s v="Hoffman"/>
    <n v="25"/>
    <x v="0"/>
    <n v="1999"/>
    <n v="55000"/>
    <x v="6"/>
    <s v="Female"/>
    <s v="sales"/>
    <s v="Sales"/>
    <s v="Clerk"/>
    <d v="2020-02-20T00:00:00"/>
    <d v="2020-02-20T00:00:00"/>
    <s v="B"/>
    <x v="49"/>
    <s v="alice.hoffman@saltcorp.com"/>
    <m/>
    <s v="Full-Time"/>
    <s v="Full-Time"/>
    <m/>
    <n v="2"/>
    <m/>
    <m/>
    <m/>
    <n v="29"/>
    <m/>
    <s v=""/>
    <n v="3"/>
    <x v="1"/>
    <x v="1"/>
  </r>
  <r>
    <x v="972"/>
    <s v="Frank"/>
    <s v="Perez"/>
    <n v="35"/>
    <x v="2"/>
    <n v="1989"/>
    <n v="65000"/>
    <x v="1"/>
    <s v="Female"/>
    <s v="it"/>
    <s v="IT"/>
    <s v="Analyst"/>
    <d v="2020-02-20T00:00:00"/>
    <d v="2020-02-20T00:00:00"/>
    <s v="C"/>
    <x v="69"/>
    <s v="frank.perez@saltcorp.com"/>
    <m/>
    <s v="contract"/>
    <s v="Contract"/>
    <m/>
    <n v="7"/>
    <s v="N/A"/>
    <n v="5"/>
    <m/>
    <m/>
    <s v="YES"/>
    <s v="Yes"/>
    <n v="4"/>
    <x v="1"/>
    <x v="1"/>
  </r>
  <r>
    <x v="973"/>
    <s v="Frank"/>
    <s v="Gonzalez"/>
    <s v="thirty"/>
    <x v="8"/>
    <n v="1994"/>
    <n v="65000"/>
    <x v="1"/>
    <s v="Male"/>
    <s v="HR"/>
    <s v="HR"/>
    <s v="Assistant"/>
    <d v="2019-12-01T00:00:00"/>
    <d v="2019-12-01T00:00:00"/>
    <s v="D"/>
    <x v="22"/>
    <s v="frank.gonzalez@saltcorp.com"/>
    <s v="555-555-5555"/>
    <s v="Part-Time"/>
    <s v="Part-Time"/>
    <m/>
    <n v="5"/>
    <m/>
    <m/>
    <d v="2022-06-20T00:00:00"/>
    <m/>
    <s v="no"/>
    <s v="No"/>
    <n v="2"/>
    <x v="0"/>
    <x v="0"/>
  </r>
  <r>
    <x v="974"/>
    <s v="David"/>
    <s v="Oliver"/>
    <m/>
    <x v="20"/>
    <n v="1993"/>
    <n v="50000"/>
    <x v="0"/>
    <s v="Female"/>
    <s v="sales"/>
    <s v="Sales"/>
    <s v="Assistant"/>
    <d v="2020-02-20T00:00:00"/>
    <d v="2020-02-20T00:00:00"/>
    <s v="D"/>
    <x v="22"/>
    <s v="david.oliver@saltcorp.com"/>
    <s v="555-555-5555"/>
    <s v="Full-Time"/>
    <s v="Full-Time"/>
    <m/>
    <n v="8"/>
    <n v="13"/>
    <m/>
    <m/>
    <n v="46"/>
    <m/>
    <s v=""/>
    <n v="5"/>
    <x v="0"/>
    <x v="0"/>
  </r>
  <r>
    <x v="975"/>
    <s v="Hannah"/>
    <s v="Figueroa"/>
    <n v="50"/>
    <x v="10"/>
    <n v="1974"/>
    <n v="65000"/>
    <x v="1"/>
    <s v="Female"/>
    <s v="HR"/>
    <s v="HR"/>
    <s v="Clerk"/>
    <d v="2019-12-01T00:00:00"/>
    <d v="2019-12-01T00:00:00"/>
    <s v="D"/>
    <x v="24"/>
    <s v="hannah.figueroa@saltcorp.com"/>
    <s v="098-765-4321"/>
    <s v="contract"/>
    <s v="Contract"/>
    <m/>
    <n v="3"/>
    <m/>
    <n v="13"/>
    <m/>
    <m/>
    <s v="YES"/>
    <s v="Yes"/>
    <n v="4"/>
    <x v="0"/>
    <x v="0"/>
  </r>
  <r>
    <x v="976"/>
    <s v="David"/>
    <s v="Sullivan"/>
    <m/>
    <x v="34"/>
    <n v="1969"/>
    <n v="70000"/>
    <x v="5"/>
    <s v="Male"/>
    <s v="it"/>
    <s v="IT"/>
    <s v="Director"/>
    <d v="2020-02-20T00:00:00"/>
    <d v="2020-02-20T00:00:00"/>
    <s v="F"/>
    <x v="38"/>
    <s v="david.sullivan@saltcorp.com"/>
    <s v="098-765-4321"/>
    <s v="contract"/>
    <s v="Contract"/>
    <s v="EMP-2018-0037"/>
    <n v="3"/>
    <m/>
    <m/>
    <m/>
    <m/>
    <s v="YES"/>
    <s v="Yes"/>
    <n v="3"/>
    <x v="0"/>
    <x v="0"/>
  </r>
  <r>
    <x v="977"/>
    <s v="Hannah"/>
    <s v="Perry"/>
    <n v="50"/>
    <x v="10"/>
    <n v="1974"/>
    <n v="70000"/>
    <x v="5"/>
    <s v="Female"/>
    <s v="finance"/>
    <s v="Finance"/>
    <s v="Clerk"/>
    <d v="2019-03-25T00:00:00"/>
    <d v="2019-03-25T00:00:00"/>
    <s v="A"/>
    <x v="51"/>
    <s v="hannah.perry@saltcorp.com"/>
    <m/>
    <s v="Full-Time"/>
    <s v="Full-Time"/>
    <s v="EMP-2018-0074"/>
    <n v="6"/>
    <s v="N/A"/>
    <m/>
    <m/>
    <m/>
    <s v="YES"/>
    <s v="Yes"/>
    <n v="3"/>
    <x v="0"/>
    <x v="0"/>
  </r>
  <r>
    <x v="978"/>
    <s v="Hannah"/>
    <s v="Rogers"/>
    <n v="40"/>
    <x v="7"/>
    <n v="1984"/>
    <n v="50000"/>
    <x v="0"/>
    <s v="Male"/>
    <s v="Marketing"/>
    <s v="Marketing"/>
    <s v="Director"/>
    <d v="2020-02-20T00:00:00"/>
    <d v="2020-02-20T00:00:00"/>
    <s v="C"/>
    <x v="23"/>
    <s v="hannah.rogers@saltcorp.com"/>
    <s v="123-456-7890"/>
    <s v="Part-Time"/>
    <s v="Part-Time"/>
    <m/>
    <n v="7"/>
    <s v="N/A"/>
    <m/>
    <d v="2022-06-20T00:00:00"/>
    <m/>
    <s v="no"/>
    <s v="No"/>
    <n v="2"/>
    <x v="1"/>
    <x v="1"/>
  </r>
  <r>
    <x v="979"/>
    <s v="Eve"/>
    <s v="Reed"/>
    <m/>
    <x v="1"/>
    <n v="1983"/>
    <n v="60900"/>
    <x v="15"/>
    <s v="Female"/>
    <s v="HR"/>
    <s v="HR"/>
    <s v="Director"/>
    <d v="2018-04-05T00:00:00"/>
    <d v="2018-04-05T00:00:00"/>
    <s v="B"/>
    <x v="35"/>
    <s v="eve.reed@saltcorp.com"/>
    <s v=" "/>
    <s v="contract"/>
    <s v="Contract"/>
    <m/>
    <n v="7"/>
    <s v="N/A"/>
    <n v="7"/>
    <d v="2023-01-15T00:00:00"/>
    <n v="37"/>
    <s v="no"/>
    <s v="No"/>
    <n v="4"/>
    <x v="1"/>
    <x v="1"/>
  </r>
  <r>
    <x v="980"/>
    <s v="David"/>
    <s v="Bell"/>
    <s v="thirty"/>
    <x v="8"/>
    <n v="1994"/>
    <n v="55000"/>
    <x v="6"/>
    <s v="Male"/>
    <s v="it"/>
    <s v="IT"/>
    <s v="Clerk"/>
    <d v="2019-12-01T00:00:00"/>
    <d v="2019-12-01T00:00:00"/>
    <s v="D"/>
    <x v="43"/>
    <s v="david.bell@saltcorp.com"/>
    <s v=" "/>
    <s v="contract"/>
    <s v="Contract"/>
    <m/>
    <n v="2"/>
    <n v="3"/>
    <m/>
    <m/>
    <n v="47"/>
    <s v="YES"/>
    <s v="Yes"/>
    <n v="4"/>
    <x v="0"/>
    <x v="0"/>
  </r>
  <r>
    <x v="981"/>
    <s v="Bob"/>
    <s v="Williamson"/>
    <s v="thirty"/>
    <x v="8"/>
    <n v="1994"/>
    <n v="55000"/>
    <x v="6"/>
    <s v="Female"/>
    <s v="sales"/>
    <s v="Sales"/>
    <s v="Manager"/>
    <d v="2020-01-15T00:00:00"/>
    <d v="2020-01-15T00:00:00"/>
    <s v="C"/>
    <x v="29"/>
    <s v="bob.williamson@saltcorp.com"/>
    <s v="123-456-7890"/>
    <s v="Full-Time"/>
    <s v="Full-Time"/>
    <s v="EMP-2018-0083"/>
    <n v="2"/>
    <s v="N/A"/>
    <m/>
    <s v="N/A"/>
    <m/>
    <m/>
    <s v=""/>
    <n v="5"/>
    <x v="0"/>
    <x v="0"/>
  </r>
  <r>
    <x v="982"/>
    <s v="Charlie"/>
    <s v="Hudson"/>
    <m/>
    <x v="6"/>
    <n v="1991"/>
    <n v="65000"/>
    <x v="1"/>
    <s v="Female"/>
    <s v="HR"/>
    <s v="HR"/>
    <s v="Assistant"/>
    <d v="2020-01-15T00:00:00"/>
    <d v="2020-01-15T00:00:00"/>
    <s v="D"/>
    <x v="24"/>
    <s v="charlie.hudson@saltcorp.com"/>
    <s v="123-456-7890"/>
    <s v="Full-Time"/>
    <s v="Full-Time"/>
    <m/>
    <n v="3"/>
    <m/>
    <n v="5"/>
    <m/>
    <m/>
    <s v="YES"/>
    <s v="Yes"/>
    <n v="3"/>
    <x v="0"/>
    <x v="0"/>
  </r>
  <r>
    <x v="983"/>
    <s v="Charlie"/>
    <s v="White"/>
    <s v="thirty"/>
    <x v="8"/>
    <n v="1994"/>
    <n v="65000"/>
    <x v="1"/>
    <s v="Female"/>
    <s v="HR"/>
    <s v="HR"/>
    <s v="Director"/>
    <d v="2019-12-01T00:00:00"/>
    <d v="2019-12-01T00:00:00"/>
    <s v="D"/>
    <x v="43"/>
    <s v="charlie.white@saltcorp.com"/>
    <s v="555-555-5555"/>
    <s v="Full-Time"/>
    <s v="Full-Time"/>
    <m/>
    <n v="6"/>
    <m/>
    <n v="14"/>
    <m/>
    <m/>
    <m/>
    <s v=""/>
    <n v="3"/>
    <x v="1"/>
    <x v="1"/>
  </r>
  <r>
    <x v="984"/>
    <s v="David"/>
    <s v="Davidson"/>
    <n v="40"/>
    <x v="7"/>
    <n v="1984"/>
    <n v="60500"/>
    <x v="7"/>
    <s v="Female"/>
    <s v="Marketing"/>
    <s v="Marketing"/>
    <s v="Director"/>
    <d v="2019-03-25T00:00:00"/>
    <d v="2019-03-25T00:00:00"/>
    <s v="B"/>
    <x v="49"/>
    <s v="david.davidson@saltcorp.com"/>
    <s v=" "/>
    <s v="Full-Time"/>
    <s v="Full-Time"/>
    <m/>
    <n v="4"/>
    <n v="9"/>
    <n v="8"/>
    <m/>
    <m/>
    <m/>
    <s v=""/>
    <n v="2"/>
    <x v="0"/>
    <x v="0"/>
  </r>
  <r>
    <x v="985"/>
    <s v="David"/>
    <s v="Aguilar"/>
    <n v="25"/>
    <x v="0"/>
    <n v="1999"/>
    <n v="65000"/>
    <x v="1"/>
    <s v="Female"/>
    <s v="it"/>
    <s v="IT"/>
    <s v="Manager"/>
    <d v="2020-02-20T00:00:00"/>
    <d v="2020-02-20T00:00:00"/>
    <s v="F"/>
    <x v="80"/>
    <s v="david.aguilar@saltcorp.com"/>
    <m/>
    <s v="Full-Time"/>
    <s v="Full-Time"/>
    <m/>
    <n v="6"/>
    <n v="1"/>
    <m/>
    <m/>
    <m/>
    <s v="no"/>
    <s v="No"/>
    <n v="3"/>
    <x v="0"/>
    <x v="0"/>
  </r>
  <r>
    <x v="986"/>
    <s v="Jack"/>
    <s v="Pearson"/>
    <n v="40"/>
    <x v="7"/>
    <n v="1984"/>
    <n v="55000"/>
    <x v="6"/>
    <s v="Female"/>
    <s v="finance"/>
    <s v="Finance"/>
    <s v="Analyst"/>
    <d v="2019-03-25T00:00:00"/>
    <d v="2019-03-25T00:00:00"/>
    <s v="A"/>
    <x v="50"/>
    <s v="jack.pearson@saltcorp.com"/>
    <s v="098-765-4321"/>
    <s v="Full-Time"/>
    <s v="Full-Time"/>
    <m/>
    <n v="6"/>
    <n v="13"/>
    <n v="16"/>
    <d v="2023-01-15T00:00:00"/>
    <n v="18"/>
    <s v="YES"/>
    <s v="Yes"/>
    <n v="4"/>
    <x v="0"/>
    <x v="0"/>
  </r>
  <r>
    <x v="987"/>
    <s v="Eve"/>
    <s v="Bell"/>
    <n v="50"/>
    <x v="10"/>
    <n v="1974"/>
    <s v="SIXTY THOUSAND"/>
    <x v="2"/>
    <s v="Female"/>
    <s v="sales"/>
    <s v="Sales"/>
    <s v="Manager"/>
    <d v="2020-01-15T00:00:00"/>
    <d v="2020-01-15T00:00:00"/>
    <s v="F"/>
    <x v="5"/>
    <s v="eve.bell@saltcorp.com"/>
    <s v="555-555-5555"/>
    <s v="Full-Time"/>
    <s v="Full-Time"/>
    <m/>
    <n v="5"/>
    <m/>
    <n v="16"/>
    <d v="2023-01-15T00:00:00"/>
    <m/>
    <s v="YES"/>
    <s v="Yes"/>
    <n v="2"/>
    <x v="0"/>
    <x v="0"/>
  </r>
  <r>
    <x v="988"/>
    <s v="David"/>
    <s v="Ross"/>
    <n v="40"/>
    <x v="7"/>
    <n v="1984"/>
    <n v="70000"/>
    <x v="5"/>
    <s v="Female"/>
    <s v="it"/>
    <s v="IT"/>
    <s v="Manager"/>
    <d v="2019-12-01T00:00:00"/>
    <d v="2019-12-01T00:00:00"/>
    <s v="C"/>
    <x v="23"/>
    <s v="david.ross@saltcorp.com"/>
    <s v=" "/>
    <s v="contract"/>
    <s v="Contract"/>
    <m/>
    <n v="5"/>
    <n v="2"/>
    <m/>
    <m/>
    <m/>
    <s v="no"/>
    <s v="No"/>
    <n v="1"/>
    <x v="0"/>
    <x v="0"/>
  </r>
  <r>
    <x v="989"/>
    <s v="Jack"/>
    <s v="McCoy"/>
    <n v="50"/>
    <x v="10"/>
    <n v="1974"/>
    <s v="SIXTY THOUSAND"/>
    <x v="2"/>
    <s v="Female"/>
    <s v="sales"/>
    <s v="Sales"/>
    <s v="Director"/>
    <d v="2019-12-01T00:00:00"/>
    <d v="2019-12-01T00:00:00"/>
    <s v="F"/>
    <x v="75"/>
    <s v="jack.mccoy@saltcorp.com"/>
    <s v="123-456-7890"/>
    <s v="contract"/>
    <s v="Contract"/>
    <s v="EMP-2018-0062"/>
    <n v="7"/>
    <m/>
    <n v="7"/>
    <m/>
    <m/>
    <m/>
    <s v=""/>
    <n v="5"/>
    <x v="1"/>
    <x v="1"/>
  </r>
  <r>
    <x v="990"/>
    <s v="Hannah"/>
    <s v="Powell"/>
    <s v="thirty"/>
    <x v="8"/>
    <n v="1994"/>
    <s v="SIXTY THOUSAND"/>
    <x v="2"/>
    <s v="Male"/>
    <s v="HR"/>
    <s v="HR"/>
    <s v="Assistant"/>
    <d v="2019-03-25T00:00:00"/>
    <d v="2019-03-25T00:00:00"/>
    <s v="C"/>
    <x v="7"/>
    <s v="hannah.powell@saltcorp.com"/>
    <s v=" "/>
    <s v="Full-Time"/>
    <s v="Full-Time"/>
    <m/>
    <n v="5"/>
    <n v="5"/>
    <n v="6"/>
    <m/>
    <m/>
    <m/>
    <s v=""/>
    <n v="2"/>
    <x v="0"/>
    <x v="0"/>
  </r>
  <r>
    <x v="991"/>
    <s v="Frank"/>
    <s v="Lopez"/>
    <n v="25"/>
    <x v="0"/>
    <n v="1999"/>
    <n v="55000"/>
    <x v="6"/>
    <s v="Male"/>
    <s v="Marketing"/>
    <s v="Marketing"/>
    <s v="Manager"/>
    <d v="2019-03-25T00:00:00"/>
    <d v="2019-03-25T00:00:00"/>
    <s v="C"/>
    <x v="29"/>
    <s v="frank.lopez@saltcorp.com"/>
    <m/>
    <s v="Full-Time"/>
    <s v="Full-Time"/>
    <m/>
    <n v="8"/>
    <m/>
    <n v="20"/>
    <m/>
    <m/>
    <m/>
    <s v=""/>
    <n v="2"/>
    <x v="1"/>
    <x v="1"/>
  </r>
  <r>
    <x v="992"/>
    <s v="Frank"/>
    <s v="Ramirez"/>
    <s v="thirty"/>
    <x v="8"/>
    <n v="1994"/>
    <s v="SIXTY THOUSAND"/>
    <x v="2"/>
    <s v="Female"/>
    <s v="Marketing"/>
    <s v="Marketing"/>
    <s v="Analyst"/>
    <d v="2020-02-20T00:00:00"/>
    <d v="2020-02-20T00:00:00"/>
    <s v="A"/>
    <x v="3"/>
    <s v="frank.ramirez@saltcorp.com"/>
    <s v="555-555-5555"/>
    <s v="contract"/>
    <s v="Contract"/>
    <m/>
    <n v="6"/>
    <m/>
    <m/>
    <m/>
    <m/>
    <s v="YES"/>
    <s v="Yes"/>
    <n v="2"/>
    <x v="0"/>
    <x v="0"/>
  </r>
  <r>
    <x v="993"/>
    <s v="Hannah"/>
    <s v="Harrison"/>
    <n v="35"/>
    <x v="2"/>
    <n v="1989"/>
    <n v="61300"/>
    <x v="18"/>
    <s v="Female"/>
    <s v="finance"/>
    <s v="Finance"/>
    <s v="Clerk"/>
    <d v="2018-04-05T00:00:00"/>
    <d v="2018-04-05T00:00:00"/>
    <s v="B"/>
    <x v="6"/>
    <s v="hannah.harrison@saltcorp.com"/>
    <s v="123-456-7890"/>
    <s v="Part-Time"/>
    <s v="Part-Time"/>
    <s v="EMP-2020-0098"/>
    <n v="8"/>
    <s v="N/A"/>
    <m/>
    <s v="N/A"/>
    <n v="57"/>
    <s v="no"/>
    <s v="No"/>
    <n v="2"/>
    <x v="0"/>
    <x v="0"/>
  </r>
  <r>
    <x v="994"/>
    <s v="Grace"/>
    <s v="Zhang"/>
    <s v="thirty"/>
    <x v="8"/>
    <n v="1994"/>
    <n v="50000"/>
    <x v="0"/>
    <s v="Female"/>
    <s v="Marketing"/>
    <s v="Marketing"/>
    <s v="Manager"/>
    <d v="2018-04-05T00:00:00"/>
    <d v="2018-04-05T00:00:00"/>
    <s v="A"/>
    <x v="9"/>
    <s v="grace.zhang@saltcorp.com"/>
    <m/>
    <s v="Full-Time"/>
    <s v="Full-Time"/>
    <m/>
    <n v="7"/>
    <m/>
    <n v="10"/>
    <d v="2022-06-20T00:00:00"/>
    <m/>
    <s v="YES"/>
    <s v="Yes"/>
    <n v="5"/>
    <x v="0"/>
    <x v="0"/>
  </r>
  <r>
    <x v="995"/>
    <s v="Jack"/>
    <s v="West"/>
    <n v="50"/>
    <x v="10"/>
    <n v="1974"/>
    <n v="65000"/>
    <x v="1"/>
    <s v="Female"/>
    <s v="HR"/>
    <s v="HR"/>
    <s v="Manager"/>
    <d v="2020-02-20T00:00:00"/>
    <d v="2020-02-20T00:00:00"/>
    <s v="F"/>
    <x v="89"/>
    <s v="jack.west@saltcorp.com"/>
    <s v="098-765-4321"/>
    <s v="Part-Time"/>
    <s v="Part-Time"/>
    <m/>
    <n v="3"/>
    <m/>
    <m/>
    <d v="2024-08-12T00:00:00"/>
    <m/>
    <s v="no"/>
    <s v="No"/>
    <n v="1"/>
    <x v="0"/>
    <x v="0"/>
  </r>
  <r>
    <x v="996"/>
    <s v="Jack"/>
    <s v="Hansen"/>
    <s v="thirty"/>
    <x v="8"/>
    <n v="1994"/>
    <n v="50000"/>
    <x v="0"/>
    <s v="Male"/>
    <s v="finance"/>
    <s v="Finance"/>
    <s v="Analyst"/>
    <d v="2018-04-05T00:00:00"/>
    <d v="2018-04-05T00:00:00"/>
    <s v="C"/>
    <x v="29"/>
    <s v="jack.hansen@saltcorp.com"/>
    <s v="555-555-5555"/>
    <s v="contract"/>
    <s v="Contract"/>
    <s v="EMP-2018-0093"/>
    <n v="3"/>
    <m/>
    <n v="16"/>
    <m/>
    <m/>
    <s v="no"/>
    <s v="No"/>
    <n v="3"/>
    <x v="1"/>
    <x v="1"/>
  </r>
  <r>
    <x v="997"/>
    <s v="Hannah"/>
    <s v="Foster"/>
    <s v="thirty"/>
    <x v="8"/>
    <n v="1994"/>
    <n v="70000"/>
    <x v="5"/>
    <s v="Male"/>
    <s v="it"/>
    <s v="IT"/>
    <s v="Assistant"/>
    <d v="2020-01-15T00:00:00"/>
    <d v="2020-01-15T00:00:00"/>
    <s v="D"/>
    <x v="24"/>
    <s v="hannah.foster@saltcorp.com"/>
    <m/>
    <s v="Part-Time"/>
    <s v="Part-Time"/>
    <m/>
    <n v="1"/>
    <n v="5"/>
    <m/>
    <d v="2022-06-20T00:00:00"/>
    <n v="38"/>
    <s v="YES"/>
    <s v="Yes"/>
    <n v="4"/>
    <x v="0"/>
    <x v="0"/>
  </r>
  <r>
    <x v="998"/>
    <s v="Bob"/>
    <s v="Smith"/>
    <n v="25"/>
    <x v="0"/>
    <n v="1999"/>
    <n v="65000"/>
    <x v="1"/>
    <s v="Male"/>
    <s v="Marketing"/>
    <s v="Marketing"/>
    <s v="Manager"/>
    <d v="2018-04-05T00:00:00"/>
    <d v="2018-04-05T00:00:00"/>
    <s v="D"/>
    <x v="27"/>
    <s v="bob.smith@saltcorp.com"/>
    <m/>
    <s v="contract"/>
    <s v="Contract"/>
    <m/>
    <n v="3"/>
    <m/>
    <m/>
    <m/>
    <m/>
    <s v="no"/>
    <s v="No"/>
    <n v="1"/>
    <x v="1"/>
    <x v="1"/>
  </r>
  <r>
    <x v="999"/>
    <s v="Ivy"/>
    <s v="Garrett"/>
    <s v="thirty"/>
    <x v="8"/>
    <n v="1994"/>
    <s v="SIXTY THOUSAND"/>
    <x v="2"/>
    <s v="Male"/>
    <s v="finance"/>
    <s v="Finance"/>
    <s v="Manager"/>
    <d v="2020-02-20T00:00:00"/>
    <d v="2020-02-20T00:00:00"/>
    <s v="C"/>
    <x v="23"/>
    <s v="ivy.garrett@saltcorp.com"/>
    <s v="123-456-7890"/>
    <s v="contract"/>
    <s v="Contract"/>
    <m/>
    <n v="4"/>
    <s v="N/A"/>
    <m/>
    <m/>
    <m/>
    <s v="YES"/>
    <s v="Yes"/>
    <n v="4"/>
    <x v="0"/>
    <x v="0"/>
  </r>
  <r>
    <x v="1000"/>
    <m/>
    <m/>
    <m/>
    <x v="35"/>
    <m/>
    <m/>
    <x v="27"/>
    <m/>
    <m/>
    <m/>
    <m/>
    <m/>
    <m/>
    <m/>
    <x v="98"/>
    <m/>
    <m/>
    <m/>
    <m/>
    <m/>
    <m/>
    <m/>
    <m/>
    <m/>
    <m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16007-E412-44E2-B2DF-F070250FCCF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Gender">
  <location ref="A11:B14" firstHeaderRow="1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Gender Distribution" fld="0" subtotal="count" showDataAs="percentOfTotal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7157B-4B7C-405C-8B9A-461FA4026ED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der">
  <location ref="A48:B51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Cleaned_salary" fld="7" subtotal="average" baseField="8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106E4-963D-4667-BB56-F63AFFFAEECD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8:B44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name="Employ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BB99E-3189-4133-BFDD-5AD1F944E4D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A23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Average Salary per Department" fld="7" subtotal="average" baseField="1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ECFAC-4C73-4BD0-ADC6-27AB333DFCDC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s of Service">
  <location ref="A17:B21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Attrition Rate" fld="30" subtotal="average" baseField="21" baseItem="4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432ED-D16B-4308-BD97-DE6E018AB22F}" name="PivotTable5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Department">
  <location ref="A6:D12" firstHeaderRow="0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 v="3"/>
    </i>
    <i>
      <x v="2"/>
    </i>
    <i>
      <x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" fld="0" subtotal="count" baseField="10" baseItem="3"/>
    <dataField name="Employees  Left" fld="30" baseField="10" baseItem="3"/>
    <dataField name="Attrition Rate (%)" fld="30" subtotal="average" baseField="10" baseItem="1" numFmtId="166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F4ED0-266F-44C7-BCA5-4746C9B3039E}" name="PivotTable3" cacheId="3" applyNumberFormats="0" applyBorderFormats="0" applyFontFormats="0" applyPatternFormats="0" applyAlignmentFormats="0" applyWidthHeightFormats="1" dataCaption="Values" grandTotalCaption="Total Employees" updatedVersion="8" minRefreshableVersion="3" useAutoFormatting="1" itemPrintTitles="1" createdVersion="8" indent="0" outline="1" outlineData="1" multipleFieldFilters="0" rowHeaderCaption="Age Group" colHeaderCaption="Attrition">
  <location ref="A4:D10" firstHeaderRow="1" firstDataRow="2" firstDataCol="1"/>
  <pivotFields count="31">
    <pivotField dataField="1" showAll="0">
      <items count="1002">
        <item x="0"/>
        <item x="3"/>
        <item x="12"/>
        <item x="15"/>
        <item x="17"/>
        <item x="21"/>
        <item x="22"/>
        <item x="24"/>
        <item x="33"/>
        <item x="40"/>
        <item x="50"/>
        <item x="57"/>
        <item x="58"/>
        <item x="59"/>
        <item x="60"/>
        <item x="64"/>
        <item x="66"/>
        <item x="75"/>
        <item x="76"/>
        <item x="78"/>
        <item x="80"/>
        <item x="98"/>
        <item x="104"/>
        <item x="116"/>
        <item x="119"/>
        <item x="121"/>
        <item x="141"/>
        <item x="146"/>
        <item x="150"/>
        <item x="166"/>
        <item x="179"/>
        <item x="181"/>
        <item x="182"/>
        <item x="185"/>
        <item x="190"/>
        <item x="194"/>
        <item x="197"/>
        <item x="202"/>
        <item x="217"/>
        <item x="219"/>
        <item x="222"/>
        <item x="224"/>
        <item x="226"/>
        <item x="234"/>
        <item x="235"/>
        <item x="242"/>
        <item x="249"/>
        <item x="253"/>
        <item x="256"/>
        <item x="258"/>
        <item x="262"/>
        <item x="268"/>
        <item x="269"/>
        <item x="278"/>
        <item x="288"/>
        <item x="297"/>
        <item x="303"/>
        <item x="311"/>
        <item x="319"/>
        <item x="327"/>
        <item x="329"/>
        <item x="333"/>
        <item x="334"/>
        <item x="340"/>
        <item x="346"/>
        <item x="351"/>
        <item x="365"/>
        <item x="378"/>
        <item x="385"/>
        <item x="396"/>
        <item x="405"/>
        <item x="406"/>
        <item x="413"/>
        <item x="416"/>
        <item x="417"/>
        <item x="436"/>
        <item x="442"/>
        <item x="444"/>
        <item x="452"/>
        <item x="456"/>
        <item x="463"/>
        <item x="467"/>
        <item x="481"/>
        <item x="487"/>
        <item x="497"/>
        <item x="501"/>
        <item x="503"/>
        <item x="509"/>
        <item x="511"/>
        <item x="514"/>
        <item x="522"/>
        <item x="524"/>
        <item x="534"/>
        <item x="538"/>
        <item x="563"/>
        <item x="567"/>
        <item x="569"/>
        <item x="576"/>
        <item x="579"/>
        <item x="585"/>
        <item x="589"/>
        <item x="606"/>
        <item x="608"/>
        <item x="624"/>
        <item x="632"/>
        <item x="635"/>
        <item x="637"/>
        <item x="641"/>
        <item x="645"/>
        <item x="650"/>
        <item x="660"/>
        <item x="662"/>
        <item x="669"/>
        <item x="670"/>
        <item x="672"/>
        <item x="680"/>
        <item x="681"/>
        <item x="690"/>
        <item x="692"/>
        <item x="693"/>
        <item x="698"/>
        <item x="700"/>
        <item x="702"/>
        <item x="706"/>
        <item x="709"/>
        <item x="710"/>
        <item x="716"/>
        <item x="718"/>
        <item x="719"/>
        <item x="722"/>
        <item x="724"/>
        <item x="727"/>
        <item x="730"/>
        <item x="732"/>
        <item x="733"/>
        <item x="738"/>
        <item x="764"/>
        <item x="765"/>
        <item x="775"/>
        <item x="776"/>
        <item x="783"/>
        <item x="788"/>
        <item x="796"/>
        <item x="801"/>
        <item x="803"/>
        <item x="806"/>
        <item x="807"/>
        <item x="810"/>
        <item x="815"/>
        <item x="817"/>
        <item x="822"/>
        <item x="823"/>
        <item x="837"/>
        <item x="839"/>
        <item x="840"/>
        <item x="845"/>
        <item x="853"/>
        <item x="862"/>
        <item x="869"/>
        <item x="872"/>
        <item x="878"/>
        <item x="882"/>
        <item x="891"/>
        <item x="907"/>
        <item x="910"/>
        <item x="911"/>
        <item x="915"/>
        <item x="920"/>
        <item x="921"/>
        <item x="928"/>
        <item x="934"/>
        <item x="936"/>
        <item x="939"/>
        <item x="941"/>
        <item x="954"/>
        <item x="958"/>
        <item x="959"/>
        <item x="963"/>
        <item x="965"/>
        <item x="967"/>
        <item x="968"/>
        <item x="979"/>
        <item x="993"/>
        <item x="994"/>
        <item x="996"/>
        <item x="998"/>
        <item x="5"/>
        <item x="6"/>
        <item x="7"/>
        <item x="10"/>
        <item x="11"/>
        <item x="14"/>
        <item x="18"/>
        <item x="19"/>
        <item x="27"/>
        <item x="29"/>
        <item x="30"/>
        <item x="31"/>
        <item x="38"/>
        <item x="41"/>
        <item x="44"/>
        <item x="45"/>
        <item x="46"/>
        <item x="47"/>
        <item x="49"/>
        <item x="53"/>
        <item x="54"/>
        <item x="55"/>
        <item x="61"/>
        <item x="63"/>
        <item x="65"/>
        <item x="67"/>
        <item x="69"/>
        <item x="71"/>
        <item x="73"/>
        <item x="74"/>
        <item x="77"/>
        <item x="79"/>
        <item x="81"/>
        <item x="83"/>
        <item x="87"/>
        <item x="88"/>
        <item x="89"/>
        <item x="90"/>
        <item x="91"/>
        <item x="94"/>
        <item x="96"/>
        <item x="97"/>
        <item x="100"/>
        <item x="101"/>
        <item x="105"/>
        <item x="106"/>
        <item x="108"/>
        <item x="109"/>
        <item x="111"/>
        <item x="113"/>
        <item x="114"/>
        <item x="117"/>
        <item x="118"/>
        <item x="128"/>
        <item x="130"/>
        <item x="131"/>
        <item x="132"/>
        <item x="134"/>
        <item x="135"/>
        <item x="136"/>
        <item x="138"/>
        <item x="142"/>
        <item x="143"/>
        <item x="144"/>
        <item x="148"/>
        <item x="151"/>
        <item x="155"/>
        <item x="156"/>
        <item x="157"/>
        <item x="159"/>
        <item x="163"/>
        <item x="170"/>
        <item x="171"/>
        <item x="172"/>
        <item x="175"/>
        <item x="183"/>
        <item x="187"/>
        <item x="192"/>
        <item x="195"/>
        <item x="196"/>
        <item x="200"/>
        <item x="201"/>
        <item x="204"/>
        <item x="206"/>
        <item x="208"/>
        <item x="210"/>
        <item x="211"/>
        <item x="212"/>
        <item x="213"/>
        <item x="214"/>
        <item x="216"/>
        <item x="218"/>
        <item x="220"/>
        <item x="227"/>
        <item x="228"/>
        <item x="230"/>
        <item x="231"/>
        <item x="237"/>
        <item x="240"/>
        <item x="244"/>
        <item x="246"/>
        <item x="248"/>
        <item x="250"/>
        <item x="251"/>
        <item x="252"/>
        <item x="254"/>
        <item x="259"/>
        <item x="261"/>
        <item x="263"/>
        <item x="266"/>
        <item x="270"/>
        <item x="273"/>
        <item x="274"/>
        <item x="275"/>
        <item x="281"/>
        <item x="284"/>
        <item x="286"/>
        <item x="289"/>
        <item x="290"/>
        <item x="291"/>
        <item x="292"/>
        <item x="294"/>
        <item x="295"/>
        <item x="296"/>
        <item x="298"/>
        <item x="300"/>
        <item x="302"/>
        <item x="304"/>
        <item x="305"/>
        <item x="306"/>
        <item x="307"/>
        <item x="308"/>
        <item x="310"/>
        <item x="313"/>
        <item x="314"/>
        <item x="316"/>
        <item x="320"/>
        <item x="322"/>
        <item x="324"/>
        <item x="325"/>
        <item x="326"/>
        <item x="328"/>
        <item x="330"/>
        <item x="331"/>
        <item x="338"/>
        <item x="341"/>
        <item x="342"/>
        <item x="345"/>
        <item x="348"/>
        <item x="353"/>
        <item x="356"/>
        <item x="357"/>
        <item x="359"/>
        <item x="362"/>
        <item x="364"/>
        <item x="366"/>
        <item x="367"/>
        <item x="368"/>
        <item x="369"/>
        <item x="370"/>
        <item x="374"/>
        <item x="379"/>
        <item x="383"/>
        <item x="384"/>
        <item x="386"/>
        <item x="388"/>
        <item x="390"/>
        <item x="395"/>
        <item x="398"/>
        <item x="399"/>
        <item x="407"/>
        <item x="409"/>
        <item x="410"/>
        <item x="411"/>
        <item x="422"/>
        <item x="424"/>
        <item x="426"/>
        <item x="427"/>
        <item x="428"/>
        <item x="432"/>
        <item x="437"/>
        <item x="446"/>
        <item x="447"/>
        <item x="448"/>
        <item x="451"/>
        <item x="454"/>
        <item x="455"/>
        <item x="457"/>
        <item x="461"/>
        <item x="464"/>
        <item x="465"/>
        <item x="466"/>
        <item x="468"/>
        <item x="469"/>
        <item x="478"/>
        <item x="479"/>
        <item x="483"/>
        <item x="485"/>
        <item x="488"/>
        <item x="489"/>
        <item x="490"/>
        <item x="492"/>
        <item x="494"/>
        <item x="495"/>
        <item x="496"/>
        <item x="498"/>
        <item x="499"/>
        <item x="505"/>
        <item x="508"/>
        <item x="510"/>
        <item x="513"/>
        <item x="515"/>
        <item x="519"/>
        <item x="521"/>
        <item x="526"/>
        <item x="528"/>
        <item x="530"/>
        <item x="533"/>
        <item x="535"/>
        <item x="539"/>
        <item x="540"/>
        <item x="542"/>
        <item x="543"/>
        <item x="547"/>
        <item x="549"/>
        <item x="550"/>
        <item x="551"/>
        <item x="556"/>
        <item x="559"/>
        <item x="562"/>
        <item x="568"/>
        <item x="573"/>
        <item x="575"/>
        <item x="578"/>
        <item x="581"/>
        <item x="587"/>
        <item x="592"/>
        <item x="595"/>
        <item x="596"/>
        <item x="597"/>
        <item x="599"/>
        <item x="602"/>
        <item x="611"/>
        <item x="614"/>
        <item x="615"/>
        <item x="616"/>
        <item x="618"/>
        <item x="620"/>
        <item x="625"/>
        <item x="626"/>
        <item x="631"/>
        <item x="634"/>
        <item x="636"/>
        <item x="639"/>
        <item x="640"/>
        <item x="642"/>
        <item x="643"/>
        <item x="653"/>
        <item x="654"/>
        <item x="658"/>
        <item x="664"/>
        <item x="665"/>
        <item x="668"/>
        <item x="671"/>
        <item x="673"/>
        <item x="679"/>
        <item x="683"/>
        <item x="689"/>
        <item x="691"/>
        <item x="694"/>
        <item x="696"/>
        <item x="704"/>
        <item x="708"/>
        <item x="714"/>
        <item x="720"/>
        <item x="721"/>
        <item x="725"/>
        <item x="728"/>
        <item x="729"/>
        <item x="734"/>
        <item x="735"/>
        <item x="736"/>
        <item x="737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2"/>
        <item x="753"/>
        <item x="756"/>
        <item x="757"/>
        <item x="759"/>
        <item x="761"/>
        <item x="762"/>
        <item x="772"/>
        <item x="773"/>
        <item x="778"/>
        <item x="781"/>
        <item x="785"/>
        <item x="786"/>
        <item x="792"/>
        <item x="793"/>
        <item x="794"/>
        <item x="800"/>
        <item x="802"/>
        <item x="805"/>
        <item x="808"/>
        <item x="811"/>
        <item x="813"/>
        <item x="814"/>
        <item x="821"/>
        <item x="827"/>
        <item x="829"/>
        <item x="831"/>
        <item x="832"/>
        <item x="835"/>
        <item x="842"/>
        <item x="850"/>
        <item x="854"/>
        <item x="856"/>
        <item x="860"/>
        <item x="863"/>
        <item x="864"/>
        <item x="866"/>
        <item x="868"/>
        <item x="870"/>
        <item x="874"/>
        <item x="880"/>
        <item x="884"/>
        <item x="886"/>
        <item x="887"/>
        <item x="889"/>
        <item x="893"/>
        <item x="897"/>
        <item x="899"/>
        <item x="900"/>
        <item x="901"/>
        <item x="902"/>
        <item x="904"/>
        <item x="909"/>
        <item x="913"/>
        <item x="914"/>
        <item x="917"/>
        <item x="923"/>
        <item x="924"/>
        <item x="925"/>
        <item x="926"/>
        <item x="929"/>
        <item x="931"/>
        <item x="935"/>
        <item x="937"/>
        <item x="940"/>
        <item x="943"/>
        <item x="944"/>
        <item x="945"/>
        <item x="946"/>
        <item x="947"/>
        <item x="948"/>
        <item x="950"/>
        <item x="951"/>
        <item x="952"/>
        <item x="953"/>
        <item x="955"/>
        <item x="961"/>
        <item x="966"/>
        <item x="969"/>
        <item x="970"/>
        <item x="973"/>
        <item x="975"/>
        <item x="977"/>
        <item x="980"/>
        <item x="983"/>
        <item x="984"/>
        <item x="986"/>
        <item x="988"/>
        <item x="989"/>
        <item x="990"/>
        <item x="991"/>
        <item x="1"/>
        <item x="2"/>
        <item x="4"/>
        <item x="8"/>
        <item x="9"/>
        <item x="13"/>
        <item x="16"/>
        <item x="20"/>
        <item x="23"/>
        <item x="25"/>
        <item x="26"/>
        <item x="28"/>
        <item x="32"/>
        <item x="34"/>
        <item x="35"/>
        <item x="36"/>
        <item x="37"/>
        <item x="39"/>
        <item x="42"/>
        <item x="43"/>
        <item x="48"/>
        <item x="51"/>
        <item x="52"/>
        <item x="56"/>
        <item x="62"/>
        <item x="68"/>
        <item x="70"/>
        <item x="72"/>
        <item x="82"/>
        <item x="84"/>
        <item x="85"/>
        <item x="86"/>
        <item x="92"/>
        <item x="93"/>
        <item x="95"/>
        <item x="99"/>
        <item x="102"/>
        <item x="103"/>
        <item x="107"/>
        <item x="110"/>
        <item x="112"/>
        <item x="115"/>
        <item x="120"/>
        <item x="122"/>
        <item x="123"/>
        <item x="124"/>
        <item x="125"/>
        <item x="126"/>
        <item x="127"/>
        <item x="129"/>
        <item x="133"/>
        <item x="137"/>
        <item x="139"/>
        <item x="140"/>
        <item x="145"/>
        <item x="147"/>
        <item x="149"/>
        <item x="152"/>
        <item x="153"/>
        <item x="154"/>
        <item x="158"/>
        <item x="160"/>
        <item x="161"/>
        <item x="162"/>
        <item x="164"/>
        <item x="165"/>
        <item x="167"/>
        <item x="168"/>
        <item x="169"/>
        <item x="173"/>
        <item x="174"/>
        <item x="176"/>
        <item x="177"/>
        <item x="178"/>
        <item x="180"/>
        <item x="184"/>
        <item x="186"/>
        <item x="188"/>
        <item x="189"/>
        <item x="191"/>
        <item x="193"/>
        <item x="198"/>
        <item x="199"/>
        <item x="203"/>
        <item x="205"/>
        <item x="207"/>
        <item x="209"/>
        <item x="215"/>
        <item x="221"/>
        <item x="223"/>
        <item x="225"/>
        <item x="229"/>
        <item x="232"/>
        <item x="233"/>
        <item x="236"/>
        <item x="238"/>
        <item x="239"/>
        <item x="241"/>
        <item x="243"/>
        <item x="245"/>
        <item x="247"/>
        <item x="255"/>
        <item x="257"/>
        <item x="260"/>
        <item x="264"/>
        <item x="265"/>
        <item x="267"/>
        <item x="271"/>
        <item x="272"/>
        <item x="276"/>
        <item x="277"/>
        <item x="279"/>
        <item x="280"/>
        <item x="282"/>
        <item x="283"/>
        <item x="285"/>
        <item x="287"/>
        <item x="293"/>
        <item x="299"/>
        <item x="301"/>
        <item x="309"/>
        <item x="312"/>
        <item x="315"/>
        <item x="317"/>
        <item x="318"/>
        <item x="321"/>
        <item x="323"/>
        <item x="332"/>
        <item x="335"/>
        <item x="336"/>
        <item x="337"/>
        <item x="339"/>
        <item x="343"/>
        <item x="344"/>
        <item x="347"/>
        <item x="349"/>
        <item x="350"/>
        <item x="352"/>
        <item x="354"/>
        <item x="355"/>
        <item x="358"/>
        <item x="360"/>
        <item x="361"/>
        <item x="363"/>
        <item x="371"/>
        <item x="372"/>
        <item x="373"/>
        <item x="375"/>
        <item x="376"/>
        <item x="377"/>
        <item x="380"/>
        <item x="381"/>
        <item x="382"/>
        <item x="387"/>
        <item x="389"/>
        <item x="391"/>
        <item x="392"/>
        <item x="393"/>
        <item x="394"/>
        <item x="397"/>
        <item x="400"/>
        <item x="401"/>
        <item x="402"/>
        <item x="403"/>
        <item x="404"/>
        <item x="408"/>
        <item x="412"/>
        <item x="414"/>
        <item x="415"/>
        <item x="418"/>
        <item x="419"/>
        <item x="420"/>
        <item x="421"/>
        <item x="423"/>
        <item x="425"/>
        <item x="429"/>
        <item x="430"/>
        <item x="431"/>
        <item x="433"/>
        <item x="434"/>
        <item x="435"/>
        <item x="438"/>
        <item x="439"/>
        <item x="440"/>
        <item x="441"/>
        <item x="443"/>
        <item x="445"/>
        <item x="449"/>
        <item x="450"/>
        <item x="453"/>
        <item x="458"/>
        <item x="459"/>
        <item x="460"/>
        <item x="462"/>
        <item x="470"/>
        <item x="471"/>
        <item x="472"/>
        <item x="473"/>
        <item x="474"/>
        <item x="475"/>
        <item x="476"/>
        <item x="477"/>
        <item x="480"/>
        <item x="482"/>
        <item x="484"/>
        <item x="486"/>
        <item x="491"/>
        <item x="493"/>
        <item x="500"/>
        <item x="502"/>
        <item x="504"/>
        <item x="506"/>
        <item x="507"/>
        <item x="512"/>
        <item x="516"/>
        <item x="517"/>
        <item x="518"/>
        <item x="520"/>
        <item x="523"/>
        <item x="525"/>
        <item x="527"/>
        <item x="529"/>
        <item x="531"/>
        <item x="532"/>
        <item x="536"/>
        <item x="537"/>
        <item x="541"/>
        <item x="544"/>
        <item x="545"/>
        <item x="546"/>
        <item x="548"/>
        <item x="552"/>
        <item x="553"/>
        <item x="554"/>
        <item x="555"/>
        <item x="557"/>
        <item x="558"/>
        <item x="560"/>
        <item x="561"/>
        <item x="564"/>
        <item x="565"/>
        <item x="566"/>
        <item x="570"/>
        <item x="571"/>
        <item x="572"/>
        <item x="574"/>
        <item x="577"/>
        <item x="580"/>
        <item x="582"/>
        <item x="583"/>
        <item x="584"/>
        <item x="586"/>
        <item x="588"/>
        <item x="590"/>
        <item x="591"/>
        <item x="593"/>
        <item x="594"/>
        <item x="598"/>
        <item x="600"/>
        <item x="601"/>
        <item x="603"/>
        <item x="604"/>
        <item x="605"/>
        <item x="607"/>
        <item x="609"/>
        <item x="610"/>
        <item x="612"/>
        <item x="613"/>
        <item x="617"/>
        <item x="619"/>
        <item x="621"/>
        <item x="622"/>
        <item x="623"/>
        <item x="627"/>
        <item x="628"/>
        <item x="629"/>
        <item x="630"/>
        <item x="633"/>
        <item x="638"/>
        <item x="644"/>
        <item x="646"/>
        <item x="647"/>
        <item x="648"/>
        <item x="649"/>
        <item x="651"/>
        <item x="652"/>
        <item x="655"/>
        <item x="656"/>
        <item x="657"/>
        <item x="659"/>
        <item x="661"/>
        <item x="663"/>
        <item x="666"/>
        <item x="667"/>
        <item x="674"/>
        <item x="675"/>
        <item x="676"/>
        <item x="677"/>
        <item x="678"/>
        <item x="682"/>
        <item x="684"/>
        <item x="685"/>
        <item x="686"/>
        <item x="687"/>
        <item x="688"/>
        <item x="695"/>
        <item x="697"/>
        <item x="699"/>
        <item x="701"/>
        <item x="703"/>
        <item x="705"/>
        <item x="707"/>
        <item x="711"/>
        <item x="712"/>
        <item x="713"/>
        <item x="715"/>
        <item x="717"/>
        <item x="723"/>
        <item x="726"/>
        <item x="731"/>
        <item x="747"/>
        <item x="751"/>
        <item x="754"/>
        <item x="755"/>
        <item x="758"/>
        <item x="760"/>
        <item x="763"/>
        <item x="766"/>
        <item x="767"/>
        <item x="768"/>
        <item x="769"/>
        <item x="770"/>
        <item x="771"/>
        <item x="774"/>
        <item x="777"/>
        <item x="779"/>
        <item x="780"/>
        <item x="782"/>
        <item x="784"/>
        <item x="787"/>
        <item x="789"/>
        <item x="790"/>
        <item x="791"/>
        <item x="795"/>
        <item x="797"/>
        <item x="798"/>
        <item x="799"/>
        <item x="804"/>
        <item x="809"/>
        <item x="812"/>
        <item x="816"/>
        <item x="818"/>
        <item x="819"/>
        <item x="820"/>
        <item x="824"/>
        <item x="825"/>
        <item x="826"/>
        <item x="828"/>
        <item x="830"/>
        <item x="833"/>
        <item x="834"/>
        <item x="836"/>
        <item x="838"/>
        <item x="841"/>
        <item x="843"/>
        <item x="844"/>
        <item x="846"/>
        <item x="847"/>
        <item x="848"/>
        <item x="849"/>
        <item x="851"/>
        <item x="852"/>
        <item x="855"/>
        <item x="857"/>
        <item x="858"/>
        <item x="859"/>
        <item x="861"/>
        <item x="865"/>
        <item x="867"/>
        <item x="871"/>
        <item x="873"/>
        <item x="875"/>
        <item x="876"/>
        <item x="877"/>
        <item x="879"/>
        <item x="881"/>
        <item x="883"/>
        <item x="885"/>
        <item x="888"/>
        <item x="890"/>
        <item x="892"/>
        <item x="894"/>
        <item x="895"/>
        <item x="896"/>
        <item x="898"/>
        <item x="903"/>
        <item x="905"/>
        <item x="906"/>
        <item x="908"/>
        <item x="912"/>
        <item x="916"/>
        <item x="918"/>
        <item x="919"/>
        <item x="922"/>
        <item x="927"/>
        <item x="930"/>
        <item x="932"/>
        <item x="933"/>
        <item x="938"/>
        <item x="942"/>
        <item x="949"/>
        <item x="956"/>
        <item x="957"/>
        <item x="960"/>
        <item x="962"/>
        <item x="964"/>
        <item x="971"/>
        <item x="972"/>
        <item x="974"/>
        <item x="976"/>
        <item x="978"/>
        <item x="981"/>
        <item x="982"/>
        <item x="985"/>
        <item x="987"/>
        <item x="992"/>
        <item x="995"/>
        <item x="997"/>
        <item x="999"/>
        <item x="1000"/>
        <item t="default"/>
      </items>
    </pivotField>
    <pivotField showAll="0"/>
    <pivotField showAll="0"/>
    <pivotField showAll="0"/>
    <pivotField axis="axisRow" showAll="0">
      <items count="7">
        <item h="1"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n="Employees who stayed" x="0"/>
        <item n="Employees who left"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Fields count="1">
    <field x="29"/>
  </colFields>
  <colItems count="3">
    <i>
      <x/>
    </i>
    <i>
      <x v="1"/>
    </i>
    <i t="grand">
      <x/>
    </i>
  </colItems>
  <dataFields count="1">
    <dataField name="Age Gro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0C782-3186-47EA-AAB1-66FEF58CC44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mployment Status">
  <location ref="A4:B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ttrition Rate (%)" fld="30" subtotal="average" baseField="19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C10BC-0345-4631-9069-75EAFF29AFE7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 rowHeaderCaption="Department">
  <location ref="A5:B11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>
      <items count="29">
        <item x="0"/>
        <item x="6"/>
        <item x="12"/>
        <item x="4"/>
        <item x="8"/>
        <item x="17"/>
        <item x="20"/>
        <item x="13"/>
        <item x="3"/>
        <item x="21"/>
        <item x="2"/>
        <item x="10"/>
        <item x="22"/>
        <item x="14"/>
        <item x="26"/>
        <item x="23"/>
        <item x="7"/>
        <item x="19"/>
        <item x="15"/>
        <item x="18"/>
        <item x="11"/>
        <item x="16"/>
        <item x="24"/>
        <item x="9"/>
        <item x="25"/>
        <item x="1"/>
        <item x="5"/>
        <item x="27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7">
        <item x="1"/>
        <item x="0"/>
        <item x="3"/>
        <item x="4"/>
        <item x="2"/>
        <item x="5"/>
        <item t="default"/>
      </items>
    </pivotField>
    <pivotField axis="axisRow" showAll="0" sortType="descending">
      <items count="7">
        <item h="1" x="5"/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countASubtotal="1">
      <items count="4">
        <item x="0"/>
        <item x="1"/>
        <item x="2"/>
        <item t="countA"/>
      </items>
    </pivotField>
  </pivotFields>
  <rowFields count="1">
    <field x="10"/>
  </rowFields>
  <rowItems count="6">
    <i>
      <x v="2"/>
    </i>
    <i>
      <x v="4"/>
    </i>
    <i>
      <x v="1"/>
    </i>
    <i>
      <x v="3"/>
    </i>
    <i>
      <x v="5"/>
    </i>
    <i t="grand">
      <x/>
    </i>
  </rowItems>
  <colItems count="1">
    <i/>
  </colItems>
  <dataFields count="1">
    <dataField name="Job_Satisfaction/Department" fld="27" subtotal="average" baseField="10" baseItem="2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3301C-11C6-478A-A22B-085C8399A17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b Satisfaction">
  <location ref="A20:C26" firstHeaderRow="0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dataField="1" showAll="0"/>
  </pivotFields>
  <rowFields count="1">
    <field x="2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" fld="0" subtotal="count" baseField="0" baseItem="0"/>
    <dataField name="Employees Left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2B6094-20C9-4730-97E7-951805F46F57}" name="Table2" displayName="Table2" ref="A13:D18" totalsRowCount="1" headerRowDxfId="4">
  <autoFilter ref="A13:D17" xr:uid="{FC2B6094-20C9-4730-97E7-951805F46F57}"/>
  <tableColumns count="4">
    <tableColumn id="1" xr3:uid="{94D4E1EE-F711-4B25-A695-1D4F1B25E1CA}" name="Age Group"/>
    <tableColumn id="2" xr3:uid="{48704591-66D7-432B-A436-9E5EE1A26822}" name="Total Employees"/>
    <tableColumn id="3" xr3:uid="{13F69C45-A04F-420D-ABDD-29EA479027A2}" name="Employees Left"/>
    <tableColumn id="4" xr3:uid="{11475DF6-1E79-4DC4-9D0D-B28B69EB2D4B}" name="Attrition Rate (%)" dataDxfId="3" totalsRowDxfId="2">
      <calculatedColumnFormula>C14/B14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388974-EC77-4885-B158-87974D877B87}" name="Table3" displayName="Table3" ref="A30:D36" totalsRowShown="0">
  <autoFilter ref="A30:D36" xr:uid="{F6388974-EC77-4885-B158-87974D877B87}"/>
  <tableColumns count="4">
    <tableColumn id="1" xr3:uid="{A9B53DAA-ED9F-4072-BCDB-44A7047943DE}" name="Job Satisfaction Score"/>
    <tableColumn id="2" xr3:uid="{68DE34F9-0E66-4195-8D04-24F5F65CD440}" name="Employees"/>
    <tableColumn id="3" xr3:uid="{926B3049-EF95-46DE-B11D-12E2D8FCE522}" name="Employees Left"/>
    <tableColumn id="4" xr3:uid="{2B764F07-5AA6-412B-BB3E-B49FBAE66CD6}" name="Attrition Rate" dataCellStyle="Percent">
      <calculatedColumnFormula>Table3[[#This Row],[Employees Left]]/Table3[[#This Row],[Employees]]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ve.parker@saltcorp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E2DE-2DD6-4EEE-828D-F3ECA65E388F}">
  <dimension ref="A1:X1001"/>
  <sheetViews>
    <sheetView workbookViewId="0">
      <selection activeCell="A8" sqref="A8:XFD8"/>
    </sheetView>
  </sheetViews>
  <sheetFormatPr defaultRowHeight="14.5" x14ac:dyDescent="0.35"/>
  <cols>
    <col min="1" max="1" width="15.54296875" customWidth="1"/>
    <col min="10" max="10" width="13.453125" customWidth="1"/>
    <col min="12" max="12" width="12.8164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>
        <v>25</v>
      </c>
      <c r="E2">
        <v>1999</v>
      </c>
      <c r="F2">
        <v>50000</v>
      </c>
      <c r="G2" t="s">
        <v>27</v>
      </c>
      <c r="H2" t="s">
        <v>28</v>
      </c>
      <c r="I2" t="s">
        <v>29</v>
      </c>
      <c r="J2" s="14">
        <v>43195</v>
      </c>
      <c r="K2" t="s">
        <v>30</v>
      </c>
      <c r="L2">
        <v>64</v>
      </c>
      <c r="M2" t="s">
        <v>31</v>
      </c>
      <c r="O2" t="s">
        <v>32</v>
      </c>
      <c r="Q2">
        <v>4</v>
      </c>
      <c r="S2">
        <v>0</v>
      </c>
      <c r="V2" t="s">
        <v>33</v>
      </c>
      <c r="W2">
        <v>4</v>
      </c>
      <c r="X2" t="s">
        <v>34</v>
      </c>
    </row>
    <row r="3" spans="1:24" x14ac:dyDescent="0.35">
      <c r="A3" t="s">
        <v>35</v>
      </c>
      <c r="B3" t="s">
        <v>36</v>
      </c>
      <c r="C3" t="s">
        <v>37</v>
      </c>
      <c r="E3">
        <v>1983</v>
      </c>
      <c r="F3">
        <v>65000</v>
      </c>
      <c r="G3" t="s">
        <v>38</v>
      </c>
      <c r="H3" t="s">
        <v>39</v>
      </c>
      <c r="I3" t="s">
        <v>40</v>
      </c>
      <c r="J3" s="14">
        <v>43881</v>
      </c>
      <c r="K3" t="s">
        <v>41</v>
      </c>
      <c r="L3">
        <v>5</v>
      </c>
      <c r="M3" t="s">
        <v>42</v>
      </c>
      <c r="N3" t="s">
        <v>43</v>
      </c>
      <c r="O3" t="s">
        <v>44</v>
      </c>
      <c r="Q3">
        <v>8</v>
      </c>
      <c r="R3">
        <v>3</v>
      </c>
      <c r="S3">
        <v>15</v>
      </c>
      <c r="U3">
        <v>14</v>
      </c>
      <c r="V3" t="s">
        <v>45</v>
      </c>
      <c r="W3">
        <v>1</v>
      </c>
      <c r="X3" t="s">
        <v>46</v>
      </c>
    </row>
    <row r="4" spans="1:24" x14ac:dyDescent="0.35">
      <c r="A4" t="s">
        <v>47</v>
      </c>
      <c r="B4" t="s">
        <v>48</v>
      </c>
      <c r="C4" t="s">
        <v>49</v>
      </c>
      <c r="D4">
        <v>35</v>
      </c>
      <c r="E4">
        <v>1989</v>
      </c>
      <c r="F4" t="s">
        <v>50</v>
      </c>
      <c r="G4" t="s">
        <v>38</v>
      </c>
      <c r="H4" t="s">
        <v>51</v>
      </c>
      <c r="I4" t="s">
        <v>40</v>
      </c>
      <c r="J4" s="14">
        <v>43845</v>
      </c>
      <c r="K4" t="s">
        <v>52</v>
      </c>
      <c r="L4">
        <v>70</v>
      </c>
      <c r="M4" t="s">
        <v>53</v>
      </c>
      <c r="N4" t="s">
        <v>54</v>
      </c>
      <c r="O4" t="s">
        <v>44</v>
      </c>
      <c r="Q4">
        <v>6</v>
      </c>
      <c r="R4">
        <v>15</v>
      </c>
      <c r="T4" t="s">
        <v>1937</v>
      </c>
      <c r="V4" t="s">
        <v>33</v>
      </c>
      <c r="W4">
        <v>5</v>
      </c>
      <c r="X4" t="s">
        <v>34</v>
      </c>
    </row>
    <row r="5" spans="1:24" x14ac:dyDescent="0.35">
      <c r="A5" t="s">
        <v>55</v>
      </c>
      <c r="B5" t="s">
        <v>56</v>
      </c>
      <c r="C5" t="s">
        <v>57</v>
      </c>
      <c r="E5">
        <v>1976</v>
      </c>
      <c r="F5">
        <v>50000</v>
      </c>
      <c r="G5" t="s">
        <v>38</v>
      </c>
      <c r="H5" t="s">
        <v>58</v>
      </c>
      <c r="I5" t="s">
        <v>29</v>
      </c>
      <c r="J5" s="14">
        <v>43195</v>
      </c>
      <c r="K5" t="s">
        <v>59</v>
      </c>
      <c r="L5">
        <v>93</v>
      </c>
      <c r="M5" t="s">
        <v>60</v>
      </c>
      <c r="N5" t="s">
        <v>61</v>
      </c>
      <c r="O5" t="s">
        <v>32</v>
      </c>
      <c r="Q5">
        <v>5</v>
      </c>
      <c r="R5">
        <v>12</v>
      </c>
      <c r="S5">
        <v>11</v>
      </c>
      <c r="T5" t="s">
        <v>1937</v>
      </c>
      <c r="V5" t="s">
        <v>46</v>
      </c>
      <c r="W5">
        <v>2</v>
      </c>
      <c r="X5" t="s">
        <v>46</v>
      </c>
    </row>
    <row r="6" spans="1:24" x14ac:dyDescent="0.35">
      <c r="A6" t="s">
        <v>62</v>
      </c>
      <c r="B6" t="s">
        <v>25</v>
      </c>
      <c r="C6" t="s">
        <v>63</v>
      </c>
      <c r="E6">
        <v>1973</v>
      </c>
      <c r="F6">
        <v>59500</v>
      </c>
      <c r="G6" t="s">
        <v>38</v>
      </c>
      <c r="H6" t="s">
        <v>64</v>
      </c>
      <c r="I6" t="s">
        <v>29</v>
      </c>
      <c r="J6" s="14">
        <v>43845</v>
      </c>
      <c r="K6" t="s">
        <v>41</v>
      </c>
      <c r="L6">
        <v>14</v>
      </c>
      <c r="M6" t="s">
        <v>65</v>
      </c>
      <c r="N6" t="s">
        <v>54</v>
      </c>
      <c r="O6" t="s">
        <v>66</v>
      </c>
      <c r="Q6">
        <v>3</v>
      </c>
      <c r="R6">
        <v>4</v>
      </c>
      <c r="T6" s="14">
        <v>44941</v>
      </c>
      <c r="U6">
        <v>47</v>
      </c>
      <c r="W6">
        <v>1</v>
      </c>
      <c r="X6" t="s">
        <v>34</v>
      </c>
    </row>
    <row r="7" spans="1:24" x14ac:dyDescent="0.35">
      <c r="A7" t="s">
        <v>67</v>
      </c>
      <c r="B7" t="s">
        <v>68</v>
      </c>
      <c r="C7" t="s">
        <v>69</v>
      </c>
      <c r="E7">
        <v>1971</v>
      </c>
      <c r="F7">
        <v>65000</v>
      </c>
      <c r="G7" t="s">
        <v>27</v>
      </c>
      <c r="H7" t="s">
        <v>70</v>
      </c>
      <c r="I7" t="s">
        <v>40</v>
      </c>
      <c r="J7" s="14">
        <v>43549</v>
      </c>
      <c r="K7" t="s">
        <v>41</v>
      </c>
      <c r="L7">
        <v>48</v>
      </c>
      <c r="M7" t="s">
        <v>71</v>
      </c>
      <c r="O7" t="s">
        <v>72</v>
      </c>
      <c r="Q7">
        <v>3</v>
      </c>
      <c r="T7" s="14">
        <v>44732</v>
      </c>
      <c r="V7" t="s">
        <v>73</v>
      </c>
      <c r="W7">
        <v>5</v>
      </c>
      <c r="X7" t="s">
        <v>34</v>
      </c>
    </row>
    <row r="8" spans="1:24" x14ac:dyDescent="0.35">
      <c r="A8" t="s">
        <v>74</v>
      </c>
      <c r="B8" t="s">
        <v>75</v>
      </c>
      <c r="C8" t="s">
        <v>76</v>
      </c>
      <c r="E8">
        <v>1991</v>
      </c>
      <c r="F8">
        <v>50000</v>
      </c>
      <c r="G8" t="s">
        <v>27</v>
      </c>
      <c r="H8" t="s">
        <v>70</v>
      </c>
      <c r="I8" t="s">
        <v>77</v>
      </c>
      <c r="J8" s="14">
        <v>43800</v>
      </c>
      <c r="K8" t="s">
        <v>78</v>
      </c>
      <c r="L8">
        <v>86</v>
      </c>
      <c r="N8" t="s">
        <v>43</v>
      </c>
      <c r="O8" t="s">
        <v>72</v>
      </c>
      <c r="Q8">
        <v>5</v>
      </c>
      <c r="R8" t="s">
        <v>79</v>
      </c>
      <c r="S8">
        <v>0</v>
      </c>
      <c r="T8" t="s">
        <v>1937</v>
      </c>
      <c r="V8" t="s">
        <v>46</v>
      </c>
      <c r="W8">
        <v>4</v>
      </c>
      <c r="X8" t="s">
        <v>46</v>
      </c>
    </row>
    <row r="9" spans="1:24" x14ac:dyDescent="0.35">
      <c r="A9" t="s">
        <v>80</v>
      </c>
      <c r="B9" t="s">
        <v>25</v>
      </c>
      <c r="C9" t="s">
        <v>81</v>
      </c>
      <c r="D9">
        <v>40</v>
      </c>
      <c r="E9">
        <v>1984</v>
      </c>
      <c r="F9">
        <v>50000</v>
      </c>
      <c r="G9" t="s">
        <v>38</v>
      </c>
      <c r="H9" t="s">
        <v>82</v>
      </c>
      <c r="I9" t="s">
        <v>40</v>
      </c>
      <c r="J9" s="14">
        <v>43549</v>
      </c>
      <c r="K9" t="s">
        <v>52</v>
      </c>
      <c r="L9">
        <v>71</v>
      </c>
      <c r="N9" t="s">
        <v>61</v>
      </c>
      <c r="O9" t="s">
        <v>72</v>
      </c>
      <c r="Q9">
        <v>2</v>
      </c>
      <c r="V9" t="s">
        <v>73</v>
      </c>
      <c r="W9">
        <v>3</v>
      </c>
      <c r="X9" t="s">
        <v>34</v>
      </c>
    </row>
    <row r="10" spans="1:24" x14ac:dyDescent="0.35">
      <c r="A10" t="s">
        <v>83</v>
      </c>
      <c r="B10" t="s">
        <v>48</v>
      </c>
      <c r="C10" t="s">
        <v>84</v>
      </c>
      <c r="D10">
        <v>40</v>
      </c>
      <c r="E10">
        <v>1984</v>
      </c>
      <c r="F10" t="s">
        <v>50</v>
      </c>
      <c r="G10" t="s">
        <v>38</v>
      </c>
      <c r="H10" t="s">
        <v>70</v>
      </c>
      <c r="I10" t="s">
        <v>29</v>
      </c>
      <c r="J10" s="14">
        <v>43845</v>
      </c>
      <c r="K10" t="s">
        <v>52</v>
      </c>
      <c r="L10">
        <v>75</v>
      </c>
      <c r="M10" t="s">
        <v>85</v>
      </c>
      <c r="N10" t="s">
        <v>43</v>
      </c>
      <c r="O10" t="s">
        <v>32</v>
      </c>
      <c r="Q10">
        <v>8</v>
      </c>
      <c r="W10">
        <v>2</v>
      </c>
      <c r="X10" t="s">
        <v>34</v>
      </c>
    </row>
    <row r="11" spans="1:24" x14ac:dyDescent="0.35">
      <c r="A11" t="s">
        <v>86</v>
      </c>
      <c r="B11" t="s">
        <v>56</v>
      </c>
      <c r="C11" t="s">
        <v>87</v>
      </c>
      <c r="D11" t="s">
        <v>88</v>
      </c>
      <c r="E11">
        <v>1994</v>
      </c>
      <c r="F11">
        <v>58500</v>
      </c>
      <c r="G11" t="s">
        <v>38</v>
      </c>
      <c r="H11" t="s">
        <v>39</v>
      </c>
      <c r="I11" t="s">
        <v>89</v>
      </c>
      <c r="J11" s="14">
        <v>43881</v>
      </c>
      <c r="K11" t="s">
        <v>59</v>
      </c>
      <c r="L11">
        <v>90</v>
      </c>
      <c r="N11" t="s">
        <v>61</v>
      </c>
      <c r="O11" t="s">
        <v>44</v>
      </c>
      <c r="P11" t="s">
        <v>90</v>
      </c>
      <c r="Q11">
        <v>3</v>
      </c>
      <c r="S11">
        <v>4</v>
      </c>
      <c r="T11" s="14">
        <v>45516</v>
      </c>
      <c r="U11">
        <v>65</v>
      </c>
      <c r="V11" t="s">
        <v>73</v>
      </c>
      <c r="W11">
        <v>5</v>
      </c>
      <c r="X11" t="s">
        <v>34</v>
      </c>
    </row>
    <row r="12" spans="1:24" x14ac:dyDescent="0.35">
      <c r="A12" t="s">
        <v>91</v>
      </c>
      <c r="B12" t="s">
        <v>36</v>
      </c>
      <c r="C12" t="s">
        <v>92</v>
      </c>
      <c r="D12">
        <v>25</v>
      </c>
      <c r="E12">
        <v>1999</v>
      </c>
      <c r="F12">
        <v>70000</v>
      </c>
      <c r="G12" t="s">
        <v>27</v>
      </c>
      <c r="H12" t="s">
        <v>93</v>
      </c>
      <c r="I12" t="s">
        <v>94</v>
      </c>
      <c r="J12" s="14">
        <v>43800</v>
      </c>
      <c r="K12" t="s">
        <v>78</v>
      </c>
      <c r="L12">
        <v>81</v>
      </c>
      <c r="N12" t="s">
        <v>43</v>
      </c>
      <c r="O12" t="s">
        <v>32</v>
      </c>
      <c r="Q12">
        <v>5</v>
      </c>
      <c r="R12" t="s">
        <v>79</v>
      </c>
      <c r="T12" s="14">
        <v>45516</v>
      </c>
      <c r="V12" t="s">
        <v>45</v>
      </c>
      <c r="W12">
        <v>1</v>
      </c>
      <c r="X12" t="s">
        <v>34</v>
      </c>
    </row>
    <row r="13" spans="1:24" x14ac:dyDescent="0.35">
      <c r="A13" t="s">
        <v>95</v>
      </c>
      <c r="B13" t="s">
        <v>48</v>
      </c>
      <c r="C13" t="s">
        <v>96</v>
      </c>
      <c r="E13">
        <v>1987</v>
      </c>
      <c r="F13">
        <v>70000</v>
      </c>
      <c r="G13" t="s">
        <v>38</v>
      </c>
      <c r="H13" t="s">
        <v>64</v>
      </c>
      <c r="I13" t="s">
        <v>89</v>
      </c>
      <c r="J13" s="14">
        <v>43549</v>
      </c>
      <c r="K13" t="s">
        <v>59</v>
      </c>
      <c r="L13">
        <v>100</v>
      </c>
      <c r="M13" t="s">
        <v>97</v>
      </c>
      <c r="O13" t="s">
        <v>32</v>
      </c>
      <c r="Q13">
        <v>3</v>
      </c>
      <c r="R13">
        <v>1</v>
      </c>
      <c r="S13">
        <v>15</v>
      </c>
      <c r="V13" t="s">
        <v>46</v>
      </c>
      <c r="W13">
        <v>3</v>
      </c>
      <c r="X13" t="s">
        <v>46</v>
      </c>
    </row>
    <row r="14" spans="1:24" x14ac:dyDescent="0.35">
      <c r="A14" t="s">
        <v>98</v>
      </c>
      <c r="B14" t="s">
        <v>48</v>
      </c>
      <c r="C14" t="s">
        <v>99</v>
      </c>
      <c r="D14" t="s">
        <v>88</v>
      </c>
      <c r="E14">
        <v>1994</v>
      </c>
      <c r="F14">
        <v>50000</v>
      </c>
      <c r="G14" t="s">
        <v>27</v>
      </c>
      <c r="H14" t="s">
        <v>58</v>
      </c>
      <c r="I14" t="s">
        <v>89</v>
      </c>
      <c r="J14" s="14">
        <v>43195</v>
      </c>
      <c r="K14" t="s">
        <v>30</v>
      </c>
      <c r="L14">
        <v>64</v>
      </c>
      <c r="N14" t="s">
        <v>61</v>
      </c>
      <c r="O14" t="s">
        <v>100</v>
      </c>
      <c r="P14" t="s">
        <v>101</v>
      </c>
      <c r="Q14">
        <v>6</v>
      </c>
      <c r="T14" s="14">
        <v>44470</v>
      </c>
      <c r="V14" t="s">
        <v>45</v>
      </c>
      <c r="W14">
        <v>2</v>
      </c>
      <c r="X14" t="s">
        <v>34</v>
      </c>
    </row>
    <row r="15" spans="1:24" x14ac:dyDescent="0.35">
      <c r="A15" t="s">
        <v>102</v>
      </c>
      <c r="B15" t="s">
        <v>75</v>
      </c>
      <c r="C15" t="s">
        <v>103</v>
      </c>
      <c r="D15">
        <v>25</v>
      </c>
      <c r="E15">
        <v>1999</v>
      </c>
      <c r="F15">
        <v>55000</v>
      </c>
      <c r="G15" t="s">
        <v>27</v>
      </c>
      <c r="H15" t="s">
        <v>82</v>
      </c>
      <c r="I15" t="s">
        <v>29</v>
      </c>
      <c r="J15" s="14">
        <v>43881</v>
      </c>
      <c r="K15" t="s">
        <v>41</v>
      </c>
      <c r="L15">
        <v>29</v>
      </c>
      <c r="N15" t="s">
        <v>104</v>
      </c>
      <c r="O15" t="s">
        <v>44</v>
      </c>
      <c r="P15" t="s">
        <v>105</v>
      </c>
      <c r="Q15">
        <v>2</v>
      </c>
      <c r="R15">
        <v>3</v>
      </c>
      <c r="S15">
        <v>18</v>
      </c>
      <c r="V15" t="s">
        <v>46</v>
      </c>
      <c r="W15">
        <v>2</v>
      </c>
      <c r="X15" t="s">
        <v>34</v>
      </c>
    </row>
    <row r="16" spans="1:24" x14ac:dyDescent="0.35">
      <c r="A16" t="s">
        <v>106</v>
      </c>
      <c r="B16" t="s">
        <v>107</v>
      </c>
      <c r="C16" t="s">
        <v>108</v>
      </c>
      <c r="D16">
        <v>50</v>
      </c>
      <c r="E16">
        <v>1974</v>
      </c>
      <c r="F16">
        <v>60500</v>
      </c>
      <c r="G16" t="s">
        <v>27</v>
      </c>
      <c r="H16" t="s">
        <v>70</v>
      </c>
      <c r="I16" t="s">
        <v>40</v>
      </c>
      <c r="J16" s="14">
        <v>43549</v>
      </c>
      <c r="K16" t="s">
        <v>59</v>
      </c>
      <c r="L16">
        <v>100</v>
      </c>
      <c r="N16" t="s">
        <v>43</v>
      </c>
      <c r="O16" t="s">
        <v>100</v>
      </c>
      <c r="Q16">
        <v>4</v>
      </c>
      <c r="R16">
        <v>7</v>
      </c>
      <c r="S16">
        <v>20</v>
      </c>
      <c r="U16">
        <v>23</v>
      </c>
      <c r="V16" t="s">
        <v>34</v>
      </c>
      <c r="W16">
        <v>4</v>
      </c>
      <c r="X16" t="s">
        <v>34</v>
      </c>
    </row>
    <row r="17" spans="1:24" x14ac:dyDescent="0.35">
      <c r="A17" t="s">
        <v>109</v>
      </c>
      <c r="B17" t="s">
        <v>56</v>
      </c>
      <c r="C17" t="s">
        <v>110</v>
      </c>
      <c r="D17">
        <v>35</v>
      </c>
      <c r="E17">
        <v>1989</v>
      </c>
      <c r="F17">
        <v>65000</v>
      </c>
      <c r="G17" t="s">
        <v>27</v>
      </c>
      <c r="H17" t="s">
        <v>64</v>
      </c>
      <c r="I17" t="s">
        <v>77</v>
      </c>
      <c r="J17" s="14">
        <v>43195</v>
      </c>
      <c r="K17" t="s">
        <v>41</v>
      </c>
      <c r="L17">
        <v>40</v>
      </c>
      <c r="M17" t="s">
        <v>111</v>
      </c>
      <c r="N17" t="s">
        <v>43</v>
      </c>
      <c r="O17" t="s">
        <v>112</v>
      </c>
      <c r="Q17">
        <v>6</v>
      </c>
      <c r="R17" t="s">
        <v>79</v>
      </c>
      <c r="T17" s="14">
        <v>44990</v>
      </c>
      <c r="U17">
        <v>71</v>
      </c>
      <c r="V17" t="s">
        <v>33</v>
      </c>
      <c r="W17">
        <v>2</v>
      </c>
      <c r="X17" t="s">
        <v>34</v>
      </c>
    </row>
    <row r="18" spans="1:24" x14ac:dyDescent="0.35">
      <c r="A18" t="s">
        <v>113</v>
      </c>
      <c r="B18" t="s">
        <v>114</v>
      </c>
      <c r="C18" t="s">
        <v>115</v>
      </c>
      <c r="D18">
        <v>40</v>
      </c>
      <c r="E18">
        <v>1984</v>
      </c>
      <c r="F18">
        <v>55000</v>
      </c>
      <c r="G18" t="s">
        <v>38</v>
      </c>
      <c r="H18" t="s">
        <v>51</v>
      </c>
      <c r="I18" t="s">
        <v>89</v>
      </c>
      <c r="J18" s="14">
        <v>43845</v>
      </c>
      <c r="K18" t="s">
        <v>78</v>
      </c>
      <c r="L18">
        <v>88</v>
      </c>
      <c r="N18" t="s">
        <v>54</v>
      </c>
      <c r="O18" t="s">
        <v>44</v>
      </c>
      <c r="Q18">
        <v>4</v>
      </c>
      <c r="R18">
        <v>9</v>
      </c>
      <c r="T18" s="14">
        <v>44732</v>
      </c>
      <c r="W18">
        <v>2</v>
      </c>
      <c r="X18" t="s">
        <v>34</v>
      </c>
    </row>
    <row r="19" spans="1:24" x14ac:dyDescent="0.35">
      <c r="A19" t="s">
        <v>116</v>
      </c>
      <c r="B19" t="s">
        <v>48</v>
      </c>
      <c r="C19" t="s">
        <v>117</v>
      </c>
      <c r="D19">
        <v>50</v>
      </c>
      <c r="E19">
        <v>1974</v>
      </c>
      <c r="F19">
        <v>55000</v>
      </c>
      <c r="G19" t="s">
        <v>27</v>
      </c>
      <c r="H19" t="s">
        <v>28</v>
      </c>
      <c r="I19" t="s">
        <v>40</v>
      </c>
      <c r="J19" s="14">
        <v>43195</v>
      </c>
      <c r="K19" t="s">
        <v>30</v>
      </c>
      <c r="L19">
        <v>63</v>
      </c>
      <c r="M19" t="s">
        <v>118</v>
      </c>
      <c r="N19" t="s">
        <v>61</v>
      </c>
      <c r="O19" t="s">
        <v>44</v>
      </c>
      <c r="P19" t="s">
        <v>119</v>
      </c>
      <c r="Q19">
        <v>5</v>
      </c>
      <c r="T19" s="14">
        <v>44941</v>
      </c>
      <c r="W19">
        <v>1</v>
      </c>
      <c r="X19" t="s">
        <v>46</v>
      </c>
    </row>
    <row r="20" spans="1:24" x14ac:dyDescent="0.35">
      <c r="A20" t="s">
        <v>120</v>
      </c>
      <c r="B20" t="s">
        <v>107</v>
      </c>
      <c r="C20" t="s">
        <v>121</v>
      </c>
      <c r="D20">
        <v>25</v>
      </c>
      <c r="E20">
        <v>1999</v>
      </c>
      <c r="F20">
        <v>58600</v>
      </c>
      <c r="G20" t="s">
        <v>38</v>
      </c>
      <c r="H20" t="s">
        <v>122</v>
      </c>
      <c r="I20" t="s">
        <v>77</v>
      </c>
      <c r="J20" s="14">
        <v>43549</v>
      </c>
      <c r="K20" t="s">
        <v>78</v>
      </c>
      <c r="L20">
        <v>80</v>
      </c>
      <c r="M20" t="s">
        <v>123</v>
      </c>
      <c r="N20" t="s">
        <v>104</v>
      </c>
      <c r="O20" t="s">
        <v>44</v>
      </c>
      <c r="Q20">
        <v>7</v>
      </c>
      <c r="R20" t="s">
        <v>79</v>
      </c>
      <c r="S20">
        <v>15</v>
      </c>
      <c r="U20">
        <v>26</v>
      </c>
      <c r="V20" t="s">
        <v>45</v>
      </c>
      <c r="W20">
        <v>4</v>
      </c>
      <c r="X20" t="s">
        <v>34</v>
      </c>
    </row>
    <row r="21" spans="1:24" x14ac:dyDescent="0.35">
      <c r="A21" t="s">
        <v>124</v>
      </c>
      <c r="B21" t="s">
        <v>114</v>
      </c>
      <c r="C21" t="s">
        <v>125</v>
      </c>
      <c r="D21">
        <v>50</v>
      </c>
      <c r="E21">
        <v>1974</v>
      </c>
      <c r="F21">
        <v>50000</v>
      </c>
      <c r="G21" t="s">
        <v>38</v>
      </c>
      <c r="H21" t="s">
        <v>39</v>
      </c>
      <c r="I21" t="s">
        <v>89</v>
      </c>
      <c r="J21" s="14">
        <v>43549</v>
      </c>
      <c r="K21" t="s">
        <v>30</v>
      </c>
      <c r="L21">
        <v>61</v>
      </c>
      <c r="M21" t="s">
        <v>126</v>
      </c>
      <c r="O21" t="s">
        <v>72</v>
      </c>
      <c r="P21" t="s">
        <v>127</v>
      </c>
      <c r="Q21">
        <v>6</v>
      </c>
      <c r="S21">
        <v>1</v>
      </c>
      <c r="U21">
        <v>53</v>
      </c>
      <c r="V21" t="s">
        <v>46</v>
      </c>
      <c r="W21">
        <v>3</v>
      </c>
      <c r="X21" t="s">
        <v>34</v>
      </c>
    </row>
    <row r="22" spans="1:24" x14ac:dyDescent="0.35">
      <c r="A22" t="s">
        <v>128</v>
      </c>
      <c r="B22" t="s">
        <v>56</v>
      </c>
      <c r="C22" t="s">
        <v>87</v>
      </c>
      <c r="D22">
        <v>35</v>
      </c>
      <c r="E22">
        <v>1989</v>
      </c>
      <c r="F22">
        <v>50000</v>
      </c>
      <c r="G22" t="s">
        <v>38</v>
      </c>
      <c r="H22" t="s">
        <v>122</v>
      </c>
      <c r="I22" t="s">
        <v>77</v>
      </c>
      <c r="J22" s="14">
        <v>43845</v>
      </c>
      <c r="K22" t="s">
        <v>30</v>
      </c>
      <c r="L22">
        <v>67</v>
      </c>
      <c r="M22" t="s">
        <v>129</v>
      </c>
      <c r="N22" t="s">
        <v>54</v>
      </c>
      <c r="O22" t="s">
        <v>72</v>
      </c>
      <c r="Q22">
        <v>6</v>
      </c>
      <c r="R22" t="s">
        <v>79</v>
      </c>
      <c r="S22">
        <v>10</v>
      </c>
      <c r="T22" s="14">
        <v>44732</v>
      </c>
      <c r="W22">
        <v>1</v>
      </c>
      <c r="X22" t="s">
        <v>46</v>
      </c>
    </row>
    <row r="23" spans="1:24" x14ac:dyDescent="0.35">
      <c r="A23" t="s">
        <v>130</v>
      </c>
      <c r="B23" t="s">
        <v>131</v>
      </c>
      <c r="C23" t="s">
        <v>132</v>
      </c>
      <c r="D23">
        <v>25</v>
      </c>
      <c r="E23">
        <v>1999</v>
      </c>
      <c r="F23">
        <v>50000</v>
      </c>
      <c r="G23" t="s">
        <v>38</v>
      </c>
      <c r="H23" t="s">
        <v>122</v>
      </c>
      <c r="I23" t="s">
        <v>40</v>
      </c>
      <c r="J23" s="14">
        <v>43195</v>
      </c>
      <c r="K23" t="s">
        <v>41</v>
      </c>
      <c r="L23">
        <v>8</v>
      </c>
      <c r="M23" t="s">
        <v>133</v>
      </c>
      <c r="N23" t="s">
        <v>104</v>
      </c>
      <c r="O23" t="s">
        <v>100</v>
      </c>
      <c r="Q23">
        <v>5</v>
      </c>
      <c r="R23">
        <v>1</v>
      </c>
      <c r="S23">
        <v>13</v>
      </c>
      <c r="V23" t="s">
        <v>33</v>
      </c>
      <c r="W23">
        <v>3</v>
      </c>
      <c r="X23" t="s">
        <v>34</v>
      </c>
    </row>
    <row r="24" spans="1:24" x14ac:dyDescent="0.35">
      <c r="A24" t="s">
        <v>134</v>
      </c>
      <c r="B24" t="s">
        <v>68</v>
      </c>
      <c r="C24" t="s">
        <v>135</v>
      </c>
      <c r="D24">
        <v>50</v>
      </c>
      <c r="E24">
        <v>1974</v>
      </c>
      <c r="F24">
        <v>50000</v>
      </c>
      <c r="G24" t="s">
        <v>27</v>
      </c>
      <c r="H24" t="s">
        <v>70</v>
      </c>
      <c r="I24" t="s">
        <v>94</v>
      </c>
      <c r="J24" s="14">
        <v>43195</v>
      </c>
      <c r="K24" t="s">
        <v>78</v>
      </c>
      <c r="L24">
        <v>88</v>
      </c>
      <c r="M24" t="s">
        <v>136</v>
      </c>
      <c r="N24" t="s">
        <v>61</v>
      </c>
      <c r="O24" t="s">
        <v>100</v>
      </c>
      <c r="Q24">
        <v>5</v>
      </c>
      <c r="V24" t="s">
        <v>46</v>
      </c>
      <c r="W24">
        <v>2</v>
      </c>
      <c r="X24" t="s">
        <v>46</v>
      </c>
    </row>
    <row r="25" spans="1:24" x14ac:dyDescent="0.35">
      <c r="A25" t="s">
        <v>127</v>
      </c>
      <c r="B25" t="s">
        <v>107</v>
      </c>
      <c r="C25" t="s">
        <v>137</v>
      </c>
      <c r="D25">
        <v>40</v>
      </c>
      <c r="E25">
        <v>1984</v>
      </c>
      <c r="F25">
        <v>70000</v>
      </c>
      <c r="G25" t="s">
        <v>27</v>
      </c>
      <c r="H25" t="s">
        <v>93</v>
      </c>
      <c r="I25" t="s">
        <v>40</v>
      </c>
      <c r="J25" s="14">
        <v>43845</v>
      </c>
      <c r="K25" t="s">
        <v>78</v>
      </c>
      <c r="L25">
        <v>86</v>
      </c>
      <c r="M25" t="s">
        <v>138</v>
      </c>
      <c r="N25" t="s">
        <v>104</v>
      </c>
      <c r="O25" t="s">
        <v>44</v>
      </c>
      <c r="Q25">
        <v>8</v>
      </c>
      <c r="R25" t="s">
        <v>79</v>
      </c>
      <c r="T25" s="14">
        <v>44470</v>
      </c>
      <c r="W25">
        <v>2</v>
      </c>
      <c r="X25" t="s">
        <v>34</v>
      </c>
    </row>
    <row r="26" spans="1:24" x14ac:dyDescent="0.35">
      <c r="A26" t="s">
        <v>139</v>
      </c>
      <c r="B26" t="s">
        <v>140</v>
      </c>
      <c r="C26" t="s">
        <v>141</v>
      </c>
      <c r="D26">
        <v>40</v>
      </c>
      <c r="E26">
        <v>1984</v>
      </c>
      <c r="F26">
        <v>50000</v>
      </c>
      <c r="G26" t="s">
        <v>38</v>
      </c>
      <c r="H26" t="s">
        <v>64</v>
      </c>
      <c r="I26" t="s">
        <v>29</v>
      </c>
      <c r="J26" s="14">
        <v>43195</v>
      </c>
      <c r="K26" t="s">
        <v>59</v>
      </c>
      <c r="L26">
        <v>93</v>
      </c>
      <c r="M26" t="s">
        <v>142</v>
      </c>
      <c r="N26" t="s">
        <v>43</v>
      </c>
      <c r="O26" t="s">
        <v>100</v>
      </c>
      <c r="Q26">
        <v>2</v>
      </c>
      <c r="R26">
        <v>3</v>
      </c>
      <c r="U26">
        <v>9</v>
      </c>
      <c r="V26" t="s">
        <v>73</v>
      </c>
      <c r="W26">
        <v>1</v>
      </c>
      <c r="X26" t="s">
        <v>34</v>
      </c>
    </row>
    <row r="27" spans="1:24" x14ac:dyDescent="0.35">
      <c r="A27" t="s">
        <v>143</v>
      </c>
      <c r="B27" t="s">
        <v>131</v>
      </c>
      <c r="C27" t="s">
        <v>144</v>
      </c>
      <c r="D27" t="s">
        <v>88</v>
      </c>
      <c r="E27">
        <v>1994</v>
      </c>
      <c r="F27">
        <v>70000</v>
      </c>
      <c r="G27" t="s">
        <v>27</v>
      </c>
      <c r="H27" t="s">
        <v>145</v>
      </c>
      <c r="I27" t="s">
        <v>77</v>
      </c>
      <c r="J27" s="14">
        <v>43845</v>
      </c>
      <c r="K27" t="s">
        <v>78</v>
      </c>
      <c r="L27">
        <v>81</v>
      </c>
      <c r="M27" t="s">
        <v>146</v>
      </c>
      <c r="N27" t="s">
        <v>43</v>
      </c>
      <c r="O27" t="s">
        <v>72</v>
      </c>
      <c r="Q27">
        <v>8</v>
      </c>
      <c r="R27" t="s">
        <v>79</v>
      </c>
      <c r="W27">
        <v>5</v>
      </c>
      <c r="X27" t="s">
        <v>34</v>
      </c>
    </row>
    <row r="28" spans="1:24" x14ac:dyDescent="0.35">
      <c r="A28" t="s">
        <v>147</v>
      </c>
      <c r="B28" t="s">
        <v>68</v>
      </c>
      <c r="C28" t="s">
        <v>148</v>
      </c>
      <c r="D28">
        <v>50</v>
      </c>
      <c r="E28">
        <v>1974</v>
      </c>
      <c r="F28">
        <v>70000</v>
      </c>
      <c r="G28" t="s">
        <v>27</v>
      </c>
      <c r="H28" t="s">
        <v>39</v>
      </c>
      <c r="I28" t="s">
        <v>94</v>
      </c>
      <c r="J28" s="14">
        <v>43881</v>
      </c>
      <c r="K28" t="s">
        <v>59</v>
      </c>
      <c r="L28">
        <v>100</v>
      </c>
      <c r="M28" t="s">
        <v>149</v>
      </c>
      <c r="N28" t="s">
        <v>54</v>
      </c>
      <c r="O28" t="s">
        <v>32</v>
      </c>
      <c r="Q28">
        <v>1</v>
      </c>
      <c r="T28" s="14">
        <v>44990</v>
      </c>
      <c r="U28">
        <v>39</v>
      </c>
      <c r="W28">
        <v>2</v>
      </c>
      <c r="X28" t="s">
        <v>46</v>
      </c>
    </row>
    <row r="29" spans="1:24" x14ac:dyDescent="0.35">
      <c r="A29" t="s">
        <v>150</v>
      </c>
      <c r="B29" t="s">
        <v>75</v>
      </c>
      <c r="C29" t="s">
        <v>151</v>
      </c>
      <c r="E29">
        <v>1999</v>
      </c>
      <c r="F29">
        <v>50000</v>
      </c>
      <c r="G29" t="s">
        <v>27</v>
      </c>
      <c r="H29" t="s">
        <v>51</v>
      </c>
      <c r="I29" t="s">
        <v>77</v>
      </c>
      <c r="J29" s="14">
        <v>43549</v>
      </c>
      <c r="K29" t="s">
        <v>52</v>
      </c>
      <c r="L29">
        <v>77</v>
      </c>
      <c r="M29" t="s">
        <v>152</v>
      </c>
      <c r="N29" t="s">
        <v>61</v>
      </c>
      <c r="O29" t="s">
        <v>32</v>
      </c>
      <c r="Q29">
        <v>2</v>
      </c>
      <c r="R29">
        <v>2</v>
      </c>
      <c r="V29" t="s">
        <v>33</v>
      </c>
      <c r="W29">
        <v>2</v>
      </c>
      <c r="X29" t="s">
        <v>34</v>
      </c>
    </row>
    <row r="30" spans="1:24" x14ac:dyDescent="0.35">
      <c r="A30" t="s">
        <v>153</v>
      </c>
      <c r="B30" t="s">
        <v>25</v>
      </c>
      <c r="C30" t="s">
        <v>154</v>
      </c>
      <c r="D30">
        <v>50</v>
      </c>
      <c r="E30">
        <v>1974</v>
      </c>
      <c r="F30" t="s">
        <v>50</v>
      </c>
      <c r="G30" t="s">
        <v>27</v>
      </c>
      <c r="H30" t="s">
        <v>122</v>
      </c>
      <c r="I30" t="s">
        <v>77</v>
      </c>
      <c r="J30" s="14">
        <v>43881</v>
      </c>
      <c r="K30" t="s">
        <v>52</v>
      </c>
      <c r="L30">
        <v>71</v>
      </c>
      <c r="N30" t="s">
        <v>61</v>
      </c>
      <c r="O30" t="s">
        <v>32</v>
      </c>
      <c r="P30" t="s">
        <v>155</v>
      </c>
      <c r="Q30">
        <v>8</v>
      </c>
      <c r="T30" s="14">
        <v>45516</v>
      </c>
      <c r="V30" t="s">
        <v>34</v>
      </c>
      <c r="W30">
        <v>1</v>
      </c>
      <c r="X30" t="s">
        <v>46</v>
      </c>
    </row>
    <row r="31" spans="1:24" x14ac:dyDescent="0.35">
      <c r="A31" t="s">
        <v>119</v>
      </c>
      <c r="B31" t="s">
        <v>36</v>
      </c>
      <c r="C31" t="s">
        <v>156</v>
      </c>
      <c r="D31">
        <v>25</v>
      </c>
      <c r="E31">
        <v>1999</v>
      </c>
      <c r="F31">
        <v>65000</v>
      </c>
      <c r="G31" t="s">
        <v>27</v>
      </c>
      <c r="H31" t="s">
        <v>28</v>
      </c>
      <c r="I31" t="s">
        <v>89</v>
      </c>
      <c r="J31" s="14">
        <v>43800</v>
      </c>
      <c r="K31" t="s">
        <v>52</v>
      </c>
      <c r="L31">
        <v>71</v>
      </c>
      <c r="N31" t="s">
        <v>104</v>
      </c>
      <c r="O31" t="s">
        <v>100</v>
      </c>
      <c r="Q31">
        <v>4</v>
      </c>
      <c r="R31" t="s">
        <v>79</v>
      </c>
      <c r="T31" s="14">
        <v>45516</v>
      </c>
      <c r="V31" t="s">
        <v>73</v>
      </c>
      <c r="W31">
        <v>3</v>
      </c>
      <c r="X31" t="s">
        <v>34</v>
      </c>
    </row>
    <row r="32" spans="1:24" x14ac:dyDescent="0.35">
      <c r="A32" t="s">
        <v>157</v>
      </c>
      <c r="B32" t="s">
        <v>140</v>
      </c>
      <c r="C32" t="s">
        <v>158</v>
      </c>
      <c r="D32">
        <v>25</v>
      </c>
      <c r="E32">
        <v>1999</v>
      </c>
      <c r="F32">
        <v>55000</v>
      </c>
      <c r="G32" t="s">
        <v>38</v>
      </c>
      <c r="H32" t="s">
        <v>64</v>
      </c>
      <c r="I32" t="s">
        <v>29</v>
      </c>
      <c r="J32" s="14">
        <v>43800</v>
      </c>
      <c r="K32" t="s">
        <v>78</v>
      </c>
      <c r="L32">
        <v>87</v>
      </c>
      <c r="M32" t="s">
        <v>159</v>
      </c>
      <c r="N32" t="s">
        <v>54</v>
      </c>
      <c r="O32" t="s">
        <v>112</v>
      </c>
      <c r="P32" t="s">
        <v>106</v>
      </c>
      <c r="Q32">
        <v>2</v>
      </c>
      <c r="R32">
        <v>5</v>
      </c>
      <c r="T32" t="s">
        <v>79</v>
      </c>
      <c r="V32" t="s">
        <v>45</v>
      </c>
      <c r="W32">
        <v>2</v>
      </c>
      <c r="X32" t="s">
        <v>46</v>
      </c>
    </row>
    <row r="33" spans="1:24" x14ac:dyDescent="0.35">
      <c r="A33" t="s">
        <v>160</v>
      </c>
      <c r="B33" t="s">
        <v>75</v>
      </c>
      <c r="C33" t="s">
        <v>161</v>
      </c>
      <c r="D33">
        <v>50</v>
      </c>
      <c r="E33">
        <v>1974</v>
      </c>
      <c r="F33">
        <v>70000</v>
      </c>
      <c r="G33" t="s">
        <v>38</v>
      </c>
      <c r="H33" t="s">
        <v>64</v>
      </c>
      <c r="I33" t="s">
        <v>77</v>
      </c>
      <c r="J33" s="14">
        <v>43800</v>
      </c>
      <c r="K33" t="s">
        <v>78</v>
      </c>
      <c r="L33">
        <v>88</v>
      </c>
      <c r="M33" t="s">
        <v>162</v>
      </c>
      <c r="N33" t="s">
        <v>61</v>
      </c>
      <c r="O33" t="s">
        <v>72</v>
      </c>
      <c r="Q33">
        <v>7</v>
      </c>
      <c r="W33">
        <v>1</v>
      </c>
      <c r="X33" t="s">
        <v>34</v>
      </c>
    </row>
    <row r="34" spans="1:24" x14ac:dyDescent="0.35">
      <c r="A34" t="s">
        <v>163</v>
      </c>
      <c r="B34" t="s">
        <v>56</v>
      </c>
      <c r="C34" t="s">
        <v>164</v>
      </c>
      <c r="D34">
        <v>35</v>
      </c>
      <c r="E34">
        <v>1989</v>
      </c>
      <c r="F34">
        <v>63000</v>
      </c>
      <c r="G34" t="s">
        <v>38</v>
      </c>
      <c r="H34" t="s">
        <v>145</v>
      </c>
      <c r="I34" t="s">
        <v>40</v>
      </c>
      <c r="J34" s="14">
        <v>43845</v>
      </c>
      <c r="K34" t="s">
        <v>59</v>
      </c>
      <c r="L34">
        <v>100</v>
      </c>
      <c r="M34" t="s">
        <v>165</v>
      </c>
      <c r="N34" t="s">
        <v>43</v>
      </c>
      <c r="O34" t="s">
        <v>112</v>
      </c>
      <c r="Q34">
        <v>5</v>
      </c>
      <c r="V34" t="s">
        <v>46</v>
      </c>
      <c r="W34">
        <v>5</v>
      </c>
      <c r="X34" t="s">
        <v>34</v>
      </c>
    </row>
    <row r="35" spans="1:24" x14ac:dyDescent="0.35">
      <c r="A35" t="s">
        <v>166</v>
      </c>
      <c r="B35" t="s">
        <v>75</v>
      </c>
      <c r="C35" t="s">
        <v>167</v>
      </c>
      <c r="D35">
        <v>40</v>
      </c>
      <c r="E35">
        <v>1984</v>
      </c>
      <c r="F35">
        <v>60100</v>
      </c>
      <c r="G35" t="s">
        <v>38</v>
      </c>
      <c r="H35" t="s">
        <v>122</v>
      </c>
      <c r="I35" t="s">
        <v>40</v>
      </c>
      <c r="J35" s="14">
        <v>43195</v>
      </c>
      <c r="K35" t="s">
        <v>30</v>
      </c>
      <c r="L35">
        <v>68</v>
      </c>
      <c r="M35" t="s">
        <v>168</v>
      </c>
      <c r="N35" t="s">
        <v>104</v>
      </c>
      <c r="O35" t="s">
        <v>100</v>
      </c>
      <c r="Q35">
        <v>7</v>
      </c>
      <c r="S35">
        <v>2</v>
      </c>
      <c r="V35" t="s">
        <v>169</v>
      </c>
      <c r="W35">
        <v>1</v>
      </c>
      <c r="X35" t="s">
        <v>46</v>
      </c>
    </row>
    <row r="36" spans="1:24" x14ac:dyDescent="0.35">
      <c r="A36" t="s">
        <v>170</v>
      </c>
      <c r="B36" t="s">
        <v>25</v>
      </c>
      <c r="C36" t="s">
        <v>171</v>
      </c>
      <c r="D36">
        <v>25</v>
      </c>
      <c r="E36">
        <v>1999</v>
      </c>
      <c r="F36">
        <v>65000</v>
      </c>
      <c r="G36" t="s">
        <v>27</v>
      </c>
      <c r="H36" t="s">
        <v>122</v>
      </c>
      <c r="I36" t="s">
        <v>89</v>
      </c>
      <c r="J36" s="14">
        <v>43881</v>
      </c>
      <c r="K36" t="s">
        <v>59</v>
      </c>
      <c r="L36">
        <v>90</v>
      </c>
      <c r="M36" t="s">
        <v>172</v>
      </c>
      <c r="O36" t="s">
        <v>66</v>
      </c>
      <c r="Q36">
        <v>1</v>
      </c>
      <c r="R36" t="s">
        <v>79</v>
      </c>
      <c r="S36">
        <v>5</v>
      </c>
      <c r="T36" t="s">
        <v>79</v>
      </c>
      <c r="U36">
        <v>66</v>
      </c>
      <c r="W36">
        <v>2</v>
      </c>
      <c r="X36" t="s">
        <v>46</v>
      </c>
    </row>
    <row r="37" spans="1:24" x14ac:dyDescent="0.35">
      <c r="A37" t="s">
        <v>173</v>
      </c>
      <c r="B37" t="s">
        <v>56</v>
      </c>
      <c r="C37" t="s">
        <v>87</v>
      </c>
      <c r="D37">
        <v>40</v>
      </c>
      <c r="E37">
        <v>1984</v>
      </c>
      <c r="F37">
        <v>61500</v>
      </c>
      <c r="G37" t="s">
        <v>38</v>
      </c>
      <c r="H37" t="s">
        <v>145</v>
      </c>
      <c r="I37" t="s">
        <v>29</v>
      </c>
      <c r="J37" s="14">
        <v>43881</v>
      </c>
      <c r="K37" t="s">
        <v>52</v>
      </c>
      <c r="L37">
        <v>74</v>
      </c>
      <c r="M37" t="s">
        <v>129</v>
      </c>
      <c r="N37" t="s">
        <v>43</v>
      </c>
      <c r="O37" t="s">
        <v>174</v>
      </c>
      <c r="Q37">
        <v>3</v>
      </c>
      <c r="U37">
        <v>11</v>
      </c>
      <c r="V37" t="s">
        <v>73</v>
      </c>
      <c r="W37">
        <v>3</v>
      </c>
      <c r="X37" t="s">
        <v>34</v>
      </c>
    </row>
    <row r="38" spans="1:24" x14ac:dyDescent="0.35">
      <c r="A38" t="s">
        <v>175</v>
      </c>
      <c r="B38" t="s">
        <v>140</v>
      </c>
      <c r="C38" t="s">
        <v>176</v>
      </c>
      <c r="D38">
        <v>25</v>
      </c>
      <c r="E38">
        <v>1999</v>
      </c>
      <c r="F38" t="s">
        <v>50</v>
      </c>
      <c r="G38" t="s">
        <v>27</v>
      </c>
      <c r="H38" t="s">
        <v>122</v>
      </c>
      <c r="I38" t="s">
        <v>29</v>
      </c>
      <c r="J38" s="14">
        <v>43881</v>
      </c>
      <c r="K38" t="s">
        <v>59</v>
      </c>
      <c r="L38">
        <v>93</v>
      </c>
      <c r="M38" t="s">
        <v>177</v>
      </c>
      <c r="N38" t="s">
        <v>54</v>
      </c>
      <c r="O38" t="s">
        <v>174</v>
      </c>
      <c r="Q38">
        <v>3</v>
      </c>
      <c r="R38">
        <v>4</v>
      </c>
      <c r="S38">
        <v>17</v>
      </c>
      <c r="U38">
        <v>19</v>
      </c>
      <c r="V38" t="s">
        <v>46</v>
      </c>
      <c r="W38">
        <v>5</v>
      </c>
      <c r="X38" t="s">
        <v>34</v>
      </c>
    </row>
    <row r="39" spans="1:24" x14ac:dyDescent="0.35">
      <c r="A39" t="s">
        <v>178</v>
      </c>
      <c r="B39" t="s">
        <v>25</v>
      </c>
      <c r="C39" t="s">
        <v>179</v>
      </c>
      <c r="D39" t="s">
        <v>88</v>
      </c>
      <c r="E39">
        <v>1994</v>
      </c>
      <c r="F39">
        <v>60500</v>
      </c>
      <c r="G39" t="s">
        <v>27</v>
      </c>
      <c r="H39" t="s">
        <v>70</v>
      </c>
      <c r="I39" t="s">
        <v>40</v>
      </c>
      <c r="J39" s="14">
        <v>43881</v>
      </c>
      <c r="K39" t="s">
        <v>30</v>
      </c>
      <c r="L39">
        <v>62</v>
      </c>
      <c r="M39" t="s">
        <v>180</v>
      </c>
      <c r="N39" t="s">
        <v>61</v>
      </c>
      <c r="O39" t="s">
        <v>44</v>
      </c>
      <c r="Q39">
        <v>4</v>
      </c>
      <c r="R39" t="s">
        <v>79</v>
      </c>
      <c r="V39" t="s">
        <v>34</v>
      </c>
      <c r="W39">
        <v>4</v>
      </c>
      <c r="X39" t="s">
        <v>34</v>
      </c>
    </row>
    <row r="40" spans="1:24" x14ac:dyDescent="0.35">
      <c r="A40" t="s">
        <v>181</v>
      </c>
      <c r="B40" t="s">
        <v>114</v>
      </c>
      <c r="C40" t="s">
        <v>115</v>
      </c>
      <c r="E40">
        <v>1985</v>
      </c>
      <c r="F40">
        <v>55000</v>
      </c>
      <c r="G40" t="s">
        <v>27</v>
      </c>
      <c r="H40" t="s">
        <v>28</v>
      </c>
      <c r="I40" t="s">
        <v>94</v>
      </c>
      <c r="J40" s="14">
        <v>43800</v>
      </c>
      <c r="K40" t="s">
        <v>78</v>
      </c>
      <c r="L40">
        <v>87</v>
      </c>
      <c r="M40" t="s">
        <v>182</v>
      </c>
      <c r="N40" t="s">
        <v>43</v>
      </c>
      <c r="O40" t="s">
        <v>174</v>
      </c>
      <c r="Q40">
        <v>6</v>
      </c>
      <c r="R40">
        <v>6</v>
      </c>
      <c r="S40">
        <v>16</v>
      </c>
      <c r="U40">
        <v>43</v>
      </c>
      <c r="V40" t="s">
        <v>34</v>
      </c>
      <c r="W40">
        <v>1</v>
      </c>
      <c r="X40" t="s">
        <v>46</v>
      </c>
    </row>
    <row r="41" spans="1:24" x14ac:dyDescent="0.35">
      <c r="A41" t="s">
        <v>183</v>
      </c>
      <c r="B41" t="s">
        <v>36</v>
      </c>
      <c r="C41" t="s">
        <v>156</v>
      </c>
      <c r="D41">
        <v>25</v>
      </c>
      <c r="E41">
        <v>1999</v>
      </c>
      <c r="F41">
        <v>55000</v>
      </c>
      <c r="G41" t="s">
        <v>38</v>
      </c>
      <c r="H41" t="s">
        <v>64</v>
      </c>
      <c r="I41" t="s">
        <v>89</v>
      </c>
      <c r="J41" s="14">
        <v>43881</v>
      </c>
      <c r="K41" t="s">
        <v>59</v>
      </c>
      <c r="L41">
        <v>98</v>
      </c>
      <c r="M41" t="s">
        <v>184</v>
      </c>
      <c r="O41" t="s">
        <v>174</v>
      </c>
      <c r="Q41">
        <v>7</v>
      </c>
      <c r="T41" s="14">
        <v>44941</v>
      </c>
      <c r="V41" t="s">
        <v>46</v>
      </c>
      <c r="W41">
        <v>1</v>
      </c>
      <c r="X41" t="s">
        <v>34</v>
      </c>
    </row>
    <row r="42" spans="1:24" x14ac:dyDescent="0.35">
      <c r="A42" t="s">
        <v>185</v>
      </c>
      <c r="B42" t="s">
        <v>140</v>
      </c>
      <c r="C42" t="s">
        <v>132</v>
      </c>
      <c r="D42">
        <v>40</v>
      </c>
      <c r="E42">
        <v>1984</v>
      </c>
      <c r="F42">
        <v>70000</v>
      </c>
      <c r="G42" t="s">
        <v>38</v>
      </c>
      <c r="H42" t="s">
        <v>28</v>
      </c>
      <c r="I42" t="s">
        <v>89</v>
      </c>
      <c r="J42" s="14">
        <v>43195</v>
      </c>
      <c r="K42" t="s">
        <v>52</v>
      </c>
      <c r="L42">
        <v>74</v>
      </c>
      <c r="M42" t="s">
        <v>186</v>
      </c>
      <c r="O42" t="s">
        <v>72</v>
      </c>
      <c r="P42" t="s">
        <v>187</v>
      </c>
      <c r="Q42">
        <v>8</v>
      </c>
      <c r="R42">
        <v>4</v>
      </c>
      <c r="V42" t="s">
        <v>73</v>
      </c>
      <c r="W42">
        <v>5</v>
      </c>
      <c r="X42" t="s">
        <v>34</v>
      </c>
    </row>
    <row r="43" spans="1:24" x14ac:dyDescent="0.35">
      <c r="A43" t="s">
        <v>188</v>
      </c>
      <c r="B43" t="s">
        <v>114</v>
      </c>
      <c r="C43" t="s">
        <v>189</v>
      </c>
      <c r="D43" t="s">
        <v>88</v>
      </c>
      <c r="E43">
        <v>1994</v>
      </c>
      <c r="F43">
        <v>50000</v>
      </c>
      <c r="G43" t="s">
        <v>38</v>
      </c>
      <c r="H43" t="s">
        <v>39</v>
      </c>
      <c r="I43" t="s">
        <v>40</v>
      </c>
      <c r="J43" s="14">
        <v>43800</v>
      </c>
      <c r="K43" t="s">
        <v>52</v>
      </c>
      <c r="L43">
        <v>77</v>
      </c>
      <c r="M43" t="s">
        <v>190</v>
      </c>
      <c r="N43" t="s">
        <v>54</v>
      </c>
      <c r="O43" t="s">
        <v>32</v>
      </c>
      <c r="P43" t="s">
        <v>191</v>
      </c>
      <c r="Q43">
        <v>3</v>
      </c>
      <c r="R43">
        <v>12</v>
      </c>
      <c r="T43" s="14">
        <v>44470</v>
      </c>
      <c r="W43">
        <v>4</v>
      </c>
      <c r="X43" t="s">
        <v>46</v>
      </c>
    </row>
    <row r="44" spans="1:24" x14ac:dyDescent="0.35">
      <c r="A44" t="s">
        <v>192</v>
      </c>
      <c r="B44" t="s">
        <v>68</v>
      </c>
      <c r="C44" t="s">
        <v>193</v>
      </c>
      <c r="D44">
        <v>25</v>
      </c>
      <c r="E44">
        <v>1999</v>
      </c>
      <c r="F44" t="s">
        <v>50</v>
      </c>
      <c r="G44" t="s">
        <v>27</v>
      </c>
      <c r="H44" t="s">
        <v>93</v>
      </c>
      <c r="I44" t="s">
        <v>40</v>
      </c>
      <c r="J44" s="14">
        <v>43881</v>
      </c>
      <c r="K44" t="s">
        <v>78</v>
      </c>
      <c r="L44">
        <v>83</v>
      </c>
      <c r="M44" t="s">
        <v>194</v>
      </c>
      <c r="N44" t="s">
        <v>43</v>
      </c>
      <c r="O44" t="s">
        <v>112</v>
      </c>
      <c r="P44" t="s">
        <v>191</v>
      </c>
      <c r="Q44">
        <v>6</v>
      </c>
      <c r="V44" t="s">
        <v>46</v>
      </c>
      <c r="W44">
        <v>1</v>
      </c>
      <c r="X44" t="s">
        <v>46</v>
      </c>
    </row>
    <row r="45" spans="1:24" x14ac:dyDescent="0.35">
      <c r="A45" t="s">
        <v>195</v>
      </c>
      <c r="B45" t="s">
        <v>140</v>
      </c>
      <c r="C45" t="s">
        <v>196</v>
      </c>
      <c r="D45">
        <v>35</v>
      </c>
      <c r="E45">
        <v>1989</v>
      </c>
      <c r="F45">
        <v>70000</v>
      </c>
      <c r="G45" t="s">
        <v>27</v>
      </c>
      <c r="H45" t="s">
        <v>58</v>
      </c>
      <c r="I45" t="s">
        <v>94</v>
      </c>
      <c r="J45" s="14">
        <v>43845</v>
      </c>
      <c r="K45" t="s">
        <v>59</v>
      </c>
      <c r="L45">
        <v>90</v>
      </c>
      <c r="M45" t="s">
        <v>197</v>
      </c>
      <c r="N45" t="s">
        <v>104</v>
      </c>
      <c r="O45" t="s">
        <v>66</v>
      </c>
      <c r="Q45">
        <v>3</v>
      </c>
      <c r="T45" s="14">
        <v>44990</v>
      </c>
      <c r="V45" t="s">
        <v>34</v>
      </c>
      <c r="W45">
        <v>2</v>
      </c>
      <c r="X45" t="s">
        <v>34</v>
      </c>
    </row>
    <row r="46" spans="1:24" x14ac:dyDescent="0.35">
      <c r="A46" t="s">
        <v>198</v>
      </c>
      <c r="B46" t="s">
        <v>68</v>
      </c>
      <c r="C46" t="s">
        <v>199</v>
      </c>
      <c r="E46">
        <v>1996</v>
      </c>
      <c r="F46" t="s">
        <v>50</v>
      </c>
      <c r="G46" t="s">
        <v>27</v>
      </c>
      <c r="H46" t="s">
        <v>51</v>
      </c>
      <c r="I46" t="s">
        <v>94</v>
      </c>
      <c r="J46" s="14">
        <v>43549</v>
      </c>
      <c r="K46" t="s">
        <v>30</v>
      </c>
      <c r="L46">
        <v>60</v>
      </c>
      <c r="M46" t="s">
        <v>200</v>
      </c>
      <c r="N46" t="s">
        <v>43</v>
      </c>
      <c r="O46" t="s">
        <v>66</v>
      </c>
      <c r="Q46">
        <v>2</v>
      </c>
      <c r="R46">
        <v>12</v>
      </c>
      <c r="V46" t="s">
        <v>169</v>
      </c>
      <c r="W46">
        <v>2</v>
      </c>
      <c r="X46" t="s">
        <v>34</v>
      </c>
    </row>
    <row r="47" spans="1:24" x14ac:dyDescent="0.35">
      <c r="A47" t="s">
        <v>201</v>
      </c>
      <c r="B47" t="s">
        <v>56</v>
      </c>
      <c r="C47" t="s">
        <v>57</v>
      </c>
      <c r="D47">
        <v>25</v>
      </c>
      <c r="E47">
        <v>1999</v>
      </c>
      <c r="F47">
        <v>50000</v>
      </c>
      <c r="G47" t="s">
        <v>38</v>
      </c>
      <c r="H47" t="s">
        <v>93</v>
      </c>
      <c r="I47" t="s">
        <v>29</v>
      </c>
      <c r="J47" s="14">
        <v>43549</v>
      </c>
      <c r="K47" t="s">
        <v>78</v>
      </c>
      <c r="L47">
        <v>80</v>
      </c>
      <c r="M47" t="s">
        <v>60</v>
      </c>
      <c r="O47" t="s">
        <v>72</v>
      </c>
      <c r="Q47">
        <v>8</v>
      </c>
      <c r="R47" t="s">
        <v>79</v>
      </c>
      <c r="S47">
        <v>4</v>
      </c>
      <c r="T47" s="14">
        <v>45516</v>
      </c>
      <c r="V47" t="s">
        <v>33</v>
      </c>
      <c r="W47">
        <v>1</v>
      </c>
      <c r="X47" t="s">
        <v>34</v>
      </c>
    </row>
    <row r="48" spans="1:24" x14ac:dyDescent="0.35">
      <c r="A48" t="s">
        <v>202</v>
      </c>
      <c r="B48" t="s">
        <v>114</v>
      </c>
      <c r="C48" t="s">
        <v>203</v>
      </c>
      <c r="D48" t="s">
        <v>88</v>
      </c>
      <c r="E48">
        <v>1994</v>
      </c>
      <c r="F48">
        <v>61500</v>
      </c>
      <c r="G48" t="s">
        <v>27</v>
      </c>
      <c r="H48" t="s">
        <v>82</v>
      </c>
      <c r="I48" t="s">
        <v>89</v>
      </c>
      <c r="J48" s="14">
        <v>43549</v>
      </c>
      <c r="K48" t="s">
        <v>59</v>
      </c>
      <c r="L48">
        <v>93</v>
      </c>
      <c r="M48" t="s">
        <v>204</v>
      </c>
      <c r="N48" t="s">
        <v>54</v>
      </c>
      <c r="O48" t="s">
        <v>72</v>
      </c>
      <c r="Q48">
        <v>6</v>
      </c>
      <c r="S48">
        <v>14</v>
      </c>
      <c r="U48">
        <v>28</v>
      </c>
      <c r="V48" t="s">
        <v>169</v>
      </c>
      <c r="W48">
        <v>3</v>
      </c>
      <c r="X48" t="s">
        <v>34</v>
      </c>
    </row>
    <row r="49" spans="1:24" x14ac:dyDescent="0.35">
      <c r="A49" t="s">
        <v>205</v>
      </c>
      <c r="B49" t="s">
        <v>36</v>
      </c>
      <c r="C49" t="s">
        <v>156</v>
      </c>
      <c r="D49">
        <v>35</v>
      </c>
      <c r="E49">
        <v>1989</v>
      </c>
      <c r="F49">
        <v>58300</v>
      </c>
      <c r="G49" t="s">
        <v>27</v>
      </c>
      <c r="H49" t="s">
        <v>51</v>
      </c>
      <c r="I49" t="s">
        <v>89</v>
      </c>
      <c r="J49" s="14">
        <v>43800</v>
      </c>
      <c r="K49" t="s">
        <v>41</v>
      </c>
      <c r="L49">
        <v>15</v>
      </c>
      <c r="M49" t="s">
        <v>184</v>
      </c>
      <c r="N49" t="s">
        <v>54</v>
      </c>
      <c r="O49" t="s">
        <v>174</v>
      </c>
      <c r="P49" t="s">
        <v>206</v>
      </c>
      <c r="Q49">
        <v>3</v>
      </c>
      <c r="T49" s="14">
        <v>44941</v>
      </c>
      <c r="U49">
        <v>65</v>
      </c>
      <c r="V49" t="s">
        <v>33</v>
      </c>
      <c r="W49">
        <v>3</v>
      </c>
      <c r="X49" t="s">
        <v>46</v>
      </c>
    </row>
    <row r="50" spans="1:24" x14ac:dyDescent="0.35">
      <c r="A50" t="s">
        <v>207</v>
      </c>
      <c r="B50" t="s">
        <v>25</v>
      </c>
      <c r="C50" t="s">
        <v>63</v>
      </c>
      <c r="D50">
        <v>50</v>
      </c>
      <c r="E50">
        <v>1974</v>
      </c>
      <c r="F50">
        <v>50000</v>
      </c>
      <c r="G50" t="s">
        <v>27</v>
      </c>
      <c r="H50" t="s">
        <v>122</v>
      </c>
      <c r="I50" t="s">
        <v>40</v>
      </c>
      <c r="J50" s="14">
        <v>43881</v>
      </c>
      <c r="K50" t="s">
        <v>52</v>
      </c>
      <c r="L50">
        <v>73</v>
      </c>
      <c r="M50" t="s">
        <v>65</v>
      </c>
      <c r="N50" t="s">
        <v>104</v>
      </c>
      <c r="O50" t="s">
        <v>66</v>
      </c>
      <c r="Q50">
        <v>6</v>
      </c>
      <c r="T50" t="s">
        <v>79</v>
      </c>
      <c r="V50" t="s">
        <v>33</v>
      </c>
      <c r="W50">
        <v>2</v>
      </c>
      <c r="X50" t="s">
        <v>46</v>
      </c>
    </row>
    <row r="51" spans="1:24" x14ac:dyDescent="0.35">
      <c r="A51" t="s">
        <v>208</v>
      </c>
      <c r="B51" t="s">
        <v>48</v>
      </c>
      <c r="C51" t="s">
        <v>209</v>
      </c>
      <c r="D51" t="s">
        <v>88</v>
      </c>
      <c r="E51">
        <v>1994</v>
      </c>
      <c r="F51">
        <v>70000</v>
      </c>
      <c r="G51" t="s">
        <v>38</v>
      </c>
      <c r="H51" t="s">
        <v>70</v>
      </c>
      <c r="I51" t="s">
        <v>29</v>
      </c>
      <c r="J51" s="14">
        <v>43800</v>
      </c>
      <c r="K51" t="s">
        <v>30</v>
      </c>
      <c r="L51">
        <v>66</v>
      </c>
      <c r="M51" t="s">
        <v>210</v>
      </c>
      <c r="N51" t="s">
        <v>54</v>
      </c>
      <c r="O51" t="s">
        <v>44</v>
      </c>
      <c r="P51" t="s">
        <v>211</v>
      </c>
      <c r="Q51">
        <v>1</v>
      </c>
      <c r="S51">
        <v>3</v>
      </c>
      <c r="V51" t="s">
        <v>34</v>
      </c>
      <c r="W51">
        <v>1</v>
      </c>
      <c r="X51" t="s">
        <v>34</v>
      </c>
    </row>
    <row r="52" spans="1:24" x14ac:dyDescent="0.35">
      <c r="A52" t="s">
        <v>212</v>
      </c>
      <c r="B52" t="s">
        <v>75</v>
      </c>
      <c r="C52" t="s">
        <v>213</v>
      </c>
      <c r="D52" t="s">
        <v>88</v>
      </c>
      <c r="E52">
        <v>1994</v>
      </c>
      <c r="F52">
        <v>50000</v>
      </c>
      <c r="G52" t="s">
        <v>38</v>
      </c>
      <c r="H52" t="s">
        <v>145</v>
      </c>
      <c r="I52" t="s">
        <v>89</v>
      </c>
      <c r="J52" s="14">
        <v>43195</v>
      </c>
      <c r="K52" t="s">
        <v>30</v>
      </c>
      <c r="L52">
        <v>60</v>
      </c>
      <c r="M52" t="s">
        <v>214</v>
      </c>
      <c r="N52" t="s">
        <v>54</v>
      </c>
      <c r="O52" t="s">
        <v>44</v>
      </c>
      <c r="Q52">
        <v>1</v>
      </c>
      <c r="R52">
        <v>1</v>
      </c>
      <c r="S52">
        <v>5</v>
      </c>
      <c r="T52" s="14">
        <v>45516</v>
      </c>
      <c r="V52" t="s">
        <v>169</v>
      </c>
      <c r="W52">
        <v>1</v>
      </c>
      <c r="X52" t="s">
        <v>34</v>
      </c>
    </row>
    <row r="53" spans="1:24" x14ac:dyDescent="0.35">
      <c r="A53" t="s">
        <v>215</v>
      </c>
      <c r="B53" t="s">
        <v>131</v>
      </c>
      <c r="C53" t="s">
        <v>216</v>
      </c>
      <c r="D53">
        <v>35</v>
      </c>
      <c r="E53">
        <v>1989</v>
      </c>
      <c r="F53">
        <v>65000</v>
      </c>
      <c r="G53" t="s">
        <v>38</v>
      </c>
      <c r="H53" t="s">
        <v>93</v>
      </c>
      <c r="I53" t="s">
        <v>29</v>
      </c>
      <c r="J53" s="14">
        <v>43845</v>
      </c>
      <c r="K53" t="s">
        <v>30</v>
      </c>
      <c r="L53">
        <v>63</v>
      </c>
      <c r="M53" t="s">
        <v>217</v>
      </c>
      <c r="N53" t="s">
        <v>54</v>
      </c>
      <c r="O53" t="s">
        <v>112</v>
      </c>
      <c r="Q53">
        <v>8</v>
      </c>
      <c r="U53">
        <v>45</v>
      </c>
      <c r="V53" t="s">
        <v>34</v>
      </c>
      <c r="W53">
        <v>3</v>
      </c>
      <c r="X53" t="s">
        <v>34</v>
      </c>
    </row>
    <row r="54" spans="1:24" x14ac:dyDescent="0.35">
      <c r="A54" t="s">
        <v>218</v>
      </c>
      <c r="B54" t="s">
        <v>36</v>
      </c>
      <c r="C54" t="s">
        <v>219</v>
      </c>
      <c r="D54" t="s">
        <v>88</v>
      </c>
      <c r="E54">
        <v>1994</v>
      </c>
      <c r="F54">
        <v>55000</v>
      </c>
      <c r="G54" t="s">
        <v>38</v>
      </c>
      <c r="H54" t="s">
        <v>93</v>
      </c>
      <c r="I54" t="s">
        <v>29</v>
      </c>
      <c r="J54" s="14">
        <v>43845</v>
      </c>
      <c r="K54" t="s">
        <v>52</v>
      </c>
      <c r="L54">
        <v>72</v>
      </c>
      <c r="M54" t="s">
        <v>220</v>
      </c>
      <c r="N54" t="s">
        <v>54</v>
      </c>
      <c r="O54" t="s">
        <v>44</v>
      </c>
      <c r="Q54">
        <v>5</v>
      </c>
      <c r="V54" t="s">
        <v>73</v>
      </c>
      <c r="W54">
        <v>1</v>
      </c>
      <c r="X54" t="s">
        <v>34</v>
      </c>
    </row>
    <row r="55" spans="1:24" x14ac:dyDescent="0.35">
      <c r="A55" t="s">
        <v>221</v>
      </c>
      <c r="B55" t="s">
        <v>114</v>
      </c>
      <c r="C55" t="s">
        <v>222</v>
      </c>
      <c r="D55">
        <v>35</v>
      </c>
      <c r="E55">
        <v>1989</v>
      </c>
      <c r="F55">
        <v>70000</v>
      </c>
      <c r="G55" t="s">
        <v>38</v>
      </c>
      <c r="H55" t="s">
        <v>122</v>
      </c>
      <c r="I55" t="s">
        <v>40</v>
      </c>
      <c r="J55" s="14">
        <v>43549</v>
      </c>
      <c r="K55" t="s">
        <v>59</v>
      </c>
      <c r="L55">
        <v>94</v>
      </c>
      <c r="M55" t="s">
        <v>223</v>
      </c>
      <c r="N55" t="s">
        <v>54</v>
      </c>
      <c r="O55" t="s">
        <v>66</v>
      </c>
      <c r="Q55">
        <v>4</v>
      </c>
      <c r="S55">
        <v>14</v>
      </c>
      <c r="T55" s="14">
        <v>44732</v>
      </c>
      <c r="V55" t="s">
        <v>169</v>
      </c>
      <c r="W55">
        <v>2</v>
      </c>
      <c r="X55" t="s">
        <v>46</v>
      </c>
    </row>
    <row r="56" spans="1:24" x14ac:dyDescent="0.35">
      <c r="A56" t="s">
        <v>224</v>
      </c>
      <c r="B56" t="s">
        <v>48</v>
      </c>
      <c r="C56" t="s">
        <v>225</v>
      </c>
      <c r="D56">
        <v>25</v>
      </c>
      <c r="E56">
        <v>1999</v>
      </c>
      <c r="F56" t="s">
        <v>50</v>
      </c>
      <c r="G56" t="s">
        <v>27</v>
      </c>
      <c r="H56" t="s">
        <v>64</v>
      </c>
      <c r="I56" t="s">
        <v>29</v>
      </c>
      <c r="J56" s="14">
        <v>43549</v>
      </c>
      <c r="K56" t="s">
        <v>78</v>
      </c>
      <c r="L56">
        <v>81</v>
      </c>
      <c r="M56" t="s">
        <v>226</v>
      </c>
      <c r="O56" t="s">
        <v>174</v>
      </c>
      <c r="P56" t="s">
        <v>227</v>
      </c>
      <c r="Q56">
        <v>3</v>
      </c>
      <c r="V56" t="s">
        <v>46</v>
      </c>
      <c r="W56">
        <v>1</v>
      </c>
      <c r="X56" t="s">
        <v>46</v>
      </c>
    </row>
    <row r="57" spans="1:24" x14ac:dyDescent="0.35">
      <c r="A57" t="s">
        <v>228</v>
      </c>
      <c r="B57" t="s">
        <v>36</v>
      </c>
      <c r="C57" t="s">
        <v>229</v>
      </c>
      <c r="D57">
        <v>35</v>
      </c>
      <c r="E57">
        <v>1989</v>
      </c>
      <c r="F57">
        <v>65000</v>
      </c>
      <c r="G57" t="s">
        <v>38</v>
      </c>
      <c r="H57" t="s">
        <v>145</v>
      </c>
      <c r="I57" t="s">
        <v>94</v>
      </c>
      <c r="J57" s="14">
        <v>43549</v>
      </c>
      <c r="K57" t="s">
        <v>59</v>
      </c>
      <c r="L57">
        <v>90</v>
      </c>
      <c r="M57" t="s">
        <v>230</v>
      </c>
      <c r="N57" t="s">
        <v>43</v>
      </c>
      <c r="O57" t="s">
        <v>66</v>
      </c>
      <c r="Q57">
        <v>3</v>
      </c>
      <c r="R57">
        <v>8</v>
      </c>
      <c r="U57">
        <v>46</v>
      </c>
      <c r="V57" t="s">
        <v>34</v>
      </c>
      <c r="W57">
        <v>1</v>
      </c>
      <c r="X57" t="s">
        <v>46</v>
      </c>
    </row>
    <row r="58" spans="1:24" x14ac:dyDescent="0.35">
      <c r="A58" t="s">
        <v>231</v>
      </c>
      <c r="B58" t="s">
        <v>114</v>
      </c>
      <c r="C58" t="s">
        <v>222</v>
      </c>
      <c r="D58">
        <v>35</v>
      </c>
      <c r="E58">
        <v>1989</v>
      </c>
      <c r="F58">
        <v>70000</v>
      </c>
      <c r="G58" t="s">
        <v>38</v>
      </c>
      <c r="H58" t="s">
        <v>58</v>
      </c>
      <c r="I58" t="s">
        <v>94</v>
      </c>
      <c r="J58" s="14">
        <v>43881</v>
      </c>
      <c r="K58" t="s">
        <v>78</v>
      </c>
      <c r="L58">
        <v>87</v>
      </c>
      <c r="M58" t="s">
        <v>223</v>
      </c>
      <c r="N58" t="s">
        <v>61</v>
      </c>
      <c r="O58" t="s">
        <v>100</v>
      </c>
      <c r="P58" t="s">
        <v>163</v>
      </c>
      <c r="Q58">
        <v>8</v>
      </c>
      <c r="R58">
        <v>7</v>
      </c>
      <c r="V58" t="s">
        <v>33</v>
      </c>
      <c r="W58">
        <v>2</v>
      </c>
      <c r="X58" t="s">
        <v>34</v>
      </c>
    </row>
    <row r="59" spans="1:24" x14ac:dyDescent="0.35">
      <c r="A59" t="s">
        <v>232</v>
      </c>
      <c r="B59" t="s">
        <v>107</v>
      </c>
      <c r="C59" t="s">
        <v>26</v>
      </c>
      <c r="E59">
        <v>1991</v>
      </c>
      <c r="F59">
        <v>50000</v>
      </c>
      <c r="G59" t="s">
        <v>27</v>
      </c>
      <c r="H59" t="s">
        <v>70</v>
      </c>
      <c r="I59" t="s">
        <v>77</v>
      </c>
      <c r="J59" s="14">
        <v>43195</v>
      </c>
      <c r="K59" t="s">
        <v>30</v>
      </c>
      <c r="L59">
        <v>60</v>
      </c>
      <c r="M59" t="s">
        <v>233</v>
      </c>
      <c r="N59" t="s">
        <v>54</v>
      </c>
      <c r="O59" t="s">
        <v>66</v>
      </c>
      <c r="Q59">
        <v>2</v>
      </c>
      <c r="T59" s="14">
        <v>44941</v>
      </c>
      <c r="V59" t="s">
        <v>33</v>
      </c>
      <c r="W59">
        <v>2</v>
      </c>
      <c r="X59" t="s">
        <v>46</v>
      </c>
    </row>
    <row r="60" spans="1:24" x14ac:dyDescent="0.35">
      <c r="A60" t="s">
        <v>234</v>
      </c>
      <c r="B60" t="s">
        <v>107</v>
      </c>
      <c r="C60" t="s">
        <v>189</v>
      </c>
      <c r="D60">
        <v>35</v>
      </c>
      <c r="E60">
        <v>1989</v>
      </c>
      <c r="F60">
        <v>50000</v>
      </c>
      <c r="G60" t="s">
        <v>27</v>
      </c>
      <c r="H60" t="s">
        <v>58</v>
      </c>
      <c r="I60" t="s">
        <v>40</v>
      </c>
      <c r="J60" s="14">
        <v>43195</v>
      </c>
      <c r="K60" t="s">
        <v>59</v>
      </c>
      <c r="L60">
        <v>94</v>
      </c>
      <c r="M60" t="s">
        <v>235</v>
      </c>
      <c r="N60" t="s">
        <v>61</v>
      </c>
      <c r="O60" t="s">
        <v>174</v>
      </c>
      <c r="Q60">
        <v>3</v>
      </c>
      <c r="W60">
        <v>4</v>
      </c>
      <c r="X60" t="s">
        <v>34</v>
      </c>
    </row>
    <row r="61" spans="1:24" x14ac:dyDescent="0.35">
      <c r="A61" t="s">
        <v>236</v>
      </c>
      <c r="B61" t="s">
        <v>68</v>
      </c>
      <c r="C61" t="s">
        <v>237</v>
      </c>
      <c r="D61">
        <v>35</v>
      </c>
      <c r="E61">
        <v>1989</v>
      </c>
      <c r="F61">
        <v>50000</v>
      </c>
      <c r="G61" t="s">
        <v>27</v>
      </c>
      <c r="H61" t="s">
        <v>64</v>
      </c>
      <c r="I61" t="s">
        <v>77</v>
      </c>
      <c r="J61" s="14">
        <v>43195</v>
      </c>
      <c r="K61" t="s">
        <v>30</v>
      </c>
      <c r="L61">
        <v>63</v>
      </c>
      <c r="M61" t="s">
        <v>238</v>
      </c>
      <c r="N61" t="s">
        <v>61</v>
      </c>
      <c r="O61" t="s">
        <v>44</v>
      </c>
      <c r="Q61">
        <v>7</v>
      </c>
      <c r="T61" t="s">
        <v>79</v>
      </c>
      <c r="W61">
        <v>2</v>
      </c>
      <c r="X61" t="s">
        <v>46</v>
      </c>
    </row>
    <row r="62" spans="1:24" x14ac:dyDescent="0.35">
      <c r="A62" t="s">
        <v>239</v>
      </c>
      <c r="B62" t="s">
        <v>36</v>
      </c>
      <c r="C62" t="s">
        <v>240</v>
      </c>
      <c r="D62">
        <v>50</v>
      </c>
      <c r="E62">
        <v>1974</v>
      </c>
      <c r="F62">
        <v>50000</v>
      </c>
      <c r="G62" t="s">
        <v>38</v>
      </c>
      <c r="H62" t="s">
        <v>145</v>
      </c>
      <c r="I62" t="s">
        <v>94</v>
      </c>
      <c r="J62" s="14">
        <v>43195</v>
      </c>
      <c r="K62" t="s">
        <v>41</v>
      </c>
      <c r="L62">
        <v>3</v>
      </c>
      <c r="M62" t="s">
        <v>241</v>
      </c>
      <c r="O62" t="s">
        <v>32</v>
      </c>
      <c r="P62" t="s">
        <v>242</v>
      </c>
      <c r="Q62">
        <v>7</v>
      </c>
      <c r="S62">
        <v>4</v>
      </c>
      <c r="T62" s="14">
        <v>44470</v>
      </c>
      <c r="V62" t="s">
        <v>34</v>
      </c>
      <c r="W62">
        <v>2</v>
      </c>
      <c r="X62" t="s">
        <v>46</v>
      </c>
    </row>
    <row r="63" spans="1:24" x14ac:dyDescent="0.35">
      <c r="A63" t="s">
        <v>243</v>
      </c>
      <c r="B63" t="s">
        <v>107</v>
      </c>
      <c r="C63" t="s">
        <v>244</v>
      </c>
      <c r="D63">
        <v>25</v>
      </c>
      <c r="E63">
        <v>1999</v>
      </c>
      <c r="F63" t="s">
        <v>50</v>
      </c>
      <c r="G63" t="s">
        <v>27</v>
      </c>
      <c r="H63" t="s">
        <v>64</v>
      </c>
      <c r="I63" t="s">
        <v>77</v>
      </c>
      <c r="J63" s="14">
        <v>43549</v>
      </c>
      <c r="K63" t="s">
        <v>30</v>
      </c>
      <c r="L63">
        <v>69</v>
      </c>
      <c r="M63" t="s">
        <v>245</v>
      </c>
      <c r="N63" t="s">
        <v>54</v>
      </c>
      <c r="O63" t="s">
        <v>112</v>
      </c>
      <c r="Q63">
        <v>7</v>
      </c>
      <c r="T63" s="14">
        <v>45516</v>
      </c>
      <c r="V63" t="s">
        <v>34</v>
      </c>
      <c r="W63">
        <v>1</v>
      </c>
      <c r="X63" t="s">
        <v>46</v>
      </c>
    </row>
    <row r="64" spans="1:24" x14ac:dyDescent="0.35">
      <c r="A64" t="s">
        <v>246</v>
      </c>
      <c r="B64" t="s">
        <v>114</v>
      </c>
      <c r="C64" t="s">
        <v>247</v>
      </c>
      <c r="E64">
        <v>1979</v>
      </c>
      <c r="F64">
        <v>65000</v>
      </c>
      <c r="G64" t="s">
        <v>27</v>
      </c>
      <c r="H64" t="s">
        <v>28</v>
      </c>
      <c r="I64" t="s">
        <v>40</v>
      </c>
      <c r="J64" s="14">
        <v>43845</v>
      </c>
      <c r="K64" t="s">
        <v>30</v>
      </c>
      <c r="L64">
        <v>60</v>
      </c>
      <c r="M64" t="s">
        <v>248</v>
      </c>
      <c r="N64" t="s">
        <v>61</v>
      </c>
      <c r="O64" t="s">
        <v>100</v>
      </c>
      <c r="Q64">
        <v>7</v>
      </c>
      <c r="S64">
        <v>13</v>
      </c>
      <c r="U64">
        <v>59</v>
      </c>
      <c r="V64" t="s">
        <v>169</v>
      </c>
      <c r="W64">
        <v>1</v>
      </c>
      <c r="X64" t="s">
        <v>46</v>
      </c>
    </row>
    <row r="65" spans="1:24" x14ac:dyDescent="0.35">
      <c r="A65" t="s">
        <v>249</v>
      </c>
      <c r="B65" t="s">
        <v>68</v>
      </c>
      <c r="C65" t="s">
        <v>250</v>
      </c>
      <c r="D65">
        <v>50</v>
      </c>
      <c r="E65">
        <v>1974</v>
      </c>
      <c r="F65">
        <v>63000</v>
      </c>
      <c r="G65" t="s">
        <v>27</v>
      </c>
      <c r="H65" t="s">
        <v>145</v>
      </c>
      <c r="I65" t="s">
        <v>40</v>
      </c>
      <c r="J65" s="14">
        <v>43549</v>
      </c>
      <c r="K65" t="s">
        <v>78</v>
      </c>
      <c r="L65">
        <v>82</v>
      </c>
      <c r="M65" t="s">
        <v>251</v>
      </c>
      <c r="N65" t="s">
        <v>54</v>
      </c>
      <c r="O65" t="s">
        <v>44</v>
      </c>
      <c r="Q65">
        <v>8</v>
      </c>
      <c r="V65" t="s">
        <v>34</v>
      </c>
      <c r="W65">
        <v>2</v>
      </c>
      <c r="X65" t="s">
        <v>46</v>
      </c>
    </row>
    <row r="66" spans="1:24" x14ac:dyDescent="0.35">
      <c r="A66" t="s">
        <v>252</v>
      </c>
      <c r="B66" t="s">
        <v>114</v>
      </c>
      <c r="C66" t="s">
        <v>253</v>
      </c>
      <c r="D66">
        <v>40</v>
      </c>
      <c r="E66">
        <v>1984</v>
      </c>
      <c r="F66">
        <v>55000</v>
      </c>
      <c r="G66" t="s">
        <v>38</v>
      </c>
      <c r="H66" t="s">
        <v>64</v>
      </c>
      <c r="I66" t="s">
        <v>29</v>
      </c>
      <c r="J66" s="22">
        <v>43195</v>
      </c>
      <c r="K66" t="s">
        <v>41</v>
      </c>
      <c r="L66">
        <v>56</v>
      </c>
      <c r="M66" t="s">
        <v>254</v>
      </c>
      <c r="N66" t="s">
        <v>104</v>
      </c>
      <c r="O66" t="s">
        <v>112</v>
      </c>
      <c r="Q66">
        <v>7</v>
      </c>
      <c r="U66">
        <v>12</v>
      </c>
      <c r="V66" t="s">
        <v>46</v>
      </c>
      <c r="W66">
        <v>2</v>
      </c>
      <c r="X66" t="s">
        <v>46</v>
      </c>
    </row>
    <row r="67" spans="1:24" x14ac:dyDescent="0.35">
      <c r="A67" t="s">
        <v>255</v>
      </c>
      <c r="B67" t="s">
        <v>68</v>
      </c>
      <c r="C67" t="s">
        <v>256</v>
      </c>
      <c r="D67">
        <v>25</v>
      </c>
      <c r="E67">
        <v>1999</v>
      </c>
      <c r="F67" t="s">
        <v>50</v>
      </c>
      <c r="G67" t="s">
        <v>38</v>
      </c>
      <c r="H67" t="s">
        <v>70</v>
      </c>
      <c r="I67" t="s">
        <v>89</v>
      </c>
      <c r="J67" s="14">
        <v>43549</v>
      </c>
      <c r="K67" t="s">
        <v>30</v>
      </c>
      <c r="L67">
        <v>69</v>
      </c>
      <c r="M67" t="s">
        <v>257</v>
      </c>
      <c r="N67" t="s">
        <v>104</v>
      </c>
      <c r="O67" t="s">
        <v>44</v>
      </c>
      <c r="Q67">
        <v>1</v>
      </c>
      <c r="S67">
        <v>0</v>
      </c>
      <c r="V67" t="s">
        <v>73</v>
      </c>
      <c r="W67">
        <v>5</v>
      </c>
      <c r="X67" t="s">
        <v>34</v>
      </c>
    </row>
    <row r="68" spans="1:24" x14ac:dyDescent="0.35">
      <c r="A68" t="s">
        <v>258</v>
      </c>
      <c r="B68" t="s">
        <v>36</v>
      </c>
      <c r="C68" t="s">
        <v>259</v>
      </c>
      <c r="D68">
        <v>25</v>
      </c>
      <c r="E68">
        <v>1999</v>
      </c>
      <c r="F68" t="s">
        <v>50</v>
      </c>
      <c r="G68" t="s">
        <v>27</v>
      </c>
      <c r="H68" t="s">
        <v>51</v>
      </c>
      <c r="I68" t="s">
        <v>29</v>
      </c>
      <c r="J68" s="22">
        <v>43195</v>
      </c>
      <c r="K68" t="s">
        <v>30</v>
      </c>
      <c r="L68">
        <v>69</v>
      </c>
      <c r="M68" t="s">
        <v>260</v>
      </c>
      <c r="N68" t="s">
        <v>104</v>
      </c>
      <c r="O68" t="s">
        <v>100</v>
      </c>
      <c r="Q68">
        <v>1</v>
      </c>
      <c r="S68">
        <v>0</v>
      </c>
      <c r="T68" s="14">
        <v>44732</v>
      </c>
      <c r="V68" t="s">
        <v>34</v>
      </c>
      <c r="W68">
        <v>1</v>
      </c>
      <c r="X68" t="s">
        <v>46</v>
      </c>
    </row>
    <row r="69" spans="1:24" x14ac:dyDescent="0.35">
      <c r="A69" t="s">
        <v>261</v>
      </c>
      <c r="B69" t="s">
        <v>48</v>
      </c>
      <c r="C69" t="s">
        <v>262</v>
      </c>
      <c r="D69">
        <v>40</v>
      </c>
      <c r="E69">
        <v>1984</v>
      </c>
      <c r="F69">
        <v>63000</v>
      </c>
      <c r="G69" t="s">
        <v>27</v>
      </c>
      <c r="H69" t="s">
        <v>51</v>
      </c>
      <c r="I69" t="s">
        <v>40</v>
      </c>
      <c r="J69" s="14">
        <v>43800</v>
      </c>
      <c r="K69" t="s">
        <v>41</v>
      </c>
      <c r="L69">
        <v>42</v>
      </c>
      <c r="M69" t="s">
        <v>263</v>
      </c>
      <c r="N69" t="s">
        <v>61</v>
      </c>
      <c r="O69" t="s">
        <v>66</v>
      </c>
      <c r="Q69">
        <v>4</v>
      </c>
      <c r="R69">
        <v>6</v>
      </c>
      <c r="T69" s="14">
        <v>44732</v>
      </c>
      <c r="V69" t="s">
        <v>33</v>
      </c>
      <c r="W69">
        <v>1</v>
      </c>
      <c r="X69" t="s">
        <v>34</v>
      </c>
    </row>
    <row r="70" spans="1:24" x14ac:dyDescent="0.35">
      <c r="A70" t="s">
        <v>264</v>
      </c>
      <c r="B70" t="s">
        <v>25</v>
      </c>
      <c r="C70" t="s">
        <v>265</v>
      </c>
      <c r="D70">
        <v>35</v>
      </c>
      <c r="E70">
        <v>1989</v>
      </c>
      <c r="F70">
        <v>59300</v>
      </c>
      <c r="G70" t="s">
        <v>38</v>
      </c>
      <c r="H70" t="s">
        <v>122</v>
      </c>
      <c r="I70" t="s">
        <v>94</v>
      </c>
      <c r="J70" s="14">
        <v>43845</v>
      </c>
      <c r="K70" t="s">
        <v>41</v>
      </c>
      <c r="L70">
        <v>8</v>
      </c>
      <c r="M70" t="s">
        <v>266</v>
      </c>
      <c r="N70" t="s">
        <v>104</v>
      </c>
      <c r="O70" t="s">
        <v>174</v>
      </c>
      <c r="P70" t="s">
        <v>188</v>
      </c>
      <c r="Q70">
        <v>6</v>
      </c>
      <c r="T70" s="14">
        <v>44990</v>
      </c>
      <c r="V70" t="s">
        <v>169</v>
      </c>
      <c r="W70">
        <v>5</v>
      </c>
      <c r="X70" t="s">
        <v>34</v>
      </c>
    </row>
    <row r="71" spans="1:24" x14ac:dyDescent="0.35">
      <c r="A71" t="s">
        <v>267</v>
      </c>
      <c r="B71" t="s">
        <v>140</v>
      </c>
      <c r="C71" t="s">
        <v>268</v>
      </c>
      <c r="D71">
        <v>50</v>
      </c>
      <c r="E71">
        <v>1974</v>
      </c>
      <c r="F71">
        <v>55000</v>
      </c>
      <c r="G71" t="s">
        <v>38</v>
      </c>
      <c r="H71" t="s">
        <v>93</v>
      </c>
      <c r="I71" t="s">
        <v>94</v>
      </c>
      <c r="J71" s="14">
        <v>43800</v>
      </c>
      <c r="K71" t="s">
        <v>59</v>
      </c>
      <c r="L71">
        <v>100</v>
      </c>
      <c r="M71" t="s">
        <v>269</v>
      </c>
      <c r="O71" t="s">
        <v>32</v>
      </c>
      <c r="Q71">
        <v>1</v>
      </c>
      <c r="R71" t="s">
        <v>79</v>
      </c>
      <c r="T71" t="s">
        <v>79</v>
      </c>
      <c r="V71" t="s">
        <v>34</v>
      </c>
      <c r="W71">
        <v>3</v>
      </c>
      <c r="X71" t="s">
        <v>34</v>
      </c>
    </row>
    <row r="72" spans="1:24" x14ac:dyDescent="0.35">
      <c r="A72" t="s">
        <v>270</v>
      </c>
      <c r="B72" t="s">
        <v>48</v>
      </c>
      <c r="C72" t="s">
        <v>271</v>
      </c>
      <c r="D72" t="s">
        <v>88</v>
      </c>
      <c r="E72">
        <v>1994</v>
      </c>
      <c r="F72">
        <v>55000</v>
      </c>
      <c r="G72" t="s">
        <v>27</v>
      </c>
      <c r="H72" t="s">
        <v>82</v>
      </c>
      <c r="I72" t="s">
        <v>29</v>
      </c>
      <c r="J72" s="14">
        <v>43881</v>
      </c>
      <c r="K72" t="s">
        <v>78</v>
      </c>
      <c r="L72">
        <v>80</v>
      </c>
      <c r="M72" t="s">
        <v>272</v>
      </c>
      <c r="O72" t="s">
        <v>100</v>
      </c>
      <c r="Q72">
        <v>6</v>
      </c>
      <c r="T72" t="s">
        <v>79</v>
      </c>
      <c r="U72">
        <v>61</v>
      </c>
      <c r="W72">
        <v>4</v>
      </c>
      <c r="X72" t="s">
        <v>34</v>
      </c>
    </row>
    <row r="73" spans="1:24" x14ac:dyDescent="0.35">
      <c r="A73" t="s">
        <v>273</v>
      </c>
      <c r="B73" t="s">
        <v>56</v>
      </c>
      <c r="C73" t="s">
        <v>164</v>
      </c>
      <c r="E73">
        <v>1980</v>
      </c>
      <c r="F73">
        <v>60300</v>
      </c>
      <c r="G73" t="s">
        <v>27</v>
      </c>
      <c r="H73" t="s">
        <v>64</v>
      </c>
      <c r="I73" t="s">
        <v>40</v>
      </c>
      <c r="J73" s="14">
        <v>43549</v>
      </c>
      <c r="K73" t="s">
        <v>41</v>
      </c>
      <c r="L73">
        <v>32</v>
      </c>
      <c r="M73" t="s">
        <v>165</v>
      </c>
      <c r="N73" t="s">
        <v>61</v>
      </c>
      <c r="O73" t="s">
        <v>174</v>
      </c>
      <c r="Q73">
        <v>4</v>
      </c>
      <c r="T73" s="14">
        <v>44732</v>
      </c>
      <c r="U73">
        <v>46</v>
      </c>
      <c r="V73" t="s">
        <v>46</v>
      </c>
      <c r="W73">
        <v>2</v>
      </c>
      <c r="X73" t="s">
        <v>46</v>
      </c>
    </row>
    <row r="74" spans="1:24" x14ac:dyDescent="0.35">
      <c r="A74" t="s">
        <v>274</v>
      </c>
      <c r="B74" t="s">
        <v>114</v>
      </c>
      <c r="C74" t="s">
        <v>115</v>
      </c>
      <c r="D74" t="s">
        <v>88</v>
      </c>
      <c r="E74">
        <v>1994</v>
      </c>
      <c r="F74">
        <v>50000</v>
      </c>
      <c r="G74" t="s">
        <v>27</v>
      </c>
      <c r="H74" t="s">
        <v>122</v>
      </c>
      <c r="I74" t="s">
        <v>94</v>
      </c>
      <c r="J74" s="14">
        <v>43881</v>
      </c>
      <c r="K74" t="s">
        <v>41</v>
      </c>
      <c r="L74">
        <v>56</v>
      </c>
      <c r="M74" t="s">
        <v>182</v>
      </c>
      <c r="N74" t="s">
        <v>54</v>
      </c>
      <c r="O74" t="s">
        <v>66</v>
      </c>
      <c r="Q74">
        <v>1</v>
      </c>
      <c r="T74" t="s">
        <v>79</v>
      </c>
      <c r="V74" t="s">
        <v>34</v>
      </c>
      <c r="W74">
        <v>1</v>
      </c>
      <c r="X74" t="s">
        <v>46</v>
      </c>
    </row>
    <row r="75" spans="1:24" x14ac:dyDescent="0.35">
      <c r="A75" t="s">
        <v>242</v>
      </c>
      <c r="B75" t="s">
        <v>56</v>
      </c>
      <c r="C75" t="s">
        <v>84</v>
      </c>
      <c r="D75">
        <v>40</v>
      </c>
      <c r="E75">
        <v>1984</v>
      </c>
      <c r="F75" t="s">
        <v>50</v>
      </c>
      <c r="G75" t="s">
        <v>38</v>
      </c>
      <c r="H75" t="s">
        <v>64</v>
      </c>
      <c r="I75" t="s">
        <v>40</v>
      </c>
      <c r="J75" s="14">
        <v>43549</v>
      </c>
      <c r="K75" t="s">
        <v>52</v>
      </c>
      <c r="L75">
        <v>74</v>
      </c>
      <c r="M75" t="s">
        <v>275</v>
      </c>
      <c r="N75" t="s">
        <v>43</v>
      </c>
      <c r="O75" t="s">
        <v>100</v>
      </c>
      <c r="Q75">
        <v>1</v>
      </c>
      <c r="U75">
        <v>54</v>
      </c>
      <c r="W75">
        <v>3</v>
      </c>
      <c r="X75" t="s">
        <v>34</v>
      </c>
    </row>
    <row r="76" spans="1:24" x14ac:dyDescent="0.35">
      <c r="A76" t="s">
        <v>276</v>
      </c>
      <c r="B76" t="s">
        <v>48</v>
      </c>
      <c r="C76" t="s">
        <v>277</v>
      </c>
      <c r="D76">
        <v>25</v>
      </c>
      <c r="E76">
        <v>1999</v>
      </c>
      <c r="F76">
        <v>70000</v>
      </c>
      <c r="G76" t="s">
        <v>38</v>
      </c>
      <c r="H76" t="s">
        <v>28</v>
      </c>
      <c r="I76" t="s">
        <v>94</v>
      </c>
      <c r="J76" t="s">
        <v>278</v>
      </c>
      <c r="K76" t="s">
        <v>41</v>
      </c>
      <c r="L76">
        <v>0</v>
      </c>
      <c r="M76" t="s">
        <v>279</v>
      </c>
      <c r="N76" t="s">
        <v>54</v>
      </c>
      <c r="O76" t="s">
        <v>72</v>
      </c>
      <c r="Q76">
        <v>4</v>
      </c>
      <c r="R76">
        <v>5</v>
      </c>
      <c r="U76">
        <v>80</v>
      </c>
      <c r="W76">
        <v>1</v>
      </c>
      <c r="X76" t="s">
        <v>46</v>
      </c>
    </row>
    <row r="77" spans="1:24" x14ac:dyDescent="0.35">
      <c r="A77" t="s">
        <v>280</v>
      </c>
      <c r="B77" t="s">
        <v>68</v>
      </c>
      <c r="C77" t="s">
        <v>193</v>
      </c>
      <c r="D77">
        <v>25</v>
      </c>
      <c r="E77">
        <v>1999</v>
      </c>
      <c r="F77">
        <v>55000</v>
      </c>
      <c r="G77" t="s">
        <v>27</v>
      </c>
      <c r="H77" t="s">
        <v>28</v>
      </c>
      <c r="I77" t="s">
        <v>40</v>
      </c>
      <c r="J77" s="22">
        <v>43195</v>
      </c>
      <c r="K77" t="s">
        <v>78</v>
      </c>
      <c r="L77">
        <v>88</v>
      </c>
      <c r="M77" t="s">
        <v>194</v>
      </c>
      <c r="N77" t="s">
        <v>54</v>
      </c>
      <c r="O77" t="s">
        <v>32</v>
      </c>
      <c r="Q77">
        <v>4</v>
      </c>
      <c r="W77">
        <v>1</v>
      </c>
      <c r="X77" t="s">
        <v>34</v>
      </c>
    </row>
    <row r="78" spans="1:24" x14ac:dyDescent="0.35">
      <c r="A78" t="s">
        <v>227</v>
      </c>
      <c r="B78" t="s">
        <v>140</v>
      </c>
      <c r="C78" t="s">
        <v>281</v>
      </c>
      <c r="E78">
        <v>1999</v>
      </c>
      <c r="F78">
        <v>55000</v>
      </c>
      <c r="G78" t="s">
        <v>38</v>
      </c>
      <c r="H78" t="s">
        <v>145</v>
      </c>
      <c r="I78" t="s">
        <v>77</v>
      </c>
      <c r="J78" s="22">
        <v>43195</v>
      </c>
      <c r="K78" t="s">
        <v>30</v>
      </c>
      <c r="L78">
        <v>61</v>
      </c>
      <c r="M78" t="s">
        <v>282</v>
      </c>
      <c r="N78" t="s">
        <v>54</v>
      </c>
      <c r="O78" t="s">
        <v>44</v>
      </c>
      <c r="Q78">
        <v>6</v>
      </c>
      <c r="S78">
        <v>20</v>
      </c>
      <c r="T78" t="s">
        <v>79</v>
      </c>
      <c r="U78">
        <v>19</v>
      </c>
      <c r="W78">
        <v>5</v>
      </c>
      <c r="X78" t="s">
        <v>46</v>
      </c>
    </row>
    <row r="79" spans="1:24" x14ac:dyDescent="0.35">
      <c r="A79" t="s">
        <v>283</v>
      </c>
      <c r="B79" t="s">
        <v>140</v>
      </c>
      <c r="C79" t="s">
        <v>268</v>
      </c>
      <c r="D79">
        <v>25</v>
      </c>
      <c r="E79">
        <v>1999</v>
      </c>
      <c r="F79">
        <v>60900</v>
      </c>
      <c r="G79" t="s">
        <v>27</v>
      </c>
      <c r="H79" t="s">
        <v>28</v>
      </c>
      <c r="I79" t="s">
        <v>40</v>
      </c>
      <c r="J79" s="14">
        <v>43549</v>
      </c>
      <c r="K79" t="s">
        <v>30</v>
      </c>
      <c r="L79">
        <v>64</v>
      </c>
      <c r="M79" t="s">
        <v>269</v>
      </c>
      <c r="N79" t="s">
        <v>54</v>
      </c>
      <c r="O79" t="s">
        <v>44</v>
      </c>
      <c r="Q79">
        <v>5</v>
      </c>
      <c r="R79">
        <v>14</v>
      </c>
      <c r="U79">
        <v>46</v>
      </c>
      <c r="V79" t="s">
        <v>34</v>
      </c>
      <c r="W79">
        <v>1</v>
      </c>
      <c r="X79" t="s">
        <v>34</v>
      </c>
    </row>
    <row r="80" spans="1:24" x14ac:dyDescent="0.35">
      <c r="A80" t="s">
        <v>284</v>
      </c>
      <c r="B80" t="s">
        <v>131</v>
      </c>
      <c r="C80" t="s">
        <v>285</v>
      </c>
      <c r="D80">
        <v>25</v>
      </c>
      <c r="E80">
        <v>1999</v>
      </c>
      <c r="F80">
        <v>65000</v>
      </c>
      <c r="G80" t="s">
        <v>27</v>
      </c>
      <c r="H80" t="s">
        <v>39</v>
      </c>
      <c r="I80" t="s">
        <v>40</v>
      </c>
      <c r="J80" s="22">
        <v>43195</v>
      </c>
      <c r="K80" t="s">
        <v>30</v>
      </c>
      <c r="L80">
        <v>64</v>
      </c>
      <c r="M80" t="s">
        <v>286</v>
      </c>
      <c r="N80" t="s">
        <v>43</v>
      </c>
      <c r="O80" t="s">
        <v>32</v>
      </c>
      <c r="P80" t="s">
        <v>218</v>
      </c>
      <c r="Q80">
        <v>3</v>
      </c>
      <c r="W80">
        <v>3</v>
      </c>
      <c r="X80" t="s">
        <v>46</v>
      </c>
    </row>
    <row r="81" spans="1:24" x14ac:dyDescent="0.35">
      <c r="A81" t="s">
        <v>287</v>
      </c>
      <c r="B81" t="s">
        <v>140</v>
      </c>
      <c r="C81" t="s">
        <v>229</v>
      </c>
      <c r="E81">
        <v>1986</v>
      </c>
      <c r="F81">
        <v>70000</v>
      </c>
      <c r="G81" t="s">
        <v>38</v>
      </c>
      <c r="H81" t="s">
        <v>93</v>
      </c>
      <c r="I81" t="s">
        <v>29</v>
      </c>
      <c r="J81" t="s">
        <v>278</v>
      </c>
      <c r="K81" t="s">
        <v>30</v>
      </c>
      <c r="L81">
        <v>61</v>
      </c>
      <c r="M81" t="s">
        <v>288</v>
      </c>
      <c r="N81" t="s">
        <v>104</v>
      </c>
      <c r="O81" t="s">
        <v>72</v>
      </c>
      <c r="P81" t="s">
        <v>236</v>
      </c>
      <c r="Q81">
        <v>2</v>
      </c>
      <c r="R81">
        <v>5</v>
      </c>
      <c r="S81">
        <v>10</v>
      </c>
      <c r="T81" s="14">
        <v>44941</v>
      </c>
      <c r="V81" t="s">
        <v>33</v>
      </c>
      <c r="W81">
        <v>2</v>
      </c>
      <c r="X81" t="s">
        <v>34</v>
      </c>
    </row>
    <row r="82" spans="1:24" x14ac:dyDescent="0.35">
      <c r="A82" t="s">
        <v>187</v>
      </c>
      <c r="B82" t="s">
        <v>25</v>
      </c>
      <c r="C82" t="s">
        <v>289</v>
      </c>
      <c r="D82">
        <v>50</v>
      </c>
      <c r="E82">
        <v>1974</v>
      </c>
      <c r="F82">
        <v>70000</v>
      </c>
      <c r="G82" t="s">
        <v>38</v>
      </c>
      <c r="H82" t="s">
        <v>70</v>
      </c>
      <c r="I82" t="s">
        <v>77</v>
      </c>
      <c r="J82" s="22">
        <v>43195</v>
      </c>
      <c r="K82" t="s">
        <v>52</v>
      </c>
      <c r="L82">
        <v>70</v>
      </c>
      <c r="M82" t="s">
        <v>290</v>
      </c>
      <c r="N82" t="s">
        <v>54</v>
      </c>
      <c r="O82" t="s">
        <v>174</v>
      </c>
      <c r="Q82">
        <v>7</v>
      </c>
      <c r="T82" s="14">
        <v>44990</v>
      </c>
      <c r="U82">
        <v>78</v>
      </c>
      <c r="V82" t="s">
        <v>34</v>
      </c>
      <c r="W82">
        <v>5</v>
      </c>
      <c r="X82" t="s">
        <v>46</v>
      </c>
    </row>
    <row r="83" spans="1:24" x14ac:dyDescent="0.35">
      <c r="A83" t="s">
        <v>291</v>
      </c>
      <c r="B83" t="s">
        <v>140</v>
      </c>
      <c r="C83" t="s">
        <v>292</v>
      </c>
      <c r="D83">
        <v>50</v>
      </c>
      <c r="E83">
        <v>1974</v>
      </c>
      <c r="F83">
        <v>55000</v>
      </c>
      <c r="G83" t="s">
        <v>38</v>
      </c>
      <c r="H83" t="s">
        <v>51</v>
      </c>
      <c r="I83" t="s">
        <v>89</v>
      </c>
      <c r="J83" t="s">
        <v>278</v>
      </c>
      <c r="K83" t="s">
        <v>41</v>
      </c>
      <c r="L83">
        <v>35</v>
      </c>
      <c r="M83" t="s">
        <v>293</v>
      </c>
      <c r="O83" t="s">
        <v>66</v>
      </c>
      <c r="Q83">
        <v>5</v>
      </c>
      <c r="R83" t="s">
        <v>79</v>
      </c>
      <c r="T83" s="14">
        <v>44990</v>
      </c>
      <c r="V83" t="s">
        <v>46</v>
      </c>
      <c r="W83">
        <v>2</v>
      </c>
      <c r="X83" t="s">
        <v>46</v>
      </c>
    </row>
    <row r="84" spans="1:24" x14ac:dyDescent="0.35">
      <c r="A84" t="s">
        <v>294</v>
      </c>
      <c r="B84" t="s">
        <v>48</v>
      </c>
      <c r="C84" t="s">
        <v>295</v>
      </c>
      <c r="E84">
        <v>1980</v>
      </c>
      <c r="F84">
        <v>50000</v>
      </c>
      <c r="G84" t="s">
        <v>38</v>
      </c>
      <c r="H84" t="s">
        <v>64</v>
      </c>
      <c r="I84" t="s">
        <v>29</v>
      </c>
      <c r="J84" s="14">
        <v>43881</v>
      </c>
      <c r="K84" t="s">
        <v>30</v>
      </c>
      <c r="L84">
        <v>61</v>
      </c>
      <c r="M84" t="s">
        <v>296</v>
      </c>
      <c r="N84" t="s">
        <v>61</v>
      </c>
      <c r="O84" t="s">
        <v>44</v>
      </c>
      <c r="Q84">
        <v>3</v>
      </c>
      <c r="R84">
        <v>5</v>
      </c>
      <c r="S84">
        <v>20</v>
      </c>
      <c r="T84" s="14">
        <v>45516</v>
      </c>
      <c r="V84" t="s">
        <v>34</v>
      </c>
      <c r="W84">
        <v>1</v>
      </c>
      <c r="X84" t="s">
        <v>34</v>
      </c>
    </row>
    <row r="85" spans="1:24" x14ac:dyDescent="0.35">
      <c r="A85" t="s">
        <v>297</v>
      </c>
      <c r="B85" t="s">
        <v>131</v>
      </c>
      <c r="C85" t="s">
        <v>144</v>
      </c>
      <c r="D85">
        <v>40</v>
      </c>
      <c r="E85">
        <v>1984</v>
      </c>
      <c r="F85">
        <v>65000</v>
      </c>
      <c r="G85" t="s">
        <v>38</v>
      </c>
      <c r="H85" t="s">
        <v>64</v>
      </c>
      <c r="I85" t="s">
        <v>89</v>
      </c>
      <c r="J85" t="s">
        <v>278</v>
      </c>
      <c r="K85" t="s">
        <v>59</v>
      </c>
      <c r="L85">
        <v>92</v>
      </c>
      <c r="M85" t="s">
        <v>146</v>
      </c>
      <c r="N85" t="s">
        <v>61</v>
      </c>
      <c r="O85" t="s">
        <v>174</v>
      </c>
      <c r="Q85">
        <v>2</v>
      </c>
      <c r="R85" t="s">
        <v>79</v>
      </c>
      <c r="T85" s="14">
        <v>44732</v>
      </c>
      <c r="V85" t="s">
        <v>46</v>
      </c>
      <c r="W85">
        <v>4</v>
      </c>
      <c r="X85" t="s">
        <v>34</v>
      </c>
    </row>
    <row r="86" spans="1:24" x14ac:dyDescent="0.35">
      <c r="A86" t="s">
        <v>298</v>
      </c>
      <c r="B86" t="s">
        <v>48</v>
      </c>
      <c r="C86" t="s">
        <v>299</v>
      </c>
      <c r="D86">
        <v>25</v>
      </c>
      <c r="E86">
        <v>1999</v>
      </c>
      <c r="F86">
        <v>70000</v>
      </c>
      <c r="G86" t="s">
        <v>38</v>
      </c>
      <c r="H86" t="s">
        <v>28</v>
      </c>
      <c r="I86" t="s">
        <v>94</v>
      </c>
      <c r="J86" s="14">
        <v>43845</v>
      </c>
      <c r="K86" t="s">
        <v>30</v>
      </c>
      <c r="L86">
        <v>62</v>
      </c>
      <c r="M86" t="s">
        <v>300</v>
      </c>
      <c r="O86" t="s">
        <v>72</v>
      </c>
      <c r="Q86">
        <v>1</v>
      </c>
      <c r="R86">
        <v>3</v>
      </c>
      <c r="S86">
        <v>9</v>
      </c>
      <c r="U86">
        <v>51</v>
      </c>
      <c r="V86" t="s">
        <v>169</v>
      </c>
      <c r="W86">
        <v>2</v>
      </c>
      <c r="X86" t="s">
        <v>34</v>
      </c>
    </row>
    <row r="87" spans="1:24" x14ac:dyDescent="0.35">
      <c r="A87" t="s">
        <v>301</v>
      </c>
      <c r="B87" t="s">
        <v>48</v>
      </c>
      <c r="C87" t="s">
        <v>110</v>
      </c>
      <c r="D87">
        <v>25</v>
      </c>
      <c r="E87">
        <v>1999</v>
      </c>
      <c r="F87">
        <v>55000</v>
      </c>
      <c r="G87" t="s">
        <v>27</v>
      </c>
      <c r="H87" t="s">
        <v>39</v>
      </c>
      <c r="I87" t="s">
        <v>89</v>
      </c>
      <c r="J87" s="14">
        <v>43845</v>
      </c>
      <c r="K87" t="s">
        <v>41</v>
      </c>
      <c r="L87">
        <v>13</v>
      </c>
      <c r="M87" t="s">
        <v>302</v>
      </c>
      <c r="N87" t="s">
        <v>54</v>
      </c>
      <c r="O87" t="s">
        <v>174</v>
      </c>
      <c r="Q87">
        <v>5</v>
      </c>
      <c r="R87">
        <v>2</v>
      </c>
      <c r="T87" s="14">
        <v>45516</v>
      </c>
      <c r="V87" t="s">
        <v>34</v>
      </c>
      <c r="W87">
        <v>2</v>
      </c>
      <c r="X87" t="s">
        <v>34</v>
      </c>
    </row>
    <row r="88" spans="1:24" x14ac:dyDescent="0.35">
      <c r="A88" t="s">
        <v>303</v>
      </c>
      <c r="B88" t="s">
        <v>75</v>
      </c>
      <c r="C88" t="s">
        <v>213</v>
      </c>
      <c r="D88">
        <v>40</v>
      </c>
      <c r="E88">
        <v>1984</v>
      </c>
      <c r="F88">
        <v>70000</v>
      </c>
      <c r="G88" t="s">
        <v>27</v>
      </c>
      <c r="H88" t="s">
        <v>122</v>
      </c>
      <c r="I88" t="s">
        <v>40</v>
      </c>
      <c r="J88" s="14">
        <v>43845</v>
      </c>
      <c r="K88" t="s">
        <v>30</v>
      </c>
      <c r="L88">
        <v>65</v>
      </c>
      <c r="M88" t="s">
        <v>214</v>
      </c>
      <c r="N88" t="s">
        <v>43</v>
      </c>
      <c r="O88" t="s">
        <v>44</v>
      </c>
      <c r="Q88">
        <v>5</v>
      </c>
      <c r="S88">
        <v>3</v>
      </c>
      <c r="T88" s="14">
        <v>44732</v>
      </c>
      <c r="V88" t="s">
        <v>73</v>
      </c>
      <c r="W88">
        <v>2</v>
      </c>
      <c r="X88" t="s">
        <v>46</v>
      </c>
    </row>
    <row r="89" spans="1:24" x14ac:dyDescent="0.35">
      <c r="A89" t="s">
        <v>304</v>
      </c>
      <c r="B89" t="s">
        <v>131</v>
      </c>
      <c r="C89" t="s">
        <v>305</v>
      </c>
      <c r="D89">
        <v>50</v>
      </c>
      <c r="E89">
        <v>1974</v>
      </c>
      <c r="F89">
        <v>65000</v>
      </c>
      <c r="G89" t="s">
        <v>38</v>
      </c>
      <c r="H89" t="s">
        <v>28</v>
      </c>
      <c r="I89" t="s">
        <v>89</v>
      </c>
      <c r="J89" s="14">
        <v>43549</v>
      </c>
      <c r="K89" t="s">
        <v>52</v>
      </c>
      <c r="L89">
        <v>79</v>
      </c>
      <c r="M89" t="s">
        <v>306</v>
      </c>
      <c r="N89" t="s">
        <v>104</v>
      </c>
      <c r="O89" t="s">
        <v>112</v>
      </c>
      <c r="Q89">
        <v>8</v>
      </c>
      <c r="W89">
        <v>2</v>
      </c>
      <c r="X89" t="s">
        <v>34</v>
      </c>
    </row>
    <row r="90" spans="1:24" x14ac:dyDescent="0.35">
      <c r="A90" t="s">
        <v>105</v>
      </c>
      <c r="B90" t="s">
        <v>48</v>
      </c>
      <c r="C90" t="s">
        <v>262</v>
      </c>
      <c r="D90">
        <v>35</v>
      </c>
      <c r="E90">
        <v>1989</v>
      </c>
      <c r="F90">
        <v>65000</v>
      </c>
      <c r="G90" t="s">
        <v>38</v>
      </c>
      <c r="H90" t="s">
        <v>58</v>
      </c>
      <c r="I90" t="s">
        <v>29</v>
      </c>
      <c r="J90" s="14">
        <v>43549</v>
      </c>
      <c r="K90" t="s">
        <v>78</v>
      </c>
      <c r="L90">
        <v>82</v>
      </c>
      <c r="M90" t="s">
        <v>263</v>
      </c>
      <c r="N90" t="s">
        <v>61</v>
      </c>
      <c r="O90" t="s">
        <v>66</v>
      </c>
      <c r="Q90">
        <v>6</v>
      </c>
      <c r="R90">
        <v>6</v>
      </c>
      <c r="T90" s="14">
        <v>45516</v>
      </c>
      <c r="U90">
        <v>7</v>
      </c>
      <c r="V90" t="s">
        <v>33</v>
      </c>
      <c r="W90">
        <v>3</v>
      </c>
      <c r="X90" t="s">
        <v>34</v>
      </c>
    </row>
    <row r="91" spans="1:24" x14ac:dyDescent="0.35">
      <c r="A91" t="s">
        <v>307</v>
      </c>
      <c r="B91" t="s">
        <v>75</v>
      </c>
      <c r="C91" t="s">
        <v>103</v>
      </c>
      <c r="D91">
        <v>35</v>
      </c>
      <c r="E91">
        <v>1989</v>
      </c>
      <c r="F91" t="s">
        <v>50</v>
      </c>
      <c r="G91" t="s">
        <v>27</v>
      </c>
      <c r="H91" t="s">
        <v>51</v>
      </c>
      <c r="I91" t="s">
        <v>29</v>
      </c>
      <c r="J91" s="14">
        <v>43549</v>
      </c>
      <c r="K91" t="s">
        <v>78</v>
      </c>
      <c r="L91">
        <v>85</v>
      </c>
      <c r="M91" t="s">
        <v>308</v>
      </c>
      <c r="N91" t="s">
        <v>104</v>
      </c>
      <c r="O91" t="s">
        <v>112</v>
      </c>
      <c r="Q91">
        <v>7</v>
      </c>
      <c r="R91" t="s">
        <v>79</v>
      </c>
      <c r="U91">
        <v>55</v>
      </c>
      <c r="V91" t="s">
        <v>46</v>
      </c>
      <c r="W91">
        <v>5</v>
      </c>
      <c r="X91" t="s">
        <v>46</v>
      </c>
    </row>
    <row r="92" spans="1:24" x14ac:dyDescent="0.35">
      <c r="A92" t="s">
        <v>309</v>
      </c>
      <c r="B92" t="s">
        <v>75</v>
      </c>
      <c r="C92" t="s">
        <v>310</v>
      </c>
      <c r="D92">
        <v>35</v>
      </c>
      <c r="E92">
        <v>1989</v>
      </c>
      <c r="F92">
        <v>61600</v>
      </c>
      <c r="G92" t="s">
        <v>27</v>
      </c>
      <c r="H92" t="s">
        <v>93</v>
      </c>
      <c r="I92" t="s">
        <v>89</v>
      </c>
      <c r="J92" t="s">
        <v>278</v>
      </c>
      <c r="K92" t="s">
        <v>41</v>
      </c>
      <c r="L92">
        <v>54</v>
      </c>
      <c r="M92" t="s">
        <v>311</v>
      </c>
      <c r="N92" t="s">
        <v>43</v>
      </c>
      <c r="O92" t="s">
        <v>32</v>
      </c>
      <c r="Q92">
        <v>3</v>
      </c>
      <c r="R92">
        <v>8</v>
      </c>
      <c r="T92" s="14">
        <v>45516</v>
      </c>
      <c r="V92" t="s">
        <v>34</v>
      </c>
      <c r="W92">
        <v>2</v>
      </c>
      <c r="X92" t="s">
        <v>34</v>
      </c>
    </row>
    <row r="93" spans="1:24" x14ac:dyDescent="0.35">
      <c r="A93" t="s">
        <v>312</v>
      </c>
      <c r="B93" t="s">
        <v>131</v>
      </c>
      <c r="C93" t="s">
        <v>176</v>
      </c>
      <c r="D93">
        <v>50</v>
      </c>
      <c r="E93">
        <v>1974</v>
      </c>
      <c r="F93">
        <v>61500</v>
      </c>
      <c r="G93" t="s">
        <v>38</v>
      </c>
      <c r="H93" t="s">
        <v>145</v>
      </c>
      <c r="I93" t="s">
        <v>29</v>
      </c>
      <c r="J93" s="14">
        <v>43549</v>
      </c>
      <c r="K93" t="s">
        <v>78</v>
      </c>
      <c r="L93">
        <v>83</v>
      </c>
      <c r="M93" t="s">
        <v>313</v>
      </c>
      <c r="N93" t="s">
        <v>61</v>
      </c>
      <c r="O93" t="s">
        <v>174</v>
      </c>
      <c r="Q93">
        <v>6</v>
      </c>
      <c r="R93">
        <v>2</v>
      </c>
      <c r="T93" t="s">
        <v>79</v>
      </c>
      <c r="V93" t="s">
        <v>34</v>
      </c>
      <c r="W93">
        <v>4</v>
      </c>
      <c r="X93" t="s">
        <v>34</v>
      </c>
    </row>
    <row r="94" spans="1:24" x14ac:dyDescent="0.35">
      <c r="A94" t="s">
        <v>314</v>
      </c>
      <c r="B94" t="s">
        <v>56</v>
      </c>
      <c r="C94" t="s">
        <v>315</v>
      </c>
      <c r="D94">
        <v>50</v>
      </c>
      <c r="E94">
        <v>1974</v>
      </c>
      <c r="F94">
        <v>55000</v>
      </c>
      <c r="G94" t="s">
        <v>27</v>
      </c>
      <c r="H94" t="s">
        <v>70</v>
      </c>
      <c r="I94" t="s">
        <v>29</v>
      </c>
      <c r="J94" s="14">
        <v>43881</v>
      </c>
      <c r="K94" t="s">
        <v>78</v>
      </c>
      <c r="L94">
        <v>83</v>
      </c>
      <c r="M94" t="s">
        <v>316</v>
      </c>
      <c r="N94" t="s">
        <v>104</v>
      </c>
      <c r="O94" t="s">
        <v>66</v>
      </c>
      <c r="Q94">
        <v>8</v>
      </c>
      <c r="U94">
        <v>70</v>
      </c>
      <c r="V94" t="s">
        <v>169</v>
      </c>
      <c r="W94">
        <v>5</v>
      </c>
      <c r="X94" t="s">
        <v>34</v>
      </c>
    </row>
    <row r="95" spans="1:24" x14ac:dyDescent="0.35">
      <c r="A95" t="s">
        <v>317</v>
      </c>
      <c r="B95" t="s">
        <v>68</v>
      </c>
      <c r="C95" t="s">
        <v>318</v>
      </c>
      <c r="D95">
        <v>40</v>
      </c>
      <c r="E95">
        <v>1984</v>
      </c>
      <c r="F95">
        <v>65000</v>
      </c>
      <c r="G95" t="s">
        <v>27</v>
      </c>
      <c r="H95" t="s">
        <v>145</v>
      </c>
      <c r="I95" t="s">
        <v>89</v>
      </c>
      <c r="J95" s="14">
        <v>43845</v>
      </c>
      <c r="K95" t="s">
        <v>59</v>
      </c>
      <c r="L95">
        <v>93</v>
      </c>
      <c r="M95" t="s">
        <v>319</v>
      </c>
      <c r="N95" t="s">
        <v>43</v>
      </c>
      <c r="O95" t="s">
        <v>72</v>
      </c>
      <c r="Q95">
        <v>6</v>
      </c>
      <c r="R95">
        <v>15</v>
      </c>
      <c r="S95">
        <v>16</v>
      </c>
      <c r="V95" t="s">
        <v>169</v>
      </c>
      <c r="W95">
        <v>1</v>
      </c>
      <c r="X95" t="s">
        <v>46</v>
      </c>
    </row>
    <row r="96" spans="1:24" x14ac:dyDescent="0.35">
      <c r="A96" t="s">
        <v>320</v>
      </c>
      <c r="B96" t="s">
        <v>25</v>
      </c>
      <c r="C96" t="s">
        <v>117</v>
      </c>
      <c r="D96">
        <v>25</v>
      </c>
      <c r="E96">
        <v>1999</v>
      </c>
      <c r="F96" t="s">
        <v>50</v>
      </c>
      <c r="G96" t="s">
        <v>38</v>
      </c>
      <c r="H96" t="s">
        <v>39</v>
      </c>
      <c r="I96" t="s">
        <v>77</v>
      </c>
      <c r="J96" t="s">
        <v>278</v>
      </c>
      <c r="K96" t="s">
        <v>41</v>
      </c>
      <c r="L96">
        <v>25</v>
      </c>
      <c r="M96" t="s">
        <v>321</v>
      </c>
      <c r="N96" t="s">
        <v>104</v>
      </c>
      <c r="O96" t="s">
        <v>66</v>
      </c>
      <c r="P96" t="s">
        <v>322</v>
      </c>
      <c r="Q96">
        <v>4</v>
      </c>
      <c r="T96" t="s">
        <v>79</v>
      </c>
      <c r="V96" t="s">
        <v>46</v>
      </c>
      <c r="W96">
        <v>1</v>
      </c>
      <c r="X96" t="s">
        <v>46</v>
      </c>
    </row>
    <row r="97" spans="1:24" x14ac:dyDescent="0.35">
      <c r="A97" t="s">
        <v>323</v>
      </c>
      <c r="B97" t="s">
        <v>68</v>
      </c>
      <c r="C97" t="s">
        <v>324</v>
      </c>
      <c r="D97">
        <v>40</v>
      </c>
      <c r="E97">
        <v>1984</v>
      </c>
      <c r="F97" t="s">
        <v>50</v>
      </c>
      <c r="G97" t="s">
        <v>27</v>
      </c>
      <c r="H97" t="s">
        <v>122</v>
      </c>
      <c r="I97" t="s">
        <v>77</v>
      </c>
      <c r="J97" s="14">
        <v>43845</v>
      </c>
      <c r="K97" t="s">
        <v>41</v>
      </c>
      <c r="L97">
        <v>7</v>
      </c>
      <c r="M97" t="s">
        <v>325</v>
      </c>
      <c r="N97" t="s">
        <v>54</v>
      </c>
      <c r="O97" t="s">
        <v>66</v>
      </c>
      <c r="Q97">
        <v>3</v>
      </c>
      <c r="S97">
        <v>13</v>
      </c>
      <c r="T97" s="14">
        <v>44470</v>
      </c>
      <c r="U97">
        <v>78</v>
      </c>
      <c r="V97" t="s">
        <v>169</v>
      </c>
      <c r="W97">
        <v>3</v>
      </c>
      <c r="X97" t="s">
        <v>34</v>
      </c>
    </row>
    <row r="98" spans="1:24" x14ac:dyDescent="0.35">
      <c r="A98" t="s">
        <v>326</v>
      </c>
      <c r="B98" t="s">
        <v>140</v>
      </c>
      <c r="C98" t="s">
        <v>292</v>
      </c>
      <c r="D98">
        <v>40</v>
      </c>
      <c r="E98">
        <v>1984</v>
      </c>
      <c r="F98">
        <v>70000</v>
      </c>
      <c r="G98" t="s">
        <v>38</v>
      </c>
      <c r="H98" t="s">
        <v>70</v>
      </c>
      <c r="I98" t="s">
        <v>94</v>
      </c>
      <c r="J98" s="14">
        <v>43549</v>
      </c>
      <c r="K98" t="s">
        <v>78</v>
      </c>
      <c r="L98">
        <v>82</v>
      </c>
      <c r="M98" t="s">
        <v>293</v>
      </c>
      <c r="N98" t="s">
        <v>43</v>
      </c>
      <c r="O98" t="s">
        <v>72</v>
      </c>
      <c r="Q98">
        <v>7</v>
      </c>
      <c r="T98" s="14">
        <v>44990</v>
      </c>
      <c r="W98">
        <v>5</v>
      </c>
      <c r="X98" t="s">
        <v>46</v>
      </c>
    </row>
    <row r="99" spans="1:24" x14ac:dyDescent="0.35">
      <c r="A99" t="s">
        <v>327</v>
      </c>
      <c r="B99" t="s">
        <v>25</v>
      </c>
      <c r="C99" t="s">
        <v>328</v>
      </c>
      <c r="D99">
        <v>50</v>
      </c>
      <c r="E99">
        <v>1974</v>
      </c>
      <c r="F99">
        <v>70000</v>
      </c>
      <c r="G99" t="s">
        <v>27</v>
      </c>
      <c r="H99" t="s">
        <v>28</v>
      </c>
      <c r="I99" t="s">
        <v>29</v>
      </c>
      <c r="J99" s="14">
        <v>43800</v>
      </c>
      <c r="K99" t="s">
        <v>78</v>
      </c>
      <c r="L99">
        <v>89</v>
      </c>
      <c r="M99" t="s">
        <v>329</v>
      </c>
      <c r="N99" t="s">
        <v>104</v>
      </c>
      <c r="O99" t="s">
        <v>32</v>
      </c>
      <c r="P99" t="s">
        <v>330</v>
      </c>
      <c r="Q99">
        <v>1</v>
      </c>
      <c r="R99">
        <v>8</v>
      </c>
      <c r="W99">
        <v>4</v>
      </c>
      <c r="X99" t="s">
        <v>34</v>
      </c>
    </row>
    <row r="100" spans="1:24" x14ac:dyDescent="0.35">
      <c r="A100" t="s">
        <v>331</v>
      </c>
      <c r="B100" t="s">
        <v>140</v>
      </c>
      <c r="C100" t="s">
        <v>247</v>
      </c>
      <c r="D100">
        <v>35</v>
      </c>
      <c r="E100">
        <v>1989</v>
      </c>
      <c r="F100" t="s">
        <v>50</v>
      </c>
      <c r="G100" t="s">
        <v>38</v>
      </c>
      <c r="H100" t="s">
        <v>122</v>
      </c>
      <c r="I100" t="s">
        <v>89</v>
      </c>
      <c r="J100" s="22">
        <v>43195</v>
      </c>
      <c r="K100" t="s">
        <v>78</v>
      </c>
      <c r="L100">
        <v>86</v>
      </c>
      <c r="M100" t="s">
        <v>332</v>
      </c>
      <c r="N100" t="s">
        <v>54</v>
      </c>
      <c r="O100" t="s">
        <v>66</v>
      </c>
      <c r="Q100">
        <v>4</v>
      </c>
      <c r="R100">
        <v>4</v>
      </c>
      <c r="S100">
        <v>18</v>
      </c>
      <c r="T100" s="14">
        <v>44470</v>
      </c>
      <c r="V100" t="s">
        <v>73</v>
      </c>
      <c r="W100">
        <v>1</v>
      </c>
      <c r="X100" t="s">
        <v>34</v>
      </c>
    </row>
    <row r="101" spans="1:24" x14ac:dyDescent="0.35">
      <c r="A101" t="s">
        <v>333</v>
      </c>
      <c r="B101" t="s">
        <v>48</v>
      </c>
      <c r="C101" t="s">
        <v>334</v>
      </c>
      <c r="D101" t="s">
        <v>88</v>
      </c>
      <c r="E101">
        <v>1994</v>
      </c>
      <c r="F101">
        <v>70000</v>
      </c>
      <c r="G101" t="s">
        <v>27</v>
      </c>
      <c r="H101" t="s">
        <v>28</v>
      </c>
      <c r="I101" t="s">
        <v>29</v>
      </c>
      <c r="J101" s="14">
        <v>43881</v>
      </c>
      <c r="K101" t="s">
        <v>52</v>
      </c>
      <c r="L101">
        <v>73</v>
      </c>
      <c r="M101" t="s">
        <v>335</v>
      </c>
      <c r="N101" t="s">
        <v>54</v>
      </c>
      <c r="O101" t="s">
        <v>32</v>
      </c>
      <c r="P101" t="s">
        <v>336</v>
      </c>
      <c r="Q101">
        <v>4</v>
      </c>
      <c r="W101">
        <v>4</v>
      </c>
      <c r="X101" t="s">
        <v>46</v>
      </c>
    </row>
    <row r="102" spans="1:24" x14ac:dyDescent="0.35">
      <c r="A102" t="s">
        <v>337</v>
      </c>
      <c r="B102" t="s">
        <v>114</v>
      </c>
      <c r="C102" t="s">
        <v>338</v>
      </c>
      <c r="D102">
        <v>25</v>
      </c>
      <c r="E102">
        <v>1999</v>
      </c>
      <c r="F102">
        <v>65000</v>
      </c>
      <c r="G102" t="s">
        <v>27</v>
      </c>
      <c r="H102" t="s">
        <v>58</v>
      </c>
      <c r="I102" t="s">
        <v>40</v>
      </c>
      <c r="J102" s="14">
        <v>43549</v>
      </c>
      <c r="K102" t="s">
        <v>30</v>
      </c>
      <c r="L102">
        <v>68</v>
      </c>
      <c r="M102" t="s">
        <v>339</v>
      </c>
      <c r="N102" t="s">
        <v>43</v>
      </c>
      <c r="O102" t="s">
        <v>32</v>
      </c>
      <c r="Q102">
        <v>3</v>
      </c>
      <c r="R102">
        <v>6</v>
      </c>
      <c r="S102">
        <v>13</v>
      </c>
      <c r="U102">
        <v>64</v>
      </c>
      <c r="V102" t="s">
        <v>46</v>
      </c>
      <c r="W102">
        <v>1</v>
      </c>
      <c r="X102" t="s">
        <v>46</v>
      </c>
    </row>
    <row r="103" spans="1:24" x14ac:dyDescent="0.35">
      <c r="A103" t="s">
        <v>340</v>
      </c>
      <c r="B103" t="s">
        <v>131</v>
      </c>
      <c r="C103" t="s">
        <v>199</v>
      </c>
      <c r="D103">
        <v>50</v>
      </c>
      <c r="E103">
        <v>1974</v>
      </c>
      <c r="F103">
        <v>50000</v>
      </c>
      <c r="G103" t="s">
        <v>27</v>
      </c>
      <c r="H103" t="s">
        <v>122</v>
      </c>
      <c r="I103" t="s">
        <v>29</v>
      </c>
      <c r="J103" s="14">
        <v>43549</v>
      </c>
      <c r="K103" t="s">
        <v>52</v>
      </c>
      <c r="L103">
        <v>75</v>
      </c>
      <c r="M103" t="s">
        <v>341</v>
      </c>
      <c r="O103" t="s">
        <v>32</v>
      </c>
      <c r="Q103">
        <v>4</v>
      </c>
      <c r="R103" t="s">
        <v>79</v>
      </c>
      <c r="T103" s="14">
        <v>44470</v>
      </c>
      <c r="V103" t="s">
        <v>46</v>
      </c>
      <c r="W103">
        <v>3</v>
      </c>
      <c r="X103" t="s">
        <v>34</v>
      </c>
    </row>
    <row r="104" spans="1:24" x14ac:dyDescent="0.35">
      <c r="A104" t="s">
        <v>342</v>
      </c>
      <c r="B104" t="s">
        <v>25</v>
      </c>
      <c r="C104" t="s">
        <v>343</v>
      </c>
      <c r="D104">
        <v>35</v>
      </c>
      <c r="E104">
        <v>1989</v>
      </c>
      <c r="F104">
        <v>65000</v>
      </c>
      <c r="G104" t="s">
        <v>38</v>
      </c>
      <c r="H104" t="s">
        <v>145</v>
      </c>
      <c r="I104" t="s">
        <v>29</v>
      </c>
      <c r="J104" s="14">
        <v>43881</v>
      </c>
      <c r="K104" t="s">
        <v>41</v>
      </c>
      <c r="L104">
        <v>42</v>
      </c>
      <c r="M104" t="s">
        <v>344</v>
      </c>
      <c r="N104" t="s">
        <v>61</v>
      </c>
      <c r="O104" t="s">
        <v>44</v>
      </c>
      <c r="Q104">
        <v>1</v>
      </c>
      <c r="S104">
        <v>15</v>
      </c>
      <c r="T104" s="14">
        <v>45516</v>
      </c>
      <c r="U104">
        <v>64</v>
      </c>
      <c r="V104" t="s">
        <v>46</v>
      </c>
      <c r="W104">
        <v>2</v>
      </c>
      <c r="X104" t="s">
        <v>34</v>
      </c>
    </row>
    <row r="105" spans="1:24" x14ac:dyDescent="0.35">
      <c r="A105" t="s">
        <v>345</v>
      </c>
      <c r="B105" t="s">
        <v>25</v>
      </c>
      <c r="C105" t="s">
        <v>229</v>
      </c>
      <c r="D105" t="s">
        <v>88</v>
      </c>
      <c r="E105">
        <v>1994</v>
      </c>
      <c r="F105" t="s">
        <v>50</v>
      </c>
      <c r="G105" t="s">
        <v>38</v>
      </c>
      <c r="H105" t="s">
        <v>70</v>
      </c>
      <c r="I105" t="s">
        <v>77</v>
      </c>
      <c r="J105" s="14">
        <v>43881</v>
      </c>
      <c r="K105" t="s">
        <v>59</v>
      </c>
      <c r="L105">
        <v>91</v>
      </c>
      <c r="M105" t="s">
        <v>346</v>
      </c>
      <c r="N105" t="s">
        <v>43</v>
      </c>
      <c r="O105" t="s">
        <v>100</v>
      </c>
      <c r="Q105">
        <v>3</v>
      </c>
      <c r="R105">
        <v>13</v>
      </c>
      <c r="S105">
        <v>16</v>
      </c>
      <c r="V105" t="s">
        <v>34</v>
      </c>
      <c r="W105">
        <v>2</v>
      </c>
      <c r="X105" t="s">
        <v>46</v>
      </c>
    </row>
    <row r="106" spans="1:24" x14ac:dyDescent="0.35">
      <c r="A106" t="s">
        <v>347</v>
      </c>
      <c r="B106" t="s">
        <v>48</v>
      </c>
      <c r="C106" t="s">
        <v>92</v>
      </c>
      <c r="D106" t="s">
        <v>88</v>
      </c>
      <c r="E106">
        <v>1994</v>
      </c>
      <c r="F106" t="s">
        <v>50</v>
      </c>
      <c r="G106" t="s">
        <v>27</v>
      </c>
      <c r="H106" t="s">
        <v>93</v>
      </c>
      <c r="I106" t="s">
        <v>89</v>
      </c>
      <c r="J106" s="14">
        <v>43195</v>
      </c>
      <c r="K106" t="s">
        <v>30</v>
      </c>
      <c r="L106">
        <v>64</v>
      </c>
      <c r="M106" t="s">
        <v>348</v>
      </c>
      <c r="N106" t="s">
        <v>54</v>
      </c>
      <c r="O106" t="s">
        <v>32</v>
      </c>
      <c r="Q106">
        <v>2</v>
      </c>
      <c r="R106">
        <v>2</v>
      </c>
      <c r="S106">
        <v>14</v>
      </c>
      <c r="T106" t="s">
        <v>79</v>
      </c>
      <c r="V106" t="s">
        <v>34</v>
      </c>
      <c r="W106">
        <v>1</v>
      </c>
      <c r="X106" t="s">
        <v>34</v>
      </c>
    </row>
    <row r="107" spans="1:24" x14ac:dyDescent="0.35">
      <c r="A107" t="s">
        <v>349</v>
      </c>
      <c r="B107" t="s">
        <v>56</v>
      </c>
      <c r="C107" t="s">
        <v>343</v>
      </c>
      <c r="D107">
        <v>50</v>
      </c>
      <c r="E107">
        <v>1974</v>
      </c>
      <c r="F107">
        <v>65000</v>
      </c>
      <c r="G107" t="s">
        <v>38</v>
      </c>
      <c r="H107" t="s">
        <v>122</v>
      </c>
      <c r="I107" t="s">
        <v>29</v>
      </c>
      <c r="J107" s="14">
        <v>43549</v>
      </c>
      <c r="K107" t="s">
        <v>59</v>
      </c>
      <c r="L107">
        <v>92</v>
      </c>
      <c r="M107" t="s">
        <v>350</v>
      </c>
      <c r="N107" t="s">
        <v>54</v>
      </c>
      <c r="O107" t="s">
        <v>72</v>
      </c>
      <c r="Q107">
        <v>6</v>
      </c>
      <c r="R107" t="s">
        <v>79</v>
      </c>
      <c r="S107">
        <v>17</v>
      </c>
      <c r="T107" t="s">
        <v>79</v>
      </c>
      <c r="V107" t="s">
        <v>34</v>
      </c>
      <c r="W107">
        <v>4</v>
      </c>
      <c r="X107" t="s">
        <v>34</v>
      </c>
    </row>
    <row r="108" spans="1:24" x14ac:dyDescent="0.35">
      <c r="A108" t="s">
        <v>351</v>
      </c>
      <c r="B108" t="s">
        <v>75</v>
      </c>
      <c r="C108" t="s">
        <v>110</v>
      </c>
      <c r="E108">
        <v>2000</v>
      </c>
      <c r="F108">
        <v>70000</v>
      </c>
      <c r="G108" t="s">
        <v>27</v>
      </c>
      <c r="H108" t="s">
        <v>39</v>
      </c>
      <c r="I108" t="s">
        <v>77</v>
      </c>
      <c r="J108" s="14">
        <v>43549</v>
      </c>
      <c r="K108" t="s">
        <v>41</v>
      </c>
      <c r="L108">
        <v>25</v>
      </c>
      <c r="M108" t="s">
        <v>352</v>
      </c>
      <c r="N108" t="s">
        <v>43</v>
      </c>
      <c r="O108" t="s">
        <v>100</v>
      </c>
      <c r="Q108">
        <v>1</v>
      </c>
      <c r="S108">
        <v>13</v>
      </c>
      <c r="U108">
        <v>63</v>
      </c>
      <c r="W108">
        <v>2</v>
      </c>
      <c r="X108" t="s">
        <v>34</v>
      </c>
    </row>
    <row r="109" spans="1:24" x14ac:dyDescent="0.35">
      <c r="A109" t="s">
        <v>353</v>
      </c>
      <c r="B109" t="s">
        <v>48</v>
      </c>
      <c r="C109" t="s">
        <v>96</v>
      </c>
      <c r="D109">
        <v>25</v>
      </c>
      <c r="E109">
        <v>1999</v>
      </c>
      <c r="F109">
        <v>70000</v>
      </c>
      <c r="G109" t="s">
        <v>38</v>
      </c>
      <c r="H109" t="s">
        <v>64</v>
      </c>
      <c r="I109" t="s">
        <v>94</v>
      </c>
      <c r="J109" s="14">
        <v>43845</v>
      </c>
      <c r="K109" t="s">
        <v>41</v>
      </c>
      <c r="L109">
        <v>13</v>
      </c>
      <c r="M109" t="s">
        <v>97</v>
      </c>
      <c r="O109" t="s">
        <v>32</v>
      </c>
      <c r="Q109">
        <v>7</v>
      </c>
      <c r="R109" t="s">
        <v>79</v>
      </c>
      <c r="T109" s="14">
        <v>45516</v>
      </c>
      <c r="V109" t="s">
        <v>34</v>
      </c>
      <c r="W109">
        <v>3</v>
      </c>
      <c r="X109" t="s">
        <v>34</v>
      </c>
    </row>
    <row r="110" spans="1:24" x14ac:dyDescent="0.35">
      <c r="A110" t="s">
        <v>354</v>
      </c>
      <c r="B110" t="s">
        <v>107</v>
      </c>
      <c r="C110" t="s">
        <v>355</v>
      </c>
      <c r="D110" t="s">
        <v>88</v>
      </c>
      <c r="E110">
        <v>1994</v>
      </c>
      <c r="F110">
        <v>58800</v>
      </c>
      <c r="G110" t="s">
        <v>27</v>
      </c>
      <c r="H110" t="s">
        <v>28</v>
      </c>
      <c r="I110" t="s">
        <v>77</v>
      </c>
      <c r="J110" s="14">
        <v>43800</v>
      </c>
      <c r="K110" t="s">
        <v>59</v>
      </c>
      <c r="L110">
        <v>96</v>
      </c>
      <c r="M110" t="s">
        <v>356</v>
      </c>
      <c r="N110" t="s">
        <v>61</v>
      </c>
      <c r="O110" t="s">
        <v>72</v>
      </c>
      <c r="Q110">
        <v>5</v>
      </c>
      <c r="R110" t="s">
        <v>79</v>
      </c>
      <c r="U110">
        <v>5</v>
      </c>
      <c r="V110" t="s">
        <v>73</v>
      </c>
      <c r="W110">
        <v>1</v>
      </c>
      <c r="X110" t="s">
        <v>34</v>
      </c>
    </row>
    <row r="111" spans="1:24" x14ac:dyDescent="0.35">
      <c r="A111" t="s">
        <v>357</v>
      </c>
      <c r="B111" t="s">
        <v>75</v>
      </c>
      <c r="C111" t="s">
        <v>213</v>
      </c>
      <c r="D111">
        <v>50</v>
      </c>
      <c r="E111">
        <v>1974</v>
      </c>
      <c r="F111" t="s">
        <v>50</v>
      </c>
      <c r="G111" t="s">
        <v>27</v>
      </c>
      <c r="H111" t="s">
        <v>28</v>
      </c>
      <c r="I111" t="s">
        <v>77</v>
      </c>
      <c r="J111" s="14">
        <v>43800</v>
      </c>
      <c r="K111" t="s">
        <v>59</v>
      </c>
      <c r="L111">
        <v>97</v>
      </c>
      <c r="M111" t="s">
        <v>214</v>
      </c>
      <c r="N111" t="s">
        <v>104</v>
      </c>
      <c r="O111" t="s">
        <v>72</v>
      </c>
      <c r="Q111">
        <v>1</v>
      </c>
      <c r="U111">
        <v>46</v>
      </c>
      <c r="V111" t="s">
        <v>169</v>
      </c>
      <c r="W111">
        <v>1</v>
      </c>
      <c r="X111" t="s">
        <v>34</v>
      </c>
    </row>
    <row r="112" spans="1:24" x14ac:dyDescent="0.35">
      <c r="A112" t="s">
        <v>358</v>
      </c>
      <c r="B112" t="s">
        <v>131</v>
      </c>
      <c r="C112" t="s">
        <v>359</v>
      </c>
      <c r="D112">
        <v>50</v>
      </c>
      <c r="E112">
        <v>1974</v>
      </c>
      <c r="F112">
        <v>55000</v>
      </c>
      <c r="G112" t="s">
        <v>38</v>
      </c>
      <c r="H112" t="s">
        <v>145</v>
      </c>
      <c r="I112" t="s">
        <v>77</v>
      </c>
      <c r="J112" s="14">
        <v>43845</v>
      </c>
      <c r="K112" t="s">
        <v>59</v>
      </c>
      <c r="L112">
        <v>92</v>
      </c>
      <c r="M112" t="s">
        <v>360</v>
      </c>
      <c r="N112" t="s">
        <v>43</v>
      </c>
      <c r="O112" t="s">
        <v>112</v>
      </c>
      <c r="P112" t="s">
        <v>330</v>
      </c>
      <c r="Q112">
        <v>1</v>
      </c>
      <c r="V112" t="s">
        <v>73</v>
      </c>
      <c r="W112">
        <v>3</v>
      </c>
      <c r="X112" t="s">
        <v>34</v>
      </c>
    </row>
    <row r="113" spans="1:24" x14ac:dyDescent="0.35">
      <c r="A113" t="s">
        <v>361</v>
      </c>
      <c r="B113" t="s">
        <v>75</v>
      </c>
      <c r="C113" t="s">
        <v>362</v>
      </c>
      <c r="D113">
        <v>35</v>
      </c>
      <c r="E113">
        <v>1989</v>
      </c>
      <c r="F113">
        <v>60900</v>
      </c>
      <c r="G113" t="s">
        <v>27</v>
      </c>
      <c r="H113" t="s">
        <v>58</v>
      </c>
      <c r="I113" t="s">
        <v>29</v>
      </c>
      <c r="J113" s="14">
        <v>43800</v>
      </c>
      <c r="K113" t="s">
        <v>41</v>
      </c>
      <c r="L113">
        <v>52</v>
      </c>
      <c r="M113" t="s">
        <v>363</v>
      </c>
      <c r="N113" t="s">
        <v>61</v>
      </c>
      <c r="O113" t="s">
        <v>112</v>
      </c>
      <c r="Q113">
        <v>2</v>
      </c>
      <c r="T113" s="14">
        <v>44941</v>
      </c>
      <c r="W113">
        <v>4</v>
      </c>
      <c r="X113" t="s">
        <v>46</v>
      </c>
    </row>
    <row r="114" spans="1:24" x14ac:dyDescent="0.35">
      <c r="A114" t="s">
        <v>364</v>
      </c>
      <c r="B114" t="s">
        <v>56</v>
      </c>
      <c r="C114" t="s">
        <v>154</v>
      </c>
      <c r="E114">
        <v>1978</v>
      </c>
      <c r="F114">
        <v>70000</v>
      </c>
      <c r="G114" t="s">
        <v>27</v>
      </c>
      <c r="H114" t="s">
        <v>28</v>
      </c>
      <c r="I114" t="s">
        <v>29</v>
      </c>
      <c r="J114" s="14">
        <v>43881</v>
      </c>
      <c r="K114" t="s">
        <v>78</v>
      </c>
      <c r="L114">
        <v>84</v>
      </c>
      <c r="M114" t="s">
        <v>365</v>
      </c>
      <c r="N114" t="s">
        <v>61</v>
      </c>
      <c r="O114" t="s">
        <v>66</v>
      </c>
      <c r="Q114">
        <v>1</v>
      </c>
      <c r="S114">
        <v>15</v>
      </c>
      <c r="V114" t="s">
        <v>34</v>
      </c>
      <c r="W114">
        <v>3</v>
      </c>
      <c r="X114" t="s">
        <v>34</v>
      </c>
    </row>
    <row r="115" spans="1:24" x14ac:dyDescent="0.35">
      <c r="A115" t="s">
        <v>366</v>
      </c>
      <c r="B115" t="s">
        <v>75</v>
      </c>
      <c r="C115" t="s">
        <v>367</v>
      </c>
      <c r="D115">
        <v>25</v>
      </c>
      <c r="E115">
        <v>1999</v>
      </c>
      <c r="F115">
        <v>65000</v>
      </c>
      <c r="G115" t="s">
        <v>38</v>
      </c>
      <c r="H115" t="s">
        <v>82</v>
      </c>
      <c r="I115" t="s">
        <v>94</v>
      </c>
      <c r="J115" s="14">
        <v>43800</v>
      </c>
      <c r="K115" t="s">
        <v>59</v>
      </c>
      <c r="L115">
        <v>90</v>
      </c>
      <c r="M115" t="s">
        <v>368</v>
      </c>
      <c r="N115" t="s">
        <v>54</v>
      </c>
      <c r="O115" t="s">
        <v>32</v>
      </c>
      <c r="Q115">
        <v>1</v>
      </c>
      <c r="R115">
        <v>14</v>
      </c>
      <c r="S115">
        <v>1</v>
      </c>
      <c r="T115" s="14">
        <v>44732</v>
      </c>
      <c r="V115" t="s">
        <v>73</v>
      </c>
      <c r="W115">
        <v>1</v>
      </c>
      <c r="X115" t="s">
        <v>34</v>
      </c>
    </row>
    <row r="116" spans="1:24" x14ac:dyDescent="0.35">
      <c r="A116" t="s">
        <v>369</v>
      </c>
      <c r="B116" t="s">
        <v>131</v>
      </c>
      <c r="C116" t="s">
        <v>144</v>
      </c>
      <c r="D116">
        <v>40</v>
      </c>
      <c r="E116">
        <v>1984</v>
      </c>
      <c r="F116">
        <v>70000</v>
      </c>
      <c r="G116" t="s">
        <v>38</v>
      </c>
      <c r="H116" t="s">
        <v>122</v>
      </c>
      <c r="I116" t="s">
        <v>40</v>
      </c>
      <c r="J116" s="14">
        <v>43800</v>
      </c>
      <c r="K116" t="s">
        <v>30</v>
      </c>
      <c r="L116">
        <v>69</v>
      </c>
      <c r="M116" t="s">
        <v>146</v>
      </c>
      <c r="N116" t="s">
        <v>104</v>
      </c>
      <c r="O116" t="s">
        <v>32</v>
      </c>
      <c r="P116" t="s">
        <v>130</v>
      </c>
      <c r="Q116">
        <v>2</v>
      </c>
      <c r="S116">
        <v>18</v>
      </c>
      <c r="W116">
        <v>4</v>
      </c>
      <c r="X116" t="s">
        <v>34</v>
      </c>
    </row>
    <row r="117" spans="1:24" x14ac:dyDescent="0.35">
      <c r="A117" t="s">
        <v>370</v>
      </c>
      <c r="B117" t="s">
        <v>56</v>
      </c>
      <c r="C117" t="s">
        <v>158</v>
      </c>
      <c r="D117">
        <v>35</v>
      </c>
      <c r="E117">
        <v>1989</v>
      </c>
      <c r="F117">
        <v>65000</v>
      </c>
      <c r="G117" t="s">
        <v>38</v>
      </c>
      <c r="H117" t="s">
        <v>145</v>
      </c>
      <c r="I117" t="s">
        <v>40</v>
      </c>
      <c r="J117" s="14">
        <v>43845</v>
      </c>
      <c r="K117" t="s">
        <v>41</v>
      </c>
      <c r="L117">
        <v>9</v>
      </c>
      <c r="M117" t="s">
        <v>371</v>
      </c>
      <c r="N117" t="s">
        <v>43</v>
      </c>
      <c r="O117" t="s">
        <v>100</v>
      </c>
      <c r="Q117">
        <v>7</v>
      </c>
      <c r="T117" t="s">
        <v>79</v>
      </c>
      <c r="U117">
        <v>17</v>
      </c>
      <c r="W117">
        <v>2</v>
      </c>
      <c r="X117" t="s">
        <v>46</v>
      </c>
    </row>
    <row r="118" spans="1:24" x14ac:dyDescent="0.35">
      <c r="A118" t="s">
        <v>372</v>
      </c>
      <c r="B118" t="s">
        <v>68</v>
      </c>
      <c r="C118" t="s">
        <v>253</v>
      </c>
      <c r="D118" t="s">
        <v>88</v>
      </c>
      <c r="E118">
        <v>1994</v>
      </c>
      <c r="F118">
        <v>60900</v>
      </c>
      <c r="G118" t="s">
        <v>27</v>
      </c>
      <c r="H118" t="s">
        <v>82</v>
      </c>
      <c r="I118" t="s">
        <v>40</v>
      </c>
      <c r="J118" s="14">
        <v>43195</v>
      </c>
      <c r="K118" t="s">
        <v>52</v>
      </c>
      <c r="L118">
        <v>71</v>
      </c>
      <c r="M118" t="s">
        <v>373</v>
      </c>
      <c r="N118" t="s">
        <v>54</v>
      </c>
      <c r="O118" t="s">
        <v>72</v>
      </c>
      <c r="P118" t="s">
        <v>374</v>
      </c>
      <c r="Q118">
        <v>8</v>
      </c>
      <c r="R118" t="s">
        <v>79</v>
      </c>
      <c r="T118" s="14">
        <v>44990</v>
      </c>
      <c r="W118">
        <v>4</v>
      </c>
      <c r="X118" t="s">
        <v>34</v>
      </c>
    </row>
    <row r="119" spans="1:24" x14ac:dyDescent="0.35">
      <c r="A119" t="s">
        <v>375</v>
      </c>
      <c r="B119" t="s">
        <v>25</v>
      </c>
      <c r="C119" t="s">
        <v>63</v>
      </c>
      <c r="D119" t="s">
        <v>88</v>
      </c>
      <c r="E119">
        <v>1994</v>
      </c>
      <c r="F119" t="s">
        <v>50</v>
      </c>
      <c r="G119" t="s">
        <v>38</v>
      </c>
      <c r="H119" t="s">
        <v>145</v>
      </c>
      <c r="I119" t="s">
        <v>94</v>
      </c>
      <c r="J119" s="14">
        <v>43800</v>
      </c>
      <c r="K119" t="s">
        <v>52</v>
      </c>
      <c r="L119">
        <v>77</v>
      </c>
      <c r="M119" t="s">
        <v>65</v>
      </c>
      <c r="N119" t="s">
        <v>54</v>
      </c>
      <c r="O119" t="s">
        <v>32</v>
      </c>
      <c r="Q119">
        <v>7</v>
      </c>
      <c r="V119" t="s">
        <v>34</v>
      </c>
      <c r="W119">
        <v>4</v>
      </c>
      <c r="X119" t="s">
        <v>46</v>
      </c>
    </row>
    <row r="120" spans="1:24" x14ac:dyDescent="0.35">
      <c r="A120" t="s">
        <v>376</v>
      </c>
      <c r="B120" t="s">
        <v>25</v>
      </c>
      <c r="C120" t="s">
        <v>377</v>
      </c>
      <c r="D120">
        <v>35</v>
      </c>
      <c r="E120">
        <v>1989</v>
      </c>
      <c r="F120">
        <v>70000</v>
      </c>
      <c r="G120" t="s">
        <v>38</v>
      </c>
      <c r="H120" t="s">
        <v>70</v>
      </c>
      <c r="I120" t="s">
        <v>40</v>
      </c>
      <c r="J120" s="14">
        <v>43800</v>
      </c>
      <c r="K120" t="s">
        <v>30</v>
      </c>
      <c r="L120">
        <v>62</v>
      </c>
      <c r="M120" t="s">
        <v>378</v>
      </c>
      <c r="O120" t="s">
        <v>66</v>
      </c>
      <c r="Q120">
        <v>2</v>
      </c>
      <c r="S120">
        <v>14</v>
      </c>
      <c r="V120" t="s">
        <v>46</v>
      </c>
      <c r="W120">
        <v>1</v>
      </c>
      <c r="X120" t="s">
        <v>34</v>
      </c>
    </row>
    <row r="121" spans="1:24" x14ac:dyDescent="0.35">
      <c r="A121" t="s">
        <v>379</v>
      </c>
      <c r="B121" t="s">
        <v>140</v>
      </c>
      <c r="C121" t="s">
        <v>380</v>
      </c>
      <c r="D121">
        <v>50</v>
      </c>
      <c r="E121">
        <v>1974</v>
      </c>
      <c r="F121">
        <v>65000</v>
      </c>
      <c r="G121" t="s">
        <v>38</v>
      </c>
      <c r="H121" t="s">
        <v>51</v>
      </c>
      <c r="I121" t="s">
        <v>40</v>
      </c>
      <c r="J121" s="14">
        <v>43195</v>
      </c>
      <c r="K121" t="s">
        <v>78</v>
      </c>
      <c r="L121">
        <v>88</v>
      </c>
      <c r="M121" t="s">
        <v>381</v>
      </c>
      <c r="N121" t="s">
        <v>61</v>
      </c>
      <c r="O121" t="s">
        <v>174</v>
      </c>
      <c r="Q121">
        <v>5</v>
      </c>
      <c r="S121">
        <v>2</v>
      </c>
      <c r="V121" t="s">
        <v>46</v>
      </c>
      <c r="W121">
        <v>4</v>
      </c>
      <c r="X121" t="s">
        <v>46</v>
      </c>
    </row>
    <row r="122" spans="1:24" x14ac:dyDescent="0.35">
      <c r="A122" t="s">
        <v>382</v>
      </c>
      <c r="B122" t="s">
        <v>68</v>
      </c>
      <c r="C122" t="s">
        <v>324</v>
      </c>
      <c r="D122" t="s">
        <v>88</v>
      </c>
      <c r="E122">
        <v>1994</v>
      </c>
      <c r="F122" t="s">
        <v>50</v>
      </c>
      <c r="G122" t="s">
        <v>38</v>
      </c>
      <c r="H122" t="s">
        <v>64</v>
      </c>
      <c r="I122" t="s">
        <v>77</v>
      </c>
      <c r="J122" s="14">
        <v>43845</v>
      </c>
      <c r="K122" t="s">
        <v>59</v>
      </c>
      <c r="L122">
        <v>97</v>
      </c>
      <c r="M122" t="s">
        <v>325</v>
      </c>
      <c r="N122" t="s">
        <v>43</v>
      </c>
      <c r="O122" t="s">
        <v>174</v>
      </c>
      <c r="Q122">
        <v>8</v>
      </c>
      <c r="S122">
        <v>12</v>
      </c>
      <c r="T122" s="14">
        <v>44470</v>
      </c>
      <c r="V122" t="s">
        <v>73</v>
      </c>
      <c r="W122">
        <v>3</v>
      </c>
      <c r="X122" t="s">
        <v>34</v>
      </c>
    </row>
    <row r="123" spans="1:24" x14ac:dyDescent="0.35">
      <c r="A123" t="s">
        <v>383</v>
      </c>
      <c r="B123" t="s">
        <v>68</v>
      </c>
      <c r="C123" t="s">
        <v>318</v>
      </c>
      <c r="E123">
        <v>1977</v>
      </c>
      <c r="F123">
        <v>55000</v>
      </c>
      <c r="G123" t="s">
        <v>38</v>
      </c>
      <c r="H123" t="s">
        <v>64</v>
      </c>
      <c r="I123" t="s">
        <v>29</v>
      </c>
      <c r="J123" s="14">
        <v>43195</v>
      </c>
      <c r="K123" t="s">
        <v>41</v>
      </c>
      <c r="L123">
        <v>28</v>
      </c>
      <c r="M123" t="s">
        <v>319</v>
      </c>
      <c r="N123" t="s">
        <v>43</v>
      </c>
      <c r="O123" t="s">
        <v>174</v>
      </c>
      <c r="Q123">
        <v>3</v>
      </c>
      <c r="U123">
        <v>32</v>
      </c>
      <c r="V123" t="s">
        <v>46</v>
      </c>
      <c r="W123">
        <v>2</v>
      </c>
      <c r="X123" t="s">
        <v>46</v>
      </c>
    </row>
    <row r="124" spans="1:24" x14ac:dyDescent="0.35">
      <c r="A124" t="s">
        <v>384</v>
      </c>
      <c r="B124" t="s">
        <v>75</v>
      </c>
      <c r="C124" t="s">
        <v>151</v>
      </c>
      <c r="D124">
        <v>25</v>
      </c>
      <c r="E124">
        <v>1999</v>
      </c>
      <c r="F124">
        <v>65000</v>
      </c>
      <c r="G124" t="s">
        <v>38</v>
      </c>
      <c r="H124" t="s">
        <v>145</v>
      </c>
      <c r="I124" t="s">
        <v>29</v>
      </c>
      <c r="J124" s="14">
        <v>43845</v>
      </c>
      <c r="K124" t="s">
        <v>59</v>
      </c>
      <c r="L124">
        <v>94</v>
      </c>
      <c r="M124" t="s">
        <v>152</v>
      </c>
      <c r="N124" t="s">
        <v>43</v>
      </c>
      <c r="O124" t="s">
        <v>44</v>
      </c>
      <c r="Q124">
        <v>4</v>
      </c>
      <c r="U124">
        <v>20</v>
      </c>
      <c r="V124" t="s">
        <v>46</v>
      </c>
      <c r="W124">
        <v>4</v>
      </c>
      <c r="X124" t="s">
        <v>34</v>
      </c>
    </row>
    <row r="125" spans="1:24" x14ac:dyDescent="0.35">
      <c r="A125" t="s">
        <v>385</v>
      </c>
      <c r="B125" t="s">
        <v>25</v>
      </c>
      <c r="C125" t="s">
        <v>289</v>
      </c>
      <c r="E125">
        <v>1991</v>
      </c>
      <c r="F125">
        <v>61300</v>
      </c>
      <c r="G125" t="s">
        <v>27</v>
      </c>
      <c r="H125" t="s">
        <v>64</v>
      </c>
      <c r="I125" t="s">
        <v>77</v>
      </c>
      <c r="J125" s="14">
        <v>43881</v>
      </c>
      <c r="K125" t="s">
        <v>41</v>
      </c>
      <c r="L125">
        <v>4</v>
      </c>
      <c r="M125" t="s">
        <v>290</v>
      </c>
      <c r="N125" t="s">
        <v>54</v>
      </c>
      <c r="O125" t="s">
        <v>72</v>
      </c>
      <c r="Q125">
        <v>1</v>
      </c>
      <c r="U125">
        <v>31</v>
      </c>
      <c r="W125">
        <v>1</v>
      </c>
      <c r="X125" t="s">
        <v>46</v>
      </c>
    </row>
    <row r="126" spans="1:24" x14ac:dyDescent="0.35">
      <c r="A126" t="s">
        <v>386</v>
      </c>
      <c r="B126" t="s">
        <v>131</v>
      </c>
      <c r="C126" t="s">
        <v>158</v>
      </c>
      <c r="D126" t="s">
        <v>88</v>
      </c>
      <c r="E126">
        <v>1994</v>
      </c>
      <c r="F126">
        <v>55000</v>
      </c>
      <c r="G126" t="s">
        <v>38</v>
      </c>
      <c r="H126" t="s">
        <v>93</v>
      </c>
      <c r="I126" t="s">
        <v>77</v>
      </c>
      <c r="J126" s="14">
        <v>43845</v>
      </c>
      <c r="K126" t="s">
        <v>52</v>
      </c>
      <c r="L126">
        <v>74</v>
      </c>
      <c r="M126" t="s">
        <v>387</v>
      </c>
      <c r="O126" t="s">
        <v>174</v>
      </c>
      <c r="Q126">
        <v>5</v>
      </c>
      <c r="T126" s="14">
        <v>45516</v>
      </c>
      <c r="V126" t="s">
        <v>73</v>
      </c>
      <c r="W126">
        <v>1</v>
      </c>
      <c r="X126" t="s">
        <v>46</v>
      </c>
    </row>
    <row r="127" spans="1:24" x14ac:dyDescent="0.35">
      <c r="A127" t="s">
        <v>388</v>
      </c>
      <c r="B127" t="s">
        <v>36</v>
      </c>
      <c r="C127" t="s">
        <v>156</v>
      </c>
      <c r="D127">
        <v>40</v>
      </c>
      <c r="E127">
        <v>1984</v>
      </c>
      <c r="F127">
        <v>55000</v>
      </c>
      <c r="G127" t="s">
        <v>27</v>
      </c>
      <c r="H127" t="s">
        <v>122</v>
      </c>
      <c r="I127" t="s">
        <v>77</v>
      </c>
      <c r="J127" s="14">
        <v>43881</v>
      </c>
      <c r="K127" t="s">
        <v>59</v>
      </c>
      <c r="L127">
        <v>98</v>
      </c>
      <c r="M127" t="s">
        <v>184</v>
      </c>
      <c r="N127" t="s">
        <v>104</v>
      </c>
      <c r="O127" t="s">
        <v>44</v>
      </c>
      <c r="P127" t="s">
        <v>178</v>
      </c>
      <c r="Q127">
        <v>7</v>
      </c>
      <c r="S127">
        <v>3</v>
      </c>
      <c r="T127" s="14">
        <v>44732</v>
      </c>
      <c r="V127" t="s">
        <v>46</v>
      </c>
      <c r="W127">
        <v>3</v>
      </c>
      <c r="X127" t="s">
        <v>34</v>
      </c>
    </row>
    <row r="128" spans="1:24" x14ac:dyDescent="0.35">
      <c r="A128" t="s">
        <v>389</v>
      </c>
      <c r="B128" t="s">
        <v>36</v>
      </c>
      <c r="C128" t="s">
        <v>117</v>
      </c>
      <c r="D128">
        <v>25</v>
      </c>
      <c r="E128">
        <v>1999</v>
      </c>
      <c r="F128">
        <v>50000</v>
      </c>
      <c r="G128" t="s">
        <v>27</v>
      </c>
      <c r="H128" t="s">
        <v>39</v>
      </c>
      <c r="I128" t="s">
        <v>29</v>
      </c>
      <c r="J128" s="14">
        <v>43881</v>
      </c>
      <c r="K128" t="s">
        <v>30</v>
      </c>
      <c r="L128">
        <v>61</v>
      </c>
      <c r="M128" t="s">
        <v>390</v>
      </c>
      <c r="N128" t="s">
        <v>54</v>
      </c>
      <c r="O128" t="s">
        <v>174</v>
      </c>
      <c r="Q128">
        <v>2</v>
      </c>
      <c r="S128">
        <v>19</v>
      </c>
      <c r="V128" t="s">
        <v>46</v>
      </c>
      <c r="W128">
        <v>3</v>
      </c>
      <c r="X128" t="s">
        <v>34</v>
      </c>
    </row>
    <row r="129" spans="1:24" x14ac:dyDescent="0.35">
      <c r="A129" t="s">
        <v>391</v>
      </c>
      <c r="B129" t="s">
        <v>56</v>
      </c>
      <c r="C129" t="s">
        <v>271</v>
      </c>
      <c r="D129">
        <v>25</v>
      </c>
      <c r="E129">
        <v>1999</v>
      </c>
      <c r="F129">
        <v>70000</v>
      </c>
      <c r="G129" t="s">
        <v>38</v>
      </c>
      <c r="H129" t="s">
        <v>64</v>
      </c>
      <c r="I129" t="s">
        <v>40</v>
      </c>
      <c r="J129" s="14">
        <v>43845</v>
      </c>
      <c r="K129" t="s">
        <v>78</v>
      </c>
      <c r="L129">
        <v>85</v>
      </c>
      <c r="M129" t="s">
        <v>392</v>
      </c>
      <c r="N129" t="s">
        <v>104</v>
      </c>
      <c r="O129" t="s">
        <v>66</v>
      </c>
      <c r="Q129">
        <v>5</v>
      </c>
      <c r="U129">
        <v>79</v>
      </c>
      <c r="V129" t="s">
        <v>46</v>
      </c>
      <c r="W129">
        <v>4</v>
      </c>
      <c r="X129" t="s">
        <v>34</v>
      </c>
    </row>
    <row r="130" spans="1:24" x14ac:dyDescent="0.35">
      <c r="A130" t="s">
        <v>393</v>
      </c>
      <c r="B130" t="s">
        <v>25</v>
      </c>
      <c r="C130" t="s">
        <v>63</v>
      </c>
      <c r="D130">
        <v>35</v>
      </c>
      <c r="E130">
        <v>1989</v>
      </c>
      <c r="F130">
        <v>65000</v>
      </c>
      <c r="G130" t="s">
        <v>38</v>
      </c>
      <c r="H130" t="s">
        <v>145</v>
      </c>
      <c r="I130" t="s">
        <v>77</v>
      </c>
      <c r="J130" s="14">
        <v>43549</v>
      </c>
      <c r="K130" t="s">
        <v>30</v>
      </c>
      <c r="L130">
        <v>66</v>
      </c>
      <c r="M130" t="s">
        <v>65</v>
      </c>
      <c r="O130" t="s">
        <v>112</v>
      </c>
      <c r="Q130">
        <v>3</v>
      </c>
      <c r="S130">
        <v>15</v>
      </c>
      <c r="U130">
        <v>20</v>
      </c>
      <c r="V130" t="s">
        <v>46</v>
      </c>
      <c r="W130">
        <v>5</v>
      </c>
      <c r="X130" t="s">
        <v>34</v>
      </c>
    </row>
    <row r="131" spans="1:24" x14ac:dyDescent="0.35">
      <c r="A131" t="s">
        <v>394</v>
      </c>
      <c r="B131" t="s">
        <v>25</v>
      </c>
      <c r="C131" t="s">
        <v>395</v>
      </c>
      <c r="D131">
        <v>35</v>
      </c>
      <c r="E131">
        <v>1989</v>
      </c>
      <c r="F131">
        <v>55000</v>
      </c>
      <c r="G131" t="s">
        <v>38</v>
      </c>
      <c r="H131" t="s">
        <v>70</v>
      </c>
      <c r="I131" t="s">
        <v>94</v>
      </c>
      <c r="J131" s="14">
        <v>43845</v>
      </c>
      <c r="K131" t="s">
        <v>78</v>
      </c>
      <c r="L131">
        <v>80</v>
      </c>
      <c r="M131" t="s">
        <v>396</v>
      </c>
      <c r="N131" t="s">
        <v>61</v>
      </c>
      <c r="O131" t="s">
        <v>66</v>
      </c>
      <c r="Q131">
        <v>7</v>
      </c>
      <c r="S131">
        <v>17</v>
      </c>
      <c r="V131" t="s">
        <v>46</v>
      </c>
      <c r="W131">
        <v>2</v>
      </c>
      <c r="X131" t="s">
        <v>46</v>
      </c>
    </row>
    <row r="132" spans="1:24" x14ac:dyDescent="0.35">
      <c r="A132" t="s">
        <v>397</v>
      </c>
      <c r="B132" t="s">
        <v>36</v>
      </c>
      <c r="C132" t="s">
        <v>189</v>
      </c>
      <c r="D132">
        <v>40</v>
      </c>
      <c r="E132">
        <v>1984</v>
      </c>
      <c r="F132">
        <v>50000</v>
      </c>
      <c r="G132" t="s">
        <v>27</v>
      </c>
      <c r="H132" t="s">
        <v>122</v>
      </c>
      <c r="I132" t="s">
        <v>77</v>
      </c>
      <c r="J132" s="14">
        <v>43800</v>
      </c>
      <c r="K132" t="s">
        <v>59</v>
      </c>
      <c r="L132">
        <v>90</v>
      </c>
      <c r="M132" t="s">
        <v>398</v>
      </c>
      <c r="N132" t="s">
        <v>43</v>
      </c>
      <c r="O132" t="s">
        <v>44</v>
      </c>
      <c r="P132" t="s">
        <v>399</v>
      </c>
      <c r="Q132">
        <v>2</v>
      </c>
      <c r="S132">
        <v>7</v>
      </c>
      <c r="T132" t="s">
        <v>79</v>
      </c>
      <c r="V132" t="s">
        <v>34</v>
      </c>
      <c r="W132">
        <v>3</v>
      </c>
      <c r="X132" t="s">
        <v>34</v>
      </c>
    </row>
    <row r="133" spans="1:24" x14ac:dyDescent="0.35">
      <c r="A133" t="s">
        <v>400</v>
      </c>
      <c r="B133" t="s">
        <v>25</v>
      </c>
      <c r="C133" t="s">
        <v>81</v>
      </c>
      <c r="D133">
        <v>50</v>
      </c>
      <c r="E133">
        <v>1974</v>
      </c>
      <c r="F133">
        <v>58300</v>
      </c>
      <c r="G133" t="s">
        <v>27</v>
      </c>
      <c r="H133" t="s">
        <v>51</v>
      </c>
      <c r="I133" t="s">
        <v>89</v>
      </c>
      <c r="J133" s="14">
        <v>43800</v>
      </c>
      <c r="K133" t="s">
        <v>59</v>
      </c>
      <c r="L133">
        <v>96</v>
      </c>
      <c r="M133" t="s">
        <v>401</v>
      </c>
      <c r="N133" t="s">
        <v>104</v>
      </c>
      <c r="O133" t="s">
        <v>72</v>
      </c>
      <c r="Q133">
        <v>2</v>
      </c>
      <c r="T133" s="14">
        <v>44990</v>
      </c>
      <c r="V133" t="s">
        <v>46</v>
      </c>
      <c r="W133">
        <v>4</v>
      </c>
      <c r="X133" t="s">
        <v>46</v>
      </c>
    </row>
    <row r="134" spans="1:24" x14ac:dyDescent="0.35">
      <c r="A134" t="s">
        <v>402</v>
      </c>
      <c r="B134" t="s">
        <v>75</v>
      </c>
      <c r="C134" t="s">
        <v>403</v>
      </c>
      <c r="D134">
        <v>25</v>
      </c>
      <c r="E134">
        <v>1999</v>
      </c>
      <c r="F134" t="s">
        <v>50</v>
      </c>
      <c r="G134" t="s">
        <v>27</v>
      </c>
      <c r="H134" t="s">
        <v>145</v>
      </c>
      <c r="I134" t="s">
        <v>77</v>
      </c>
      <c r="J134" s="14">
        <v>43549</v>
      </c>
      <c r="K134" t="s">
        <v>78</v>
      </c>
      <c r="L134">
        <v>87</v>
      </c>
      <c r="M134" t="s">
        <v>404</v>
      </c>
      <c r="N134" t="s">
        <v>54</v>
      </c>
      <c r="O134" t="s">
        <v>100</v>
      </c>
      <c r="Q134">
        <v>5</v>
      </c>
      <c r="R134">
        <v>12</v>
      </c>
      <c r="S134">
        <v>1</v>
      </c>
      <c r="T134" t="s">
        <v>79</v>
      </c>
      <c r="U134">
        <v>19</v>
      </c>
      <c r="V134" t="s">
        <v>46</v>
      </c>
      <c r="W134">
        <v>5</v>
      </c>
      <c r="X134" t="s">
        <v>34</v>
      </c>
    </row>
    <row r="135" spans="1:24" x14ac:dyDescent="0.35">
      <c r="A135" t="s">
        <v>405</v>
      </c>
      <c r="B135" t="s">
        <v>107</v>
      </c>
      <c r="C135" t="s">
        <v>359</v>
      </c>
      <c r="D135">
        <v>40</v>
      </c>
      <c r="E135">
        <v>1984</v>
      </c>
      <c r="F135">
        <v>65000</v>
      </c>
      <c r="G135" t="s">
        <v>38</v>
      </c>
      <c r="H135" t="s">
        <v>70</v>
      </c>
      <c r="I135" t="s">
        <v>29</v>
      </c>
      <c r="J135" s="14">
        <v>43881</v>
      </c>
      <c r="K135" t="s">
        <v>52</v>
      </c>
      <c r="L135">
        <v>76</v>
      </c>
      <c r="M135" t="s">
        <v>406</v>
      </c>
      <c r="N135" t="s">
        <v>104</v>
      </c>
      <c r="O135" t="s">
        <v>32</v>
      </c>
      <c r="Q135">
        <v>2</v>
      </c>
      <c r="S135">
        <v>5</v>
      </c>
      <c r="T135" s="14">
        <v>45516</v>
      </c>
      <c r="U135">
        <v>58</v>
      </c>
      <c r="W135">
        <v>4</v>
      </c>
      <c r="X135" t="s">
        <v>46</v>
      </c>
    </row>
    <row r="136" spans="1:24" x14ac:dyDescent="0.35">
      <c r="A136" t="s">
        <v>407</v>
      </c>
      <c r="B136" t="s">
        <v>114</v>
      </c>
      <c r="C136" t="s">
        <v>132</v>
      </c>
      <c r="D136">
        <v>35</v>
      </c>
      <c r="E136">
        <v>1989</v>
      </c>
      <c r="F136">
        <v>55000</v>
      </c>
      <c r="G136" t="s">
        <v>38</v>
      </c>
      <c r="H136" t="s">
        <v>58</v>
      </c>
      <c r="I136" t="s">
        <v>77</v>
      </c>
      <c r="J136" s="14">
        <v>43549</v>
      </c>
      <c r="K136" t="s">
        <v>41</v>
      </c>
      <c r="L136">
        <v>58</v>
      </c>
      <c r="M136" t="s">
        <v>408</v>
      </c>
      <c r="N136" t="s">
        <v>61</v>
      </c>
      <c r="O136" t="s">
        <v>66</v>
      </c>
      <c r="P136" t="s">
        <v>294</v>
      </c>
      <c r="Q136">
        <v>2</v>
      </c>
      <c r="T136" s="14">
        <v>44470</v>
      </c>
      <c r="V136" t="s">
        <v>34</v>
      </c>
      <c r="W136">
        <v>2</v>
      </c>
      <c r="X136" t="s">
        <v>34</v>
      </c>
    </row>
    <row r="137" spans="1:24" x14ac:dyDescent="0.35">
      <c r="A137" t="s">
        <v>409</v>
      </c>
      <c r="B137" t="s">
        <v>68</v>
      </c>
      <c r="C137" t="s">
        <v>324</v>
      </c>
      <c r="D137">
        <v>35</v>
      </c>
      <c r="E137">
        <v>1989</v>
      </c>
      <c r="F137">
        <v>70000</v>
      </c>
      <c r="G137" t="s">
        <v>38</v>
      </c>
      <c r="H137" t="s">
        <v>70</v>
      </c>
      <c r="I137" t="s">
        <v>89</v>
      </c>
      <c r="J137" s="14">
        <v>43800</v>
      </c>
      <c r="K137" t="s">
        <v>30</v>
      </c>
      <c r="L137">
        <v>60</v>
      </c>
      <c r="M137" t="s">
        <v>325</v>
      </c>
      <c r="N137" t="s">
        <v>43</v>
      </c>
      <c r="O137" t="s">
        <v>72</v>
      </c>
      <c r="Q137">
        <v>8</v>
      </c>
      <c r="R137" t="s">
        <v>79</v>
      </c>
      <c r="S137">
        <v>8</v>
      </c>
      <c r="T137" s="14">
        <v>44990</v>
      </c>
      <c r="U137">
        <v>51</v>
      </c>
      <c r="V137" t="s">
        <v>169</v>
      </c>
      <c r="W137">
        <v>1</v>
      </c>
      <c r="X137" t="s">
        <v>34</v>
      </c>
    </row>
    <row r="138" spans="1:24" x14ac:dyDescent="0.35">
      <c r="A138" t="s">
        <v>410</v>
      </c>
      <c r="B138" t="s">
        <v>140</v>
      </c>
      <c r="C138" t="s">
        <v>135</v>
      </c>
      <c r="D138">
        <v>25</v>
      </c>
      <c r="E138">
        <v>1999</v>
      </c>
      <c r="F138">
        <v>50000</v>
      </c>
      <c r="G138" t="s">
        <v>38</v>
      </c>
      <c r="H138" t="s">
        <v>58</v>
      </c>
      <c r="I138" t="s">
        <v>94</v>
      </c>
      <c r="J138" s="14">
        <v>43549</v>
      </c>
      <c r="K138" t="s">
        <v>30</v>
      </c>
      <c r="L138">
        <v>60</v>
      </c>
      <c r="M138" t="s">
        <v>411</v>
      </c>
      <c r="N138" t="s">
        <v>104</v>
      </c>
      <c r="O138" t="s">
        <v>32</v>
      </c>
      <c r="Q138">
        <v>4</v>
      </c>
      <c r="T138" s="14">
        <v>44941</v>
      </c>
      <c r="U138">
        <v>43</v>
      </c>
      <c r="V138" t="s">
        <v>34</v>
      </c>
      <c r="W138">
        <v>2</v>
      </c>
      <c r="X138" t="s">
        <v>46</v>
      </c>
    </row>
    <row r="139" spans="1:24" x14ac:dyDescent="0.35">
      <c r="A139" t="s">
        <v>412</v>
      </c>
      <c r="B139" t="s">
        <v>56</v>
      </c>
      <c r="C139" t="s">
        <v>413</v>
      </c>
      <c r="E139">
        <v>1973</v>
      </c>
      <c r="F139">
        <v>55000</v>
      </c>
      <c r="G139" t="s">
        <v>38</v>
      </c>
      <c r="H139" t="s">
        <v>70</v>
      </c>
      <c r="I139" t="s">
        <v>40</v>
      </c>
      <c r="J139" s="14">
        <v>43845</v>
      </c>
      <c r="K139" t="s">
        <v>30</v>
      </c>
      <c r="L139">
        <v>67</v>
      </c>
      <c r="M139" t="s">
        <v>414</v>
      </c>
      <c r="N139" t="s">
        <v>61</v>
      </c>
      <c r="O139" t="s">
        <v>112</v>
      </c>
      <c r="P139" t="s">
        <v>415</v>
      </c>
      <c r="Q139">
        <v>4</v>
      </c>
      <c r="R139">
        <v>7</v>
      </c>
      <c r="W139">
        <v>5</v>
      </c>
      <c r="X139" t="s">
        <v>34</v>
      </c>
    </row>
    <row r="140" spans="1:24" x14ac:dyDescent="0.35">
      <c r="A140" t="s">
        <v>416</v>
      </c>
      <c r="B140" t="s">
        <v>107</v>
      </c>
      <c r="C140" t="s">
        <v>413</v>
      </c>
      <c r="D140" t="s">
        <v>88</v>
      </c>
      <c r="E140">
        <v>1994</v>
      </c>
      <c r="F140">
        <v>70000</v>
      </c>
      <c r="G140" t="s">
        <v>27</v>
      </c>
      <c r="H140" t="s">
        <v>145</v>
      </c>
      <c r="I140" t="s">
        <v>77</v>
      </c>
      <c r="J140" s="14">
        <v>43549</v>
      </c>
      <c r="K140" t="s">
        <v>59</v>
      </c>
      <c r="L140">
        <v>90</v>
      </c>
      <c r="M140" t="s">
        <v>417</v>
      </c>
      <c r="N140" t="s">
        <v>54</v>
      </c>
      <c r="O140" t="s">
        <v>112</v>
      </c>
      <c r="Q140">
        <v>5</v>
      </c>
      <c r="R140">
        <v>12</v>
      </c>
      <c r="W140">
        <v>2</v>
      </c>
      <c r="X140" t="s">
        <v>34</v>
      </c>
    </row>
    <row r="141" spans="1:24" x14ac:dyDescent="0.35">
      <c r="A141" t="s">
        <v>418</v>
      </c>
      <c r="B141" t="s">
        <v>36</v>
      </c>
      <c r="C141" t="s">
        <v>318</v>
      </c>
      <c r="D141">
        <v>35</v>
      </c>
      <c r="E141">
        <v>1989</v>
      </c>
      <c r="F141">
        <v>55000</v>
      </c>
      <c r="G141" t="s">
        <v>27</v>
      </c>
      <c r="H141" t="s">
        <v>51</v>
      </c>
      <c r="I141" t="s">
        <v>89</v>
      </c>
      <c r="J141" s="14">
        <v>43881</v>
      </c>
      <c r="K141" t="s">
        <v>30</v>
      </c>
      <c r="L141">
        <v>66</v>
      </c>
      <c r="M141" t="s">
        <v>419</v>
      </c>
      <c r="O141" t="s">
        <v>32</v>
      </c>
      <c r="Q141">
        <v>4</v>
      </c>
      <c r="T141" s="14">
        <v>44470</v>
      </c>
      <c r="V141" t="s">
        <v>34</v>
      </c>
      <c r="W141">
        <v>4</v>
      </c>
      <c r="X141" t="s">
        <v>34</v>
      </c>
    </row>
    <row r="142" spans="1:24" x14ac:dyDescent="0.35">
      <c r="A142" t="s">
        <v>420</v>
      </c>
      <c r="B142" t="s">
        <v>68</v>
      </c>
      <c r="C142" t="s">
        <v>421</v>
      </c>
      <c r="D142">
        <v>50</v>
      </c>
      <c r="E142">
        <v>1974</v>
      </c>
      <c r="F142">
        <v>65000</v>
      </c>
      <c r="G142" t="s">
        <v>38</v>
      </c>
      <c r="H142" t="s">
        <v>28</v>
      </c>
      <c r="I142" t="s">
        <v>89</v>
      </c>
      <c r="J142" s="14">
        <v>43845</v>
      </c>
      <c r="K142" t="s">
        <v>41</v>
      </c>
      <c r="L142">
        <v>1</v>
      </c>
      <c r="M142" t="s">
        <v>422</v>
      </c>
      <c r="N142" t="s">
        <v>54</v>
      </c>
      <c r="O142" t="s">
        <v>112</v>
      </c>
      <c r="Q142">
        <v>6</v>
      </c>
      <c r="U142">
        <v>40</v>
      </c>
      <c r="V142" t="s">
        <v>169</v>
      </c>
      <c r="W142">
        <v>2</v>
      </c>
      <c r="X142" t="s">
        <v>46</v>
      </c>
    </row>
    <row r="143" spans="1:24" x14ac:dyDescent="0.35">
      <c r="A143" t="s">
        <v>423</v>
      </c>
      <c r="B143" t="s">
        <v>25</v>
      </c>
      <c r="C143" t="s">
        <v>63</v>
      </c>
      <c r="D143">
        <v>50</v>
      </c>
      <c r="E143">
        <v>1974</v>
      </c>
      <c r="F143">
        <v>65000</v>
      </c>
      <c r="G143" t="s">
        <v>38</v>
      </c>
      <c r="H143" t="s">
        <v>64</v>
      </c>
      <c r="I143" t="s">
        <v>94</v>
      </c>
      <c r="J143" s="14">
        <v>43195</v>
      </c>
      <c r="K143" t="s">
        <v>41</v>
      </c>
      <c r="L143">
        <v>41</v>
      </c>
      <c r="M143" t="s">
        <v>65</v>
      </c>
      <c r="N143" t="s">
        <v>43</v>
      </c>
      <c r="O143" t="s">
        <v>72</v>
      </c>
      <c r="Q143">
        <v>7</v>
      </c>
      <c r="S143">
        <v>9</v>
      </c>
      <c r="U143">
        <v>36</v>
      </c>
      <c r="W143">
        <v>1</v>
      </c>
      <c r="X143" t="s">
        <v>34</v>
      </c>
    </row>
    <row r="144" spans="1:24" x14ac:dyDescent="0.35">
      <c r="A144" t="s">
        <v>424</v>
      </c>
      <c r="B144" t="s">
        <v>140</v>
      </c>
      <c r="C144" t="s">
        <v>99</v>
      </c>
      <c r="D144">
        <v>35</v>
      </c>
      <c r="E144">
        <v>1989</v>
      </c>
      <c r="F144">
        <v>65000</v>
      </c>
      <c r="G144" t="s">
        <v>38</v>
      </c>
      <c r="H144" t="s">
        <v>93</v>
      </c>
      <c r="I144" t="s">
        <v>29</v>
      </c>
      <c r="J144" s="14">
        <v>43800</v>
      </c>
      <c r="K144" t="s">
        <v>78</v>
      </c>
      <c r="L144">
        <v>80</v>
      </c>
      <c r="M144" t="s">
        <v>425</v>
      </c>
      <c r="N144" t="s">
        <v>54</v>
      </c>
      <c r="O144" t="s">
        <v>66</v>
      </c>
      <c r="Q144">
        <v>5</v>
      </c>
      <c r="R144" t="s">
        <v>79</v>
      </c>
      <c r="T144" s="14">
        <v>44732</v>
      </c>
      <c r="U144">
        <v>22</v>
      </c>
      <c r="W144">
        <v>4</v>
      </c>
      <c r="X144" t="s">
        <v>46</v>
      </c>
    </row>
    <row r="145" spans="1:24" x14ac:dyDescent="0.35">
      <c r="A145" t="s">
        <v>426</v>
      </c>
      <c r="B145" t="s">
        <v>25</v>
      </c>
      <c r="C145" t="s">
        <v>219</v>
      </c>
      <c r="E145">
        <v>1989</v>
      </c>
      <c r="F145">
        <v>58800</v>
      </c>
      <c r="G145" t="s">
        <v>38</v>
      </c>
      <c r="H145" t="s">
        <v>28</v>
      </c>
      <c r="I145" t="s">
        <v>77</v>
      </c>
      <c r="J145" s="14">
        <v>43800</v>
      </c>
      <c r="K145" t="s">
        <v>59</v>
      </c>
      <c r="L145">
        <v>90</v>
      </c>
      <c r="M145" t="s">
        <v>427</v>
      </c>
      <c r="N145" t="s">
        <v>54</v>
      </c>
      <c r="O145" t="s">
        <v>72</v>
      </c>
      <c r="Q145">
        <v>3</v>
      </c>
      <c r="T145" t="s">
        <v>79</v>
      </c>
      <c r="W145">
        <v>5</v>
      </c>
      <c r="X145" t="s">
        <v>34</v>
      </c>
    </row>
    <row r="146" spans="1:24" x14ac:dyDescent="0.35">
      <c r="A146" t="s">
        <v>428</v>
      </c>
      <c r="B146" t="s">
        <v>131</v>
      </c>
      <c r="C146" t="s">
        <v>69</v>
      </c>
      <c r="E146">
        <v>1995</v>
      </c>
      <c r="F146">
        <v>58500</v>
      </c>
      <c r="G146" t="s">
        <v>38</v>
      </c>
      <c r="H146" t="s">
        <v>64</v>
      </c>
      <c r="I146" t="s">
        <v>89</v>
      </c>
      <c r="J146" s="14">
        <v>43549</v>
      </c>
      <c r="K146" t="s">
        <v>41</v>
      </c>
      <c r="L146">
        <v>29</v>
      </c>
      <c r="M146" t="s">
        <v>429</v>
      </c>
      <c r="N146" t="s">
        <v>54</v>
      </c>
      <c r="O146" t="s">
        <v>72</v>
      </c>
      <c r="Q146">
        <v>1</v>
      </c>
      <c r="T146" s="14">
        <v>44990</v>
      </c>
      <c r="W146">
        <v>1</v>
      </c>
      <c r="X146" t="s">
        <v>34</v>
      </c>
    </row>
    <row r="147" spans="1:24" x14ac:dyDescent="0.35">
      <c r="A147" t="s">
        <v>430</v>
      </c>
      <c r="B147" t="s">
        <v>131</v>
      </c>
      <c r="C147" t="s">
        <v>431</v>
      </c>
      <c r="D147">
        <v>40</v>
      </c>
      <c r="E147">
        <v>1984</v>
      </c>
      <c r="F147">
        <v>50000</v>
      </c>
      <c r="G147" t="s">
        <v>27</v>
      </c>
      <c r="H147" t="s">
        <v>93</v>
      </c>
      <c r="I147" t="s">
        <v>94</v>
      </c>
      <c r="J147" s="14">
        <v>43845</v>
      </c>
      <c r="K147" t="s">
        <v>52</v>
      </c>
      <c r="L147">
        <v>72</v>
      </c>
      <c r="M147" t="s">
        <v>432</v>
      </c>
      <c r="N147" t="s">
        <v>54</v>
      </c>
      <c r="O147" t="s">
        <v>32</v>
      </c>
      <c r="Q147">
        <v>8</v>
      </c>
      <c r="S147">
        <v>16</v>
      </c>
      <c r="T147" t="s">
        <v>79</v>
      </c>
      <c r="V147" t="s">
        <v>46</v>
      </c>
      <c r="W147">
        <v>2</v>
      </c>
      <c r="X147" t="s">
        <v>46</v>
      </c>
    </row>
    <row r="148" spans="1:24" x14ac:dyDescent="0.35">
      <c r="A148" t="s">
        <v>433</v>
      </c>
      <c r="B148" t="s">
        <v>140</v>
      </c>
      <c r="C148" t="s">
        <v>367</v>
      </c>
      <c r="D148">
        <v>50</v>
      </c>
      <c r="E148">
        <v>1974</v>
      </c>
      <c r="F148">
        <v>65000</v>
      </c>
      <c r="G148" t="s">
        <v>27</v>
      </c>
      <c r="H148" t="s">
        <v>122</v>
      </c>
      <c r="I148" t="s">
        <v>40</v>
      </c>
      <c r="J148" s="14">
        <v>43195</v>
      </c>
      <c r="K148" t="s">
        <v>59</v>
      </c>
      <c r="L148">
        <v>91</v>
      </c>
      <c r="M148" t="s">
        <v>434</v>
      </c>
      <c r="N148" t="s">
        <v>43</v>
      </c>
      <c r="O148" t="s">
        <v>100</v>
      </c>
      <c r="Q148">
        <v>4</v>
      </c>
      <c r="R148" t="s">
        <v>79</v>
      </c>
      <c r="S148">
        <v>14</v>
      </c>
      <c r="V148" t="s">
        <v>34</v>
      </c>
      <c r="W148">
        <v>5</v>
      </c>
      <c r="X148" t="s">
        <v>34</v>
      </c>
    </row>
    <row r="149" spans="1:24" x14ac:dyDescent="0.35">
      <c r="A149" t="s">
        <v>435</v>
      </c>
      <c r="B149" t="s">
        <v>140</v>
      </c>
      <c r="C149" t="s">
        <v>436</v>
      </c>
      <c r="D149">
        <v>40</v>
      </c>
      <c r="E149">
        <v>1984</v>
      </c>
      <c r="F149">
        <v>70000</v>
      </c>
      <c r="G149" t="s">
        <v>38</v>
      </c>
      <c r="H149" t="s">
        <v>64</v>
      </c>
      <c r="I149" t="s">
        <v>89</v>
      </c>
      <c r="J149" s="14">
        <v>43845</v>
      </c>
      <c r="K149" t="s">
        <v>59</v>
      </c>
      <c r="L149">
        <v>90</v>
      </c>
      <c r="M149" t="s">
        <v>437</v>
      </c>
      <c r="N149" t="s">
        <v>61</v>
      </c>
      <c r="O149" t="s">
        <v>100</v>
      </c>
      <c r="Q149">
        <v>8</v>
      </c>
      <c r="R149" t="s">
        <v>79</v>
      </c>
      <c r="U149">
        <v>19</v>
      </c>
      <c r="V149" t="s">
        <v>46</v>
      </c>
      <c r="W149">
        <v>5</v>
      </c>
      <c r="X149" t="s">
        <v>34</v>
      </c>
    </row>
    <row r="150" spans="1:24" x14ac:dyDescent="0.35">
      <c r="A150" t="s">
        <v>438</v>
      </c>
      <c r="B150" t="s">
        <v>36</v>
      </c>
      <c r="C150" t="s">
        <v>110</v>
      </c>
      <c r="D150">
        <v>50</v>
      </c>
      <c r="E150">
        <v>1974</v>
      </c>
      <c r="F150">
        <v>55000</v>
      </c>
      <c r="G150" t="s">
        <v>38</v>
      </c>
      <c r="H150" t="s">
        <v>51</v>
      </c>
      <c r="I150" t="s">
        <v>94</v>
      </c>
      <c r="J150" s="14">
        <v>43800</v>
      </c>
      <c r="K150" t="s">
        <v>41</v>
      </c>
      <c r="L150">
        <v>6</v>
      </c>
      <c r="M150" t="s">
        <v>439</v>
      </c>
      <c r="N150" t="s">
        <v>104</v>
      </c>
      <c r="O150" t="s">
        <v>66</v>
      </c>
      <c r="Q150">
        <v>6</v>
      </c>
      <c r="R150" t="s">
        <v>79</v>
      </c>
      <c r="T150" s="14">
        <v>44470</v>
      </c>
      <c r="V150" t="s">
        <v>46</v>
      </c>
      <c r="W150">
        <v>1</v>
      </c>
      <c r="X150" t="s">
        <v>46</v>
      </c>
    </row>
    <row r="151" spans="1:24" x14ac:dyDescent="0.35">
      <c r="A151" t="s">
        <v>440</v>
      </c>
      <c r="B151" t="s">
        <v>140</v>
      </c>
      <c r="C151" t="s">
        <v>117</v>
      </c>
      <c r="D151" t="s">
        <v>88</v>
      </c>
      <c r="E151">
        <v>1994</v>
      </c>
      <c r="F151" t="s">
        <v>50</v>
      </c>
      <c r="G151" t="s">
        <v>38</v>
      </c>
      <c r="H151" t="s">
        <v>28</v>
      </c>
      <c r="I151" t="s">
        <v>29</v>
      </c>
      <c r="J151" s="14">
        <v>43845</v>
      </c>
      <c r="K151" t="s">
        <v>52</v>
      </c>
      <c r="L151">
        <v>71</v>
      </c>
      <c r="M151" t="s">
        <v>441</v>
      </c>
      <c r="O151" t="s">
        <v>32</v>
      </c>
      <c r="Q151">
        <v>4</v>
      </c>
      <c r="S151">
        <v>17</v>
      </c>
      <c r="V151" t="s">
        <v>73</v>
      </c>
      <c r="W151">
        <v>2</v>
      </c>
      <c r="X151" t="s">
        <v>34</v>
      </c>
    </row>
    <row r="152" spans="1:24" x14ac:dyDescent="0.35">
      <c r="A152" t="s">
        <v>442</v>
      </c>
      <c r="B152" t="s">
        <v>75</v>
      </c>
      <c r="C152" t="s">
        <v>158</v>
      </c>
      <c r="D152" t="s">
        <v>88</v>
      </c>
      <c r="E152">
        <v>1994</v>
      </c>
      <c r="F152">
        <v>70000</v>
      </c>
      <c r="G152" t="s">
        <v>27</v>
      </c>
      <c r="H152" t="s">
        <v>64</v>
      </c>
      <c r="I152" t="s">
        <v>29</v>
      </c>
      <c r="J152" s="14">
        <v>43195</v>
      </c>
      <c r="K152" t="s">
        <v>78</v>
      </c>
      <c r="L152">
        <v>85</v>
      </c>
      <c r="M152" t="s">
        <v>443</v>
      </c>
      <c r="N152" t="s">
        <v>104</v>
      </c>
      <c r="O152" t="s">
        <v>100</v>
      </c>
      <c r="Q152">
        <v>1</v>
      </c>
      <c r="R152" t="s">
        <v>79</v>
      </c>
      <c r="U152">
        <v>46</v>
      </c>
      <c r="V152" t="s">
        <v>33</v>
      </c>
      <c r="W152">
        <v>5</v>
      </c>
      <c r="X152" t="s">
        <v>34</v>
      </c>
    </row>
    <row r="153" spans="1:24" x14ac:dyDescent="0.35">
      <c r="A153" t="s">
        <v>444</v>
      </c>
      <c r="B153" t="s">
        <v>25</v>
      </c>
      <c r="C153" t="s">
        <v>81</v>
      </c>
      <c r="D153">
        <v>25</v>
      </c>
      <c r="E153">
        <v>1999</v>
      </c>
      <c r="F153">
        <v>58500</v>
      </c>
      <c r="G153" t="s">
        <v>38</v>
      </c>
      <c r="H153" t="s">
        <v>64</v>
      </c>
      <c r="I153" t="s">
        <v>89</v>
      </c>
      <c r="J153" s="14">
        <v>43549</v>
      </c>
      <c r="K153" t="s">
        <v>41</v>
      </c>
      <c r="L153">
        <v>0</v>
      </c>
      <c r="M153" t="s">
        <v>401</v>
      </c>
      <c r="N153" t="s">
        <v>104</v>
      </c>
      <c r="O153" t="s">
        <v>112</v>
      </c>
      <c r="Q153">
        <v>1</v>
      </c>
      <c r="R153" t="s">
        <v>79</v>
      </c>
      <c r="S153">
        <v>13</v>
      </c>
      <c r="W153">
        <v>4</v>
      </c>
      <c r="X153" t="s">
        <v>34</v>
      </c>
    </row>
    <row r="154" spans="1:24" x14ac:dyDescent="0.35">
      <c r="A154" t="s">
        <v>445</v>
      </c>
      <c r="B154" t="s">
        <v>107</v>
      </c>
      <c r="C154" t="s">
        <v>446</v>
      </c>
      <c r="D154">
        <v>40</v>
      </c>
      <c r="E154">
        <v>1984</v>
      </c>
      <c r="F154">
        <v>58300</v>
      </c>
      <c r="G154" t="s">
        <v>27</v>
      </c>
      <c r="H154" t="s">
        <v>145</v>
      </c>
      <c r="I154" t="s">
        <v>89</v>
      </c>
      <c r="J154" s="14">
        <v>43881</v>
      </c>
      <c r="K154" t="s">
        <v>52</v>
      </c>
      <c r="L154">
        <v>71</v>
      </c>
      <c r="M154" t="s">
        <v>447</v>
      </c>
      <c r="O154" t="s">
        <v>100</v>
      </c>
      <c r="Q154">
        <v>2</v>
      </c>
      <c r="T154" s="14">
        <v>44470</v>
      </c>
      <c r="V154" t="s">
        <v>34</v>
      </c>
      <c r="W154">
        <v>2</v>
      </c>
      <c r="X154" t="s">
        <v>34</v>
      </c>
    </row>
    <row r="155" spans="1:24" x14ac:dyDescent="0.35">
      <c r="A155" t="s">
        <v>448</v>
      </c>
      <c r="B155" t="s">
        <v>48</v>
      </c>
      <c r="C155" t="s">
        <v>69</v>
      </c>
      <c r="D155">
        <v>35</v>
      </c>
      <c r="E155">
        <v>1989</v>
      </c>
      <c r="F155">
        <v>70000</v>
      </c>
      <c r="G155" t="s">
        <v>27</v>
      </c>
      <c r="H155" t="s">
        <v>70</v>
      </c>
      <c r="I155" t="s">
        <v>77</v>
      </c>
      <c r="J155" s="14">
        <v>43845</v>
      </c>
      <c r="K155" t="s">
        <v>59</v>
      </c>
      <c r="L155">
        <v>100</v>
      </c>
      <c r="M155" t="s">
        <v>449</v>
      </c>
      <c r="N155" t="s">
        <v>43</v>
      </c>
      <c r="O155" t="s">
        <v>112</v>
      </c>
      <c r="Q155">
        <v>2</v>
      </c>
      <c r="R155" t="s">
        <v>79</v>
      </c>
      <c r="V155" t="s">
        <v>33</v>
      </c>
      <c r="W155">
        <v>1</v>
      </c>
      <c r="X155" t="s">
        <v>34</v>
      </c>
    </row>
    <row r="156" spans="1:24" x14ac:dyDescent="0.35">
      <c r="A156" t="s">
        <v>450</v>
      </c>
      <c r="B156" t="s">
        <v>140</v>
      </c>
      <c r="C156" t="s">
        <v>268</v>
      </c>
      <c r="D156">
        <v>40</v>
      </c>
      <c r="E156">
        <v>1984</v>
      </c>
      <c r="F156">
        <v>59300</v>
      </c>
      <c r="G156" t="s">
        <v>38</v>
      </c>
      <c r="H156" t="s">
        <v>58</v>
      </c>
      <c r="I156" t="s">
        <v>94</v>
      </c>
      <c r="J156" s="14">
        <v>43881</v>
      </c>
      <c r="K156" t="s">
        <v>52</v>
      </c>
      <c r="L156">
        <v>79</v>
      </c>
      <c r="M156" t="s">
        <v>269</v>
      </c>
      <c r="O156" t="s">
        <v>66</v>
      </c>
      <c r="P156" t="s">
        <v>116</v>
      </c>
      <c r="Q156">
        <v>8</v>
      </c>
      <c r="R156">
        <v>2</v>
      </c>
      <c r="T156" s="14">
        <v>44732</v>
      </c>
      <c r="V156" t="s">
        <v>46</v>
      </c>
      <c r="W156">
        <v>3</v>
      </c>
      <c r="X156" t="s">
        <v>34</v>
      </c>
    </row>
    <row r="157" spans="1:24" x14ac:dyDescent="0.35">
      <c r="A157" t="s">
        <v>451</v>
      </c>
      <c r="B157" t="s">
        <v>56</v>
      </c>
      <c r="C157" t="s">
        <v>57</v>
      </c>
      <c r="D157">
        <v>35</v>
      </c>
      <c r="E157">
        <v>1989</v>
      </c>
      <c r="F157">
        <v>65000</v>
      </c>
      <c r="G157" t="s">
        <v>38</v>
      </c>
      <c r="H157" t="s">
        <v>51</v>
      </c>
      <c r="I157" t="s">
        <v>89</v>
      </c>
      <c r="J157" s="14">
        <v>43800</v>
      </c>
      <c r="K157" t="s">
        <v>59</v>
      </c>
      <c r="L157">
        <v>97</v>
      </c>
      <c r="M157" t="s">
        <v>60</v>
      </c>
      <c r="N157" t="s">
        <v>43</v>
      </c>
      <c r="O157" t="s">
        <v>72</v>
      </c>
      <c r="Q157">
        <v>3</v>
      </c>
      <c r="S157">
        <v>17</v>
      </c>
      <c r="T157" s="14">
        <v>44941</v>
      </c>
      <c r="U157">
        <v>19</v>
      </c>
      <c r="V157" t="s">
        <v>34</v>
      </c>
      <c r="W157">
        <v>1</v>
      </c>
      <c r="X157" t="s">
        <v>34</v>
      </c>
    </row>
    <row r="158" spans="1:24" x14ac:dyDescent="0.35">
      <c r="A158" t="s">
        <v>452</v>
      </c>
      <c r="B158" t="s">
        <v>131</v>
      </c>
      <c r="C158" t="s">
        <v>137</v>
      </c>
      <c r="E158">
        <v>1993</v>
      </c>
      <c r="F158">
        <v>50000</v>
      </c>
      <c r="G158" t="s">
        <v>38</v>
      </c>
      <c r="H158" t="s">
        <v>122</v>
      </c>
      <c r="I158" t="s">
        <v>77</v>
      </c>
      <c r="J158" s="14">
        <v>43549</v>
      </c>
      <c r="K158" t="s">
        <v>41</v>
      </c>
      <c r="L158">
        <v>56</v>
      </c>
      <c r="M158" t="s">
        <v>453</v>
      </c>
      <c r="N158" t="s">
        <v>104</v>
      </c>
      <c r="O158" t="s">
        <v>72</v>
      </c>
      <c r="P158" t="s">
        <v>106</v>
      </c>
      <c r="Q158">
        <v>2</v>
      </c>
      <c r="U158">
        <v>73</v>
      </c>
      <c r="V158" t="s">
        <v>46</v>
      </c>
      <c r="W158">
        <v>3</v>
      </c>
      <c r="X158" t="s">
        <v>34</v>
      </c>
    </row>
    <row r="159" spans="1:24" x14ac:dyDescent="0.35">
      <c r="A159" t="s">
        <v>454</v>
      </c>
      <c r="B159" t="s">
        <v>75</v>
      </c>
      <c r="C159" t="s">
        <v>132</v>
      </c>
      <c r="D159">
        <v>40</v>
      </c>
      <c r="E159">
        <v>1984</v>
      </c>
      <c r="F159">
        <v>55000</v>
      </c>
      <c r="G159" t="s">
        <v>38</v>
      </c>
      <c r="H159" t="s">
        <v>70</v>
      </c>
      <c r="I159" t="s">
        <v>77</v>
      </c>
      <c r="J159" s="14">
        <v>43549</v>
      </c>
      <c r="K159" t="s">
        <v>41</v>
      </c>
      <c r="L159">
        <v>39</v>
      </c>
      <c r="M159" t="s">
        <v>455</v>
      </c>
      <c r="N159" t="s">
        <v>43</v>
      </c>
      <c r="O159" t="s">
        <v>100</v>
      </c>
      <c r="Q159">
        <v>2</v>
      </c>
      <c r="S159">
        <v>5</v>
      </c>
      <c r="T159" s="14">
        <v>44990</v>
      </c>
      <c r="U159">
        <v>44</v>
      </c>
      <c r="V159" t="s">
        <v>33</v>
      </c>
      <c r="W159">
        <v>1</v>
      </c>
      <c r="X159" t="s">
        <v>34</v>
      </c>
    </row>
    <row r="160" spans="1:24" x14ac:dyDescent="0.35">
      <c r="A160" t="s">
        <v>456</v>
      </c>
      <c r="B160" t="s">
        <v>68</v>
      </c>
      <c r="C160" t="s">
        <v>176</v>
      </c>
      <c r="E160">
        <v>1991</v>
      </c>
      <c r="F160">
        <v>50000</v>
      </c>
      <c r="G160" t="s">
        <v>27</v>
      </c>
      <c r="H160" t="s">
        <v>39</v>
      </c>
      <c r="I160" t="s">
        <v>89</v>
      </c>
      <c r="J160" s="14">
        <v>43845</v>
      </c>
      <c r="K160" t="s">
        <v>30</v>
      </c>
      <c r="L160">
        <v>60</v>
      </c>
      <c r="M160" t="s">
        <v>457</v>
      </c>
      <c r="N160" t="s">
        <v>61</v>
      </c>
      <c r="O160" t="s">
        <v>112</v>
      </c>
      <c r="Q160">
        <v>2</v>
      </c>
      <c r="R160" t="s">
        <v>79</v>
      </c>
      <c r="V160" t="s">
        <v>169</v>
      </c>
      <c r="W160">
        <v>2</v>
      </c>
      <c r="X160" t="s">
        <v>34</v>
      </c>
    </row>
    <row r="161" spans="1:24" x14ac:dyDescent="0.35">
      <c r="A161" t="s">
        <v>458</v>
      </c>
      <c r="B161" t="s">
        <v>48</v>
      </c>
      <c r="C161" t="s">
        <v>459</v>
      </c>
      <c r="D161" t="s">
        <v>88</v>
      </c>
      <c r="E161">
        <v>1994</v>
      </c>
      <c r="F161">
        <v>55000</v>
      </c>
      <c r="G161" t="s">
        <v>27</v>
      </c>
      <c r="H161" t="s">
        <v>58</v>
      </c>
      <c r="I161" t="s">
        <v>29</v>
      </c>
      <c r="J161" s="14">
        <v>43549</v>
      </c>
      <c r="K161" t="s">
        <v>30</v>
      </c>
      <c r="L161">
        <v>63</v>
      </c>
      <c r="M161" t="s">
        <v>460</v>
      </c>
      <c r="O161" t="s">
        <v>44</v>
      </c>
      <c r="Q161">
        <v>5</v>
      </c>
      <c r="R161">
        <v>14</v>
      </c>
      <c r="S161">
        <v>8</v>
      </c>
      <c r="T161" s="14">
        <v>45516</v>
      </c>
      <c r="V161" t="s">
        <v>33</v>
      </c>
      <c r="W161">
        <v>5</v>
      </c>
      <c r="X161" t="s">
        <v>34</v>
      </c>
    </row>
    <row r="162" spans="1:24" x14ac:dyDescent="0.35">
      <c r="A162" t="s">
        <v>461</v>
      </c>
      <c r="B162" t="s">
        <v>107</v>
      </c>
      <c r="C162" t="s">
        <v>462</v>
      </c>
      <c r="D162" t="s">
        <v>88</v>
      </c>
      <c r="E162">
        <v>1994</v>
      </c>
      <c r="F162">
        <v>55000</v>
      </c>
      <c r="G162" t="s">
        <v>27</v>
      </c>
      <c r="H162" t="s">
        <v>82</v>
      </c>
      <c r="I162" t="s">
        <v>94</v>
      </c>
      <c r="J162" s="14">
        <v>43845</v>
      </c>
      <c r="K162" t="s">
        <v>30</v>
      </c>
      <c r="L162">
        <v>69</v>
      </c>
      <c r="M162" t="s">
        <v>463</v>
      </c>
      <c r="N162" t="s">
        <v>61</v>
      </c>
      <c r="O162" t="s">
        <v>174</v>
      </c>
      <c r="P162" t="s">
        <v>317</v>
      </c>
      <c r="Q162">
        <v>4</v>
      </c>
      <c r="U162">
        <v>66</v>
      </c>
      <c r="V162" t="s">
        <v>34</v>
      </c>
      <c r="W162">
        <v>1</v>
      </c>
      <c r="X162" t="s">
        <v>46</v>
      </c>
    </row>
    <row r="163" spans="1:24" x14ac:dyDescent="0.35">
      <c r="A163" t="s">
        <v>464</v>
      </c>
      <c r="B163" t="s">
        <v>48</v>
      </c>
      <c r="C163" t="s">
        <v>465</v>
      </c>
      <c r="D163">
        <v>25</v>
      </c>
      <c r="E163">
        <v>1999</v>
      </c>
      <c r="F163">
        <v>50000</v>
      </c>
      <c r="G163" t="s">
        <v>38</v>
      </c>
      <c r="H163" t="s">
        <v>28</v>
      </c>
      <c r="I163" t="s">
        <v>94</v>
      </c>
      <c r="J163" s="14">
        <v>43845</v>
      </c>
      <c r="K163" t="s">
        <v>41</v>
      </c>
      <c r="L163">
        <v>12</v>
      </c>
      <c r="M163" t="s">
        <v>466</v>
      </c>
      <c r="N163" t="s">
        <v>104</v>
      </c>
      <c r="O163" t="s">
        <v>44</v>
      </c>
      <c r="Q163">
        <v>8</v>
      </c>
      <c r="T163" s="14">
        <v>44470</v>
      </c>
      <c r="V163" t="s">
        <v>169</v>
      </c>
      <c r="W163">
        <v>1</v>
      </c>
      <c r="X163" t="s">
        <v>46</v>
      </c>
    </row>
    <row r="164" spans="1:24" x14ac:dyDescent="0.35">
      <c r="A164" t="s">
        <v>467</v>
      </c>
      <c r="B164" t="s">
        <v>140</v>
      </c>
      <c r="C164" t="s">
        <v>209</v>
      </c>
      <c r="D164">
        <v>40</v>
      </c>
      <c r="E164">
        <v>1984</v>
      </c>
      <c r="F164">
        <v>70000</v>
      </c>
      <c r="G164" t="s">
        <v>27</v>
      </c>
      <c r="H164" t="s">
        <v>51</v>
      </c>
      <c r="I164" t="s">
        <v>29</v>
      </c>
      <c r="J164" s="14">
        <v>43881</v>
      </c>
      <c r="K164" t="s">
        <v>78</v>
      </c>
      <c r="L164">
        <v>83</v>
      </c>
      <c r="M164" t="s">
        <v>468</v>
      </c>
      <c r="O164" t="s">
        <v>174</v>
      </c>
      <c r="Q164">
        <v>5</v>
      </c>
      <c r="S164">
        <v>16</v>
      </c>
      <c r="V164" t="s">
        <v>33</v>
      </c>
      <c r="W164">
        <v>5</v>
      </c>
      <c r="X164" t="s">
        <v>34</v>
      </c>
    </row>
    <row r="165" spans="1:24" x14ac:dyDescent="0.35">
      <c r="A165" t="s">
        <v>469</v>
      </c>
      <c r="B165" t="s">
        <v>36</v>
      </c>
      <c r="C165" t="s">
        <v>49</v>
      </c>
      <c r="E165">
        <v>1986</v>
      </c>
      <c r="F165">
        <v>55000</v>
      </c>
      <c r="G165" t="s">
        <v>27</v>
      </c>
      <c r="H165" t="s">
        <v>70</v>
      </c>
      <c r="I165" t="s">
        <v>89</v>
      </c>
      <c r="J165" s="14">
        <v>43549</v>
      </c>
      <c r="K165" t="s">
        <v>41</v>
      </c>
      <c r="L165">
        <v>50</v>
      </c>
      <c r="M165" t="s">
        <v>470</v>
      </c>
      <c r="N165" t="s">
        <v>104</v>
      </c>
      <c r="O165" t="s">
        <v>44</v>
      </c>
      <c r="Q165">
        <v>5</v>
      </c>
      <c r="S165">
        <v>17</v>
      </c>
      <c r="T165" s="14">
        <v>44990</v>
      </c>
      <c r="V165" t="s">
        <v>46</v>
      </c>
      <c r="W165">
        <v>1</v>
      </c>
      <c r="X165" t="s">
        <v>46</v>
      </c>
    </row>
    <row r="166" spans="1:24" x14ac:dyDescent="0.35">
      <c r="A166" t="s">
        <v>471</v>
      </c>
      <c r="B166" t="s">
        <v>131</v>
      </c>
      <c r="C166" t="s">
        <v>472</v>
      </c>
      <c r="D166">
        <v>35</v>
      </c>
      <c r="E166">
        <v>1989</v>
      </c>
      <c r="F166">
        <v>50000</v>
      </c>
      <c r="G166" t="s">
        <v>27</v>
      </c>
      <c r="H166" t="s">
        <v>145</v>
      </c>
      <c r="I166" t="s">
        <v>94</v>
      </c>
      <c r="J166" s="14">
        <v>43845</v>
      </c>
      <c r="K166" t="s">
        <v>52</v>
      </c>
      <c r="L166">
        <v>74</v>
      </c>
      <c r="M166" t="s">
        <v>473</v>
      </c>
      <c r="N166" t="s">
        <v>61</v>
      </c>
      <c r="O166" t="s">
        <v>72</v>
      </c>
      <c r="P166" t="s">
        <v>474</v>
      </c>
      <c r="Q166">
        <v>8</v>
      </c>
      <c r="V166" t="s">
        <v>34</v>
      </c>
      <c r="W166">
        <v>4</v>
      </c>
      <c r="X166" t="s">
        <v>46</v>
      </c>
    </row>
    <row r="167" spans="1:24" x14ac:dyDescent="0.35">
      <c r="A167" t="s">
        <v>475</v>
      </c>
      <c r="B167" t="s">
        <v>131</v>
      </c>
      <c r="C167" t="s">
        <v>216</v>
      </c>
      <c r="D167" t="s">
        <v>88</v>
      </c>
      <c r="E167">
        <v>1994</v>
      </c>
      <c r="F167">
        <v>55000</v>
      </c>
      <c r="G167" t="s">
        <v>38</v>
      </c>
      <c r="H167" t="s">
        <v>51</v>
      </c>
      <c r="I167" t="s">
        <v>89</v>
      </c>
      <c r="J167" s="14">
        <v>43881</v>
      </c>
      <c r="K167" t="s">
        <v>41</v>
      </c>
      <c r="L167">
        <v>30</v>
      </c>
      <c r="M167" t="s">
        <v>217</v>
      </c>
      <c r="N167" t="s">
        <v>104</v>
      </c>
      <c r="O167" t="s">
        <v>32</v>
      </c>
      <c r="P167" t="s">
        <v>476</v>
      </c>
      <c r="Q167">
        <v>1</v>
      </c>
      <c r="U167">
        <v>17</v>
      </c>
      <c r="V167" t="s">
        <v>34</v>
      </c>
      <c r="W167">
        <v>1</v>
      </c>
      <c r="X167" t="s">
        <v>46</v>
      </c>
    </row>
    <row r="168" spans="1:24" x14ac:dyDescent="0.35">
      <c r="A168" t="s">
        <v>477</v>
      </c>
      <c r="B168" t="s">
        <v>68</v>
      </c>
      <c r="C168" t="s">
        <v>250</v>
      </c>
      <c r="D168" t="s">
        <v>88</v>
      </c>
      <c r="E168">
        <v>1994</v>
      </c>
      <c r="F168" t="s">
        <v>50</v>
      </c>
      <c r="G168" t="s">
        <v>27</v>
      </c>
      <c r="H168" t="s">
        <v>51</v>
      </c>
      <c r="I168" t="s">
        <v>89</v>
      </c>
      <c r="J168" s="14">
        <v>43195</v>
      </c>
      <c r="K168" t="s">
        <v>41</v>
      </c>
      <c r="L168">
        <v>47</v>
      </c>
      <c r="M168" t="s">
        <v>251</v>
      </c>
      <c r="O168" t="s">
        <v>72</v>
      </c>
      <c r="Q168">
        <v>2</v>
      </c>
      <c r="W168">
        <v>5</v>
      </c>
      <c r="X168" t="s">
        <v>34</v>
      </c>
    </row>
    <row r="169" spans="1:24" x14ac:dyDescent="0.35">
      <c r="A169" t="s">
        <v>478</v>
      </c>
      <c r="B169" t="s">
        <v>36</v>
      </c>
      <c r="C169" t="s">
        <v>479</v>
      </c>
      <c r="D169">
        <v>35</v>
      </c>
      <c r="E169">
        <v>1989</v>
      </c>
      <c r="F169">
        <v>70000</v>
      </c>
      <c r="G169" t="s">
        <v>27</v>
      </c>
      <c r="H169" t="s">
        <v>28</v>
      </c>
      <c r="I169" t="s">
        <v>77</v>
      </c>
      <c r="J169" s="14">
        <v>43881</v>
      </c>
      <c r="K169" t="s">
        <v>59</v>
      </c>
      <c r="L169">
        <v>98</v>
      </c>
      <c r="M169" t="s">
        <v>480</v>
      </c>
      <c r="O169" t="s">
        <v>174</v>
      </c>
      <c r="P169" t="s">
        <v>481</v>
      </c>
      <c r="Q169">
        <v>3</v>
      </c>
      <c r="U169">
        <v>47</v>
      </c>
      <c r="V169" t="s">
        <v>482</v>
      </c>
      <c r="W169">
        <v>1</v>
      </c>
      <c r="X169" t="s">
        <v>46</v>
      </c>
    </row>
    <row r="170" spans="1:24" x14ac:dyDescent="0.35">
      <c r="A170" t="s">
        <v>483</v>
      </c>
      <c r="B170" t="s">
        <v>25</v>
      </c>
      <c r="C170" t="s">
        <v>135</v>
      </c>
      <c r="E170">
        <v>1982</v>
      </c>
      <c r="F170">
        <v>65000</v>
      </c>
      <c r="G170" t="s">
        <v>38</v>
      </c>
      <c r="H170" t="s">
        <v>82</v>
      </c>
      <c r="I170" t="s">
        <v>29</v>
      </c>
      <c r="J170" s="14">
        <v>43881</v>
      </c>
      <c r="K170" t="s">
        <v>59</v>
      </c>
      <c r="L170">
        <v>94</v>
      </c>
      <c r="M170" t="s">
        <v>484</v>
      </c>
      <c r="N170" t="s">
        <v>104</v>
      </c>
      <c r="O170" t="s">
        <v>32</v>
      </c>
      <c r="Q170">
        <v>1</v>
      </c>
      <c r="T170" s="14">
        <v>44732</v>
      </c>
      <c r="V170" t="s">
        <v>34</v>
      </c>
      <c r="W170">
        <v>4</v>
      </c>
      <c r="X170" t="s">
        <v>34</v>
      </c>
    </row>
    <row r="171" spans="1:24" x14ac:dyDescent="0.35">
      <c r="A171" t="s">
        <v>485</v>
      </c>
      <c r="B171" t="s">
        <v>114</v>
      </c>
      <c r="C171" t="s">
        <v>380</v>
      </c>
      <c r="E171">
        <v>1994</v>
      </c>
      <c r="F171">
        <v>55000</v>
      </c>
      <c r="G171" t="s">
        <v>27</v>
      </c>
      <c r="H171" t="s">
        <v>51</v>
      </c>
      <c r="I171" t="s">
        <v>89</v>
      </c>
      <c r="J171" s="14">
        <v>43845</v>
      </c>
      <c r="K171" t="s">
        <v>59</v>
      </c>
      <c r="L171">
        <v>93</v>
      </c>
      <c r="M171" t="s">
        <v>486</v>
      </c>
      <c r="O171" t="s">
        <v>112</v>
      </c>
      <c r="Q171">
        <v>5</v>
      </c>
      <c r="T171" s="14">
        <v>45516</v>
      </c>
      <c r="W171">
        <v>1</v>
      </c>
      <c r="X171" t="s">
        <v>34</v>
      </c>
    </row>
    <row r="172" spans="1:24" x14ac:dyDescent="0.35">
      <c r="A172" t="s">
        <v>487</v>
      </c>
      <c r="B172" t="s">
        <v>75</v>
      </c>
      <c r="C172" t="s">
        <v>103</v>
      </c>
      <c r="D172">
        <v>40</v>
      </c>
      <c r="E172">
        <v>1984</v>
      </c>
      <c r="F172" t="s">
        <v>50</v>
      </c>
      <c r="G172" t="s">
        <v>27</v>
      </c>
      <c r="H172" t="s">
        <v>28</v>
      </c>
      <c r="I172" t="s">
        <v>40</v>
      </c>
      <c r="J172" s="14">
        <v>43800</v>
      </c>
      <c r="K172" t="s">
        <v>41</v>
      </c>
      <c r="L172">
        <v>17</v>
      </c>
      <c r="M172" t="s">
        <v>308</v>
      </c>
      <c r="O172" t="s">
        <v>100</v>
      </c>
      <c r="Q172">
        <v>6</v>
      </c>
      <c r="S172">
        <v>4</v>
      </c>
      <c r="U172">
        <v>52</v>
      </c>
      <c r="V172" t="s">
        <v>33</v>
      </c>
      <c r="W172">
        <v>5</v>
      </c>
      <c r="X172" t="s">
        <v>34</v>
      </c>
    </row>
    <row r="173" spans="1:24" x14ac:dyDescent="0.35">
      <c r="A173" t="s">
        <v>488</v>
      </c>
      <c r="B173" t="s">
        <v>131</v>
      </c>
      <c r="C173" t="s">
        <v>26</v>
      </c>
      <c r="D173">
        <v>40</v>
      </c>
      <c r="E173">
        <v>1984</v>
      </c>
      <c r="F173">
        <v>65000</v>
      </c>
      <c r="G173" t="s">
        <v>38</v>
      </c>
      <c r="H173" t="s">
        <v>70</v>
      </c>
      <c r="I173" t="s">
        <v>29</v>
      </c>
      <c r="J173" s="14">
        <v>43800</v>
      </c>
      <c r="K173" t="s">
        <v>78</v>
      </c>
      <c r="L173">
        <v>88</v>
      </c>
      <c r="M173" t="s">
        <v>489</v>
      </c>
      <c r="N173" t="s">
        <v>104</v>
      </c>
      <c r="O173" t="s">
        <v>44</v>
      </c>
      <c r="P173" t="s">
        <v>490</v>
      </c>
      <c r="Q173">
        <v>6</v>
      </c>
      <c r="V173" t="s">
        <v>33</v>
      </c>
      <c r="W173">
        <v>5</v>
      </c>
      <c r="X173" t="s">
        <v>34</v>
      </c>
    </row>
    <row r="174" spans="1:24" x14ac:dyDescent="0.35">
      <c r="A174" t="s">
        <v>491</v>
      </c>
      <c r="B174" t="s">
        <v>56</v>
      </c>
      <c r="C174" t="s">
        <v>465</v>
      </c>
      <c r="D174">
        <v>50</v>
      </c>
      <c r="E174">
        <v>1974</v>
      </c>
      <c r="F174">
        <v>65000</v>
      </c>
      <c r="G174" t="s">
        <v>38</v>
      </c>
      <c r="H174" t="s">
        <v>145</v>
      </c>
      <c r="I174" t="s">
        <v>94</v>
      </c>
      <c r="J174" s="14">
        <v>43800</v>
      </c>
      <c r="K174" t="s">
        <v>52</v>
      </c>
      <c r="L174">
        <v>73</v>
      </c>
      <c r="M174" t="s">
        <v>492</v>
      </c>
      <c r="N174" t="s">
        <v>61</v>
      </c>
      <c r="O174" t="s">
        <v>112</v>
      </c>
      <c r="Q174">
        <v>7</v>
      </c>
      <c r="R174" t="s">
        <v>79</v>
      </c>
      <c r="S174">
        <v>15</v>
      </c>
      <c r="V174" t="s">
        <v>34</v>
      </c>
      <c r="W174">
        <v>1</v>
      </c>
      <c r="X174" t="s">
        <v>46</v>
      </c>
    </row>
    <row r="175" spans="1:24" x14ac:dyDescent="0.35">
      <c r="A175" t="s">
        <v>493</v>
      </c>
      <c r="B175" t="s">
        <v>131</v>
      </c>
      <c r="C175" t="s">
        <v>472</v>
      </c>
      <c r="D175">
        <v>50</v>
      </c>
      <c r="E175">
        <v>1974</v>
      </c>
      <c r="F175">
        <v>55000</v>
      </c>
      <c r="G175" t="s">
        <v>27</v>
      </c>
      <c r="H175" t="s">
        <v>28</v>
      </c>
      <c r="I175" t="s">
        <v>77</v>
      </c>
      <c r="J175" s="14">
        <v>43881</v>
      </c>
      <c r="K175" t="s">
        <v>52</v>
      </c>
      <c r="L175">
        <v>78</v>
      </c>
      <c r="M175" t="s">
        <v>473</v>
      </c>
      <c r="O175" t="s">
        <v>112</v>
      </c>
      <c r="P175" t="s">
        <v>494</v>
      </c>
      <c r="Q175">
        <v>2</v>
      </c>
      <c r="R175">
        <v>4</v>
      </c>
      <c r="U175">
        <v>30</v>
      </c>
      <c r="V175" t="s">
        <v>46</v>
      </c>
      <c r="W175">
        <v>1</v>
      </c>
      <c r="X175" t="s">
        <v>34</v>
      </c>
    </row>
    <row r="176" spans="1:24" x14ac:dyDescent="0.35">
      <c r="A176" t="s">
        <v>495</v>
      </c>
      <c r="B176" t="s">
        <v>48</v>
      </c>
      <c r="C176" t="s">
        <v>496</v>
      </c>
      <c r="D176">
        <v>25</v>
      </c>
      <c r="E176">
        <v>1999</v>
      </c>
      <c r="F176">
        <v>50000</v>
      </c>
      <c r="G176" t="s">
        <v>38</v>
      </c>
      <c r="H176" t="s">
        <v>122</v>
      </c>
      <c r="I176" t="s">
        <v>94</v>
      </c>
      <c r="J176" s="14">
        <v>43845</v>
      </c>
      <c r="K176" t="s">
        <v>78</v>
      </c>
      <c r="L176">
        <v>80</v>
      </c>
      <c r="M176" t="s">
        <v>497</v>
      </c>
      <c r="O176" t="s">
        <v>100</v>
      </c>
      <c r="Q176">
        <v>2</v>
      </c>
      <c r="S176">
        <v>2</v>
      </c>
      <c r="T176" s="22">
        <v>44990</v>
      </c>
      <c r="V176" t="s">
        <v>46</v>
      </c>
      <c r="W176">
        <v>1</v>
      </c>
      <c r="X176" t="s">
        <v>46</v>
      </c>
    </row>
    <row r="177" spans="1:24" x14ac:dyDescent="0.35">
      <c r="A177" t="s">
        <v>498</v>
      </c>
      <c r="B177" t="s">
        <v>131</v>
      </c>
      <c r="C177" t="s">
        <v>499</v>
      </c>
      <c r="D177" t="s">
        <v>88</v>
      </c>
      <c r="E177">
        <v>1994</v>
      </c>
      <c r="F177">
        <v>55000</v>
      </c>
      <c r="G177" t="s">
        <v>38</v>
      </c>
      <c r="H177" t="s">
        <v>51</v>
      </c>
      <c r="I177" t="s">
        <v>94</v>
      </c>
      <c r="J177" s="14">
        <v>43549</v>
      </c>
      <c r="K177" t="s">
        <v>78</v>
      </c>
      <c r="L177">
        <v>87</v>
      </c>
      <c r="M177" t="s">
        <v>500</v>
      </c>
      <c r="O177" t="s">
        <v>112</v>
      </c>
      <c r="Q177">
        <v>1</v>
      </c>
      <c r="U177">
        <v>78</v>
      </c>
      <c r="V177" t="s">
        <v>33</v>
      </c>
      <c r="W177">
        <v>2</v>
      </c>
      <c r="X177" t="s">
        <v>46</v>
      </c>
    </row>
    <row r="178" spans="1:24" x14ac:dyDescent="0.35">
      <c r="A178" t="s">
        <v>501</v>
      </c>
      <c r="B178" t="s">
        <v>131</v>
      </c>
      <c r="C178" t="s">
        <v>305</v>
      </c>
      <c r="D178">
        <v>40</v>
      </c>
      <c r="E178">
        <v>1984</v>
      </c>
      <c r="F178" t="s">
        <v>50</v>
      </c>
      <c r="G178" t="s">
        <v>27</v>
      </c>
      <c r="H178" t="s">
        <v>51</v>
      </c>
      <c r="I178" t="s">
        <v>29</v>
      </c>
      <c r="J178" s="14">
        <v>43881</v>
      </c>
      <c r="K178" t="s">
        <v>52</v>
      </c>
      <c r="L178">
        <v>77</v>
      </c>
      <c r="M178" t="s">
        <v>306</v>
      </c>
      <c r="O178" t="s">
        <v>100</v>
      </c>
      <c r="Q178">
        <v>1</v>
      </c>
      <c r="U178">
        <v>29</v>
      </c>
      <c r="V178" t="s">
        <v>482</v>
      </c>
      <c r="W178">
        <v>1</v>
      </c>
      <c r="X178" t="s">
        <v>34</v>
      </c>
    </row>
    <row r="179" spans="1:24" x14ac:dyDescent="0.35">
      <c r="A179" t="s">
        <v>502</v>
      </c>
      <c r="B179" t="s">
        <v>114</v>
      </c>
      <c r="C179" t="s">
        <v>222</v>
      </c>
      <c r="E179">
        <v>1985</v>
      </c>
      <c r="F179">
        <v>65000</v>
      </c>
      <c r="G179" t="s">
        <v>27</v>
      </c>
      <c r="H179" t="s">
        <v>70</v>
      </c>
      <c r="I179" t="s">
        <v>94</v>
      </c>
      <c r="J179" s="14">
        <v>43881</v>
      </c>
      <c r="K179" t="s">
        <v>30</v>
      </c>
      <c r="L179">
        <v>67</v>
      </c>
      <c r="M179" t="s">
        <v>223</v>
      </c>
      <c r="N179" t="s">
        <v>104</v>
      </c>
      <c r="O179" t="s">
        <v>66</v>
      </c>
      <c r="P179" t="s">
        <v>503</v>
      </c>
      <c r="Q179">
        <v>3</v>
      </c>
      <c r="R179" t="s">
        <v>79</v>
      </c>
      <c r="S179">
        <v>11</v>
      </c>
      <c r="V179" t="s">
        <v>169</v>
      </c>
      <c r="W179">
        <v>4</v>
      </c>
      <c r="X179" t="s">
        <v>34</v>
      </c>
    </row>
    <row r="180" spans="1:24" x14ac:dyDescent="0.35">
      <c r="A180" t="s">
        <v>504</v>
      </c>
      <c r="B180" t="s">
        <v>114</v>
      </c>
      <c r="C180" t="s">
        <v>115</v>
      </c>
      <c r="D180">
        <v>35</v>
      </c>
      <c r="E180">
        <v>1989</v>
      </c>
      <c r="F180">
        <v>55000</v>
      </c>
      <c r="G180" t="s">
        <v>38</v>
      </c>
      <c r="H180" t="s">
        <v>64</v>
      </c>
      <c r="I180" t="s">
        <v>89</v>
      </c>
      <c r="J180" s="14">
        <v>43845</v>
      </c>
      <c r="K180" t="s">
        <v>59</v>
      </c>
      <c r="L180">
        <v>91</v>
      </c>
      <c r="M180" t="s">
        <v>182</v>
      </c>
      <c r="N180" t="s">
        <v>61</v>
      </c>
      <c r="O180" t="s">
        <v>100</v>
      </c>
      <c r="Q180">
        <v>3</v>
      </c>
      <c r="R180">
        <v>0</v>
      </c>
      <c r="V180" t="s">
        <v>34</v>
      </c>
      <c r="W180">
        <v>5</v>
      </c>
      <c r="X180" t="s">
        <v>34</v>
      </c>
    </row>
    <row r="181" spans="1:24" x14ac:dyDescent="0.35">
      <c r="A181" t="s">
        <v>505</v>
      </c>
      <c r="B181" t="s">
        <v>107</v>
      </c>
      <c r="C181" t="s">
        <v>92</v>
      </c>
      <c r="E181">
        <v>1984</v>
      </c>
      <c r="F181">
        <v>50000</v>
      </c>
      <c r="G181" t="s">
        <v>38</v>
      </c>
      <c r="H181" t="s">
        <v>64</v>
      </c>
      <c r="I181" t="s">
        <v>94</v>
      </c>
      <c r="J181" s="14">
        <v>43195</v>
      </c>
      <c r="K181" t="s">
        <v>59</v>
      </c>
      <c r="L181">
        <v>100</v>
      </c>
      <c r="M181" t="s">
        <v>506</v>
      </c>
      <c r="N181" t="s">
        <v>61</v>
      </c>
      <c r="O181" t="s">
        <v>174</v>
      </c>
      <c r="P181" t="s">
        <v>166</v>
      </c>
      <c r="Q181">
        <v>6</v>
      </c>
      <c r="S181">
        <v>5</v>
      </c>
      <c r="T181" s="14">
        <v>44732</v>
      </c>
      <c r="V181" t="s">
        <v>169</v>
      </c>
      <c r="W181">
        <v>3</v>
      </c>
      <c r="X181" t="s">
        <v>46</v>
      </c>
    </row>
    <row r="182" spans="1:24" x14ac:dyDescent="0.35">
      <c r="A182" t="s">
        <v>507</v>
      </c>
      <c r="B182" t="s">
        <v>25</v>
      </c>
      <c r="C182" t="s">
        <v>289</v>
      </c>
      <c r="D182" t="s">
        <v>88</v>
      </c>
      <c r="E182">
        <v>1994</v>
      </c>
      <c r="F182">
        <v>55000</v>
      </c>
      <c r="G182" t="s">
        <v>27</v>
      </c>
      <c r="H182" t="s">
        <v>70</v>
      </c>
      <c r="I182" t="s">
        <v>77</v>
      </c>
      <c r="J182" s="14">
        <v>43881</v>
      </c>
      <c r="K182" t="s">
        <v>52</v>
      </c>
      <c r="L182">
        <v>71</v>
      </c>
      <c r="M182" t="s">
        <v>290</v>
      </c>
      <c r="N182" t="s">
        <v>43</v>
      </c>
      <c r="O182" t="s">
        <v>44</v>
      </c>
      <c r="P182" t="s">
        <v>261</v>
      </c>
      <c r="Q182">
        <v>6</v>
      </c>
      <c r="S182">
        <v>6</v>
      </c>
      <c r="W182">
        <v>4</v>
      </c>
      <c r="X182" t="s">
        <v>46</v>
      </c>
    </row>
    <row r="183" spans="1:24" x14ac:dyDescent="0.35">
      <c r="A183" t="s">
        <v>508</v>
      </c>
      <c r="B183" t="s">
        <v>56</v>
      </c>
      <c r="C183" t="s">
        <v>87</v>
      </c>
      <c r="D183">
        <v>50</v>
      </c>
      <c r="E183">
        <v>1974</v>
      </c>
      <c r="F183">
        <v>70000</v>
      </c>
      <c r="G183" t="s">
        <v>38</v>
      </c>
      <c r="H183" t="s">
        <v>70</v>
      </c>
      <c r="I183" t="s">
        <v>77</v>
      </c>
      <c r="J183" s="14">
        <v>43195</v>
      </c>
      <c r="K183" t="s">
        <v>78</v>
      </c>
      <c r="L183">
        <v>86</v>
      </c>
      <c r="M183" t="s">
        <v>129</v>
      </c>
      <c r="O183" t="s">
        <v>32</v>
      </c>
      <c r="Q183">
        <v>8</v>
      </c>
      <c r="T183" s="14">
        <v>44941</v>
      </c>
      <c r="U183">
        <v>75</v>
      </c>
      <c r="V183" t="s">
        <v>34</v>
      </c>
      <c r="W183">
        <v>5</v>
      </c>
      <c r="X183" t="s">
        <v>34</v>
      </c>
    </row>
    <row r="184" spans="1:24" x14ac:dyDescent="0.35">
      <c r="A184" t="s">
        <v>509</v>
      </c>
      <c r="B184" t="s">
        <v>131</v>
      </c>
      <c r="C184" t="s">
        <v>343</v>
      </c>
      <c r="E184">
        <v>1970</v>
      </c>
      <c r="F184">
        <v>50000</v>
      </c>
      <c r="G184" t="s">
        <v>38</v>
      </c>
      <c r="H184" t="s">
        <v>70</v>
      </c>
      <c r="I184" t="s">
        <v>40</v>
      </c>
      <c r="J184" s="14">
        <v>43195</v>
      </c>
      <c r="K184" t="s">
        <v>30</v>
      </c>
      <c r="L184">
        <v>66</v>
      </c>
      <c r="M184" t="s">
        <v>510</v>
      </c>
      <c r="O184" t="s">
        <v>32</v>
      </c>
      <c r="Q184">
        <v>5</v>
      </c>
      <c r="T184" s="14">
        <v>44732</v>
      </c>
      <c r="V184" t="s">
        <v>482</v>
      </c>
      <c r="W184">
        <v>1</v>
      </c>
      <c r="X184" t="s">
        <v>46</v>
      </c>
    </row>
    <row r="185" spans="1:24" x14ac:dyDescent="0.35">
      <c r="A185" t="s">
        <v>511</v>
      </c>
      <c r="B185" t="s">
        <v>131</v>
      </c>
      <c r="C185" t="s">
        <v>92</v>
      </c>
      <c r="D185">
        <v>25</v>
      </c>
      <c r="E185">
        <v>1999</v>
      </c>
      <c r="F185" t="s">
        <v>50</v>
      </c>
      <c r="G185" t="s">
        <v>38</v>
      </c>
      <c r="H185" t="s">
        <v>39</v>
      </c>
      <c r="I185" t="s">
        <v>77</v>
      </c>
      <c r="J185" s="14">
        <v>43800</v>
      </c>
      <c r="K185" t="s">
        <v>52</v>
      </c>
      <c r="L185">
        <v>79</v>
      </c>
      <c r="M185" t="s">
        <v>512</v>
      </c>
      <c r="N185" t="s">
        <v>43</v>
      </c>
      <c r="O185" t="s">
        <v>44</v>
      </c>
      <c r="Q185">
        <v>2</v>
      </c>
      <c r="U185">
        <v>71</v>
      </c>
      <c r="V185" t="s">
        <v>34</v>
      </c>
      <c r="W185">
        <v>4</v>
      </c>
      <c r="X185" t="s">
        <v>34</v>
      </c>
    </row>
    <row r="186" spans="1:24" x14ac:dyDescent="0.35">
      <c r="A186" t="s">
        <v>513</v>
      </c>
      <c r="B186" t="s">
        <v>75</v>
      </c>
      <c r="C186" t="s">
        <v>213</v>
      </c>
      <c r="D186" t="s">
        <v>88</v>
      </c>
      <c r="E186">
        <v>1994</v>
      </c>
      <c r="F186">
        <v>65000</v>
      </c>
      <c r="G186" t="s">
        <v>27</v>
      </c>
      <c r="H186" t="s">
        <v>70</v>
      </c>
      <c r="I186" t="s">
        <v>94</v>
      </c>
      <c r="J186" s="14">
        <v>43845</v>
      </c>
      <c r="K186" t="s">
        <v>59</v>
      </c>
      <c r="L186">
        <v>99</v>
      </c>
      <c r="M186" t="s">
        <v>214</v>
      </c>
      <c r="N186" t="s">
        <v>61</v>
      </c>
      <c r="O186" t="s">
        <v>32</v>
      </c>
      <c r="Q186">
        <v>6</v>
      </c>
      <c r="S186">
        <v>15</v>
      </c>
      <c r="T186" s="14">
        <v>44732</v>
      </c>
      <c r="V186" t="s">
        <v>34</v>
      </c>
      <c r="W186">
        <v>3</v>
      </c>
      <c r="X186" t="s">
        <v>34</v>
      </c>
    </row>
    <row r="187" spans="1:24" x14ac:dyDescent="0.35">
      <c r="A187" t="s">
        <v>514</v>
      </c>
      <c r="B187" t="s">
        <v>114</v>
      </c>
      <c r="C187" t="s">
        <v>222</v>
      </c>
      <c r="D187">
        <v>50</v>
      </c>
      <c r="E187">
        <v>1974</v>
      </c>
      <c r="F187">
        <v>55000</v>
      </c>
      <c r="G187" t="s">
        <v>38</v>
      </c>
      <c r="H187" t="s">
        <v>28</v>
      </c>
      <c r="I187" t="s">
        <v>77</v>
      </c>
      <c r="J187" s="14">
        <v>43195</v>
      </c>
      <c r="K187" t="s">
        <v>41</v>
      </c>
      <c r="L187">
        <v>42</v>
      </c>
      <c r="M187" t="s">
        <v>223</v>
      </c>
      <c r="N187" t="s">
        <v>54</v>
      </c>
      <c r="O187" t="s">
        <v>100</v>
      </c>
      <c r="Q187">
        <v>6</v>
      </c>
      <c r="R187">
        <v>14</v>
      </c>
      <c r="S187">
        <v>19</v>
      </c>
      <c r="V187" t="s">
        <v>33</v>
      </c>
      <c r="W187">
        <v>5</v>
      </c>
      <c r="X187" t="s">
        <v>34</v>
      </c>
    </row>
    <row r="188" spans="1:24" x14ac:dyDescent="0.35">
      <c r="A188" t="s">
        <v>515</v>
      </c>
      <c r="B188" t="s">
        <v>56</v>
      </c>
      <c r="C188" t="s">
        <v>137</v>
      </c>
      <c r="D188">
        <v>35</v>
      </c>
      <c r="E188">
        <v>1989</v>
      </c>
      <c r="F188">
        <v>50000</v>
      </c>
      <c r="G188" t="s">
        <v>27</v>
      </c>
      <c r="H188" t="s">
        <v>145</v>
      </c>
      <c r="I188" t="s">
        <v>29</v>
      </c>
      <c r="J188" s="14">
        <v>43845</v>
      </c>
      <c r="K188" t="s">
        <v>78</v>
      </c>
      <c r="L188">
        <v>82</v>
      </c>
      <c r="M188" t="s">
        <v>516</v>
      </c>
      <c r="N188" t="s">
        <v>54</v>
      </c>
      <c r="O188" t="s">
        <v>174</v>
      </c>
      <c r="P188" t="s">
        <v>304</v>
      </c>
      <c r="Q188">
        <v>3</v>
      </c>
      <c r="S188">
        <v>20</v>
      </c>
      <c r="T188" s="14">
        <v>44470</v>
      </c>
      <c r="U188">
        <v>63</v>
      </c>
      <c r="V188" t="s">
        <v>482</v>
      </c>
      <c r="W188">
        <v>5</v>
      </c>
      <c r="X188" t="s">
        <v>34</v>
      </c>
    </row>
    <row r="189" spans="1:24" x14ac:dyDescent="0.35">
      <c r="A189" t="s">
        <v>517</v>
      </c>
      <c r="B189" t="s">
        <v>68</v>
      </c>
      <c r="C189" t="s">
        <v>49</v>
      </c>
      <c r="D189">
        <v>50</v>
      </c>
      <c r="E189">
        <v>1974</v>
      </c>
      <c r="F189">
        <v>70000</v>
      </c>
      <c r="G189" t="s">
        <v>38</v>
      </c>
      <c r="H189" t="s">
        <v>51</v>
      </c>
      <c r="I189" t="s">
        <v>77</v>
      </c>
      <c r="J189" s="14">
        <v>43800</v>
      </c>
      <c r="K189" t="s">
        <v>41</v>
      </c>
      <c r="L189">
        <v>28</v>
      </c>
      <c r="M189" t="s">
        <v>518</v>
      </c>
      <c r="N189" t="s">
        <v>61</v>
      </c>
      <c r="O189" t="s">
        <v>66</v>
      </c>
      <c r="P189" t="s">
        <v>519</v>
      </c>
      <c r="Q189">
        <v>2</v>
      </c>
      <c r="R189">
        <v>5</v>
      </c>
      <c r="T189" s="14">
        <v>44941</v>
      </c>
      <c r="V189" t="s">
        <v>482</v>
      </c>
      <c r="W189">
        <v>4</v>
      </c>
      <c r="X189" t="s">
        <v>34</v>
      </c>
    </row>
    <row r="190" spans="1:24" x14ac:dyDescent="0.35">
      <c r="A190" t="s">
        <v>520</v>
      </c>
      <c r="B190" t="s">
        <v>107</v>
      </c>
      <c r="C190" t="s">
        <v>148</v>
      </c>
      <c r="D190">
        <v>25</v>
      </c>
      <c r="E190">
        <v>1999</v>
      </c>
      <c r="F190">
        <v>50000</v>
      </c>
      <c r="G190" t="s">
        <v>27</v>
      </c>
      <c r="H190" t="s">
        <v>58</v>
      </c>
      <c r="I190" t="s">
        <v>89</v>
      </c>
      <c r="J190" s="14">
        <v>43845</v>
      </c>
      <c r="K190" t="s">
        <v>52</v>
      </c>
      <c r="L190">
        <v>74</v>
      </c>
      <c r="M190" t="s">
        <v>521</v>
      </c>
      <c r="O190" t="s">
        <v>174</v>
      </c>
      <c r="P190" t="s">
        <v>522</v>
      </c>
      <c r="Q190">
        <v>7</v>
      </c>
      <c r="T190" t="s">
        <v>79</v>
      </c>
      <c r="U190">
        <v>60</v>
      </c>
      <c r="V190" t="s">
        <v>34</v>
      </c>
      <c r="W190">
        <v>2</v>
      </c>
      <c r="X190" t="s">
        <v>34</v>
      </c>
    </row>
    <row r="191" spans="1:24" x14ac:dyDescent="0.35">
      <c r="A191" t="s">
        <v>523</v>
      </c>
      <c r="B191" t="s">
        <v>25</v>
      </c>
      <c r="C191" t="s">
        <v>524</v>
      </c>
      <c r="D191" t="s">
        <v>88</v>
      </c>
      <c r="E191">
        <v>1994</v>
      </c>
      <c r="F191">
        <v>60900</v>
      </c>
      <c r="G191" t="s">
        <v>38</v>
      </c>
      <c r="H191" t="s">
        <v>122</v>
      </c>
      <c r="I191" t="s">
        <v>29</v>
      </c>
      <c r="J191" s="14">
        <v>43881</v>
      </c>
      <c r="K191" t="s">
        <v>59</v>
      </c>
      <c r="L191">
        <v>94</v>
      </c>
      <c r="M191" t="s">
        <v>525</v>
      </c>
      <c r="N191" t="s">
        <v>54</v>
      </c>
      <c r="O191" t="s">
        <v>32</v>
      </c>
      <c r="Q191">
        <v>7</v>
      </c>
      <c r="V191" t="s">
        <v>169</v>
      </c>
      <c r="W191">
        <v>5</v>
      </c>
      <c r="X191" t="s">
        <v>34</v>
      </c>
    </row>
    <row r="192" spans="1:24" x14ac:dyDescent="0.35">
      <c r="A192" t="s">
        <v>526</v>
      </c>
      <c r="B192" t="s">
        <v>36</v>
      </c>
      <c r="C192" t="s">
        <v>403</v>
      </c>
      <c r="D192">
        <v>35</v>
      </c>
      <c r="E192">
        <v>1989</v>
      </c>
      <c r="F192">
        <v>70000</v>
      </c>
      <c r="G192" t="s">
        <v>38</v>
      </c>
      <c r="H192" t="s">
        <v>145</v>
      </c>
      <c r="I192" t="s">
        <v>40</v>
      </c>
      <c r="J192" s="14">
        <v>43195</v>
      </c>
      <c r="K192" t="s">
        <v>30</v>
      </c>
      <c r="L192">
        <v>63</v>
      </c>
      <c r="M192" t="s">
        <v>527</v>
      </c>
      <c r="N192" t="s">
        <v>104</v>
      </c>
      <c r="O192" t="s">
        <v>66</v>
      </c>
      <c r="Q192">
        <v>8</v>
      </c>
      <c r="T192" s="14">
        <v>45516</v>
      </c>
      <c r="V192" t="s">
        <v>73</v>
      </c>
      <c r="W192">
        <v>2</v>
      </c>
      <c r="X192" t="s">
        <v>34</v>
      </c>
    </row>
    <row r="193" spans="1:24" x14ac:dyDescent="0.35">
      <c r="A193" t="s">
        <v>528</v>
      </c>
      <c r="B193" t="s">
        <v>25</v>
      </c>
      <c r="C193" t="s">
        <v>377</v>
      </c>
      <c r="D193">
        <v>25</v>
      </c>
      <c r="E193">
        <v>1999</v>
      </c>
      <c r="F193" t="s">
        <v>50</v>
      </c>
      <c r="G193" t="s">
        <v>38</v>
      </c>
      <c r="H193" t="s">
        <v>82</v>
      </c>
      <c r="I193" t="s">
        <v>89</v>
      </c>
      <c r="J193" s="14">
        <v>43845</v>
      </c>
      <c r="K193" t="s">
        <v>41</v>
      </c>
      <c r="L193">
        <v>58</v>
      </c>
      <c r="M193" t="s">
        <v>378</v>
      </c>
      <c r="N193" t="s">
        <v>104</v>
      </c>
      <c r="O193" t="s">
        <v>44</v>
      </c>
      <c r="Q193">
        <v>5</v>
      </c>
      <c r="R193">
        <v>12</v>
      </c>
      <c r="V193" t="s">
        <v>34</v>
      </c>
      <c r="W193">
        <v>4</v>
      </c>
      <c r="X193" t="s">
        <v>34</v>
      </c>
    </row>
    <row r="194" spans="1:24" x14ac:dyDescent="0.35">
      <c r="A194" t="s">
        <v>529</v>
      </c>
      <c r="B194" t="s">
        <v>48</v>
      </c>
      <c r="C194" t="s">
        <v>334</v>
      </c>
      <c r="D194">
        <v>50</v>
      </c>
      <c r="E194">
        <v>1974</v>
      </c>
      <c r="F194">
        <v>65000</v>
      </c>
      <c r="G194" t="s">
        <v>27</v>
      </c>
      <c r="H194" t="s">
        <v>39</v>
      </c>
      <c r="I194" t="s">
        <v>94</v>
      </c>
      <c r="J194" s="14">
        <v>43549</v>
      </c>
      <c r="K194" t="s">
        <v>30</v>
      </c>
      <c r="L194">
        <v>60</v>
      </c>
      <c r="M194" t="s">
        <v>335</v>
      </c>
      <c r="N194" t="s">
        <v>43</v>
      </c>
      <c r="O194" t="s">
        <v>66</v>
      </c>
      <c r="Q194">
        <v>7</v>
      </c>
      <c r="V194" t="s">
        <v>73</v>
      </c>
      <c r="W194">
        <v>1</v>
      </c>
      <c r="X194" t="s">
        <v>46</v>
      </c>
    </row>
    <row r="195" spans="1:24" x14ac:dyDescent="0.35">
      <c r="A195" t="s">
        <v>530</v>
      </c>
      <c r="B195" t="s">
        <v>131</v>
      </c>
      <c r="C195" t="s">
        <v>144</v>
      </c>
      <c r="D195">
        <v>25</v>
      </c>
      <c r="E195">
        <v>1999</v>
      </c>
      <c r="F195" t="s">
        <v>50</v>
      </c>
      <c r="G195" t="s">
        <v>38</v>
      </c>
      <c r="H195" t="s">
        <v>64</v>
      </c>
      <c r="I195" t="s">
        <v>94</v>
      </c>
      <c r="J195" s="14">
        <v>43845</v>
      </c>
      <c r="K195" t="s">
        <v>59</v>
      </c>
      <c r="L195">
        <v>94</v>
      </c>
      <c r="M195" t="s">
        <v>146</v>
      </c>
      <c r="N195" t="s">
        <v>61</v>
      </c>
      <c r="O195" t="s">
        <v>112</v>
      </c>
      <c r="P195" t="s">
        <v>314</v>
      </c>
      <c r="Q195">
        <v>8</v>
      </c>
      <c r="S195">
        <v>0</v>
      </c>
      <c r="T195" s="14">
        <v>44941</v>
      </c>
      <c r="V195" t="s">
        <v>46</v>
      </c>
      <c r="W195">
        <v>2</v>
      </c>
      <c r="X195" t="s">
        <v>46</v>
      </c>
    </row>
    <row r="196" spans="1:24" x14ac:dyDescent="0.35">
      <c r="A196" t="s">
        <v>531</v>
      </c>
      <c r="B196" t="s">
        <v>107</v>
      </c>
      <c r="C196" t="s">
        <v>199</v>
      </c>
      <c r="D196" t="s">
        <v>88</v>
      </c>
      <c r="E196">
        <v>1994</v>
      </c>
      <c r="F196">
        <v>55000</v>
      </c>
      <c r="G196" t="s">
        <v>27</v>
      </c>
      <c r="H196" t="s">
        <v>28</v>
      </c>
      <c r="I196" t="s">
        <v>94</v>
      </c>
      <c r="J196" s="14">
        <v>43195</v>
      </c>
      <c r="K196" t="s">
        <v>41</v>
      </c>
      <c r="L196">
        <v>17</v>
      </c>
      <c r="M196" t="s">
        <v>532</v>
      </c>
      <c r="N196" t="s">
        <v>61</v>
      </c>
      <c r="O196" t="s">
        <v>72</v>
      </c>
      <c r="Q196">
        <v>7</v>
      </c>
      <c r="R196" t="s">
        <v>79</v>
      </c>
      <c r="T196" s="22">
        <v>44990</v>
      </c>
      <c r="U196">
        <v>24</v>
      </c>
      <c r="V196" t="s">
        <v>33</v>
      </c>
      <c r="W196">
        <v>5</v>
      </c>
      <c r="X196" t="s">
        <v>34</v>
      </c>
    </row>
    <row r="197" spans="1:24" x14ac:dyDescent="0.35">
      <c r="A197" t="s">
        <v>533</v>
      </c>
      <c r="B197" t="s">
        <v>48</v>
      </c>
      <c r="C197" t="s">
        <v>534</v>
      </c>
      <c r="D197">
        <v>40</v>
      </c>
      <c r="E197">
        <v>1984</v>
      </c>
      <c r="F197">
        <v>50000</v>
      </c>
      <c r="G197" t="s">
        <v>27</v>
      </c>
      <c r="H197" t="s">
        <v>64</v>
      </c>
      <c r="I197" t="s">
        <v>89</v>
      </c>
      <c r="J197" s="14">
        <v>43800</v>
      </c>
      <c r="K197" t="s">
        <v>30</v>
      </c>
      <c r="L197">
        <v>67</v>
      </c>
      <c r="M197" t="s">
        <v>535</v>
      </c>
      <c r="N197" t="s">
        <v>54</v>
      </c>
      <c r="O197" t="s">
        <v>112</v>
      </c>
      <c r="Q197">
        <v>3</v>
      </c>
      <c r="R197" t="s">
        <v>79</v>
      </c>
      <c r="S197">
        <v>13</v>
      </c>
      <c r="V197" t="s">
        <v>33</v>
      </c>
      <c r="W197">
        <v>1</v>
      </c>
      <c r="X197" t="s">
        <v>46</v>
      </c>
    </row>
    <row r="198" spans="1:24" x14ac:dyDescent="0.35">
      <c r="A198" t="s">
        <v>536</v>
      </c>
      <c r="B198" t="s">
        <v>56</v>
      </c>
      <c r="C198" t="s">
        <v>203</v>
      </c>
      <c r="D198">
        <v>25</v>
      </c>
      <c r="E198">
        <v>1999</v>
      </c>
      <c r="F198">
        <v>61600</v>
      </c>
      <c r="G198" t="s">
        <v>27</v>
      </c>
      <c r="H198" t="s">
        <v>70</v>
      </c>
      <c r="I198" t="s">
        <v>89</v>
      </c>
      <c r="J198" s="14">
        <v>43800</v>
      </c>
      <c r="K198" t="s">
        <v>30</v>
      </c>
      <c r="L198">
        <v>65</v>
      </c>
      <c r="M198" t="s">
        <v>537</v>
      </c>
      <c r="O198" t="s">
        <v>44</v>
      </c>
      <c r="Q198">
        <v>2</v>
      </c>
      <c r="R198" t="s">
        <v>79</v>
      </c>
      <c r="W198">
        <v>4</v>
      </c>
      <c r="X198" t="s">
        <v>34</v>
      </c>
    </row>
    <row r="199" spans="1:24" x14ac:dyDescent="0.35">
      <c r="A199" t="s">
        <v>538</v>
      </c>
      <c r="B199" t="s">
        <v>36</v>
      </c>
      <c r="C199" t="s">
        <v>156</v>
      </c>
      <c r="D199">
        <v>25</v>
      </c>
      <c r="E199">
        <v>1999</v>
      </c>
      <c r="F199">
        <v>70000</v>
      </c>
      <c r="G199" t="s">
        <v>27</v>
      </c>
      <c r="H199" t="s">
        <v>51</v>
      </c>
      <c r="I199" t="s">
        <v>89</v>
      </c>
      <c r="J199" s="14">
        <v>43195</v>
      </c>
      <c r="K199" t="s">
        <v>41</v>
      </c>
      <c r="L199">
        <v>43</v>
      </c>
      <c r="M199" t="s">
        <v>184</v>
      </c>
      <c r="N199" t="s">
        <v>61</v>
      </c>
      <c r="O199" t="s">
        <v>32</v>
      </c>
      <c r="Q199">
        <v>3</v>
      </c>
      <c r="R199" t="s">
        <v>79</v>
      </c>
      <c r="S199">
        <v>1</v>
      </c>
      <c r="W199">
        <v>1</v>
      </c>
      <c r="X199" t="s">
        <v>46</v>
      </c>
    </row>
    <row r="200" spans="1:24" x14ac:dyDescent="0.35">
      <c r="A200" t="s">
        <v>539</v>
      </c>
      <c r="B200" t="s">
        <v>114</v>
      </c>
      <c r="C200" t="s">
        <v>540</v>
      </c>
      <c r="D200">
        <v>50</v>
      </c>
      <c r="E200">
        <v>1974</v>
      </c>
      <c r="F200">
        <v>70000</v>
      </c>
      <c r="G200" t="s">
        <v>27</v>
      </c>
      <c r="H200" t="s">
        <v>145</v>
      </c>
      <c r="I200" t="s">
        <v>29</v>
      </c>
      <c r="J200" s="14">
        <v>43881</v>
      </c>
      <c r="K200" t="s">
        <v>59</v>
      </c>
      <c r="L200">
        <v>99</v>
      </c>
      <c r="M200" t="s">
        <v>541</v>
      </c>
      <c r="N200" t="s">
        <v>54</v>
      </c>
      <c r="O200" t="s">
        <v>32</v>
      </c>
      <c r="Q200">
        <v>1</v>
      </c>
      <c r="S200">
        <v>17</v>
      </c>
      <c r="T200" s="14">
        <v>44941</v>
      </c>
      <c r="V200" t="s">
        <v>34</v>
      </c>
      <c r="W200">
        <v>4</v>
      </c>
      <c r="X200" t="s">
        <v>34</v>
      </c>
    </row>
    <row r="201" spans="1:24" x14ac:dyDescent="0.35">
      <c r="A201" t="s">
        <v>542</v>
      </c>
      <c r="B201" t="s">
        <v>107</v>
      </c>
      <c r="C201" t="s">
        <v>543</v>
      </c>
      <c r="D201">
        <v>50</v>
      </c>
      <c r="E201">
        <v>1974</v>
      </c>
      <c r="F201">
        <v>50000</v>
      </c>
      <c r="G201" t="s">
        <v>27</v>
      </c>
      <c r="H201" t="s">
        <v>28</v>
      </c>
      <c r="I201" t="s">
        <v>29</v>
      </c>
      <c r="J201" s="14">
        <v>43881</v>
      </c>
      <c r="K201" t="s">
        <v>30</v>
      </c>
      <c r="L201">
        <v>68</v>
      </c>
      <c r="M201" t="s">
        <v>544</v>
      </c>
      <c r="N201" t="s">
        <v>54</v>
      </c>
      <c r="O201" t="s">
        <v>66</v>
      </c>
      <c r="P201" t="s">
        <v>474</v>
      </c>
      <c r="Q201">
        <v>3</v>
      </c>
      <c r="W201">
        <v>5</v>
      </c>
      <c r="X201" t="s">
        <v>34</v>
      </c>
    </row>
    <row r="202" spans="1:24" x14ac:dyDescent="0.35">
      <c r="A202" t="s">
        <v>545</v>
      </c>
      <c r="B202" t="s">
        <v>107</v>
      </c>
      <c r="C202" t="s">
        <v>546</v>
      </c>
      <c r="D202">
        <v>35</v>
      </c>
      <c r="E202">
        <v>1989</v>
      </c>
      <c r="F202">
        <v>60800</v>
      </c>
      <c r="G202" t="s">
        <v>27</v>
      </c>
      <c r="H202" t="s">
        <v>64</v>
      </c>
      <c r="I202" t="s">
        <v>94</v>
      </c>
      <c r="J202" s="14">
        <v>43800</v>
      </c>
      <c r="K202" t="s">
        <v>52</v>
      </c>
      <c r="L202">
        <v>72</v>
      </c>
      <c r="M202" t="s">
        <v>547</v>
      </c>
      <c r="N202" t="s">
        <v>61</v>
      </c>
      <c r="O202" t="s">
        <v>100</v>
      </c>
      <c r="Q202">
        <v>2</v>
      </c>
      <c r="W202">
        <v>3</v>
      </c>
      <c r="X202" t="s">
        <v>34</v>
      </c>
    </row>
    <row r="203" spans="1:24" x14ac:dyDescent="0.35">
      <c r="A203" t="s">
        <v>548</v>
      </c>
      <c r="B203" t="s">
        <v>131</v>
      </c>
      <c r="C203" t="s">
        <v>209</v>
      </c>
      <c r="D203">
        <v>50</v>
      </c>
      <c r="E203">
        <v>1974</v>
      </c>
      <c r="F203">
        <v>50000</v>
      </c>
      <c r="G203" t="s">
        <v>27</v>
      </c>
      <c r="H203" t="s">
        <v>122</v>
      </c>
      <c r="I203" t="s">
        <v>77</v>
      </c>
      <c r="J203" s="14">
        <v>43800</v>
      </c>
      <c r="K203" t="s">
        <v>41</v>
      </c>
      <c r="L203">
        <v>22</v>
      </c>
      <c r="M203" t="s">
        <v>549</v>
      </c>
      <c r="N203" t="s">
        <v>54</v>
      </c>
      <c r="O203" t="s">
        <v>174</v>
      </c>
      <c r="Q203">
        <v>7</v>
      </c>
      <c r="U203">
        <v>42</v>
      </c>
      <c r="V203" t="s">
        <v>33</v>
      </c>
      <c r="W203">
        <v>1</v>
      </c>
      <c r="X203" t="s">
        <v>34</v>
      </c>
    </row>
    <row r="204" spans="1:24" x14ac:dyDescent="0.35">
      <c r="A204" t="s">
        <v>550</v>
      </c>
      <c r="B204" t="s">
        <v>140</v>
      </c>
      <c r="C204" t="s">
        <v>343</v>
      </c>
      <c r="E204">
        <v>1986</v>
      </c>
      <c r="F204">
        <v>55000</v>
      </c>
      <c r="G204" t="s">
        <v>27</v>
      </c>
      <c r="H204" t="s">
        <v>122</v>
      </c>
      <c r="I204" t="s">
        <v>94</v>
      </c>
      <c r="J204" s="14">
        <v>43195</v>
      </c>
      <c r="K204" t="s">
        <v>78</v>
      </c>
      <c r="L204">
        <v>85</v>
      </c>
      <c r="M204" t="s">
        <v>551</v>
      </c>
      <c r="N204" t="s">
        <v>43</v>
      </c>
      <c r="O204" t="s">
        <v>72</v>
      </c>
      <c r="Q204">
        <v>8</v>
      </c>
      <c r="R204" t="s">
        <v>79</v>
      </c>
      <c r="T204" s="14">
        <v>44732</v>
      </c>
      <c r="W204">
        <v>4</v>
      </c>
      <c r="X204" t="s">
        <v>46</v>
      </c>
    </row>
    <row r="205" spans="1:24" x14ac:dyDescent="0.35">
      <c r="A205" t="s">
        <v>552</v>
      </c>
      <c r="B205" t="s">
        <v>107</v>
      </c>
      <c r="C205" t="s">
        <v>299</v>
      </c>
      <c r="D205" t="s">
        <v>88</v>
      </c>
      <c r="E205">
        <v>1994</v>
      </c>
      <c r="F205" t="s">
        <v>50</v>
      </c>
      <c r="G205" t="s">
        <v>27</v>
      </c>
      <c r="H205" t="s">
        <v>39</v>
      </c>
      <c r="I205" t="s">
        <v>40</v>
      </c>
      <c r="J205" s="14">
        <v>43881</v>
      </c>
      <c r="K205" t="s">
        <v>78</v>
      </c>
      <c r="L205">
        <v>85</v>
      </c>
      <c r="M205" t="s">
        <v>553</v>
      </c>
      <c r="N205" t="s">
        <v>43</v>
      </c>
      <c r="O205" t="s">
        <v>100</v>
      </c>
      <c r="Q205">
        <v>8</v>
      </c>
      <c r="S205">
        <v>9</v>
      </c>
      <c r="V205" t="s">
        <v>33</v>
      </c>
      <c r="W205">
        <v>1</v>
      </c>
      <c r="X205" t="s">
        <v>46</v>
      </c>
    </row>
    <row r="206" spans="1:24" x14ac:dyDescent="0.35">
      <c r="A206" t="s">
        <v>554</v>
      </c>
      <c r="B206" t="s">
        <v>75</v>
      </c>
      <c r="C206" t="s">
        <v>310</v>
      </c>
      <c r="D206" t="s">
        <v>88</v>
      </c>
      <c r="E206">
        <v>1994</v>
      </c>
      <c r="F206">
        <v>70000</v>
      </c>
      <c r="G206" t="s">
        <v>27</v>
      </c>
      <c r="H206" t="s">
        <v>122</v>
      </c>
      <c r="I206" t="s">
        <v>29</v>
      </c>
      <c r="J206" s="14">
        <v>43800</v>
      </c>
      <c r="K206" t="s">
        <v>59</v>
      </c>
      <c r="L206">
        <v>100</v>
      </c>
      <c r="M206" t="s">
        <v>311</v>
      </c>
      <c r="N206" t="s">
        <v>61</v>
      </c>
      <c r="O206" t="s">
        <v>44</v>
      </c>
      <c r="Q206">
        <v>3</v>
      </c>
      <c r="V206" t="s">
        <v>34</v>
      </c>
      <c r="W206">
        <v>2</v>
      </c>
      <c r="X206" t="s">
        <v>46</v>
      </c>
    </row>
    <row r="207" spans="1:24" x14ac:dyDescent="0.35">
      <c r="A207" t="s">
        <v>555</v>
      </c>
      <c r="B207" t="s">
        <v>36</v>
      </c>
      <c r="C207" t="s">
        <v>556</v>
      </c>
      <c r="D207">
        <v>40</v>
      </c>
      <c r="E207">
        <v>1984</v>
      </c>
      <c r="F207">
        <v>55000</v>
      </c>
      <c r="G207" t="s">
        <v>27</v>
      </c>
      <c r="H207" t="s">
        <v>82</v>
      </c>
      <c r="I207" t="s">
        <v>89</v>
      </c>
      <c r="J207" s="14">
        <v>43881</v>
      </c>
      <c r="K207" t="s">
        <v>52</v>
      </c>
      <c r="L207">
        <v>74</v>
      </c>
      <c r="M207" t="s">
        <v>557</v>
      </c>
      <c r="O207" t="s">
        <v>174</v>
      </c>
      <c r="Q207">
        <v>7</v>
      </c>
      <c r="T207" s="14">
        <v>44941</v>
      </c>
      <c r="U207">
        <v>22</v>
      </c>
      <c r="V207" t="s">
        <v>34</v>
      </c>
      <c r="W207">
        <v>4</v>
      </c>
      <c r="X207" t="s">
        <v>34</v>
      </c>
    </row>
    <row r="208" spans="1:24" x14ac:dyDescent="0.35">
      <c r="A208" t="s">
        <v>558</v>
      </c>
      <c r="B208" t="s">
        <v>36</v>
      </c>
      <c r="C208" t="s">
        <v>462</v>
      </c>
      <c r="D208">
        <v>40</v>
      </c>
      <c r="E208">
        <v>1984</v>
      </c>
      <c r="F208" t="s">
        <v>50</v>
      </c>
      <c r="G208" t="s">
        <v>38</v>
      </c>
      <c r="H208" t="s">
        <v>28</v>
      </c>
      <c r="I208" t="s">
        <v>29</v>
      </c>
      <c r="J208" s="14">
        <v>43800</v>
      </c>
      <c r="K208" t="s">
        <v>30</v>
      </c>
      <c r="L208">
        <v>68</v>
      </c>
      <c r="M208" t="s">
        <v>559</v>
      </c>
      <c r="N208" t="s">
        <v>43</v>
      </c>
      <c r="O208" t="s">
        <v>32</v>
      </c>
      <c r="Q208">
        <v>6</v>
      </c>
      <c r="T208" s="14">
        <v>44732</v>
      </c>
      <c r="V208" t="s">
        <v>46</v>
      </c>
      <c r="W208">
        <v>3</v>
      </c>
      <c r="X208" t="s">
        <v>34</v>
      </c>
    </row>
    <row r="209" spans="1:24" x14ac:dyDescent="0.35">
      <c r="A209" t="s">
        <v>560</v>
      </c>
      <c r="B209" t="s">
        <v>75</v>
      </c>
      <c r="C209" t="s">
        <v>237</v>
      </c>
      <c r="D209" t="s">
        <v>88</v>
      </c>
      <c r="E209">
        <v>1994</v>
      </c>
      <c r="F209">
        <v>55000</v>
      </c>
      <c r="G209" t="s">
        <v>27</v>
      </c>
      <c r="H209" t="s">
        <v>39</v>
      </c>
      <c r="I209" t="s">
        <v>89</v>
      </c>
      <c r="J209" s="14">
        <v>43845</v>
      </c>
      <c r="K209" t="s">
        <v>78</v>
      </c>
      <c r="L209">
        <v>80</v>
      </c>
      <c r="M209" t="s">
        <v>561</v>
      </c>
      <c r="N209" t="s">
        <v>43</v>
      </c>
      <c r="O209" t="s">
        <v>66</v>
      </c>
      <c r="Q209">
        <v>1</v>
      </c>
      <c r="R209">
        <v>4</v>
      </c>
      <c r="T209" s="22">
        <v>44990</v>
      </c>
      <c r="V209" t="s">
        <v>33</v>
      </c>
      <c r="W209">
        <v>3</v>
      </c>
      <c r="X209" t="s">
        <v>34</v>
      </c>
    </row>
    <row r="210" spans="1:24" x14ac:dyDescent="0.35">
      <c r="A210" t="s">
        <v>562</v>
      </c>
      <c r="B210" t="s">
        <v>68</v>
      </c>
      <c r="C210" t="s">
        <v>193</v>
      </c>
      <c r="D210">
        <v>40</v>
      </c>
      <c r="E210">
        <v>1984</v>
      </c>
      <c r="F210">
        <v>60100</v>
      </c>
      <c r="G210" t="s">
        <v>27</v>
      </c>
      <c r="H210" t="s">
        <v>122</v>
      </c>
      <c r="I210" t="s">
        <v>40</v>
      </c>
      <c r="J210" s="14">
        <v>43549</v>
      </c>
      <c r="K210" t="s">
        <v>59</v>
      </c>
      <c r="L210">
        <v>99</v>
      </c>
      <c r="M210" t="s">
        <v>194</v>
      </c>
      <c r="N210" t="s">
        <v>61</v>
      </c>
      <c r="O210" t="s">
        <v>174</v>
      </c>
      <c r="P210" t="s">
        <v>242</v>
      </c>
      <c r="Q210">
        <v>3</v>
      </c>
      <c r="T210" s="14">
        <v>44941</v>
      </c>
      <c r="U210">
        <v>12</v>
      </c>
      <c r="V210" t="s">
        <v>34</v>
      </c>
      <c r="W210">
        <v>1</v>
      </c>
      <c r="X210" t="s">
        <v>34</v>
      </c>
    </row>
    <row r="211" spans="1:24" x14ac:dyDescent="0.35">
      <c r="A211" t="s">
        <v>563</v>
      </c>
      <c r="B211" t="s">
        <v>75</v>
      </c>
      <c r="C211" t="s">
        <v>253</v>
      </c>
      <c r="D211">
        <v>35</v>
      </c>
      <c r="E211">
        <v>1989</v>
      </c>
      <c r="F211">
        <v>70000</v>
      </c>
      <c r="G211" t="s">
        <v>27</v>
      </c>
      <c r="H211" t="s">
        <v>28</v>
      </c>
      <c r="I211" t="s">
        <v>40</v>
      </c>
      <c r="J211" s="14">
        <v>43845</v>
      </c>
      <c r="K211" t="s">
        <v>52</v>
      </c>
      <c r="L211">
        <v>72</v>
      </c>
      <c r="M211" t="s">
        <v>564</v>
      </c>
      <c r="N211" t="s">
        <v>104</v>
      </c>
      <c r="O211" t="s">
        <v>32</v>
      </c>
      <c r="Q211">
        <v>8</v>
      </c>
      <c r="S211">
        <v>2</v>
      </c>
      <c r="V211" t="s">
        <v>34</v>
      </c>
      <c r="W211">
        <v>5</v>
      </c>
      <c r="X211" t="s">
        <v>34</v>
      </c>
    </row>
    <row r="212" spans="1:24" x14ac:dyDescent="0.35">
      <c r="A212" t="s">
        <v>565</v>
      </c>
      <c r="B212" t="s">
        <v>75</v>
      </c>
      <c r="C212" t="s">
        <v>465</v>
      </c>
      <c r="D212">
        <v>50</v>
      </c>
      <c r="E212">
        <v>1974</v>
      </c>
      <c r="F212">
        <v>50000</v>
      </c>
      <c r="G212" t="s">
        <v>27</v>
      </c>
      <c r="H212" t="s">
        <v>82</v>
      </c>
      <c r="I212" t="s">
        <v>29</v>
      </c>
      <c r="J212" s="14">
        <v>43800</v>
      </c>
      <c r="K212" t="s">
        <v>52</v>
      </c>
      <c r="L212">
        <v>70</v>
      </c>
      <c r="M212" t="s">
        <v>566</v>
      </c>
      <c r="N212" t="s">
        <v>54</v>
      </c>
      <c r="O212" t="s">
        <v>100</v>
      </c>
      <c r="P212" t="s">
        <v>567</v>
      </c>
      <c r="Q212">
        <v>8</v>
      </c>
      <c r="T212" s="22">
        <v>44990</v>
      </c>
      <c r="U212">
        <v>58</v>
      </c>
      <c r="V212" t="s">
        <v>482</v>
      </c>
      <c r="W212">
        <v>1</v>
      </c>
      <c r="X212" t="s">
        <v>34</v>
      </c>
    </row>
    <row r="213" spans="1:24" x14ac:dyDescent="0.35">
      <c r="A213" t="s">
        <v>568</v>
      </c>
      <c r="B213" t="s">
        <v>36</v>
      </c>
      <c r="C213" t="s">
        <v>240</v>
      </c>
      <c r="D213" t="s">
        <v>88</v>
      </c>
      <c r="E213">
        <v>1994</v>
      </c>
      <c r="F213">
        <v>50000</v>
      </c>
      <c r="G213" t="s">
        <v>38</v>
      </c>
      <c r="H213" t="s">
        <v>70</v>
      </c>
      <c r="I213" t="s">
        <v>89</v>
      </c>
      <c r="J213" s="14">
        <v>43549</v>
      </c>
      <c r="K213" t="s">
        <v>59</v>
      </c>
      <c r="L213">
        <v>93</v>
      </c>
      <c r="M213" t="s">
        <v>241</v>
      </c>
      <c r="N213" t="s">
        <v>43</v>
      </c>
      <c r="O213" t="s">
        <v>100</v>
      </c>
      <c r="Q213">
        <v>2</v>
      </c>
      <c r="S213">
        <v>18</v>
      </c>
      <c r="U213">
        <v>36</v>
      </c>
      <c r="V213" t="s">
        <v>33</v>
      </c>
      <c r="W213">
        <v>4</v>
      </c>
      <c r="X213" t="s">
        <v>34</v>
      </c>
    </row>
    <row r="214" spans="1:24" x14ac:dyDescent="0.35">
      <c r="A214" t="s">
        <v>569</v>
      </c>
      <c r="B214" t="s">
        <v>25</v>
      </c>
      <c r="C214" t="s">
        <v>328</v>
      </c>
      <c r="D214">
        <v>40</v>
      </c>
      <c r="E214">
        <v>1984</v>
      </c>
      <c r="F214" t="s">
        <v>50</v>
      </c>
      <c r="G214" t="s">
        <v>38</v>
      </c>
      <c r="H214" t="s">
        <v>70</v>
      </c>
      <c r="I214" t="s">
        <v>40</v>
      </c>
      <c r="J214" s="14">
        <v>43549</v>
      </c>
      <c r="K214" t="s">
        <v>59</v>
      </c>
      <c r="L214">
        <v>98</v>
      </c>
      <c r="M214" t="s">
        <v>329</v>
      </c>
      <c r="N214" t="s">
        <v>104</v>
      </c>
      <c r="O214" t="s">
        <v>72</v>
      </c>
      <c r="Q214">
        <v>7</v>
      </c>
      <c r="T214" s="14">
        <v>44470</v>
      </c>
      <c r="U214">
        <v>22</v>
      </c>
      <c r="V214" t="s">
        <v>46</v>
      </c>
      <c r="W214">
        <v>1</v>
      </c>
      <c r="X214" t="s">
        <v>34</v>
      </c>
    </row>
    <row r="215" spans="1:24" x14ac:dyDescent="0.35">
      <c r="A215" t="s">
        <v>570</v>
      </c>
      <c r="B215" t="s">
        <v>36</v>
      </c>
      <c r="C215" t="s">
        <v>546</v>
      </c>
      <c r="D215" t="s">
        <v>88</v>
      </c>
      <c r="E215">
        <v>1994</v>
      </c>
      <c r="F215">
        <v>65000</v>
      </c>
      <c r="G215" t="s">
        <v>27</v>
      </c>
      <c r="H215" t="s">
        <v>28</v>
      </c>
      <c r="I215" t="s">
        <v>94</v>
      </c>
      <c r="J215" s="14">
        <v>43800</v>
      </c>
      <c r="K215" t="s">
        <v>30</v>
      </c>
      <c r="L215">
        <v>62</v>
      </c>
      <c r="M215" t="s">
        <v>571</v>
      </c>
      <c r="O215" t="s">
        <v>72</v>
      </c>
      <c r="Q215">
        <v>8</v>
      </c>
      <c r="R215">
        <v>5</v>
      </c>
      <c r="T215" s="14">
        <v>45516</v>
      </c>
      <c r="V215" t="s">
        <v>169</v>
      </c>
      <c r="W215">
        <v>1</v>
      </c>
      <c r="X215" t="s">
        <v>34</v>
      </c>
    </row>
    <row r="216" spans="1:24" x14ac:dyDescent="0.35">
      <c r="A216" t="s">
        <v>572</v>
      </c>
      <c r="B216" t="s">
        <v>140</v>
      </c>
      <c r="C216" t="s">
        <v>315</v>
      </c>
      <c r="E216">
        <v>1994</v>
      </c>
      <c r="F216">
        <v>60800</v>
      </c>
      <c r="G216" t="s">
        <v>38</v>
      </c>
      <c r="H216" t="s">
        <v>64</v>
      </c>
      <c r="I216" t="s">
        <v>94</v>
      </c>
      <c r="J216" s="14">
        <v>43800</v>
      </c>
      <c r="K216" t="s">
        <v>59</v>
      </c>
      <c r="L216">
        <v>94</v>
      </c>
      <c r="M216" t="s">
        <v>573</v>
      </c>
      <c r="N216" t="s">
        <v>104</v>
      </c>
      <c r="O216" t="s">
        <v>66</v>
      </c>
      <c r="Q216">
        <v>1</v>
      </c>
      <c r="S216">
        <v>2</v>
      </c>
      <c r="U216">
        <v>40</v>
      </c>
      <c r="V216" t="s">
        <v>34</v>
      </c>
      <c r="W216">
        <v>2</v>
      </c>
      <c r="X216" t="s">
        <v>34</v>
      </c>
    </row>
    <row r="217" spans="1:24" x14ac:dyDescent="0.35">
      <c r="A217" t="s">
        <v>574</v>
      </c>
      <c r="B217" t="s">
        <v>131</v>
      </c>
      <c r="C217" t="s">
        <v>295</v>
      </c>
      <c r="D217">
        <v>25</v>
      </c>
      <c r="E217">
        <v>1999</v>
      </c>
      <c r="F217" t="s">
        <v>50</v>
      </c>
      <c r="G217" t="s">
        <v>27</v>
      </c>
      <c r="H217" t="s">
        <v>145</v>
      </c>
      <c r="I217" t="s">
        <v>89</v>
      </c>
      <c r="J217" s="14">
        <v>43881</v>
      </c>
      <c r="K217" t="s">
        <v>30</v>
      </c>
      <c r="L217">
        <v>67</v>
      </c>
      <c r="M217" t="s">
        <v>575</v>
      </c>
      <c r="N217" t="s">
        <v>61</v>
      </c>
      <c r="O217" t="s">
        <v>174</v>
      </c>
      <c r="Q217">
        <v>2</v>
      </c>
      <c r="U217">
        <v>71</v>
      </c>
      <c r="V217" t="s">
        <v>34</v>
      </c>
      <c r="W217">
        <v>4</v>
      </c>
      <c r="X217" t="s">
        <v>34</v>
      </c>
    </row>
    <row r="218" spans="1:24" x14ac:dyDescent="0.35">
      <c r="A218" t="s">
        <v>576</v>
      </c>
      <c r="B218" t="s">
        <v>48</v>
      </c>
      <c r="C218" t="s">
        <v>137</v>
      </c>
      <c r="D218">
        <v>50</v>
      </c>
      <c r="E218">
        <v>1974</v>
      </c>
      <c r="F218">
        <v>65000</v>
      </c>
      <c r="G218" t="s">
        <v>38</v>
      </c>
      <c r="H218" t="s">
        <v>145</v>
      </c>
      <c r="I218" t="s">
        <v>29</v>
      </c>
      <c r="J218" s="14">
        <v>43800</v>
      </c>
      <c r="K218" t="s">
        <v>30</v>
      </c>
      <c r="L218">
        <v>69</v>
      </c>
      <c r="M218" t="s">
        <v>577</v>
      </c>
      <c r="O218" t="s">
        <v>72</v>
      </c>
      <c r="Q218">
        <v>5</v>
      </c>
      <c r="R218">
        <v>7</v>
      </c>
      <c r="S218">
        <v>19</v>
      </c>
      <c r="V218" t="s">
        <v>46</v>
      </c>
      <c r="W218">
        <v>4</v>
      </c>
      <c r="X218" t="s">
        <v>34</v>
      </c>
    </row>
    <row r="219" spans="1:24" x14ac:dyDescent="0.35">
      <c r="A219" t="s">
        <v>578</v>
      </c>
      <c r="B219" t="s">
        <v>25</v>
      </c>
      <c r="C219" t="s">
        <v>171</v>
      </c>
      <c r="D219" t="s">
        <v>88</v>
      </c>
      <c r="E219">
        <v>1994</v>
      </c>
      <c r="F219">
        <v>55000</v>
      </c>
      <c r="G219" t="s">
        <v>38</v>
      </c>
      <c r="H219" t="s">
        <v>28</v>
      </c>
      <c r="I219" t="s">
        <v>40</v>
      </c>
      <c r="J219" s="14">
        <v>43195</v>
      </c>
      <c r="K219" t="s">
        <v>41</v>
      </c>
      <c r="L219">
        <v>21</v>
      </c>
      <c r="M219" t="s">
        <v>172</v>
      </c>
      <c r="O219" t="s">
        <v>100</v>
      </c>
      <c r="Q219">
        <v>6</v>
      </c>
      <c r="S219">
        <v>1</v>
      </c>
      <c r="V219" t="s">
        <v>34</v>
      </c>
      <c r="W219">
        <v>4</v>
      </c>
      <c r="X219" t="s">
        <v>34</v>
      </c>
    </row>
    <row r="220" spans="1:24" x14ac:dyDescent="0.35">
      <c r="A220" t="s">
        <v>579</v>
      </c>
      <c r="B220" t="s">
        <v>114</v>
      </c>
      <c r="C220" t="s">
        <v>305</v>
      </c>
      <c r="D220">
        <v>25</v>
      </c>
      <c r="E220">
        <v>1999</v>
      </c>
      <c r="F220">
        <v>59000</v>
      </c>
      <c r="G220" t="s">
        <v>27</v>
      </c>
      <c r="H220" t="s">
        <v>82</v>
      </c>
      <c r="I220" t="s">
        <v>29</v>
      </c>
      <c r="J220" s="14">
        <v>43800</v>
      </c>
      <c r="K220" t="s">
        <v>52</v>
      </c>
      <c r="L220">
        <v>70</v>
      </c>
      <c r="M220" t="s">
        <v>580</v>
      </c>
      <c r="N220" t="s">
        <v>104</v>
      </c>
      <c r="O220" t="s">
        <v>174</v>
      </c>
      <c r="Q220">
        <v>1</v>
      </c>
      <c r="S220">
        <v>12</v>
      </c>
      <c r="W220">
        <v>5</v>
      </c>
      <c r="X220" t="s">
        <v>46</v>
      </c>
    </row>
    <row r="221" spans="1:24" x14ac:dyDescent="0.35">
      <c r="A221" t="s">
        <v>581</v>
      </c>
      <c r="B221" t="s">
        <v>48</v>
      </c>
      <c r="C221" t="s">
        <v>534</v>
      </c>
      <c r="D221">
        <v>40</v>
      </c>
      <c r="E221">
        <v>1984</v>
      </c>
      <c r="F221">
        <v>55000</v>
      </c>
      <c r="G221" t="s">
        <v>38</v>
      </c>
      <c r="H221" t="s">
        <v>82</v>
      </c>
      <c r="I221" t="s">
        <v>94</v>
      </c>
      <c r="J221" s="14">
        <v>43195</v>
      </c>
      <c r="K221" t="s">
        <v>52</v>
      </c>
      <c r="L221">
        <v>79</v>
      </c>
      <c r="M221" t="s">
        <v>535</v>
      </c>
      <c r="N221" t="s">
        <v>61</v>
      </c>
      <c r="O221" t="s">
        <v>100</v>
      </c>
      <c r="P221" t="s">
        <v>582</v>
      </c>
      <c r="Q221">
        <v>4</v>
      </c>
      <c r="R221" t="s">
        <v>79</v>
      </c>
      <c r="S221">
        <v>13</v>
      </c>
      <c r="T221" s="14">
        <v>44732</v>
      </c>
      <c r="U221">
        <v>63</v>
      </c>
      <c r="V221" t="s">
        <v>46</v>
      </c>
      <c r="W221">
        <v>1</v>
      </c>
      <c r="X221" t="s">
        <v>46</v>
      </c>
    </row>
    <row r="222" spans="1:24" x14ac:dyDescent="0.35">
      <c r="A222" t="s">
        <v>583</v>
      </c>
      <c r="B222" t="s">
        <v>131</v>
      </c>
      <c r="C222" t="s">
        <v>462</v>
      </c>
      <c r="D222">
        <v>25</v>
      </c>
      <c r="E222">
        <v>1999</v>
      </c>
      <c r="F222">
        <v>70000</v>
      </c>
      <c r="G222" t="s">
        <v>27</v>
      </c>
      <c r="H222" t="s">
        <v>64</v>
      </c>
      <c r="I222" t="s">
        <v>40</v>
      </c>
      <c r="J222" s="14">
        <v>43800</v>
      </c>
      <c r="K222" t="s">
        <v>52</v>
      </c>
      <c r="L222">
        <v>78</v>
      </c>
      <c r="M222" t="s">
        <v>584</v>
      </c>
      <c r="N222" t="s">
        <v>43</v>
      </c>
      <c r="O222" t="s">
        <v>44</v>
      </c>
      <c r="Q222">
        <v>6</v>
      </c>
      <c r="S222">
        <v>14</v>
      </c>
      <c r="W222">
        <v>4</v>
      </c>
      <c r="X222" t="s">
        <v>34</v>
      </c>
    </row>
    <row r="223" spans="1:24" x14ac:dyDescent="0.35">
      <c r="A223" t="s">
        <v>585</v>
      </c>
      <c r="B223" t="s">
        <v>140</v>
      </c>
      <c r="C223" t="s">
        <v>305</v>
      </c>
      <c r="D223">
        <v>50</v>
      </c>
      <c r="E223">
        <v>1974</v>
      </c>
      <c r="F223">
        <v>60000</v>
      </c>
      <c r="G223" t="s">
        <v>38</v>
      </c>
      <c r="H223" t="s">
        <v>70</v>
      </c>
      <c r="I223" t="s">
        <v>29</v>
      </c>
      <c r="J223" s="14">
        <v>43881</v>
      </c>
      <c r="K223" t="s">
        <v>41</v>
      </c>
      <c r="L223">
        <v>29</v>
      </c>
      <c r="M223" t="s">
        <v>586</v>
      </c>
      <c r="N223" t="s">
        <v>104</v>
      </c>
      <c r="O223" t="s">
        <v>100</v>
      </c>
      <c r="Q223">
        <v>2</v>
      </c>
      <c r="R223">
        <v>13</v>
      </c>
      <c r="T223" s="22">
        <v>44990</v>
      </c>
      <c r="V223" t="s">
        <v>482</v>
      </c>
      <c r="W223">
        <v>5</v>
      </c>
      <c r="X223" t="s">
        <v>46</v>
      </c>
    </row>
    <row r="224" spans="1:24" x14ac:dyDescent="0.35">
      <c r="A224" t="s">
        <v>587</v>
      </c>
      <c r="B224" t="s">
        <v>140</v>
      </c>
      <c r="C224" t="s">
        <v>588</v>
      </c>
      <c r="D224" t="s">
        <v>88</v>
      </c>
      <c r="E224">
        <v>1994</v>
      </c>
      <c r="F224">
        <v>65000</v>
      </c>
      <c r="G224" t="s">
        <v>38</v>
      </c>
      <c r="H224" t="s">
        <v>28</v>
      </c>
      <c r="I224" t="s">
        <v>77</v>
      </c>
      <c r="J224" s="14">
        <v>43195</v>
      </c>
      <c r="K224" t="s">
        <v>30</v>
      </c>
      <c r="L224">
        <v>69</v>
      </c>
      <c r="M224" t="s">
        <v>589</v>
      </c>
      <c r="N224" t="s">
        <v>43</v>
      </c>
      <c r="O224" t="s">
        <v>66</v>
      </c>
      <c r="Q224">
        <v>7</v>
      </c>
      <c r="S224">
        <v>3</v>
      </c>
      <c r="V224" t="s">
        <v>34</v>
      </c>
      <c r="W224">
        <v>5</v>
      </c>
      <c r="X224" t="s">
        <v>34</v>
      </c>
    </row>
    <row r="225" spans="1:24" x14ac:dyDescent="0.35">
      <c r="A225" t="s">
        <v>590</v>
      </c>
      <c r="B225" t="s">
        <v>114</v>
      </c>
      <c r="C225" t="s">
        <v>591</v>
      </c>
      <c r="E225">
        <v>1991</v>
      </c>
      <c r="F225">
        <v>70000</v>
      </c>
      <c r="G225" t="s">
        <v>27</v>
      </c>
      <c r="H225" t="s">
        <v>28</v>
      </c>
      <c r="I225" t="s">
        <v>89</v>
      </c>
      <c r="J225" s="14">
        <v>43845</v>
      </c>
      <c r="K225" t="s">
        <v>30</v>
      </c>
      <c r="L225">
        <v>65</v>
      </c>
      <c r="M225" t="s">
        <v>592</v>
      </c>
      <c r="N225" t="s">
        <v>104</v>
      </c>
      <c r="O225" t="s">
        <v>112</v>
      </c>
      <c r="Q225">
        <v>4</v>
      </c>
      <c r="W225">
        <v>2</v>
      </c>
      <c r="X225" t="s">
        <v>46</v>
      </c>
    </row>
    <row r="226" spans="1:24" x14ac:dyDescent="0.35">
      <c r="A226" t="s">
        <v>593</v>
      </c>
      <c r="B226" t="s">
        <v>25</v>
      </c>
      <c r="C226" t="s">
        <v>265</v>
      </c>
      <c r="D226">
        <v>40</v>
      </c>
      <c r="E226">
        <v>1984</v>
      </c>
      <c r="F226">
        <v>50000</v>
      </c>
      <c r="G226" t="s">
        <v>27</v>
      </c>
      <c r="H226" t="s">
        <v>58</v>
      </c>
      <c r="I226" t="s">
        <v>89</v>
      </c>
      <c r="J226" s="14">
        <v>43195</v>
      </c>
      <c r="K226" t="s">
        <v>59</v>
      </c>
      <c r="L226">
        <v>97</v>
      </c>
      <c r="M226" t="s">
        <v>266</v>
      </c>
      <c r="N226" t="s">
        <v>43</v>
      </c>
      <c r="O226" t="s">
        <v>44</v>
      </c>
      <c r="Q226">
        <v>8</v>
      </c>
      <c r="V226" t="s">
        <v>34</v>
      </c>
      <c r="W226">
        <v>5</v>
      </c>
      <c r="X226" t="s">
        <v>34</v>
      </c>
    </row>
    <row r="227" spans="1:24" x14ac:dyDescent="0.35">
      <c r="A227" t="s">
        <v>594</v>
      </c>
      <c r="B227" t="s">
        <v>68</v>
      </c>
      <c r="C227" t="s">
        <v>318</v>
      </c>
      <c r="D227" t="s">
        <v>88</v>
      </c>
      <c r="E227">
        <v>1994</v>
      </c>
      <c r="F227">
        <v>65000</v>
      </c>
      <c r="G227" t="s">
        <v>27</v>
      </c>
      <c r="H227" t="s">
        <v>64</v>
      </c>
      <c r="I227" t="s">
        <v>77</v>
      </c>
      <c r="J227" s="14">
        <v>43881</v>
      </c>
      <c r="K227" t="s">
        <v>41</v>
      </c>
      <c r="L227">
        <v>21</v>
      </c>
      <c r="M227" t="s">
        <v>319</v>
      </c>
      <c r="N227" t="s">
        <v>104</v>
      </c>
      <c r="O227" t="s">
        <v>44</v>
      </c>
      <c r="Q227">
        <v>6</v>
      </c>
      <c r="R227" t="s">
        <v>79</v>
      </c>
      <c r="T227" s="14">
        <v>45516</v>
      </c>
      <c r="U227">
        <v>19</v>
      </c>
      <c r="V227" t="s">
        <v>33</v>
      </c>
      <c r="W227">
        <v>1</v>
      </c>
      <c r="X227" t="s">
        <v>46</v>
      </c>
    </row>
    <row r="228" spans="1:24" x14ac:dyDescent="0.35">
      <c r="A228" t="s">
        <v>595</v>
      </c>
      <c r="B228" t="s">
        <v>75</v>
      </c>
      <c r="C228" t="s">
        <v>148</v>
      </c>
      <c r="D228">
        <v>50</v>
      </c>
      <c r="E228">
        <v>1974</v>
      </c>
      <c r="F228" t="s">
        <v>50</v>
      </c>
      <c r="G228" t="s">
        <v>27</v>
      </c>
      <c r="H228" t="s">
        <v>28</v>
      </c>
      <c r="I228" t="s">
        <v>94</v>
      </c>
      <c r="J228" s="14">
        <v>43195</v>
      </c>
      <c r="K228" t="s">
        <v>59</v>
      </c>
      <c r="L228">
        <v>91</v>
      </c>
      <c r="M228" t="s">
        <v>596</v>
      </c>
      <c r="O228" t="s">
        <v>66</v>
      </c>
      <c r="Q228">
        <v>7</v>
      </c>
      <c r="V228" t="s">
        <v>169</v>
      </c>
      <c r="W228">
        <v>5</v>
      </c>
      <c r="X228" t="s">
        <v>34</v>
      </c>
    </row>
    <row r="229" spans="1:24" x14ac:dyDescent="0.35">
      <c r="A229" t="s">
        <v>597</v>
      </c>
      <c r="B229" t="s">
        <v>25</v>
      </c>
      <c r="C229" t="s">
        <v>265</v>
      </c>
      <c r="D229">
        <v>40</v>
      </c>
      <c r="E229">
        <v>1984</v>
      </c>
      <c r="F229">
        <v>50000</v>
      </c>
      <c r="G229" t="s">
        <v>38</v>
      </c>
      <c r="H229" t="s">
        <v>122</v>
      </c>
      <c r="I229" t="s">
        <v>40</v>
      </c>
      <c r="J229" s="14">
        <v>43800</v>
      </c>
      <c r="K229" t="s">
        <v>41</v>
      </c>
      <c r="L229">
        <v>55</v>
      </c>
      <c r="M229" t="s">
        <v>266</v>
      </c>
      <c r="N229" t="s">
        <v>54</v>
      </c>
      <c r="O229" t="s">
        <v>174</v>
      </c>
      <c r="P229" t="s">
        <v>598</v>
      </c>
      <c r="Q229">
        <v>3</v>
      </c>
      <c r="R229" t="s">
        <v>79</v>
      </c>
      <c r="W229">
        <v>2</v>
      </c>
      <c r="X229" t="s">
        <v>34</v>
      </c>
    </row>
    <row r="230" spans="1:24" x14ac:dyDescent="0.35">
      <c r="A230" t="s">
        <v>599</v>
      </c>
      <c r="B230" t="s">
        <v>68</v>
      </c>
      <c r="C230" t="s">
        <v>318</v>
      </c>
      <c r="D230">
        <v>35</v>
      </c>
      <c r="E230">
        <v>1989</v>
      </c>
      <c r="F230">
        <v>50000</v>
      </c>
      <c r="G230" t="s">
        <v>38</v>
      </c>
      <c r="H230" t="s">
        <v>51</v>
      </c>
      <c r="I230" t="s">
        <v>89</v>
      </c>
      <c r="J230" s="14">
        <v>43800</v>
      </c>
      <c r="K230" t="s">
        <v>59</v>
      </c>
      <c r="L230">
        <v>100</v>
      </c>
      <c r="M230" t="s">
        <v>319</v>
      </c>
      <c r="O230" t="s">
        <v>174</v>
      </c>
      <c r="P230" t="s">
        <v>150</v>
      </c>
      <c r="Q230">
        <v>1</v>
      </c>
      <c r="T230" s="22">
        <v>44990</v>
      </c>
      <c r="U230">
        <v>60</v>
      </c>
      <c r="V230" t="s">
        <v>73</v>
      </c>
      <c r="W230">
        <v>5</v>
      </c>
      <c r="X230" t="s">
        <v>34</v>
      </c>
    </row>
    <row r="231" spans="1:24" x14ac:dyDescent="0.35">
      <c r="A231" t="s">
        <v>600</v>
      </c>
      <c r="B231" t="s">
        <v>140</v>
      </c>
      <c r="C231" t="s">
        <v>436</v>
      </c>
      <c r="D231">
        <v>25</v>
      </c>
      <c r="E231">
        <v>1999</v>
      </c>
      <c r="F231" t="s">
        <v>50</v>
      </c>
      <c r="G231" t="s">
        <v>27</v>
      </c>
      <c r="H231" t="s">
        <v>28</v>
      </c>
      <c r="I231" t="s">
        <v>77</v>
      </c>
      <c r="J231" s="14">
        <v>43881</v>
      </c>
      <c r="K231" t="s">
        <v>78</v>
      </c>
      <c r="L231">
        <v>85</v>
      </c>
      <c r="M231" t="s">
        <v>437</v>
      </c>
      <c r="N231" t="s">
        <v>43</v>
      </c>
      <c r="O231" t="s">
        <v>66</v>
      </c>
      <c r="P231" t="s">
        <v>188</v>
      </c>
      <c r="Q231">
        <v>1</v>
      </c>
      <c r="R231">
        <v>1</v>
      </c>
      <c r="T231" s="14">
        <v>45516</v>
      </c>
      <c r="V231" t="s">
        <v>34</v>
      </c>
      <c r="W231">
        <v>5</v>
      </c>
      <c r="X231" t="s">
        <v>34</v>
      </c>
    </row>
    <row r="232" spans="1:24" x14ac:dyDescent="0.35">
      <c r="A232" t="s">
        <v>601</v>
      </c>
      <c r="B232" t="s">
        <v>36</v>
      </c>
      <c r="C232" t="s">
        <v>148</v>
      </c>
      <c r="D232">
        <v>50</v>
      </c>
      <c r="E232">
        <v>1974</v>
      </c>
      <c r="F232">
        <v>58800</v>
      </c>
      <c r="G232" t="s">
        <v>27</v>
      </c>
      <c r="H232" t="s">
        <v>82</v>
      </c>
      <c r="I232" t="s">
        <v>77</v>
      </c>
      <c r="J232" s="14">
        <v>43549</v>
      </c>
      <c r="K232" t="s">
        <v>52</v>
      </c>
      <c r="L232">
        <v>78</v>
      </c>
      <c r="M232" t="s">
        <v>602</v>
      </c>
      <c r="N232" t="s">
        <v>61</v>
      </c>
      <c r="O232" t="s">
        <v>72</v>
      </c>
      <c r="P232" t="s">
        <v>603</v>
      </c>
      <c r="Q232">
        <v>3</v>
      </c>
      <c r="T232" s="14">
        <v>44732</v>
      </c>
      <c r="V232" t="s">
        <v>482</v>
      </c>
      <c r="W232">
        <v>5</v>
      </c>
      <c r="X232" t="s">
        <v>34</v>
      </c>
    </row>
    <row r="233" spans="1:24" x14ac:dyDescent="0.35">
      <c r="A233" t="s">
        <v>604</v>
      </c>
      <c r="B233" t="s">
        <v>131</v>
      </c>
      <c r="C233" t="s">
        <v>380</v>
      </c>
      <c r="D233">
        <v>35</v>
      </c>
      <c r="E233">
        <v>1989</v>
      </c>
      <c r="F233">
        <v>50000</v>
      </c>
      <c r="G233" t="s">
        <v>38</v>
      </c>
      <c r="H233" t="s">
        <v>58</v>
      </c>
      <c r="I233" t="s">
        <v>94</v>
      </c>
      <c r="J233" s="14">
        <v>43800</v>
      </c>
      <c r="K233" t="s">
        <v>52</v>
      </c>
      <c r="L233">
        <v>78</v>
      </c>
      <c r="M233" t="s">
        <v>605</v>
      </c>
      <c r="O233" t="s">
        <v>44</v>
      </c>
      <c r="P233" t="s">
        <v>606</v>
      </c>
      <c r="Q233">
        <v>8</v>
      </c>
      <c r="R233">
        <v>12</v>
      </c>
      <c r="V233" t="s">
        <v>169</v>
      </c>
      <c r="W233">
        <v>2</v>
      </c>
      <c r="X233" t="s">
        <v>46</v>
      </c>
    </row>
    <row r="234" spans="1:24" x14ac:dyDescent="0.35">
      <c r="A234" t="s">
        <v>607</v>
      </c>
      <c r="B234" t="s">
        <v>114</v>
      </c>
      <c r="C234" t="s">
        <v>608</v>
      </c>
      <c r="D234" t="s">
        <v>88</v>
      </c>
      <c r="E234">
        <v>1994</v>
      </c>
      <c r="F234">
        <v>65000</v>
      </c>
      <c r="G234" t="s">
        <v>38</v>
      </c>
      <c r="H234" t="s">
        <v>64</v>
      </c>
      <c r="I234" t="s">
        <v>94</v>
      </c>
      <c r="J234" s="14">
        <v>43845</v>
      </c>
      <c r="K234" t="s">
        <v>30</v>
      </c>
      <c r="L234">
        <v>63</v>
      </c>
      <c r="M234" t="s">
        <v>609</v>
      </c>
      <c r="N234" t="s">
        <v>54</v>
      </c>
      <c r="O234" t="s">
        <v>72</v>
      </c>
      <c r="P234" t="s">
        <v>481</v>
      </c>
      <c r="Q234">
        <v>8</v>
      </c>
      <c r="S234">
        <v>16</v>
      </c>
      <c r="V234" t="s">
        <v>169</v>
      </c>
      <c r="W234">
        <v>1</v>
      </c>
      <c r="X234" t="s">
        <v>46</v>
      </c>
    </row>
    <row r="235" spans="1:24" x14ac:dyDescent="0.35">
      <c r="A235" t="s">
        <v>610</v>
      </c>
      <c r="B235" t="s">
        <v>131</v>
      </c>
      <c r="C235" t="s">
        <v>144</v>
      </c>
      <c r="E235">
        <v>1978</v>
      </c>
      <c r="F235">
        <v>70000</v>
      </c>
      <c r="G235" t="s">
        <v>38</v>
      </c>
      <c r="H235" t="s">
        <v>28</v>
      </c>
      <c r="I235" t="s">
        <v>29</v>
      </c>
      <c r="J235" s="14">
        <v>43881</v>
      </c>
      <c r="K235" t="s">
        <v>78</v>
      </c>
      <c r="L235">
        <v>86</v>
      </c>
      <c r="M235" t="s">
        <v>146</v>
      </c>
      <c r="N235" t="s">
        <v>43</v>
      </c>
      <c r="O235" t="s">
        <v>100</v>
      </c>
      <c r="Q235">
        <v>3</v>
      </c>
      <c r="V235" t="s">
        <v>34</v>
      </c>
      <c r="W235">
        <v>2</v>
      </c>
      <c r="X235" t="s">
        <v>46</v>
      </c>
    </row>
    <row r="236" spans="1:24" x14ac:dyDescent="0.35">
      <c r="A236" t="s">
        <v>611</v>
      </c>
      <c r="B236" t="s">
        <v>56</v>
      </c>
      <c r="C236" t="s">
        <v>612</v>
      </c>
      <c r="D236">
        <v>40</v>
      </c>
      <c r="E236">
        <v>1984</v>
      </c>
      <c r="F236">
        <v>50000</v>
      </c>
      <c r="G236" t="s">
        <v>38</v>
      </c>
      <c r="H236" t="s">
        <v>51</v>
      </c>
      <c r="I236" t="s">
        <v>89</v>
      </c>
      <c r="J236" s="14">
        <v>43195</v>
      </c>
      <c r="K236" t="s">
        <v>52</v>
      </c>
      <c r="L236">
        <v>70</v>
      </c>
      <c r="M236" t="s">
        <v>613</v>
      </c>
      <c r="O236" t="s">
        <v>44</v>
      </c>
      <c r="Q236">
        <v>2</v>
      </c>
      <c r="T236" s="22">
        <v>44990</v>
      </c>
      <c r="U236">
        <v>80</v>
      </c>
      <c r="V236" t="s">
        <v>46</v>
      </c>
      <c r="W236">
        <v>3</v>
      </c>
      <c r="X236" t="s">
        <v>34</v>
      </c>
    </row>
    <row r="237" spans="1:24" x14ac:dyDescent="0.35">
      <c r="A237" t="s">
        <v>614</v>
      </c>
      <c r="B237" t="s">
        <v>56</v>
      </c>
      <c r="C237" t="s">
        <v>359</v>
      </c>
      <c r="D237">
        <v>25</v>
      </c>
      <c r="E237">
        <v>1999</v>
      </c>
      <c r="F237">
        <v>65000</v>
      </c>
      <c r="G237" t="s">
        <v>38</v>
      </c>
      <c r="H237" t="s">
        <v>82</v>
      </c>
      <c r="I237" t="s">
        <v>29</v>
      </c>
      <c r="J237" s="14">
        <v>43195</v>
      </c>
      <c r="K237" t="s">
        <v>30</v>
      </c>
      <c r="L237">
        <v>65</v>
      </c>
      <c r="M237" t="s">
        <v>615</v>
      </c>
      <c r="N237" t="s">
        <v>104</v>
      </c>
      <c r="O237" t="s">
        <v>44</v>
      </c>
      <c r="Q237">
        <v>8</v>
      </c>
      <c r="R237" t="s">
        <v>79</v>
      </c>
      <c r="W237">
        <v>5</v>
      </c>
      <c r="X237" t="s">
        <v>34</v>
      </c>
    </row>
    <row r="238" spans="1:24" x14ac:dyDescent="0.35">
      <c r="A238" t="s">
        <v>616</v>
      </c>
      <c r="B238" t="s">
        <v>25</v>
      </c>
      <c r="C238" t="s">
        <v>84</v>
      </c>
      <c r="D238">
        <v>40</v>
      </c>
      <c r="E238">
        <v>1984</v>
      </c>
      <c r="F238">
        <v>55000</v>
      </c>
      <c r="G238" t="s">
        <v>27</v>
      </c>
      <c r="H238" t="s">
        <v>145</v>
      </c>
      <c r="I238" t="s">
        <v>77</v>
      </c>
      <c r="J238" s="14">
        <v>43845</v>
      </c>
      <c r="K238" t="s">
        <v>78</v>
      </c>
      <c r="L238">
        <v>83</v>
      </c>
      <c r="M238" t="s">
        <v>617</v>
      </c>
      <c r="N238" t="s">
        <v>61</v>
      </c>
      <c r="O238" t="s">
        <v>32</v>
      </c>
      <c r="P238" t="s">
        <v>618</v>
      </c>
      <c r="Q238">
        <v>6</v>
      </c>
      <c r="U238">
        <v>76</v>
      </c>
      <c r="V238" t="s">
        <v>73</v>
      </c>
      <c r="W238">
        <v>1</v>
      </c>
      <c r="X238" t="s">
        <v>46</v>
      </c>
    </row>
    <row r="239" spans="1:24" x14ac:dyDescent="0.35">
      <c r="A239" t="s">
        <v>619</v>
      </c>
      <c r="B239" t="s">
        <v>140</v>
      </c>
      <c r="C239" t="s">
        <v>620</v>
      </c>
      <c r="D239" t="s">
        <v>88</v>
      </c>
      <c r="E239">
        <v>1994</v>
      </c>
      <c r="F239">
        <v>65000</v>
      </c>
      <c r="G239" t="s">
        <v>27</v>
      </c>
      <c r="H239" t="s">
        <v>93</v>
      </c>
      <c r="I239" t="s">
        <v>40</v>
      </c>
      <c r="J239" s="14">
        <v>43800</v>
      </c>
      <c r="K239" t="s">
        <v>52</v>
      </c>
      <c r="L239">
        <v>72</v>
      </c>
      <c r="M239" t="s">
        <v>621</v>
      </c>
      <c r="N239" t="s">
        <v>43</v>
      </c>
      <c r="O239" t="s">
        <v>112</v>
      </c>
      <c r="Q239">
        <v>4</v>
      </c>
      <c r="R239">
        <v>14</v>
      </c>
      <c r="T239" s="14">
        <v>45516</v>
      </c>
      <c r="U239">
        <v>53</v>
      </c>
      <c r="V239" t="s">
        <v>169</v>
      </c>
      <c r="W239">
        <v>5</v>
      </c>
      <c r="X239" t="s">
        <v>34</v>
      </c>
    </row>
    <row r="240" spans="1:24" x14ac:dyDescent="0.35">
      <c r="A240" t="s">
        <v>622</v>
      </c>
      <c r="B240" t="s">
        <v>140</v>
      </c>
      <c r="C240" t="s">
        <v>196</v>
      </c>
      <c r="D240">
        <v>40</v>
      </c>
      <c r="E240">
        <v>1984</v>
      </c>
      <c r="F240">
        <v>70000</v>
      </c>
      <c r="G240" t="s">
        <v>38</v>
      </c>
      <c r="H240" t="s">
        <v>70</v>
      </c>
      <c r="I240" t="s">
        <v>40</v>
      </c>
      <c r="J240" s="14">
        <v>43881</v>
      </c>
      <c r="K240" t="s">
        <v>59</v>
      </c>
      <c r="L240">
        <v>99</v>
      </c>
      <c r="M240" t="s">
        <v>197</v>
      </c>
      <c r="O240" t="s">
        <v>174</v>
      </c>
      <c r="Q240">
        <v>6</v>
      </c>
      <c r="S240">
        <v>3</v>
      </c>
      <c r="U240">
        <v>17</v>
      </c>
      <c r="V240" t="s">
        <v>169</v>
      </c>
      <c r="W240">
        <v>4</v>
      </c>
      <c r="X240" t="s">
        <v>34</v>
      </c>
    </row>
    <row r="241" spans="1:24" x14ac:dyDescent="0.35">
      <c r="A241" t="s">
        <v>623</v>
      </c>
      <c r="B241" t="s">
        <v>75</v>
      </c>
      <c r="C241" t="s">
        <v>103</v>
      </c>
      <c r="D241">
        <v>25</v>
      </c>
      <c r="E241">
        <v>1999</v>
      </c>
      <c r="F241">
        <v>65000</v>
      </c>
      <c r="G241" t="s">
        <v>38</v>
      </c>
      <c r="H241" t="s">
        <v>145</v>
      </c>
      <c r="I241" t="s">
        <v>94</v>
      </c>
      <c r="J241" s="14">
        <v>43845</v>
      </c>
      <c r="K241" t="s">
        <v>41</v>
      </c>
      <c r="L241">
        <v>40</v>
      </c>
      <c r="M241" t="s">
        <v>308</v>
      </c>
      <c r="N241" t="s">
        <v>43</v>
      </c>
      <c r="O241" t="s">
        <v>44</v>
      </c>
      <c r="Q241">
        <v>5</v>
      </c>
      <c r="R241" t="s">
        <v>79</v>
      </c>
      <c r="U241">
        <v>51</v>
      </c>
      <c r="W241">
        <v>4</v>
      </c>
      <c r="X241" t="s">
        <v>34</v>
      </c>
    </row>
    <row r="242" spans="1:24" x14ac:dyDescent="0.35">
      <c r="A242" t="s">
        <v>624</v>
      </c>
      <c r="B242" t="s">
        <v>75</v>
      </c>
      <c r="C242" t="s">
        <v>625</v>
      </c>
      <c r="D242" t="s">
        <v>88</v>
      </c>
      <c r="E242">
        <v>1994</v>
      </c>
      <c r="F242" t="s">
        <v>50</v>
      </c>
      <c r="G242" t="s">
        <v>38</v>
      </c>
      <c r="H242" t="s">
        <v>64</v>
      </c>
      <c r="I242" t="s">
        <v>40</v>
      </c>
      <c r="J242" s="14">
        <v>43800</v>
      </c>
      <c r="K242" t="s">
        <v>78</v>
      </c>
      <c r="L242">
        <v>87</v>
      </c>
      <c r="M242" t="s">
        <v>626</v>
      </c>
      <c r="N242" t="s">
        <v>104</v>
      </c>
      <c r="O242" t="s">
        <v>174</v>
      </c>
      <c r="Q242">
        <v>1</v>
      </c>
      <c r="R242">
        <v>14</v>
      </c>
      <c r="V242" t="s">
        <v>73</v>
      </c>
      <c r="W242">
        <v>5</v>
      </c>
      <c r="X242" t="s">
        <v>34</v>
      </c>
    </row>
    <row r="243" spans="1:24" x14ac:dyDescent="0.35">
      <c r="A243" t="s">
        <v>627</v>
      </c>
      <c r="B243" t="s">
        <v>75</v>
      </c>
      <c r="C243" t="s">
        <v>141</v>
      </c>
      <c r="D243">
        <v>40</v>
      </c>
      <c r="E243">
        <v>1984</v>
      </c>
      <c r="F243">
        <v>70000</v>
      </c>
      <c r="G243" t="s">
        <v>38</v>
      </c>
      <c r="H243" t="s">
        <v>28</v>
      </c>
      <c r="I243" t="s">
        <v>40</v>
      </c>
      <c r="J243" s="14">
        <v>43881</v>
      </c>
      <c r="K243" t="s">
        <v>30</v>
      </c>
      <c r="L243">
        <v>62</v>
      </c>
      <c r="M243" t="s">
        <v>628</v>
      </c>
      <c r="N243" t="s">
        <v>54</v>
      </c>
      <c r="O243" t="s">
        <v>100</v>
      </c>
      <c r="Q243">
        <v>4</v>
      </c>
      <c r="R243" t="s">
        <v>79</v>
      </c>
      <c r="V243" t="s">
        <v>34</v>
      </c>
      <c r="W243">
        <v>3</v>
      </c>
      <c r="X243" t="s">
        <v>46</v>
      </c>
    </row>
    <row r="244" spans="1:24" x14ac:dyDescent="0.35">
      <c r="A244" t="s">
        <v>629</v>
      </c>
      <c r="B244" t="s">
        <v>36</v>
      </c>
      <c r="C244" t="s">
        <v>556</v>
      </c>
      <c r="E244">
        <v>1968</v>
      </c>
      <c r="F244">
        <v>60900</v>
      </c>
      <c r="G244" t="s">
        <v>27</v>
      </c>
      <c r="H244" t="s">
        <v>28</v>
      </c>
      <c r="I244" t="s">
        <v>40</v>
      </c>
      <c r="J244" s="14">
        <v>43195</v>
      </c>
      <c r="K244" t="s">
        <v>78</v>
      </c>
      <c r="L244">
        <v>85</v>
      </c>
      <c r="M244" t="s">
        <v>557</v>
      </c>
      <c r="O244" t="s">
        <v>174</v>
      </c>
      <c r="Q244">
        <v>7</v>
      </c>
      <c r="T244" s="14">
        <v>44990</v>
      </c>
      <c r="U244">
        <v>61</v>
      </c>
      <c r="V244" t="s">
        <v>46</v>
      </c>
      <c r="W244">
        <v>4</v>
      </c>
      <c r="X244" t="s">
        <v>34</v>
      </c>
    </row>
    <row r="245" spans="1:24" x14ac:dyDescent="0.35">
      <c r="A245" t="s">
        <v>630</v>
      </c>
      <c r="B245" t="s">
        <v>48</v>
      </c>
      <c r="C245" t="s">
        <v>189</v>
      </c>
      <c r="D245">
        <v>50</v>
      </c>
      <c r="E245">
        <v>1974</v>
      </c>
      <c r="F245">
        <v>55000</v>
      </c>
      <c r="G245" t="s">
        <v>38</v>
      </c>
      <c r="H245" t="s">
        <v>70</v>
      </c>
      <c r="I245" t="s">
        <v>77</v>
      </c>
      <c r="J245" s="14">
        <v>43881</v>
      </c>
      <c r="K245" t="s">
        <v>30</v>
      </c>
      <c r="L245">
        <v>64</v>
      </c>
      <c r="M245" t="s">
        <v>631</v>
      </c>
      <c r="N245" t="s">
        <v>43</v>
      </c>
      <c r="O245" t="s">
        <v>72</v>
      </c>
      <c r="P245" t="s">
        <v>494</v>
      </c>
      <c r="Q245">
        <v>7</v>
      </c>
      <c r="W245">
        <v>1</v>
      </c>
      <c r="X245" t="s">
        <v>46</v>
      </c>
    </row>
    <row r="246" spans="1:24" x14ac:dyDescent="0.35">
      <c r="A246" t="s">
        <v>632</v>
      </c>
      <c r="B246" t="s">
        <v>107</v>
      </c>
      <c r="C246" t="s">
        <v>355</v>
      </c>
      <c r="D246" t="s">
        <v>88</v>
      </c>
      <c r="E246">
        <v>1994</v>
      </c>
      <c r="F246" t="s">
        <v>50</v>
      </c>
      <c r="G246" t="s">
        <v>27</v>
      </c>
      <c r="H246" t="s">
        <v>51</v>
      </c>
      <c r="I246" t="s">
        <v>40</v>
      </c>
      <c r="J246" s="14">
        <v>43549</v>
      </c>
      <c r="K246" t="s">
        <v>78</v>
      </c>
      <c r="L246">
        <v>87</v>
      </c>
      <c r="M246" t="s">
        <v>356</v>
      </c>
      <c r="N246" t="s">
        <v>43</v>
      </c>
      <c r="O246" t="s">
        <v>72</v>
      </c>
      <c r="Q246">
        <v>4</v>
      </c>
      <c r="R246" t="s">
        <v>79</v>
      </c>
      <c r="S246">
        <v>0</v>
      </c>
      <c r="V246" t="s">
        <v>33</v>
      </c>
      <c r="W246">
        <v>1</v>
      </c>
      <c r="X246" t="s">
        <v>34</v>
      </c>
    </row>
    <row r="247" spans="1:24" x14ac:dyDescent="0.35">
      <c r="A247" t="s">
        <v>633</v>
      </c>
      <c r="B247" t="s">
        <v>48</v>
      </c>
      <c r="C247" t="s">
        <v>459</v>
      </c>
      <c r="D247">
        <v>50</v>
      </c>
      <c r="E247">
        <v>1974</v>
      </c>
      <c r="F247">
        <v>60900</v>
      </c>
      <c r="G247" t="s">
        <v>27</v>
      </c>
      <c r="H247" t="s">
        <v>28</v>
      </c>
      <c r="I247" t="s">
        <v>40</v>
      </c>
      <c r="J247" s="14">
        <v>43881</v>
      </c>
      <c r="K247" t="s">
        <v>30</v>
      </c>
      <c r="L247">
        <v>64</v>
      </c>
      <c r="M247" t="s">
        <v>460</v>
      </c>
      <c r="N247" t="s">
        <v>43</v>
      </c>
      <c r="O247" t="s">
        <v>32</v>
      </c>
      <c r="Q247">
        <v>2</v>
      </c>
      <c r="R247" t="s">
        <v>79</v>
      </c>
      <c r="S247">
        <v>0</v>
      </c>
      <c r="T247" s="14">
        <v>44732</v>
      </c>
      <c r="V247" t="s">
        <v>73</v>
      </c>
      <c r="W247">
        <v>1</v>
      </c>
      <c r="X247" t="s">
        <v>34</v>
      </c>
    </row>
    <row r="248" spans="1:24" x14ac:dyDescent="0.35">
      <c r="A248" t="s">
        <v>634</v>
      </c>
      <c r="B248" t="s">
        <v>131</v>
      </c>
      <c r="C248" t="s">
        <v>635</v>
      </c>
      <c r="D248" t="s">
        <v>88</v>
      </c>
      <c r="E248">
        <v>1994</v>
      </c>
      <c r="F248">
        <v>65000</v>
      </c>
      <c r="G248" t="s">
        <v>38</v>
      </c>
      <c r="H248" t="s">
        <v>82</v>
      </c>
      <c r="I248" t="s">
        <v>40</v>
      </c>
      <c r="J248" s="14">
        <v>43549</v>
      </c>
      <c r="K248" t="s">
        <v>52</v>
      </c>
      <c r="L248">
        <v>76</v>
      </c>
      <c r="M248" t="s">
        <v>636</v>
      </c>
      <c r="N248" t="s">
        <v>54</v>
      </c>
      <c r="O248" t="s">
        <v>112</v>
      </c>
      <c r="Q248">
        <v>8</v>
      </c>
      <c r="T248" s="14">
        <v>44941</v>
      </c>
      <c r="U248">
        <v>8</v>
      </c>
      <c r="W248">
        <v>4</v>
      </c>
      <c r="X248" t="s">
        <v>34</v>
      </c>
    </row>
    <row r="249" spans="1:24" x14ac:dyDescent="0.35">
      <c r="A249" t="s">
        <v>637</v>
      </c>
      <c r="B249" t="s">
        <v>48</v>
      </c>
      <c r="C249" t="s">
        <v>459</v>
      </c>
      <c r="E249">
        <v>1981</v>
      </c>
      <c r="F249">
        <v>70000</v>
      </c>
      <c r="G249" t="s">
        <v>38</v>
      </c>
      <c r="H249" t="s">
        <v>64</v>
      </c>
      <c r="I249" t="s">
        <v>29</v>
      </c>
      <c r="J249" s="14">
        <v>43881</v>
      </c>
      <c r="K249" t="s">
        <v>59</v>
      </c>
      <c r="L249">
        <v>99</v>
      </c>
      <c r="M249" t="s">
        <v>460</v>
      </c>
      <c r="N249" t="s">
        <v>43</v>
      </c>
      <c r="O249" t="s">
        <v>100</v>
      </c>
      <c r="P249" t="s">
        <v>638</v>
      </c>
      <c r="Q249">
        <v>8</v>
      </c>
      <c r="U249">
        <v>8</v>
      </c>
      <c r="W249">
        <v>5</v>
      </c>
      <c r="X249" t="s">
        <v>46</v>
      </c>
    </row>
    <row r="250" spans="1:24" x14ac:dyDescent="0.35">
      <c r="A250" t="s">
        <v>639</v>
      </c>
      <c r="B250" t="s">
        <v>36</v>
      </c>
      <c r="C250" t="s">
        <v>318</v>
      </c>
      <c r="D250">
        <v>50</v>
      </c>
      <c r="E250">
        <v>1974</v>
      </c>
      <c r="F250">
        <v>55000</v>
      </c>
      <c r="G250" t="s">
        <v>27</v>
      </c>
      <c r="H250" t="s">
        <v>122</v>
      </c>
      <c r="I250" t="s">
        <v>77</v>
      </c>
      <c r="J250" s="14">
        <v>43549</v>
      </c>
      <c r="K250" t="s">
        <v>52</v>
      </c>
      <c r="L250">
        <v>79</v>
      </c>
      <c r="M250" t="s">
        <v>419</v>
      </c>
      <c r="N250" t="s">
        <v>61</v>
      </c>
      <c r="O250" t="s">
        <v>72</v>
      </c>
      <c r="Q250">
        <v>8</v>
      </c>
      <c r="R250" t="s">
        <v>79</v>
      </c>
      <c r="T250" s="14">
        <v>44732</v>
      </c>
      <c r="V250" t="s">
        <v>73</v>
      </c>
      <c r="W250">
        <v>2</v>
      </c>
      <c r="X250" t="s">
        <v>46</v>
      </c>
    </row>
    <row r="251" spans="1:24" x14ac:dyDescent="0.35">
      <c r="A251" t="s">
        <v>640</v>
      </c>
      <c r="B251" t="s">
        <v>131</v>
      </c>
      <c r="C251" t="s">
        <v>305</v>
      </c>
      <c r="D251">
        <v>35</v>
      </c>
      <c r="E251">
        <v>1989</v>
      </c>
      <c r="F251" t="s">
        <v>50</v>
      </c>
      <c r="G251" t="s">
        <v>38</v>
      </c>
      <c r="H251" t="s">
        <v>93</v>
      </c>
      <c r="I251" t="s">
        <v>94</v>
      </c>
      <c r="J251" s="14">
        <v>43195</v>
      </c>
      <c r="K251" t="s">
        <v>59</v>
      </c>
      <c r="L251">
        <v>100</v>
      </c>
      <c r="M251" t="s">
        <v>306</v>
      </c>
      <c r="N251" t="s">
        <v>61</v>
      </c>
      <c r="O251" t="s">
        <v>66</v>
      </c>
      <c r="P251" t="s">
        <v>86</v>
      </c>
      <c r="Q251">
        <v>2</v>
      </c>
      <c r="V251" t="s">
        <v>46</v>
      </c>
      <c r="W251">
        <v>2</v>
      </c>
      <c r="X251" t="s">
        <v>46</v>
      </c>
    </row>
    <row r="252" spans="1:24" x14ac:dyDescent="0.35">
      <c r="A252" t="s">
        <v>641</v>
      </c>
      <c r="B252" t="s">
        <v>48</v>
      </c>
      <c r="C252" t="s">
        <v>225</v>
      </c>
      <c r="D252">
        <v>25</v>
      </c>
      <c r="E252">
        <v>1999</v>
      </c>
      <c r="F252">
        <v>60000</v>
      </c>
      <c r="G252" t="s">
        <v>38</v>
      </c>
      <c r="H252" t="s">
        <v>70</v>
      </c>
      <c r="I252" t="s">
        <v>29</v>
      </c>
      <c r="J252" s="14">
        <v>43800</v>
      </c>
      <c r="K252" t="s">
        <v>52</v>
      </c>
      <c r="L252">
        <v>71</v>
      </c>
      <c r="M252" t="s">
        <v>226</v>
      </c>
      <c r="N252" t="s">
        <v>43</v>
      </c>
      <c r="O252" t="s">
        <v>100</v>
      </c>
      <c r="Q252">
        <v>8</v>
      </c>
      <c r="S252">
        <v>5</v>
      </c>
      <c r="U252">
        <v>46</v>
      </c>
      <c r="V252" t="s">
        <v>34</v>
      </c>
      <c r="W252">
        <v>3</v>
      </c>
      <c r="X252" t="s">
        <v>34</v>
      </c>
    </row>
    <row r="253" spans="1:24" x14ac:dyDescent="0.35">
      <c r="A253" t="s">
        <v>642</v>
      </c>
      <c r="B253" t="s">
        <v>36</v>
      </c>
      <c r="C253" t="s">
        <v>179</v>
      </c>
      <c r="D253">
        <v>35</v>
      </c>
      <c r="E253">
        <v>1989</v>
      </c>
      <c r="F253">
        <v>59800</v>
      </c>
      <c r="G253" t="s">
        <v>27</v>
      </c>
      <c r="H253" t="s">
        <v>122</v>
      </c>
      <c r="I253" t="s">
        <v>89</v>
      </c>
      <c r="J253" s="14">
        <v>43549</v>
      </c>
      <c r="K253" t="s">
        <v>52</v>
      </c>
      <c r="L253">
        <v>79</v>
      </c>
      <c r="M253" t="s">
        <v>643</v>
      </c>
      <c r="N253" t="s">
        <v>61</v>
      </c>
      <c r="O253" t="s">
        <v>174</v>
      </c>
      <c r="Q253">
        <v>8</v>
      </c>
      <c r="S253">
        <v>4</v>
      </c>
      <c r="T253" s="14">
        <v>44941</v>
      </c>
      <c r="V253" t="s">
        <v>73</v>
      </c>
      <c r="W253">
        <v>2</v>
      </c>
      <c r="X253" t="s">
        <v>34</v>
      </c>
    </row>
    <row r="254" spans="1:24" x14ac:dyDescent="0.35">
      <c r="A254" t="s">
        <v>644</v>
      </c>
      <c r="B254" t="s">
        <v>107</v>
      </c>
      <c r="C254" t="s">
        <v>121</v>
      </c>
      <c r="D254">
        <v>40</v>
      </c>
      <c r="E254">
        <v>1984</v>
      </c>
      <c r="F254">
        <v>55000</v>
      </c>
      <c r="G254" t="s">
        <v>27</v>
      </c>
      <c r="H254" t="s">
        <v>82</v>
      </c>
      <c r="I254" t="s">
        <v>77</v>
      </c>
      <c r="J254" s="14">
        <v>43549</v>
      </c>
      <c r="K254" t="s">
        <v>78</v>
      </c>
      <c r="L254">
        <v>81</v>
      </c>
      <c r="M254" t="s">
        <v>123</v>
      </c>
      <c r="O254" t="s">
        <v>100</v>
      </c>
      <c r="Q254">
        <v>6</v>
      </c>
      <c r="S254">
        <v>9</v>
      </c>
      <c r="V254" t="s">
        <v>34</v>
      </c>
      <c r="W254">
        <v>4</v>
      </c>
      <c r="X254" t="s">
        <v>46</v>
      </c>
    </row>
    <row r="255" spans="1:24" x14ac:dyDescent="0.35">
      <c r="A255" t="s">
        <v>645</v>
      </c>
      <c r="B255" t="s">
        <v>48</v>
      </c>
      <c r="C255" t="s">
        <v>179</v>
      </c>
      <c r="E255">
        <v>1998</v>
      </c>
      <c r="F255">
        <v>65000</v>
      </c>
      <c r="G255" t="s">
        <v>27</v>
      </c>
      <c r="H255" t="s">
        <v>64</v>
      </c>
      <c r="I255" t="s">
        <v>77</v>
      </c>
      <c r="J255" s="14">
        <v>43195</v>
      </c>
      <c r="K255" t="s">
        <v>41</v>
      </c>
      <c r="L255">
        <v>50</v>
      </c>
      <c r="M255" t="s">
        <v>646</v>
      </c>
      <c r="N255" t="s">
        <v>61</v>
      </c>
      <c r="O255" t="s">
        <v>112</v>
      </c>
      <c r="Q255">
        <v>2</v>
      </c>
      <c r="R255" t="s">
        <v>79</v>
      </c>
      <c r="S255">
        <v>5</v>
      </c>
      <c r="V255" t="s">
        <v>73</v>
      </c>
      <c r="W255">
        <v>3</v>
      </c>
      <c r="X255" t="s">
        <v>46</v>
      </c>
    </row>
    <row r="256" spans="1:24" x14ac:dyDescent="0.35">
      <c r="A256" t="s">
        <v>647</v>
      </c>
      <c r="B256" t="s">
        <v>36</v>
      </c>
      <c r="C256" t="s">
        <v>524</v>
      </c>
      <c r="D256">
        <v>35</v>
      </c>
      <c r="E256">
        <v>1989</v>
      </c>
      <c r="F256">
        <v>55000</v>
      </c>
      <c r="G256" t="s">
        <v>27</v>
      </c>
      <c r="H256" t="s">
        <v>64</v>
      </c>
      <c r="I256" t="s">
        <v>89</v>
      </c>
      <c r="J256" s="14">
        <v>43549</v>
      </c>
      <c r="K256" t="s">
        <v>30</v>
      </c>
      <c r="L256">
        <v>68</v>
      </c>
      <c r="M256" t="s">
        <v>648</v>
      </c>
      <c r="N256" t="s">
        <v>43</v>
      </c>
      <c r="O256" t="s">
        <v>72</v>
      </c>
      <c r="Q256">
        <v>8</v>
      </c>
      <c r="T256" s="14">
        <v>45516</v>
      </c>
      <c r="W256">
        <v>3</v>
      </c>
      <c r="X256" t="s">
        <v>34</v>
      </c>
    </row>
    <row r="257" spans="1:24" x14ac:dyDescent="0.35">
      <c r="A257" t="s">
        <v>649</v>
      </c>
      <c r="B257" t="s">
        <v>75</v>
      </c>
      <c r="C257" t="s">
        <v>625</v>
      </c>
      <c r="D257" t="s">
        <v>88</v>
      </c>
      <c r="E257">
        <v>1994</v>
      </c>
      <c r="F257">
        <v>61600</v>
      </c>
      <c r="G257" t="s">
        <v>27</v>
      </c>
      <c r="H257" t="s">
        <v>70</v>
      </c>
      <c r="I257" t="s">
        <v>89</v>
      </c>
      <c r="J257" s="14">
        <v>43845</v>
      </c>
      <c r="K257" t="s">
        <v>30</v>
      </c>
      <c r="L257">
        <v>67</v>
      </c>
      <c r="M257" t="s">
        <v>626</v>
      </c>
      <c r="N257" t="s">
        <v>104</v>
      </c>
      <c r="O257" t="s">
        <v>100</v>
      </c>
      <c r="Q257">
        <v>1</v>
      </c>
      <c r="V257" t="s">
        <v>33</v>
      </c>
      <c r="W257">
        <v>3</v>
      </c>
      <c r="X257" t="s">
        <v>46</v>
      </c>
    </row>
    <row r="258" spans="1:24" x14ac:dyDescent="0.35">
      <c r="A258" t="s">
        <v>650</v>
      </c>
      <c r="B258" t="s">
        <v>140</v>
      </c>
      <c r="C258" t="s">
        <v>110</v>
      </c>
      <c r="D258">
        <v>40</v>
      </c>
      <c r="E258">
        <v>1984</v>
      </c>
      <c r="F258">
        <v>50000</v>
      </c>
      <c r="G258" t="s">
        <v>38</v>
      </c>
      <c r="H258" t="s">
        <v>39</v>
      </c>
      <c r="I258" t="s">
        <v>89</v>
      </c>
      <c r="J258" s="14">
        <v>43195</v>
      </c>
      <c r="K258" t="s">
        <v>30</v>
      </c>
      <c r="L258">
        <v>67</v>
      </c>
      <c r="M258" t="s">
        <v>651</v>
      </c>
      <c r="O258" t="s">
        <v>174</v>
      </c>
      <c r="Q258">
        <v>2</v>
      </c>
      <c r="V258" t="s">
        <v>482</v>
      </c>
      <c r="W258">
        <v>2</v>
      </c>
      <c r="X258" t="s">
        <v>46</v>
      </c>
    </row>
    <row r="259" spans="1:24" x14ac:dyDescent="0.35">
      <c r="A259" t="s">
        <v>652</v>
      </c>
      <c r="B259" t="s">
        <v>75</v>
      </c>
      <c r="C259" t="s">
        <v>76</v>
      </c>
      <c r="D259">
        <v>40</v>
      </c>
      <c r="E259">
        <v>1984</v>
      </c>
      <c r="F259" t="s">
        <v>50</v>
      </c>
      <c r="G259" t="s">
        <v>38</v>
      </c>
      <c r="H259" t="s">
        <v>58</v>
      </c>
      <c r="I259" t="s">
        <v>94</v>
      </c>
      <c r="J259" s="14">
        <v>43845</v>
      </c>
      <c r="K259" t="s">
        <v>59</v>
      </c>
      <c r="L259">
        <v>92</v>
      </c>
      <c r="M259" t="s">
        <v>653</v>
      </c>
      <c r="N259" t="s">
        <v>54</v>
      </c>
      <c r="O259" t="s">
        <v>32</v>
      </c>
      <c r="Q259">
        <v>7</v>
      </c>
      <c r="R259">
        <v>8</v>
      </c>
      <c r="S259">
        <v>20</v>
      </c>
      <c r="V259" t="s">
        <v>169</v>
      </c>
      <c r="W259">
        <v>1</v>
      </c>
      <c r="X259" t="s">
        <v>34</v>
      </c>
    </row>
    <row r="260" spans="1:24" x14ac:dyDescent="0.35">
      <c r="A260" t="s">
        <v>654</v>
      </c>
      <c r="B260" t="s">
        <v>140</v>
      </c>
      <c r="C260" t="s">
        <v>148</v>
      </c>
      <c r="D260">
        <v>35</v>
      </c>
      <c r="E260">
        <v>1989</v>
      </c>
      <c r="F260">
        <v>55000</v>
      </c>
      <c r="G260" t="s">
        <v>38</v>
      </c>
      <c r="H260" t="s">
        <v>82</v>
      </c>
      <c r="I260" t="s">
        <v>40</v>
      </c>
      <c r="J260" s="14">
        <v>43195</v>
      </c>
      <c r="K260" t="s">
        <v>30</v>
      </c>
      <c r="L260">
        <v>64</v>
      </c>
      <c r="M260" t="s">
        <v>655</v>
      </c>
      <c r="N260" t="s">
        <v>43</v>
      </c>
      <c r="O260" t="s">
        <v>32</v>
      </c>
      <c r="P260" t="s">
        <v>656</v>
      </c>
      <c r="Q260">
        <v>7</v>
      </c>
      <c r="R260">
        <v>15</v>
      </c>
      <c r="V260" t="s">
        <v>34</v>
      </c>
      <c r="W260">
        <v>2</v>
      </c>
      <c r="X260" t="s">
        <v>46</v>
      </c>
    </row>
    <row r="261" spans="1:24" x14ac:dyDescent="0.35">
      <c r="A261" t="s">
        <v>657</v>
      </c>
      <c r="B261" t="s">
        <v>114</v>
      </c>
      <c r="C261" t="s">
        <v>403</v>
      </c>
      <c r="D261">
        <v>35</v>
      </c>
      <c r="E261">
        <v>1989</v>
      </c>
      <c r="F261">
        <v>58600</v>
      </c>
      <c r="G261" t="s">
        <v>27</v>
      </c>
      <c r="H261" t="s">
        <v>122</v>
      </c>
      <c r="I261" t="s">
        <v>77</v>
      </c>
      <c r="J261" s="14">
        <v>43549</v>
      </c>
      <c r="K261" t="s">
        <v>30</v>
      </c>
      <c r="L261">
        <v>64</v>
      </c>
      <c r="M261" t="s">
        <v>658</v>
      </c>
      <c r="N261" t="s">
        <v>54</v>
      </c>
      <c r="O261" t="s">
        <v>72</v>
      </c>
      <c r="Q261">
        <v>1</v>
      </c>
      <c r="T261" s="14">
        <v>45516</v>
      </c>
      <c r="V261" t="s">
        <v>34</v>
      </c>
      <c r="W261">
        <v>4</v>
      </c>
      <c r="X261" t="s">
        <v>34</v>
      </c>
    </row>
    <row r="262" spans="1:24" x14ac:dyDescent="0.35">
      <c r="A262" t="s">
        <v>659</v>
      </c>
      <c r="B262" t="s">
        <v>114</v>
      </c>
      <c r="C262" t="s">
        <v>524</v>
      </c>
      <c r="E262">
        <v>1973</v>
      </c>
      <c r="F262">
        <v>65000</v>
      </c>
      <c r="G262" t="s">
        <v>27</v>
      </c>
      <c r="H262" t="s">
        <v>145</v>
      </c>
      <c r="I262" t="s">
        <v>40</v>
      </c>
      <c r="J262" s="14">
        <v>43845</v>
      </c>
      <c r="K262" t="s">
        <v>78</v>
      </c>
      <c r="L262">
        <v>85</v>
      </c>
      <c r="M262" t="s">
        <v>660</v>
      </c>
      <c r="N262" t="s">
        <v>104</v>
      </c>
      <c r="O262" t="s">
        <v>32</v>
      </c>
      <c r="Q262">
        <v>1</v>
      </c>
      <c r="R262" t="s">
        <v>79</v>
      </c>
      <c r="V262" t="s">
        <v>33</v>
      </c>
      <c r="W262">
        <v>3</v>
      </c>
      <c r="X262" t="s">
        <v>34</v>
      </c>
    </row>
    <row r="263" spans="1:24" x14ac:dyDescent="0.35">
      <c r="A263" t="s">
        <v>661</v>
      </c>
      <c r="B263" t="s">
        <v>114</v>
      </c>
      <c r="C263" t="s">
        <v>662</v>
      </c>
      <c r="D263">
        <v>25</v>
      </c>
      <c r="E263">
        <v>1999</v>
      </c>
      <c r="F263">
        <v>60500</v>
      </c>
      <c r="G263" t="s">
        <v>27</v>
      </c>
      <c r="H263" t="s">
        <v>70</v>
      </c>
      <c r="I263" t="s">
        <v>40</v>
      </c>
      <c r="J263" s="14">
        <v>43549</v>
      </c>
      <c r="K263" t="s">
        <v>52</v>
      </c>
      <c r="L263">
        <v>78</v>
      </c>
      <c r="M263" t="s">
        <v>663</v>
      </c>
      <c r="N263" t="s">
        <v>54</v>
      </c>
      <c r="O263" t="s">
        <v>66</v>
      </c>
      <c r="Q263">
        <v>2</v>
      </c>
      <c r="R263">
        <v>2</v>
      </c>
      <c r="T263" s="14">
        <v>44941</v>
      </c>
      <c r="V263" t="s">
        <v>33</v>
      </c>
      <c r="W263">
        <v>2</v>
      </c>
      <c r="X263" t="s">
        <v>46</v>
      </c>
    </row>
    <row r="264" spans="1:24" x14ac:dyDescent="0.35">
      <c r="A264" t="s">
        <v>664</v>
      </c>
      <c r="B264" t="s">
        <v>107</v>
      </c>
      <c r="C264" t="s">
        <v>158</v>
      </c>
      <c r="D264">
        <v>35</v>
      </c>
      <c r="E264">
        <v>1989</v>
      </c>
      <c r="F264">
        <v>65000</v>
      </c>
      <c r="G264" t="s">
        <v>27</v>
      </c>
      <c r="H264" t="s">
        <v>64</v>
      </c>
      <c r="I264" t="s">
        <v>89</v>
      </c>
      <c r="J264" s="14">
        <v>43195</v>
      </c>
      <c r="K264" t="s">
        <v>30</v>
      </c>
      <c r="L264">
        <v>67</v>
      </c>
      <c r="M264" t="s">
        <v>665</v>
      </c>
      <c r="N264" t="s">
        <v>43</v>
      </c>
      <c r="O264" t="s">
        <v>112</v>
      </c>
      <c r="Q264">
        <v>5</v>
      </c>
      <c r="V264" t="s">
        <v>73</v>
      </c>
      <c r="W264">
        <v>1</v>
      </c>
      <c r="X264" t="s">
        <v>34</v>
      </c>
    </row>
    <row r="265" spans="1:24" x14ac:dyDescent="0.35">
      <c r="A265" t="s">
        <v>666</v>
      </c>
      <c r="B265" t="s">
        <v>75</v>
      </c>
      <c r="C265" t="s">
        <v>76</v>
      </c>
      <c r="D265">
        <v>35</v>
      </c>
      <c r="E265">
        <v>1989</v>
      </c>
      <c r="F265">
        <v>55000</v>
      </c>
      <c r="G265" t="s">
        <v>38</v>
      </c>
      <c r="H265" t="s">
        <v>51</v>
      </c>
      <c r="I265" t="s">
        <v>94</v>
      </c>
      <c r="J265" s="14">
        <v>43549</v>
      </c>
      <c r="K265" t="s">
        <v>41</v>
      </c>
      <c r="L265">
        <v>2</v>
      </c>
      <c r="M265" t="s">
        <v>653</v>
      </c>
      <c r="N265" t="s">
        <v>43</v>
      </c>
      <c r="O265" t="s">
        <v>32</v>
      </c>
      <c r="Q265">
        <v>4</v>
      </c>
      <c r="R265">
        <v>4</v>
      </c>
      <c r="V265" t="s">
        <v>34</v>
      </c>
      <c r="W265">
        <v>2</v>
      </c>
      <c r="X265" t="s">
        <v>34</v>
      </c>
    </row>
    <row r="266" spans="1:24" x14ac:dyDescent="0.35">
      <c r="A266" t="s">
        <v>667</v>
      </c>
      <c r="B266" t="s">
        <v>140</v>
      </c>
      <c r="C266" t="s">
        <v>268</v>
      </c>
      <c r="D266">
        <v>50</v>
      </c>
      <c r="E266">
        <v>1974</v>
      </c>
      <c r="F266">
        <v>65000</v>
      </c>
      <c r="G266" t="s">
        <v>27</v>
      </c>
      <c r="H266" t="s">
        <v>64</v>
      </c>
      <c r="I266" t="s">
        <v>29</v>
      </c>
      <c r="J266" s="14">
        <v>43845</v>
      </c>
      <c r="K266" t="s">
        <v>30</v>
      </c>
      <c r="L266">
        <v>61</v>
      </c>
      <c r="M266" t="s">
        <v>269</v>
      </c>
      <c r="N266" t="s">
        <v>104</v>
      </c>
      <c r="O266" t="s">
        <v>32</v>
      </c>
      <c r="P266" t="s">
        <v>312</v>
      </c>
      <c r="Q266">
        <v>8</v>
      </c>
      <c r="V266" t="s">
        <v>34</v>
      </c>
      <c r="W266">
        <v>4</v>
      </c>
      <c r="X266" t="s">
        <v>34</v>
      </c>
    </row>
    <row r="267" spans="1:24" x14ac:dyDescent="0.35">
      <c r="A267" t="s">
        <v>668</v>
      </c>
      <c r="B267" t="s">
        <v>36</v>
      </c>
      <c r="C267" t="s">
        <v>256</v>
      </c>
      <c r="D267" t="s">
        <v>88</v>
      </c>
      <c r="E267">
        <v>1994</v>
      </c>
      <c r="F267">
        <v>70000</v>
      </c>
      <c r="G267" t="s">
        <v>38</v>
      </c>
      <c r="H267" t="s">
        <v>28</v>
      </c>
      <c r="I267" t="s">
        <v>94</v>
      </c>
      <c r="J267" s="14">
        <v>43845</v>
      </c>
      <c r="K267" t="s">
        <v>59</v>
      </c>
      <c r="L267">
        <v>93</v>
      </c>
      <c r="M267" t="s">
        <v>669</v>
      </c>
      <c r="N267" t="s">
        <v>43</v>
      </c>
      <c r="O267" t="s">
        <v>66</v>
      </c>
      <c r="P267" t="s">
        <v>670</v>
      </c>
      <c r="Q267">
        <v>6</v>
      </c>
      <c r="S267">
        <v>2</v>
      </c>
      <c r="V267" t="s">
        <v>33</v>
      </c>
      <c r="W267">
        <v>2</v>
      </c>
      <c r="X267" t="s">
        <v>46</v>
      </c>
    </row>
    <row r="268" spans="1:24" x14ac:dyDescent="0.35">
      <c r="A268" t="s">
        <v>671</v>
      </c>
      <c r="B268" t="s">
        <v>131</v>
      </c>
      <c r="C268" t="s">
        <v>259</v>
      </c>
      <c r="D268">
        <v>50</v>
      </c>
      <c r="E268">
        <v>1974</v>
      </c>
      <c r="F268">
        <v>70000</v>
      </c>
      <c r="G268" t="s">
        <v>27</v>
      </c>
      <c r="H268" t="s">
        <v>28</v>
      </c>
      <c r="I268" t="s">
        <v>40</v>
      </c>
      <c r="J268" s="14">
        <v>43549</v>
      </c>
      <c r="K268" t="s">
        <v>59</v>
      </c>
      <c r="L268">
        <v>95</v>
      </c>
      <c r="M268" t="s">
        <v>672</v>
      </c>
      <c r="N268" t="s">
        <v>104</v>
      </c>
      <c r="O268" t="s">
        <v>112</v>
      </c>
      <c r="Q268">
        <v>6</v>
      </c>
      <c r="W268">
        <v>1</v>
      </c>
      <c r="X268" t="s">
        <v>46</v>
      </c>
    </row>
    <row r="269" spans="1:24" x14ac:dyDescent="0.35">
      <c r="A269" t="s">
        <v>673</v>
      </c>
      <c r="B269" t="s">
        <v>36</v>
      </c>
      <c r="C269" t="s">
        <v>240</v>
      </c>
      <c r="D269">
        <v>50</v>
      </c>
      <c r="E269">
        <v>1974</v>
      </c>
      <c r="F269">
        <v>70000</v>
      </c>
      <c r="G269" t="s">
        <v>38</v>
      </c>
      <c r="H269" t="s">
        <v>28</v>
      </c>
      <c r="I269" t="s">
        <v>94</v>
      </c>
      <c r="J269" s="14">
        <v>43881</v>
      </c>
      <c r="K269" t="s">
        <v>59</v>
      </c>
      <c r="L269">
        <v>92</v>
      </c>
      <c r="M269" t="s">
        <v>241</v>
      </c>
      <c r="N269" t="s">
        <v>104</v>
      </c>
      <c r="O269" t="s">
        <v>100</v>
      </c>
      <c r="Q269">
        <v>1</v>
      </c>
      <c r="V269" t="s">
        <v>46</v>
      </c>
      <c r="W269">
        <v>4</v>
      </c>
      <c r="X269" t="s">
        <v>34</v>
      </c>
    </row>
    <row r="270" spans="1:24" x14ac:dyDescent="0.35">
      <c r="A270" t="s">
        <v>674</v>
      </c>
      <c r="B270" t="s">
        <v>131</v>
      </c>
      <c r="C270" t="s">
        <v>285</v>
      </c>
      <c r="D270">
        <v>40</v>
      </c>
      <c r="E270">
        <v>1984</v>
      </c>
      <c r="F270">
        <v>50000</v>
      </c>
      <c r="G270" t="s">
        <v>38</v>
      </c>
      <c r="H270" t="s">
        <v>64</v>
      </c>
      <c r="I270" t="s">
        <v>89</v>
      </c>
      <c r="J270" s="14">
        <v>43195</v>
      </c>
      <c r="K270" t="s">
        <v>30</v>
      </c>
      <c r="L270">
        <v>65</v>
      </c>
      <c r="M270" t="s">
        <v>286</v>
      </c>
      <c r="N270" t="s">
        <v>43</v>
      </c>
      <c r="O270" t="s">
        <v>112</v>
      </c>
      <c r="Q270">
        <v>4</v>
      </c>
      <c r="S270">
        <v>15</v>
      </c>
      <c r="T270" s="14">
        <v>45516</v>
      </c>
      <c r="V270" t="s">
        <v>34</v>
      </c>
      <c r="W270">
        <v>2</v>
      </c>
      <c r="X270" t="s">
        <v>46</v>
      </c>
    </row>
    <row r="271" spans="1:24" x14ac:dyDescent="0.35">
      <c r="A271" t="s">
        <v>675</v>
      </c>
      <c r="B271" t="s">
        <v>56</v>
      </c>
      <c r="C271" t="s">
        <v>676</v>
      </c>
      <c r="D271">
        <v>25</v>
      </c>
      <c r="E271">
        <v>1999</v>
      </c>
      <c r="F271">
        <v>55000</v>
      </c>
      <c r="G271" t="s">
        <v>27</v>
      </c>
      <c r="H271" t="s">
        <v>51</v>
      </c>
      <c r="I271" t="s">
        <v>29</v>
      </c>
      <c r="J271" s="14">
        <v>43195</v>
      </c>
      <c r="K271" t="s">
        <v>78</v>
      </c>
      <c r="L271">
        <v>87</v>
      </c>
      <c r="M271" t="s">
        <v>677</v>
      </c>
      <c r="N271" t="s">
        <v>61</v>
      </c>
      <c r="O271" t="s">
        <v>44</v>
      </c>
      <c r="Q271">
        <v>8</v>
      </c>
      <c r="S271">
        <v>18</v>
      </c>
      <c r="V271" t="s">
        <v>34</v>
      </c>
      <c r="W271">
        <v>1</v>
      </c>
      <c r="X271" t="s">
        <v>46</v>
      </c>
    </row>
    <row r="272" spans="1:24" x14ac:dyDescent="0.35">
      <c r="A272" t="s">
        <v>678</v>
      </c>
      <c r="B272" t="s">
        <v>36</v>
      </c>
      <c r="C272" t="s">
        <v>135</v>
      </c>
      <c r="D272" t="s">
        <v>88</v>
      </c>
      <c r="E272">
        <v>1994</v>
      </c>
      <c r="F272">
        <v>61500</v>
      </c>
      <c r="G272" t="s">
        <v>38</v>
      </c>
      <c r="H272" t="s">
        <v>28</v>
      </c>
      <c r="I272" t="s">
        <v>89</v>
      </c>
      <c r="J272" s="14">
        <v>43549</v>
      </c>
      <c r="K272" t="s">
        <v>41</v>
      </c>
      <c r="L272">
        <v>3</v>
      </c>
      <c r="M272" t="s">
        <v>679</v>
      </c>
      <c r="N272" t="s">
        <v>104</v>
      </c>
      <c r="O272" t="s">
        <v>72</v>
      </c>
      <c r="Q272">
        <v>6</v>
      </c>
      <c r="U272">
        <v>14</v>
      </c>
      <c r="V272" t="s">
        <v>73</v>
      </c>
      <c r="W272">
        <v>3</v>
      </c>
      <c r="X272" t="s">
        <v>46</v>
      </c>
    </row>
    <row r="273" spans="1:24" x14ac:dyDescent="0.35">
      <c r="A273" t="s">
        <v>680</v>
      </c>
      <c r="B273" t="s">
        <v>48</v>
      </c>
      <c r="C273" t="s">
        <v>681</v>
      </c>
      <c r="E273">
        <v>1974</v>
      </c>
      <c r="F273">
        <v>61500</v>
      </c>
      <c r="G273" t="s">
        <v>38</v>
      </c>
      <c r="H273" t="s">
        <v>51</v>
      </c>
      <c r="I273" t="s">
        <v>29</v>
      </c>
      <c r="J273" s="14">
        <v>43881</v>
      </c>
      <c r="K273" t="s">
        <v>30</v>
      </c>
      <c r="L273">
        <v>61</v>
      </c>
      <c r="M273" t="s">
        <v>682</v>
      </c>
      <c r="N273" t="s">
        <v>43</v>
      </c>
      <c r="O273" t="s">
        <v>72</v>
      </c>
      <c r="Q273">
        <v>8</v>
      </c>
      <c r="S273">
        <v>13</v>
      </c>
      <c r="T273" s="14">
        <v>45516</v>
      </c>
      <c r="V273" t="s">
        <v>33</v>
      </c>
      <c r="W273">
        <v>2</v>
      </c>
      <c r="X273" t="s">
        <v>34</v>
      </c>
    </row>
    <row r="274" spans="1:24" x14ac:dyDescent="0.35">
      <c r="A274" t="s">
        <v>683</v>
      </c>
      <c r="B274" t="s">
        <v>48</v>
      </c>
      <c r="C274" t="s">
        <v>135</v>
      </c>
      <c r="E274">
        <v>1973</v>
      </c>
      <c r="F274">
        <v>50000</v>
      </c>
      <c r="G274" t="s">
        <v>27</v>
      </c>
      <c r="H274" t="s">
        <v>64</v>
      </c>
      <c r="I274" t="s">
        <v>40</v>
      </c>
      <c r="J274" s="14">
        <v>43845</v>
      </c>
      <c r="K274" t="s">
        <v>78</v>
      </c>
      <c r="L274">
        <v>81</v>
      </c>
      <c r="M274" t="s">
        <v>684</v>
      </c>
      <c r="N274" t="s">
        <v>61</v>
      </c>
      <c r="O274" t="s">
        <v>44</v>
      </c>
      <c r="Q274">
        <v>6</v>
      </c>
      <c r="R274">
        <v>1</v>
      </c>
      <c r="S274">
        <v>11</v>
      </c>
      <c r="V274" t="s">
        <v>169</v>
      </c>
      <c r="W274">
        <v>4</v>
      </c>
      <c r="X274" t="s">
        <v>34</v>
      </c>
    </row>
    <row r="275" spans="1:24" x14ac:dyDescent="0.35">
      <c r="A275" t="s">
        <v>685</v>
      </c>
      <c r="B275" t="s">
        <v>25</v>
      </c>
      <c r="C275" t="s">
        <v>377</v>
      </c>
      <c r="D275">
        <v>35</v>
      </c>
      <c r="E275">
        <v>1989</v>
      </c>
      <c r="F275">
        <v>65000</v>
      </c>
      <c r="G275" t="s">
        <v>27</v>
      </c>
      <c r="H275" t="s">
        <v>145</v>
      </c>
      <c r="I275" t="s">
        <v>29</v>
      </c>
      <c r="J275" s="14">
        <v>43800</v>
      </c>
      <c r="K275" t="s">
        <v>78</v>
      </c>
      <c r="L275">
        <v>85</v>
      </c>
      <c r="M275" t="s">
        <v>378</v>
      </c>
      <c r="N275" t="s">
        <v>104</v>
      </c>
      <c r="O275" t="s">
        <v>66</v>
      </c>
      <c r="P275" t="s">
        <v>494</v>
      </c>
      <c r="Q275">
        <v>8</v>
      </c>
      <c r="S275">
        <v>9</v>
      </c>
      <c r="T275" s="14">
        <v>44990</v>
      </c>
      <c r="U275">
        <v>22</v>
      </c>
      <c r="V275" t="s">
        <v>169</v>
      </c>
      <c r="W275">
        <v>2</v>
      </c>
      <c r="X275" t="s">
        <v>46</v>
      </c>
    </row>
    <row r="276" spans="1:24" x14ac:dyDescent="0.35">
      <c r="A276" t="s">
        <v>686</v>
      </c>
      <c r="B276" t="s">
        <v>75</v>
      </c>
      <c r="C276" t="s">
        <v>247</v>
      </c>
      <c r="D276">
        <v>35</v>
      </c>
      <c r="E276">
        <v>1989</v>
      </c>
      <c r="F276">
        <v>50000</v>
      </c>
      <c r="G276" t="s">
        <v>27</v>
      </c>
      <c r="H276" t="s">
        <v>39</v>
      </c>
      <c r="I276" t="s">
        <v>29</v>
      </c>
      <c r="J276" s="14">
        <v>43800</v>
      </c>
      <c r="K276" t="s">
        <v>30</v>
      </c>
      <c r="L276">
        <v>68</v>
      </c>
      <c r="M276" t="s">
        <v>687</v>
      </c>
      <c r="N276" t="s">
        <v>61</v>
      </c>
      <c r="O276" t="s">
        <v>44</v>
      </c>
      <c r="Q276">
        <v>2</v>
      </c>
      <c r="R276">
        <v>12</v>
      </c>
      <c r="S276">
        <v>7</v>
      </c>
      <c r="T276" s="14">
        <v>44941</v>
      </c>
      <c r="U276">
        <v>42</v>
      </c>
      <c r="V276" t="s">
        <v>34</v>
      </c>
      <c r="W276">
        <v>3</v>
      </c>
      <c r="X276" t="s">
        <v>34</v>
      </c>
    </row>
    <row r="277" spans="1:24" x14ac:dyDescent="0.35">
      <c r="A277" t="s">
        <v>688</v>
      </c>
      <c r="B277" t="s">
        <v>131</v>
      </c>
      <c r="C277" t="s">
        <v>689</v>
      </c>
      <c r="E277">
        <v>1985</v>
      </c>
      <c r="F277">
        <v>65000</v>
      </c>
      <c r="G277" t="s">
        <v>38</v>
      </c>
      <c r="H277" t="s">
        <v>39</v>
      </c>
      <c r="I277" t="s">
        <v>29</v>
      </c>
      <c r="J277" s="14">
        <v>43549</v>
      </c>
      <c r="K277" t="s">
        <v>30</v>
      </c>
      <c r="L277">
        <v>65</v>
      </c>
      <c r="M277" t="s">
        <v>690</v>
      </c>
      <c r="O277" t="s">
        <v>100</v>
      </c>
      <c r="Q277">
        <v>2</v>
      </c>
      <c r="S277">
        <v>10</v>
      </c>
      <c r="T277" s="14">
        <v>45516</v>
      </c>
      <c r="U277">
        <v>33</v>
      </c>
      <c r="V277" t="s">
        <v>73</v>
      </c>
      <c r="W277">
        <v>3</v>
      </c>
      <c r="X277" t="s">
        <v>34</v>
      </c>
    </row>
    <row r="278" spans="1:24" x14ac:dyDescent="0.35">
      <c r="A278" t="s">
        <v>691</v>
      </c>
      <c r="B278" t="s">
        <v>131</v>
      </c>
      <c r="C278" t="s">
        <v>692</v>
      </c>
      <c r="D278">
        <v>35</v>
      </c>
      <c r="E278">
        <v>1989</v>
      </c>
      <c r="F278">
        <v>65000</v>
      </c>
      <c r="G278" t="s">
        <v>38</v>
      </c>
      <c r="H278" t="s">
        <v>93</v>
      </c>
      <c r="I278" t="s">
        <v>94</v>
      </c>
      <c r="J278" s="14">
        <v>43881</v>
      </c>
      <c r="K278" t="s">
        <v>78</v>
      </c>
      <c r="L278">
        <v>89</v>
      </c>
      <c r="M278" t="s">
        <v>693</v>
      </c>
      <c r="O278" t="s">
        <v>100</v>
      </c>
      <c r="Q278">
        <v>4</v>
      </c>
      <c r="T278" s="14">
        <v>44990</v>
      </c>
      <c r="U278">
        <v>24</v>
      </c>
      <c r="V278" t="s">
        <v>169</v>
      </c>
      <c r="W278">
        <v>1</v>
      </c>
      <c r="X278" t="s">
        <v>46</v>
      </c>
    </row>
    <row r="279" spans="1:24" x14ac:dyDescent="0.35">
      <c r="A279" t="s">
        <v>694</v>
      </c>
      <c r="B279" t="s">
        <v>75</v>
      </c>
      <c r="C279" t="s">
        <v>310</v>
      </c>
      <c r="D279">
        <v>25</v>
      </c>
      <c r="E279">
        <v>1999</v>
      </c>
      <c r="F279" t="s">
        <v>50</v>
      </c>
      <c r="G279" t="s">
        <v>27</v>
      </c>
      <c r="H279" t="s">
        <v>64</v>
      </c>
      <c r="I279" t="s">
        <v>94</v>
      </c>
      <c r="J279" s="14">
        <v>43881</v>
      </c>
      <c r="K279" t="s">
        <v>78</v>
      </c>
      <c r="L279">
        <v>82</v>
      </c>
      <c r="M279" t="s">
        <v>311</v>
      </c>
      <c r="N279" t="s">
        <v>61</v>
      </c>
      <c r="O279" t="s">
        <v>72</v>
      </c>
      <c r="Q279">
        <v>1</v>
      </c>
      <c r="V279" t="s">
        <v>46</v>
      </c>
      <c r="W279">
        <v>4</v>
      </c>
      <c r="X279" t="s">
        <v>34</v>
      </c>
    </row>
    <row r="280" spans="1:24" x14ac:dyDescent="0.35">
      <c r="A280" t="s">
        <v>695</v>
      </c>
      <c r="B280" t="s">
        <v>107</v>
      </c>
      <c r="C280" t="s">
        <v>355</v>
      </c>
      <c r="D280">
        <v>50</v>
      </c>
      <c r="E280">
        <v>1974</v>
      </c>
      <c r="F280">
        <v>60300</v>
      </c>
      <c r="G280" t="s">
        <v>38</v>
      </c>
      <c r="H280" t="s">
        <v>39</v>
      </c>
      <c r="I280" t="s">
        <v>40</v>
      </c>
      <c r="J280" s="14">
        <v>43195</v>
      </c>
      <c r="K280" t="s">
        <v>78</v>
      </c>
      <c r="L280">
        <v>81</v>
      </c>
      <c r="M280" t="s">
        <v>356</v>
      </c>
      <c r="N280" t="s">
        <v>104</v>
      </c>
      <c r="O280" t="s">
        <v>100</v>
      </c>
      <c r="Q280">
        <v>6</v>
      </c>
      <c r="U280">
        <v>32</v>
      </c>
      <c r="V280" t="s">
        <v>73</v>
      </c>
      <c r="W280">
        <v>1</v>
      </c>
      <c r="X280" t="s">
        <v>46</v>
      </c>
    </row>
    <row r="281" spans="1:24" x14ac:dyDescent="0.35">
      <c r="A281" t="s">
        <v>696</v>
      </c>
      <c r="B281" t="s">
        <v>25</v>
      </c>
      <c r="C281" t="s">
        <v>171</v>
      </c>
      <c r="D281">
        <v>35</v>
      </c>
      <c r="E281">
        <v>1989</v>
      </c>
      <c r="F281">
        <v>70000</v>
      </c>
      <c r="G281" t="s">
        <v>38</v>
      </c>
      <c r="H281" t="s">
        <v>122</v>
      </c>
      <c r="I281" t="s">
        <v>29</v>
      </c>
      <c r="J281" s="14">
        <v>43845</v>
      </c>
      <c r="K281" t="s">
        <v>30</v>
      </c>
      <c r="L281">
        <v>65</v>
      </c>
      <c r="M281" t="s">
        <v>172</v>
      </c>
      <c r="N281" t="s">
        <v>43</v>
      </c>
      <c r="O281" t="s">
        <v>72</v>
      </c>
      <c r="Q281">
        <v>6</v>
      </c>
      <c r="S281">
        <v>8</v>
      </c>
      <c r="T281" s="14">
        <v>45516</v>
      </c>
      <c r="U281">
        <v>66</v>
      </c>
      <c r="V281" t="s">
        <v>73</v>
      </c>
      <c r="W281">
        <v>2</v>
      </c>
      <c r="X281" t="s">
        <v>46</v>
      </c>
    </row>
    <row r="282" spans="1:24" x14ac:dyDescent="0.35">
      <c r="A282" t="s">
        <v>697</v>
      </c>
      <c r="B282" t="s">
        <v>107</v>
      </c>
      <c r="C282" t="s">
        <v>99</v>
      </c>
      <c r="D282">
        <v>40</v>
      </c>
      <c r="E282">
        <v>1984</v>
      </c>
      <c r="F282">
        <v>65000</v>
      </c>
      <c r="G282" t="s">
        <v>27</v>
      </c>
      <c r="H282" t="s">
        <v>28</v>
      </c>
      <c r="I282" t="s">
        <v>77</v>
      </c>
      <c r="J282" s="14">
        <v>43881</v>
      </c>
      <c r="K282" t="s">
        <v>78</v>
      </c>
      <c r="L282">
        <v>84</v>
      </c>
      <c r="M282" t="s">
        <v>698</v>
      </c>
      <c r="N282" t="s">
        <v>54</v>
      </c>
      <c r="O282" t="s">
        <v>44</v>
      </c>
      <c r="Q282">
        <v>5</v>
      </c>
      <c r="R282">
        <v>3</v>
      </c>
      <c r="S282">
        <v>2</v>
      </c>
      <c r="T282" s="14">
        <v>45516</v>
      </c>
      <c r="V282" t="s">
        <v>46</v>
      </c>
      <c r="W282">
        <v>2</v>
      </c>
      <c r="X282" t="s">
        <v>46</v>
      </c>
    </row>
    <row r="283" spans="1:24" x14ac:dyDescent="0.35">
      <c r="A283" t="s">
        <v>699</v>
      </c>
      <c r="B283" t="s">
        <v>107</v>
      </c>
      <c r="C283" t="s">
        <v>315</v>
      </c>
      <c r="D283">
        <v>35</v>
      </c>
      <c r="E283">
        <v>1989</v>
      </c>
      <c r="F283" t="s">
        <v>50</v>
      </c>
      <c r="G283" t="s">
        <v>27</v>
      </c>
      <c r="H283" t="s">
        <v>93</v>
      </c>
      <c r="I283" t="s">
        <v>40</v>
      </c>
      <c r="J283" s="14">
        <v>43800</v>
      </c>
      <c r="K283" t="s">
        <v>59</v>
      </c>
      <c r="L283">
        <v>96</v>
      </c>
      <c r="M283" t="s">
        <v>700</v>
      </c>
      <c r="N283" t="s">
        <v>43</v>
      </c>
      <c r="O283" t="s">
        <v>44</v>
      </c>
      <c r="P283" t="s">
        <v>701</v>
      </c>
      <c r="Q283">
        <v>6</v>
      </c>
      <c r="R283" t="s">
        <v>79</v>
      </c>
      <c r="U283">
        <v>79</v>
      </c>
      <c r="V283" t="s">
        <v>34</v>
      </c>
      <c r="W283">
        <v>3</v>
      </c>
      <c r="X283" t="s">
        <v>34</v>
      </c>
    </row>
    <row r="284" spans="1:24" x14ac:dyDescent="0.35">
      <c r="A284" t="s">
        <v>702</v>
      </c>
      <c r="B284" t="s">
        <v>107</v>
      </c>
      <c r="C284" t="s">
        <v>244</v>
      </c>
      <c r="D284" t="s">
        <v>88</v>
      </c>
      <c r="E284">
        <v>1994</v>
      </c>
      <c r="F284">
        <v>60000</v>
      </c>
      <c r="G284" t="s">
        <v>27</v>
      </c>
      <c r="H284" t="s">
        <v>70</v>
      </c>
      <c r="I284" t="s">
        <v>29</v>
      </c>
      <c r="J284" s="14">
        <v>43845</v>
      </c>
      <c r="K284" t="s">
        <v>30</v>
      </c>
      <c r="L284">
        <v>69</v>
      </c>
      <c r="M284" t="s">
        <v>245</v>
      </c>
      <c r="N284" t="s">
        <v>54</v>
      </c>
      <c r="O284" t="s">
        <v>32</v>
      </c>
      <c r="Q284">
        <v>2</v>
      </c>
      <c r="V284" t="s">
        <v>34</v>
      </c>
      <c r="W284">
        <v>5</v>
      </c>
      <c r="X284" t="s">
        <v>34</v>
      </c>
    </row>
    <row r="285" spans="1:24" x14ac:dyDescent="0.35">
      <c r="A285" t="s">
        <v>703</v>
      </c>
      <c r="B285" t="s">
        <v>75</v>
      </c>
      <c r="C285" t="s">
        <v>524</v>
      </c>
      <c r="D285">
        <v>25</v>
      </c>
      <c r="E285">
        <v>1999</v>
      </c>
      <c r="F285">
        <v>70000</v>
      </c>
      <c r="G285" t="s">
        <v>27</v>
      </c>
      <c r="H285" t="s">
        <v>93</v>
      </c>
      <c r="I285" t="s">
        <v>29</v>
      </c>
      <c r="J285" s="14">
        <v>43845</v>
      </c>
      <c r="K285" t="s">
        <v>59</v>
      </c>
      <c r="L285">
        <v>97</v>
      </c>
      <c r="M285" t="s">
        <v>704</v>
      </c>
      <c r="N285" t="s">
        <v>54</v>
      </c>
      <c r="O285" t="s">
        <v>32</v>
      </c>
      <c r="P285" t="s">
        <v>705</v>
      </c>
      <c r="Q285">
        <v>1</v>
      </c>
      <c r="S285">
        <v>2</v>
      </c>
      <c r="V285" t="s">
        <v>169</v>
      </c>
      <c r="W285">
        <v>5</v>
      </c>
      <c r="X285" t="s">
        <v>46</v>
      </c>
    </row>
    <row r="286" spans="1:24" x14ac:dyDescent="0.35">
      <c r="A286" t="s">
        <v>706</v>
      </c>
      <c r="B286" t="s">
        <v>107</v>
      </c>
      <c r="C286" t="s">
        <v>395</v>
      </c>
      <c r="D286" t="s">
        <v>88</v>
      </c>
      <c r="E286">
        <v>1994</v>
      </c>
      <c r="F286">
        <v>65000</v>
      </c>
      <c r="G286" t="s">
        <v>27</v>
      </c>
      <c r="H286" t="s">
        <v>122</v>
      </c>
      <c r="I286" t="s">
        <v>94</v>
      </c>
      <c r="J286" s="14">
        <v>43549</v>
      </c>
      <c r="K286" t="s">
        <v>52</v>
      </c>
      <c r="L286">
        <v>74</v>
      </c>
      <c r="M286" t="s">
        <v>707</v>
      </c>
      <c r="N286" t="s">
        <v>104</v>
      </c>
      <c r="O286" t="s">
        <v>44</v>
      </c>
      <c r="Q286">
        <v>3</v>
      </c>
      <c r="R286" t="s">
        <v>79</v>
      </c>
      <c r="V286" t="s">
        <v>73</v>
      </c>
      <c r="W286">
        <v>1</v>
      </c>
      <c r="X286" t="s">
        <v>34</v>
      </c>
    </row>
    <row r="287" spans="1:24" x14ac:dyDescent="0.35">
      <c r="A287" t="s">
        <v>708</v>
      </c>
      <c r="B287" t="s">
        <v>48</v>
      </c>
      <c r="C287" t="s">
        <v>681</v>
      </c>
      <c r="D287" t="s">
        <v>88</v>
      </c>
      <c r="E287">
        <v>1994</v>
      </c>
      <c r="F287">
        <v>65000</v>
      </c>
      <c r="G287" t="s">
        <v>27</v>
      </c>
      <c r="H287" t="s">
        <v>64</v>
      </c>
      <c r="I287" t="s">
        <v>40</v>
      </c>
      <c r="J287" s="14">
        <v>43881</v>
      </c>
      <c r="K287" t="s">
        <v>30</v>
      </c>
      <c r="L287">
        <v>66</v>
      </c>
      <c r="M287" t="s">
        <v>682</v>
      </c>
      <c r="N287" t="s">
        <v>61</v>
      </c>
      <c r="O287" t="s">
        <v>72</v>
      </c>
      <c r="Q287">
        <v>8</v>
      </c>
      <c r="V287" t="s">
        <v>33</v>
      </c>
      <c r="W287">
        <v>3</v>
      </c>
      <c r="X287" t="s">
        <v>34</v>
      </c>
    </row>
    <row r="288" spans="1:24" x14ac:dyDescent="0.35">
      <c r="A288" t="s">
        <v>709</v>
      </c>
      <c r="B288" t="s">
        <v>114</v>
      </c>
      <c r="C288" t="s">
        <v>710</v>
      </c>
      <c r="D288">
        <v>40</v>
      </c>
      <c r="E288">
        <v>1984</v>
      </c>
      <c r="F288">
        <v>50000</v>
      </c>
      <c r="G288" t="s">
        <v>27</v>
      </c>
      <c r="H288" t="s">
        <v>28</v>
      </c>
      <c r="I288" t="s">
        <v>29</v>
      </c>
      <c r="J288" s="14">
        <v>43549</v>
      </c>
      <c r="K288" t="s">
        <v>52</v>
      </c>
      <c r="L288">
        <v>77</v>
      </c>
      <c r="M288" t="s">
        <v>711</v>
      </c>
      <c r="N288" t="s">
        <v>43</v>
      </c>
      <c r="O288" t="s">
        <v>44</v>
      </c>
      <c r="P288" t="s">
        <v>712</v>
      </c>
      <c r="Q288">
        <v>3</v>
      </c>
      <c r="V288" t="s">
        <v>34</v>
      </c>
      <c r="W288">
        <v>1</v>
      </c>
      <c r="X288" t="s">
        <v>46</v>
      </c>
    </row>
    <row r="289" spans="1:24" x14ac:dyDescent="0.35">
      <c r="A289" t="s">
        <v>713</v>
      </c>
      <c r="B289" t="s">
        <v>56</v>
      </c>
      <c r="C289" t="s">
        <v>380</v>
      </c>
      <c r="D289">
        <v>25</v>
      </c>
      <c r="E289">
        <v>1999</v>
      </c>
      <c r="F289">
        <v>50000</v>
      </c>
      <c r="G289" t="s">
        <v>38</v>
      </c>
      <c r="H289" t="s">
        <v>51</v>
      </c>
      <c r="I289" t="s">
        <v>29</v>
      </c>
      <c r="J289" s="14">
        <v>43881</v>
      </c>
      <c r="K289" t="s">
        <v>78</v>
      </c>
      <c r="L289">
        <v>85</v>
      </c>
      <c r="M289" t="s">
        <v>714</v>
      </c>
      <c r="N289" t="s">
        <v>61</v>
      </c>
      <c r="O289" t="s">
        <v>44</v>
      </c>
      <c r="Q289">
        <v>7</v>
      </c>
      <c r="T289" s="14">
        <v>44941</v>
      </c>
      <c r="V289" t="s">
        <v>46</v>
      </c>
      <c r="W289">
        <v>1</v>
      </c>
      <c r="X289" t="s">
        <v>46</v>
      </c>
    </row>
    <row r="290" spans="1:24" x14ac:dyDescent="0.35">
      <c r="A290" t="s">
        <v>715</v>
      </c>
      <c r="B290" t="s">
        <v>131</v>
      </c>
      <c r="C290" t="s">
        <v>305</v>
      </c>
      <c r="D290">
        <v>25</v>
      </c>
      <c r="E290">
        <v>1999</v>
      </c>
      <c r="F290">
        <v>60300</v>
      </c>
      <c r="G290" t="s">
        <v>38</v>
      </c>
      <c r="H290" t="s">
        <v>64</v>
      </c>
      <c r="I290" t="s">
        <v>40</v>
      </c>
      <c r="J290" s="14">
        <v>43195</v>
      </c>
      <c r="K290" t="s">
        <v>78</v>
      </c>
      <c r="L290">
        <v>84</v>
      </c>
      <c r="M290" t="s">
        <v>306</v>
      </c>
      <c r="O290" t="s">
        <v>174</v>
      </c>
      <c r="Q290">
        <v>2</v>
      </c>
      <c r="R290" t="s">
        <v>79</v>
      </c>
      <c r="T290" t="s">
        <v>79</v>
      </c>
      <c r="V290" t="s">
        <v>73</v>
      </c>
      <c r="W290">
        <v>4</v>
      </c>
      <c r="X290" t="s">
        <v>34</v>
      </c>
    </row>
    <row r="291" spans="1:24" x14ac:dyDescent="0.35">
      <c r="A291" t="s">
        <v>716</v>
      </c>
      <c r="B291" t="s">
        <v>131</v>
      </c>
      <c r="C291" t="s">
        <v>216</v>
      </c>
      <c r="D291">
        <v>25</v>
      </c>
      <c r="E291">
        <v>1999</v>
      </c>
      <c r="F291">
        <v>70000</v>
      </c>
      <c r="G291" t="s">
        <v>38</v>
      </c>
      <c r="H291" t="s">
        <v>58</v>
      </c>
      <c r="I291" t="s">
        <v>77</v>
      </c>
      <c r="J291" s="14">
        <v>43549</v>
      </c>
      <c r="K291" t="s">
        <v>41</v>
      </c>
      <c r="L291">
        <v>18</v>
      </c>
      <c r="M291" t="s">
        <v>217</v>
      </c>
      <c r="N291" t="s">
        <v>104</v>
      </c>
      <c r="O291" t="s">
        <v>66</v>
      </c>
      <c r="Q291">
        <v>5</v>
      </c>
      <c r="S291">
        <v>12</v>
      </c>
      <c r="U291">
        <v>11</v>
      </c>
      <c r="V291" t="s">
        <v>34</v>
      </c>
      <c r="W291">
        <v>5</v>
      </c>
      <c r="X291" t="s">
        <v>46</v>
      </c>
    </row>
    <row r="292" spans="1:24" x14ac:dyDescent="0.35">
      <c r="A292" t="s">
        <v>717</v>
      </c>
      <c r="B292" t="s">
        <v>56</v>
      </c>
      <c r="C292" t="s">
        <v>253</v>
      </c>
      <c r="D292">
        <v>25</v>
      </c>
      <c r="E292">
        <v>1999</v>
      </c>
      <c r="F292">
        <v>65000</v>
      </c>
      <c r="G292" t="s">
        <v>38</v>
      </c>
      <c r="H292" t="s">
        <v>39</v>
      </c>
      <c r="I292" t="s">
        <v>40</v>
      </c>
      <c r="J292" s="14">
        <v>43549</v>
      </c>
      <c r="K292" t="s">
        <v>78</v>
      </c>
      <c r="L292">
        <v>88</v>
      </c>
      <c r="M292" t="s">
        <v>718</v>
      </c>
      <c r="N292" t="s">
        <v>104</v>
      </c>
      <c r="O292" t="s">
        <v>44</v>
      </c>
      <c r="Q292">
        <v>4</v>
      </c>
      <c r="T292" s="14">
        <v>44990</v>
      </c>
      <c r="U292">
        <v>80</v>
      </c>
      <c r="V292" t="s">
        <v>46</v>
      </c>
      <c r="W292">
        <v>3</v>
      </c>
      <c r="X292" t="s">
        <v>34</v>
      </c>
    </row>
    <row r="293" spans="1:24" x14ac:dyDescent="0.35">
      <c r="A293" t="s">
        <v>719</v>
      </c>
      <c r="B293" t="s">
        <v>75</v>
      </c>
      <c r="C293" t="s">
        <v>69</v>
      </c>
      <c r="D293">
        <v>25</v>
      </c>
      <c r="E293">
        <v>1999</v>
      </c>
      <c r="F293">
        <v>60300</v>
      </c>
      <c r="G293" t="s">
        <v>27</v>
      </c>
      <c r="H293" t="s">
        <v>64</v>
      </c>
      <c r="I293" t="s">
        <v>40</v>
      </c>
      <c r="J293" s="14">
        <v>43800</v>
      </c>
      <c r="K293" t="s">
        <v>52</v>
      </c>
      <c r="L293">
        <v>73</v>
      </c>
      <c r="M293" t="s">
        <v>720</v>
      </c>
      <c r="O293" t="s">
        <v>100</v>
      </c>
      <c r="Q293">
        <v>4</v>
      </c>
      <c r="T293" s="14">
        <v>44732</v>
      </c>
      <c r="U293">
        <v>7</v>
      </c>
      <c r="V293" t="s">
        <v>34</v>
      </c>
      <c r="W293">
        <v>3</v>
      </c>
      <c r="X293" t="s">
        <v>34</v>
      </c>
    </row>
    <row r="294" spans="1:24" x14ac:dyDescent="0.35">
      <c r="A294" t="s">
        <v>721</v>
      </c>
      <c r="B294" t="s">
        <v>36</v>
      </c>
      <c r="C294" t="s">
        <v>26</v>
      </c>
      <c r="D294">
        <v>40</v>
      </c>
      <c r="E294">
        <v>1984</v>
      </c>
      <c r="F294">
        <v>58600</v>
      </c>
      <c r="G294" t="s">
        <v>27</v>
      </c>
      <c r="H294" t="s">
        <v>122</v>
      </c>
      <c r="I294" t="s">
        <v>77</v>
      </c>
      <c r="J294" s="14">
        <v>43549</v>
      </c>
      <c r="K294" t="s">
        <v>78</v>
      </c>
      <c r="L294">
        <v>86</v>
      </c>
      <c r="M294" t="s">
        <v>722</v>
      </c>
      <c r="N294" t="s">
        <v>43</v>
      </c>
      <c r="O294" t="s">
        <v>72</v>
      </c>
      <c r="Q294">
        <v>2</v>
      </c>
      <c r="U294">
        <v>49</v>
      </c>
      <c r="V294" t="s">
        <v>34</v>
      </c>
      <c r="W294">
        <v>5</v>
      </c>
      <c r="X294" t="s">
        <v>34</v>
      </c>
    </row>
    <row r="295" spans="1:24" x14ac:dyDescent="0.35">
      <c r="A295" t="s">
        <v>723</v>
      </c>
      <c r="B295" t="s">
        <v>75</v>
      </c>
      <c r="C295" t="s">
        <v>310</v>
      </c>
      <c r="D295">
        <v>35</v>
      </c>
      <c r="E295">
        <v>1989</v>
      </c>
      <c r="F295">
        <v>55000</v>
      </c>
      <c r="G295" t="s">
        <v>27</v>
      </c>
      <c r="H295" t="s">
        <v>93</v>
      </c>
      <c r="I295" t="s">
        <v>40</v>
      </c>
      <c r="J295" s="14">
        <v>43881</v>
      </c>
      <c r="K295" t="s">
        <v>30</v>
      </c>
      <c r="L295">
        <v>66</v>
      </c>
      <c r="M295" t="s">
        <v>311</v>
      </c>
      <c r="O295" t="s">
        <v>66</v>
      </c>
      <c r="Q295">
        <v>7</v>
      </c>
      <c r="R295">
        <v>6</v>
      </c>
      <c r="V295" t="s">
        <v>482</v>
      </c>
      <c r="W295">
        <v>5</v>
      </c>
      <c r="X295" t="s">
        <v>34</v>
      </c>
    </row>
    <row r="296" spans="1:24" x14ac:dyDescent="0.35">
      <c r="A296" t="s">
        <v>724</v>
      </c>
      <c r="B296" t="s">
        <v>131</v>
      </c>
      <c r="C296" t="s">
        <v>216</v>
      </c>
      <c r="D296" t="s">
        <v>88</v>
      </c>
      <c r="E296">
        <v>1994</v>
      </c>
      <c r="F296">
        <v>50000</v>
      </c>
      <c r="G296" t="s">
        <v>38</v>
      </c>
      <c r="H296" t="s">
        <v>70</v>
      </c>
      <c r="I296" t="s">
        <v>29</v>
      </c>
      <c r="J296" s="14">
        <v>43800</v>
      </c>
      <c r="K296" t="s">
        <v>78</v>
      </c>
      <c r="L296">
        <v>84</v>
      </c>
      <c r="M296" t="s">
        <v>217</v>
      </c>
      <c r="N296" t="s">
        <v>43</v>
      </c>
      <c r="O296" t="s">
        <v>32</v>
      </c>
      <c r="Q296">
        <v>4</v>
      </c>
      <c r="T296" s="14">
        <v>45516</v>
      </c>
      <c r="V296" t="s">
        <v>73</v>
      </c>
      <c r="W296">
        <v>5</v>
      </c>
      <c r="X296" t="s">
        <v>46</v>
      </c>
    </row>
    <row r="297" spans="1:24" x14ac:dyDescent="0.35">
      <c r="A297" t="s">
        <v>725</v>
      </c>
      <c r="B297" t="s">
        <v>131</v>
      </c>
      <c r="C297" t="s">
        <v>144</v>
      </c>
      <c r="D297">
        <v>25</v>
      </c>
      <c r="E297">
        <v>1999</v>
      </c>
      <c r="F297">
        <v>70000</v>
      </c>
      <c r="G297" t="s">
        <v>38</v>
      </c>
      <c r="H297" t="s">
        <v>28</v>
      </c>
      <c r="I297" t="s">
        <v>40</v>
      </c>
      <c r="J297" s="14">
        <v>43549</v>
      </c>
      <c r="K297" t="s">
        <v>41</v>
      </c>
      <c r="L297">
        <v>5</v>
      </c>
      <c r="M297" t="s">
        <v>146</v>
      </c>
      <c r="N297" t="s">
        <v>54</v>
      </c>
      <c r="O297" t="s">
        <v>112</v>
      </c>
      <c r="Q297">
        <v>8</v>
      </c>
      <c r="S297">
        <v>14</v>
      </c>
      <c r="U297">
        <v>67</v>
      </c>
      <c r="W297">
        <v>3</v>
      </c>
      <c r="X297" t="s">
        <v>34</v>
      </c>
    </row>
    <row r="298" spans="1:24" x14ac:dyDescent="0.35">
      <c r="A298" t="s">
        <v>726</v>
      </c>
      <c r="B298" t="s">
        <v>56</v>
      </c>
      <c r="C298" t="s">
        <v>132</v>
      </c>
      <c r="D298">
        <v>35</v>
      </c>
      <c r="E298">
        <v>1989</v>
      </c>
      <c r="F298">
        <v>65000</v>
      </c>
      <c r="G298" t="s">
        <v>38</v>
      </c>
      <c r="H298" t="s">
        <v>28</v>
      </c>
      <c r="I298" t="s">
        <v>77</v>
      </c>
      <c r="J298" s="14">
        <v>43549</v>
      </c>
      <c r="K298" t="s">
        <v>78</v>
      </c>
      <c r="L298">
        <v>81</v>
      </c>
      <c r="M298" t="s">
        <v>727</v>
      </c>
      <c r="N298" t="s">
        <v>104</v>
      </c>
      <c r="O298" t="s">
        <v>72</v>
      </c>
      <c r="Q298">
        <v>4</v>
      </c>
      <c r="R298">
        <v>10</v>
      </c>
      <c r="T298" t="s">
        <v>79</v>
      </c>
      <c r="V298" t="s">
        <v>169</v>
      </c>
      <c r="W298">
        <v>5</v>
      </c>
      <c r="X298" t="s">
        <v>34</v>
      </c>
    </row>
    <row r="299" spans="1:24" x14ac:dyDescent="0.35">
      <c r="A299" t="s">
        <v>728</v>
      </c>
      <c r="B299" t="s">
        <v>107</v>
      </c>
      <c r="C299" t="s">
        <v>729</v>
      </c>
      <c r="D299">
        <v>35</v>
      </c>
      <c r="E299">
        <v>1989</v>
      </c>
      <c r="F299">
        <v>61600</v>
      </c>
      <c r="G299" t="s">
        <v>27</v>
      </c>
      <c r="H299" t="s">
        <v>93</v>
      </c>
      <c r="I299" t="s">
        <v>89</v>
      </c>
      <c r="J299" s="14">
        <v>43195</v>
      </c>
      <c r="K299" t="s">
        <v>52</v>
      </c>
      <c r="L299">
        <v>78</v>
      </c>
      <c r="M299" t="s">
        <v>730</v>
      </c>
      <c r="N299" t="s">
        <v>43</v>
      </c>
      <c r="O299" t="s">
        <v>100</v>
      </c>
      <c r="Q299">
        <v>6</v>
      </c>
      <c r="S299">
        <v>6</v>
      </c>
      <c r="T299" s="14">
        <v>44470</v>
      </c>
      <c r="V299" t="s">
        <v>169</v>
      </c>
      <c r="W299">
        <v>3</v>
      </c>
      <c r="X299" t="s">
        <v>34</v>
      </c>
    </row>
    <row r="300" spans="1:24" x14ac:dyDescent="0.35">
      <c r="A300" t="s">
        <v>731</v>
      </c>
      <c r="B300" t="s">
        <v>75</v>
      </c>
      <c r="C300" t="s">
        <v>732</v>
      </c>
      <c r="D300" t="s">
        <v>88</v>
      </c>
      <c r="E300">
        <v>1994</v>
      </c>
      <c r="F300">
        <v>65000</v>
      </c>
      <c r="G300" t="s">
        <v>27</v>
      </c>
      <c r="H300" t="s">
        <v>51</v>
      </c>
      <c r="I300" t="s">
        <v>40</v>
      </c>
      <c r="J300" s="14">
        <v>43549</v>
      </c>
      <c r="K300" t="s">
        <v>52</v>
      </c>
      <c r="L300">
        <v>76</v>
      </c>
      <c r="M300" t="s">
        <v>733</v>
      </c>
      <c r="N300" t="s">
        <v>61</v>
      </c>
      <c r="O300" t="s">
        <v>72</v>
      </c>
      <c r="P300" t="s">
        <v>734</v>
      </c>
      <c r="Q300">
        <v>2</v>
      </c>
      <c r="T300" s="14">
        <v>44941</v>
      </c>
      <c r="V300" t="s">
        <v>34</v>
      </c>
      <c r="W300">
        <v>1</v>
      </c>
      <c r="X300" t="s">
        <v>46</v>
      </c>
    </row>
    <row r="301" spans="1:24" x14ac:dyDescent="0.35">
      <c r="A301" t="s">
        <v>735</v>
      </c>
      <c r="B301" t="s">
        <v>140</v>
      </c>
      <c r="C301" t="s">
        <v>499</v>
      </c>
      <c r="D301">
        <v>40</v>
      </c>
      <c r="E301">
        <v>1984</v>
      </c>
      <c r="F301">
        <v>55000</v>
      </c>
      <c r="G301" t="s">
        <v>38</v>
      </c>
      <c r="H301" t="s">
        <v>64</v>
      </c>
      <c r="I301" t="s">
        <v>94</v>
      </c>
      <c r="J301" s="14">
        <v>43845</v>
      </c>
      <c r="K301" t="s">
        <v>78</v>
      </c>
      <c r="L301">
        <v>86</v>
      </c>
      <c r="M301" t="s">
        <v>736</v>
      </c>
      <c r="N301" t="s">
        <v>61</v>
      </c>
      <c r="O301" t="s">
        <v>32</v>
      </c>
      <c r="Q301">
        <v>7</v>
      </c>
      <c r="R301" t="s">
        <v>79</v>
      </c>
      <c r="S301">
        <v>4</v>
      </c>
      <c r="T301" s="14">
        <v>44941</v>
      </c>
      <c r="V301" t="s">
        <v>482</v>
      </c>
      <c r="W301">
        <v>4</v>
      </c>
      <c r="X301" t="s">
        <v>34</v>
      </c>
    </row>
    <row r="302" spans="1:24" x14ac:dyDescent="0.35">
      <c r="A302" t="s">
        <v>737</v>
      </c>
      <c r="B302" t="s">
        <v>56</v>
      </c>
      <c r="C302" t="s">
        <v>612</v>
      </c>
      <c r="E302">
        <v>1988</v>
      </c>
      <c r="F302">
        <v>70000</v>
      </c>
      <c r="G302" t="s">
        <v>38</v>
      </c>
      <c r="H302" t="s">
        <v>145</v>
      </c>
      <c r="I302" t="s">
        <v>29</v>
      </c>
      <c r="J302" s="14">
        <v>43800</v>
      </c>
      <c r="K302" t="s">
        <v>52</v>
      </c>
      <c r="L302">
        <v>71</v>
      </c>
      <c r="M302" t="s">
        <v>613</v>
      </c>
      <c r="N302" t="s">
        <v>104</v>
      </c>
      <c r="O302" t="s">
        <v>100</v>
      </c>
      <c r="Q302">
        <v>1</v>
      </c>
      <c r="T302" t="s">
        <v>79</v>
      </c>
      <c r="U302">
        <v>70</v>
      </c>
      <c r="V302" t="s">
        <v>482</v>
      </c>
      <c r="W302">
        <v>3</v>
      </c>
      <c r="X302" t="s">
        <v>46</v>
      </c>
    </row>
    <row r="303" spans="1:24" x14ac:dyDescent="0.35">
      <c r="A303" t="s">
        <v>738</v>
      </c>
      <c r="B303" t="s">
        <v>48</v>
      </c>
      <c r="C303" t="s">
        <v>225</v>
      </c>
      <c r="E303">
        <v>1985</v>
      </c>
      <c r="F303">
        <v>59500</v>
      </c>
      <c r="G303" t="s">
        <v>27</v>
      </c>
      <c r="H303" t="s">
        <v>64</v>
      </c>
      <c r="I303" t="s">
        <v>29</v>
      </c>
      <c r="J303" s="14">
        <v>43845</v>
      </c>
      <c r="K303" t="s">
        <v>52</v>
      </c>
      <c r="L303">
        <v>77</v>
      </c>
      <c r="M303" t="s">
        <v>226</v>
      </c>
      <c r="O303" t="s">
        <v>100</v>
      </c>
      <c r="Q303">
        <v>2</v>
      </c>
      <c r="T303" s="14">
        <v>44941</v>
      </c>
      <c r="V303" t="s">
        <v>34</v>
      </c>
      <c r="W303">
        <v>4</v>
      </c>
      <c r="X303" t="s">
        <v>34</v>
      </c>
    </row>
    <row r="304" spans="1:24" x14ac:dyDescent="0.35">
      <c r="A304" t="s">
        <v>739</v>
      </c>
      <c r="B304" t="s">
        <v>131</v>
      </c>
      <c r="C304" t="s">
        <v>740</v>
      </c>
      <c r="D304">
        <v>35</v>
      </c>
      <c r="E304">
        <v>1989</v>
      </c>
      <c r="F304">
        <v>65000</v>
      </c>
      <c r="G304" t="s">
        <v>27</v>
      </c>
      <c r="H304" t="s">
        <v>70</v>
      </c>
      <c r="I304" t="s">
        <v>94</v>
      </c>
      <c r="J304" s="14">
        <v>43800</v>
      </c>
      <c r="K304" t="s">
        <v>41</v>
      </c>
      <c r="L304">
        <v>7</v>
      </c>
      <c r="M304" t="s">
        <v>741</v>
      </c>
      <c r="O304" t="s">
        <v>112</v>
      </c>
      <c r="P304" t="s">
        <v>95</v>
      </c>
      <c r="Q304">
        <v>8</v>
      </c>
      <c r="S304">
        <v>0</v>
      </c>
      <c r="T304" s="14">
        <v>44990</v>
      </c>
      <c r="V304" t="s">
        <v>34</v>
      </c>
      <c r="W304">
        <v>1</v>
      </c>
      <c r="X304" t="s">
        <v>46</v>
      </c>
    </row>
    <row r="305" spans="1:24" x14ac:dyDescent="0.35">
      <c r="A305" t="s">
        <v>742</v>
      </c>
      <c r="B305" t="s">
        <v>56</v>
      </c>
      <c r="C305" t="s">
        <v>546</v>
      </c>
      <c r="D305">
        <v>50</v>
      </c>
      <c r="E305">
        <v>1974</v>
      </c>
      <c r="F305">
        <v>50000</v>
      </c>
      <c r="G305" t="s">
        <v>38</v>
      </c>
      <c r="H305" t="s">
        <v>28</v>
      </c>
      <c r="I305" t="s">
        <v>94</v>
      </c>
      <c r="J305" s="14">
        <v>43195</v>
      </c>
      <c r="K305" t="s">
        <v>30</v>
      </c>
      <c r="L305">
        <v>66</v>
      </c>
      <c r="M305" t="s">
        <v>743</v>
      </c>
      <c r="N305" t="s">
        <v>43</v>
      </c>
      <c r="O305" t="s">
        <v>72</v>
      </c>
      <c r="Q305">
        <v>8</v>
      </c>
      <c r="R305" t="s">
        <v>79</v>
      </c>
      <c r="T305" s="14">
        <v>45516</v>
      </c>
      <c r="W305">
        <v>4</v>
      </c>
      <c r="X305" t="s">
        <v>34</v>
      </c>
    </row>
    <row r="306" spans="1:24" x14ac:dyDescent="0.35">
      <c r="A306" t="s">
        <v>744</v>
      </c>
      <c r="B306" t="s">
        <v>75</v>
      </c>
      <c r="C306" t="s">
        <v>108</v>
      </c>
      <c r="D306">
        <v>50</v>
      </c>
      <c r="E306">
        <v>1974</v>
      </c>
      <c r="F306">
        <v>55000</v>
      </c>
      <c r="G306" t="s">
        <v>27</v>
      </c>
      <c r="H306" t="s">
        <v>82</v>
      </c>
      <c r="I306" t="s">
        <v>40</v>
      </c>
      <c r="J306" s="14">
        <v>43549</v>
      </c>
      <c r="K306" t="s">
        <v>41</v>
      </c>
      <c r="L306">
        <v>1</v>
      </c>
      <c r="M306" t="s">
        <v>745</v>
      </c>
      <c r="O306" t="s">
        <v>174</v>
      </c>
      <c r="P306" t="s">
        <v>474</v>
      </c>
      <c r="Q306">
        <v>3</v>
      </c>
      <c r="R306">
        <v>5</v>
      </c>
      <c r="S306">
        <v>18</v>
      </c>
      <c r="U306">
        <v>50</v>
      </c>
      <c r="V306" t="s">
        <v>33</v>
      </c>
      <c r="W306">
        <v>3</v>
      </c>
      <c r="X306" t="s">
        <v>34</v>
      </c>
    </row>
    <row r="307" spans="1:24" x14ac:dyDescent="0.35">
      <c r="A307" t="s">
        <v>746</v>
      </c>
      <c r="B307" t="s">
        <v>131</v>
      </c>
      <c r="C307" t="s">
        <v>747</v>
      </c>
      <c r="D307" t="s">
        <v>88</v>
      </c>
      <c r="E307">
        <v>1994</v>
      </c>
      <c r="F307">
        <v>70000</v>
      </c>
      <c r="G307" t="s">
        <v>27</v>
      </c>
      <c r="H307" t="s">
        <v>51</v>
      </c>
      <c r="I307" t="s">
        <v>94</v>
      </c>
      <c r="J307" s="14">
        <v>43549</v>
      </c>
      <c r="K307" t="s">
        <v>59</v>
      </c>
      <c r="L307">
        <v>99</v>
      </c>
      <c r="M307" t="s">
        <v>748</v>
      </c>
      <c r="N307" t="s">
        <v>104</v>
      </c>
      <c r="O307" t="s">
        <v>112</v>
      </c>
      <c r="P307" t="s">
        <v>749</v>
      </c>
      <c r="Q307">
        <v>8</v>
      </c>
      <c r="W307">
        <v>4</v>
      </c>
      <c r="X307" t="s">
        <v>34</v>
      </c>
    </row>
    <row r="308" spans="1:24" x14ac:dyDescent="0.35">
      <c r="A308" t="s">
        <v>750</v>
      </c>
      <c r="B308" t="s">
        <v>36</v>
      </c>
      <c r="C308" t="s">
        <v>240</v>
      </c>
      <c r="E308">
        <v>1987</v>
      </c>
      <c r="F308">
        <v>55000</v>
      </c>
      <c r="G308" t="s">
        <v>27</v>
      </c>
      <c r="H308" t="s">
        <v>28</v>
      </c>
      <c r="I308" t="s">
        <v>89</v>
      </c>
      <c r="J308" s="14">
        <v>43549</v>
      </c>
      <c r="K308" t="s">
        <v>41</v>
      </c>
      <c r="L308">
        <v>11</v>
      </c>
      <c r="M308" t="s">
        <v>241</v>
      </c>
      <c r="N308" t="s">
        <v>43</v>
      </c>
      <c r="O308" t="s">
        <v>174</v>
      </c>
      <c r="Q308">
        <v>1</v>
      </c>
      <c r="R308">
        <v>10</v>
      </c>
      <c r="S308">
        <v>2</v>
      </c>
      <c r="T308" s="14">
        <v>44941</v>
      </c>
      <c r="U308">
        <v>72</v>
      </c>
      <c r="V308" t="s">
        <v>73</v>
      </c>
      <c r="W308">
        <v>4</v>
      </c>
      <c r="X308" t="s">
        <v>34</v>
      </c>
    </row>
    <row r="309" spans="1:24" x14ac:dyDescent="0.35">
      <c r="A309" t="s">
        <v>751</v>
      </c>
      <c r="B309" t="s">
        <v>56</v>
      </c>
      <c r="C309" t="s">
        <v>305</v>
      </c>
      <c r="D309">
        <v>35</v>
      </c>
      <c r="E309">
        <v>1989</v>
      </c>
      <c r="F309">
        <v>50000</v>
      </c>
      <c r="G309" t="s">
        <v>27</v>
      </c>
      <c r="H309" t="s">
        <v>70</v>
      </c>
      <c r="I309" t="s">
        <v>77</v>
      </c>
      <c r="J309" s="14">
        <v>43800</v>
      </c>
      <c r="K309" t="s">
        <v>78</v>
      </c>
      <c r="L309">
        <v>89</v>
      </c>
      <c r="M309" t="s">
        <v>752</v>
      </c>
      <c r="N309" t="s">
        <v>54</v>
      </c>
      <c r="O309" t="s">
        <v>112</v>
      </c>
      <c r="P309" t="s">
        <v>116</v>
      </c>
      <c r="Q309">
        <v>1</v>
      </c>
      <c r="R309">
        <v>3</v>
      </c>
      <c r="S309">
        <v>10</v>
      </c>
      <c r="V309" t="s">
        <v>169</v>
      </c>
      <c r="W309">
        <v>4</v>
      </c>
      <c r="X309" t="s">
        <v>34</v>
      </c>
    </row>
    <row r="310" spans="1:24" x14ac:dyDescent="0.35">
      <c r="A310" t="s">
        <v>753</v>
      </c>
      <c r="B310" t="s">
        <v>25</v>
      </c>
      <c r="C310" t="s">
        <v>271</v>
      </c>
      <c r="D310">
        <v>40</v>
      </c>
      <c r="E310">
        <v>1984</v>
      </c>
      <c r="F310">
        <v>70000</v>
      </c>
      <c r="G310" t="s">
        <v>27</v>
      </c>
      <c r="H310" t="s">
        <v>145</v>
      </c>
      <c r="I310" t="s">
        <v>94</v>
      </c>
      <c r="J310" s="14">
        <v>43549</v>
      </c>
      <c r="K310" t="s">
        <v>30</v>
      </c>
      <c r="L310">
        <v>68</v>
      </c>
      <c r="M310" t="s">
        <v>754</v>
      </c>
      <c r="O310" t="s">
        <v>72</v>
      </c>
      <c r="P310" t="s">
        <v>307</v>
      </c>
      <c r="Q310">
        <v>7</v>
      </c>
      <c r="T310" s="14">
        <v>44732</v>
      </c>
      <c r="V310" t="s">
        <v>73</v>
      </c>
      <c r="W310">
        <v>3</v>
      </c>
      <c r="X310" t="s">
        <v>34</v>
      </c>
    </row>
    <row r="311" spans="1:24" x14ac:dyDescent="0.35">
      <c r="A311" t="s">
        <v>755</v>
      </c>
      <c r="B311" t="s">
        <v>131</v>
      </c>
      <c r="C311" t="s">
        <v>756</v>
      </c>
      <c r="E311">
        <v>1991</v>
      </c>
      <c r="F311">
        <v>55000</v>
      </c>
      <c r="G311" t="s">
        <v>27</v>
      </c>
      <c r="H311" t="s">
        <v>64</v>
      </c>
      <c r="I311" t="s">
        <v>94</v>
      </c>
      <c r="J311" s="14">
        <v>43845</v>
      </c>
      <c r="K311" t="s">
        <v>78</v>
      </c>
      <c r="L311">
        <v>86</v>
      </c>
      <c r="M311" t="s">
        <v>757</v>
      </c>
      <c r="O311" t="s">
        <v>44</v>
      </c>
      <c r="Q311">
        <v>8</v>
      </c>
      <c r="S311">
        <v>17</v>
      </c>
      <c r="T311" s="14">
        <v>44732</v>
      </c>
      <c r="U311">
        <v>27</v>
      </c>
      <c r="V311" t="s">
        <v>34</v>
      </c>
      <c r="W311">
        <v>3</v>
      </c>
      <c r="X311" t="s">
        <v>46</v>
      </c>
    </row>
    <row r="312" spans="1:24" x14ac:dyDescent="0.35">
      <c r="A312" t="s">
        <v>758</v>
      </c>
      <c r="B312" t="s">
        <v>75</v>
      </c>
      <c r="C312" t="s">
        <v>625</v>
      </c>
      <c r="D312">
        <v>35</v>
      </c>
      <c r="E312">
        <v>1989</v>
      </c>
      <c r="F312" t="s">
        <v>50</v>
      </c>
      <c r="G312" t="s">
        <v>38</v>
      </c>
      <c r="H312" t="s">
        <v>28</v>
      </c>
      <c r="I312" t="s">
        <v>89</v>
      </c>
      <c r="J312" s="14">
        <v>43549</v>
      </c>
      <c r="K312" t="s">
        <v>59</v>
      </c>
      <c r="L312">
        <v>95</v>
      </c>
      <c r="M312" t="s">
        <v>626</v>
      </c>
      <c r="N312" t="s">
        <v>43</v>
      </c>
      <c r="O312" t="s">
        <v>44</v>
      </c>
      <c r="Q312">
        <v>3</v>
      </c>
      <c r="T312" s="14">
        <v>44990</v>
      </c>
      <c r="V312" t="s">
        <v>482</v>
      </c>
      <c r="W312">
        <v>2</v>
      </c>
      <c r="X312" t="s">
        <v>46</v>
      </c>
    </row>
    <row r="313" spans="1:24" x14ac:dyDescent="0.35">
      <c r="A313" t="s">
        <v>759</v>
      </c>
      <c r="B313" t="s">
        <v>114</v>
      </c>
      <c r="C313" t="s">
        <v>222</v>
      </c>
      <c r="D313">
        <v>35</v>
      </c>
      <c r="E313">
        <v>1989</v>
      </c>
      <c r="F313">
        <v>50000</v>
      </c>
      <c r="G313" t="s">
        <v>27</v>
      </c>
      <c r="H313" t="s">
        <v>58</v>
      </c>
      <c r="I313" t="s">
        <v>29</v>
      </c>
      <c r="J313" s="14">
        <v>43195</v>
      </c>
      <c r="K313" t="s">
        <v>30</v>
      </c>
      <c r="L313">
        <v>62</v>
      </c>
      <c r="M313" t="s">
        <v>223</v>
      </c>
      <c r="N313" t="s">
        <v>61</v>
      </c>
      <c r="O313" t="s">
        <v>32</v>
      </c>
      <c r="Q313">
        <v>3</v>
      </c>
      <c r="U313">
        <v>78</v>
      </c>
      <c r="V313" t="s">
        <v>73</v>
      </c>
      <c r="W313">
        <v>4</v>
      </c>
      <c r="X313" t="s">
        <v>46</v>
      </c>
    </row>
    <row r="314" spans="1:24" x14ac:dyDescent="0.35">
      <c r="A314" t="s">
        <v>760</v>
      </c>
      <c r="B314" t="s">
        <v>140</v>
      </c>
      <c r="C314" t="s">
        <v>268</v>
      </c>
      <c r="D314">
        <v>25</v>
      </c>
      <c r="E314">
        <v>1999</v>
      </c>
      <c r="F314">
        <v>50000</v>
      </c>
      <c r="G314" t="s">
        <v>38</v>
      </c>
      <c r="H314" t="s">
        <v>82</v>
      </c>
      <c r="I314" t="s">
        <v>29</v>
      </c>
      <c r="J314" s="14">
        <v>43845</v>
      </c>
      <c r="K314" t="s">
        <v>52</v>
      </c>
      <c r="L314">
        <v>71</v>
      </c>
      <c r="M314" t="s">
        <v>269</v>
      </c>
      <c r="O314" t="s">
        <v>112</v>
      </c>
      <c r="Q314">
        <v>3</v>
      </c>
      <c r="V314" t="s">
        <v>73</v>
      </c>
      <c r="W314">
        <v>3</v>
      </c>
      <c r="X314" t="s">
        <v>46</v>
      </c>
    </row>
    <row r="315" spans="1:24" x14ac:dyDescent="0.35">
      <c r="A315" t="s">
        <v>761</v>
      </c>
      <c r="B315" t="s">
        <v>68</v>
      </c>
      <c r="C315" t="s">
        <v>524</v>
      </c>
      <c r="D315">
        <v>40</v>
      </c>
      <c r="E315">
        <v>1984</v>
      </c>
      <c r="F315">
        <v>50000</v>
      </c>
      <c r="G315" t="s">
        <v>27</v>
      </c>
      <c r="H315" t="s">
        <v>39</v>
      </c>
      <c r="I315" t="s">
        <v>40</v>
      </c>
      <c r="J315" s="14">
        <v>43549</v>
      </c>
      <c r="K315" t="s">
        <v>41</v>
      </c>
      <c r="L315">
        <v>28</v>
      </c>
      <c r="M315" t="s">
        <v>762</v>
      </c>
      <c r="N315" t="s">
        <v>104</v>
      </c>
      <c r="O315" t="s">
        <v>66</v>
      </c>
      <c r="P315" t="s">
        <v>763</v>
      </c>
      <c r="Q315">
        <v>2</v>
      </c>
      <c r="S315">
        <v>2</v>
      </c>
      <c r="W315">
        <v>5</v>
      </c>
      <c r="X315" t="s">
        <v>34</v>
      </c>
    </row>
    <row r="316" spans="1:24" x14ac:dyDescent="0.35">
      <c r="A316" t="s">
        <v>764</v>
      </c>
      <c r="B316" t="s">
        <v>107</v>
      </c>
      <c r="C316" t="s">
        <v>343</v>
      </c>
      <c r="D316">
        <v>25</v>
      </c>
      <c r="E316">
        <v>1999</v>
      </c>
      <c r="F316" t="s">
        <v>50</v>
      </c>
      <c r="G316" t="s">
        <v>27</v>
      </c>
      <c r="H316" t="s">
        <v>145</v>
      </c>
      <c r="I316" t="s">
        <v>89</v>
      </c>
      <c r="J316" s="14">
        <v>43549</v>
      </c>
      <c r="K316" t="s">
        <v>78</v>
      </c>
      <c r="L316">
        <v>84</v>
      </c>
      <c r="M316" t="s">
        <v>765</v>
      </c>
      <c r="O316" t="s">
        <v>112</v>
      </c>
      <c r="P316" t="s">
        <v>766</v>
      </c>
      <c r="Q316">
        <v>7</v>
      </c>
      <c r="R316" t="s">
        <v>79</v>
      </c>
      <c r="W316">
        <v>5</v>
      </c>
      <c r="X316" t="s">
        <v>34</v>
      </c>
    </row>
    <row r="317" spans="1:24" x14ac:dyDescent="0.35">
      <c r="A317" t="s">
        <v>767</v>
      </c>
      <c r="B317" t="s">
        <v>68</v>
      </c>
      <c r="C317" t="s">
        <v>479</v>
      </c>
      <c r="D317" t="s">
        <v>88</v>
      </c>
      <c r="E317">
        <v>1994</v>
      </c>
      <c r="F317" t="s">
        <v>50</v>
      </c>
      <c r="G317" t="s">
        <v>27</v>
      </c>
      <c r="H317" t="s">
        <v>64</v>
      </c>
      <c r="I317" t="s">
        <v>77</v>
      </c>
      <c r="J317" s="14">
        <v>43881</v>
      </c>
      <c r="K317" t="s">
        <v>59</v>
      </c>
      <c r="L317">
        <v>95</v>
      </c>
      <c r="M317" t="s">
        <v>768</v>
      </c>
      <c r="N317" t="s">
        <v>54</v>
      </c>
      <c r="O317" t="s">
        <v>112</v>
      </c>
      <c r="Q317">
        <v>6</v>
      </c>
      <c r="V317" t="s">
        <v>33</v>
      </c>
      <c r="W317">
        <v>1</v>
      </c>
      <c r="X317" t="s">
        <v>34</v>
      </c>
    </row>
    <row r="318" spans="1:24" x14ac:dyDescent="0.35">
      <c r="A318" t="s">
        <v>769</v>
      </c>
      <c r="B318" t="s">
        <v>75</v>
      </c>
      <c r="C318" t="s">
        <v>213</v>
      </c>
      <c r="D318">
        <v>25</v>
      </c>
      <c r="E318">
        <v>1999</v>
      </c>
      <c r="F318">
        <v>65000</v>
      </c>
      <c r="G318" t="s">
        <v>38</v>
      </c>
      <c r="H318" t="s">
        <v>122</v>
      </c>
      <c r="I318" t="s">
        <v>77</v>
      </c>
      <c r="J318" s="14">
        <v>43800</v>
      </c>
      <c r="K318" t="s">
        <v>52</v>
      </c>
      <c r="L318">
        <v>77</v>
      </c>
      <c r="M318" t="s">
        <v>214</v>
      </c>
      <c r="O318" t="s">
        <v>112</v>
      </c>
      <c r="P318" t="s">
        <v>770</v>
      </c>
      <c r="Q318">
        <v>7</v>
      </c>
      <c r="V318" t="s">
        <v>34</v>
      </c>
      <c r="W318">
        <v>1</v>
      </c>
      <c r="X318" t="s">
        <v>46</v>
      </c>
    </row>
    <row r="319" spans="1:24" x14ac:dyDescent="0.35">
      <c r="A319" t="s">
        <v>771</v>
      </c>
      <c r="B319" t="s">
        <v>48</v>
      </c>
      <c r="C319" t="s">
        <v>462</v>
      </c>
      <c r="D319">
        <v>25</v>
      </c>
      <c r="E319">
        <v>1999</v>
      </c>
      <c r="F319">
        <v>61600</v>
      </c>
      <c r="G319" t="s">
        <v>38</v>
      </c>
      <c r="H319" t="s">
        <v>70</v>
      </c>
      <c r="I319" t="s">
        <v>89</v>
      </c>
      <c r="J319" s="14">
        <v>43845</v>
      </c>
      <c r="K319" t="s">
        <v>41</v>
      </c>
      <c r="L319">
        <v>38</v>
      </c>
      <c r="M319" t="s">
        <v>772</v>
      </c>
      <c r="N319" t="s">
        <v>61</v>
      </c>
      <c r="O319" t="s">
        <v>174</v>
      </c>
      <c r="P319" t="s">
        <v>224</v>
      </c>
      <c r="Q319">
        <v>7</v>
      </c>
      <c r="R319">
        <v>5</v>
      </c>
      <c r="S319">
        <v>13</v>
      </c>
      <c r="U319">
        <v>38</v>
      </c>
      <c r="V319" t="s">
        <v>46</v>
      </c>
      <c r="W319">
        <v>3</v>
      </c>
      <c r="X319" t="s">
        <v>34</v>
      </c>
    </row>
    <row r="320" spans="1:24" x14ac:dyDescent="0.35">
      <c r="A320" t="s">
        <v>773</v>
      </c>
      <c r="B320" t="s">
        <v>48</v>
      </c>
      <c r="C320" t="s">
        <v>459</v>
      </c>
      <c r="E320">
        <v>1991</v>
      </c>
      <c r="F320">
        <v>55000</v>
      </c>
      <c r="G320" t="s">
        <v>38</v>
      </c>
      <c r="H320" t="s">
        <v>82</v>
      </c>
      <c r="I320" t="s">
        <v>77</v>
      </c>
      <c r="J320" s="14">
        <v>43881</v>
      </c>
      <c r="K320" t="s">
        <v>52</v>
      </c>
      <c r="L320">
        <v>73</v>
      </c>
      <c r="M320" t="s">
        <v>460</v>
      </c>
      <c r="O320" t="s">
        <v>32</v>
      </c>
      <c r="Q320">
        <v>4</v>
      </c>
      <c r="V320" t="s">
        <v>33</v>
      </c>
      <c r="W320">
        <v>1</v>
      </c>
      <c r="X320" t="s">
        <v>46</v>
      </c>
    </row>
    <row r="321" spans="1:24" x14ac:dyDescent="0.35">
      <c r="A321" t="s">
        <v>774</v>
      </c>
      <c r="B321" t="s">
        <v>114</v>
      </c>
      <c r="C321" t="s">
        <v>219</v>
      </c>
      <c r="D321">
        <v>50</v>
      </c>
      <c r="E321">
        <v>1974</v>
      </c>
      <c r="F321">
        <v>65000</v>
      </c>
      <c r="G321" t="s">
        <v>27</v>
      </c>
      <c r="H321" t="s">
        <v>145</v>
      </c>
      <c r="I321" t="s">
        <v>29</v>
      </c>
      <c r="J321" s="14">
        <v>43195</v>
      </c>
      <c r="K321" t="s">
        <v>41</v>
      </c>
      <c r="L321">
        <v>7</v>
      </c>
      <c r="M321" t="s">
        <v>775</v>
      </c>
      <c r="N321" t="s">
        <v>43</v>
      </c>
      <c r="O321" t="s">
        <v>44</v>
      </c>
      <c r="Q321">
        <v>5</v>
      </c>
      <c r="V321" t="s">
        <v>46</v>
      </c>
      <c r="W321">
        <v>5</v>
      </c>
      <c r="X321" t="s">
        <v>34</v>
      </c>
    </row>
    <row r="322" spans="1:24" x14ac:dyDescent="0.35">
      <c r="A322" t="s">
        <v>776</v>
      </c>
      <c r="B322" t="s">
        <v>107</v>
      </c>
      <c r="C322" t="s">
        <v>777</v>
      </c>
      <c r="D322">
        <v>35</v>
      </c>
      <c r="E322">
        <v>1989</v>
      </c>
      <c r="F322">
        <v>55000</v>
      </c>
      <c r="G322" t="s">
        <v>27</v>
      </c>
      <c r="H322" t="s">
        <v>70</v>
      </c>
      <c r="I322" t="s">
        <v>77</v>
      </c>
      <c r="J322" s="14">
        <v>43800</v>
      </c>
      <c r="K322" t="s">
        <v>30</v>
      </c>
      <c r="L322">
        <v>62</v>
      </c>
      <c r="M322" t="s">
        <v>778</v>
      </c>
      <c r="O322" t="s">
        <v>32</v>
      </c>
      <c r="Q322">
        <v>7</v>
      </c>
      <c r="R322" t="s">
        <v>79</v>
      </c>
      <c r="T322" s="14">
        <v>45516</v>
      </c>
      <c r="U322">
        <v>12</v>
      </c>
      <c r="V322" t="s">
        <v>34</v>
      </c>
      <c r="W322">
        <v>3</v>
      </c>
      <c r="X322" t="s">
        <v>46</v>
      </c>
    </row>
    <row r="323" spans="1:24" x14ac:dyDescent="0.35">
      <c r="A323" t="s">
        <v>779</v>
      </c>
      <c r="B323" t="s">
        <v>25</v>
      </c>
      <c r="C323" t="s">
        <v>295</v>
      </c>
      <c r="D323">
        <v>40</v>
      </c>
      <c r="E323">
        <v>1984</v>
      </c>
      <c r="F323">
        <v>61300</v>
      </c>
      <c r="G323" t="s">
        <v>38</v>
      </c>
      <c r="H323" t="s">
        <v>64</v>
      </c>
      <c r="I323" t="s">
        <v>77</v>
      </c>
      <c r="J323" s="14">
        <v>43845</v>
      </c>
      <c r="K323" t="s">
        <v>52</v>
      </c>
      <c r="L323">
        <v>73</v>
      </c>
      <c r="M323" t="s">
        <v>780</v>
      </c>
      <c r="N323" t="s">
        <v>61</v>
      </c>
      <c r="O323" t="s">
        <v>32</v>
      </c>
      <c r="Q323">
        <v>6</v>
      </c>
      <c r="S323">
        <v>4</v>
      </c>
      <c r="W323">
        <v>1</v>
      </c>
      <c r="X323" t="s">
        <v>34</v>
      </c>
    </row>
    <row r="324" spans="1:24" x14ac:dyDescent="0.35">
      <c r="A324" t="s">
        <v>781</v>
      </c>
      <c r="B324" t="s">
        <v>114</v>
      </c>
      <c r="C324" t="s">
        <v>710</v>
      </c>
      <c r="D324">
        <v>25</v>
      </c>
      <c r="E324">
        <v>1999</v>
      </c>
      <c r="F324" t="s">
        <v>50</v>
      </c>
      <c r="G324" t="s">
        <v>27</v>
      </c>
      <c r="H324" t="s">
        <v>145</v>
      </c>
      <c r="I324" t="s">
        <v>89</v>
      </c>
      <c r="J324" s="14">
        <v>43549</v>
      </c>
      <c r="K324" t="s">
        <v>52</v>
      </c>
      <c r="L324">
        <v>71</v>
      </c>
      <c r="M324" t="s">
        <v>711</v>
      </c>
      <c r="N324" t="s">
        <v>43</v>
      </c>
      <c r="O324" t="s">
        <v>32</v>
      </c>
      <c r="P324" t="s">
        <v>270</v>
      </c>
      <c r="Q324">
        <v>5</v>
      </c>
      <c r="R324" t="s">
        <v>79</v>
      </c>
      <c r="T324" s="14">
        <v>44941</v>
      </c>
      <c r="U324">
        <v>5</v>
      </c>
      <c r="V324" t="s">
        <v>169</v>
      </c>
      <c r="W324">
        <v>1</v>
      </c>
      <c r="X324" t="s">
        <v>46</v>
      </c>
    </row>
    <row r="325" spans="1:24" x14ac:dyDescent="0.35">
      <c r="A325" t="s">
        <v>782</v>
      </c>
      <c r="B325" t="s">
        <v>68</v>
      </c>
      <c r="C325" t="s">
        <v>783</v>
      </c>
      <c r="D325">
        <v>40</v>
      </c>
      <c r="E325">
        <v>1984</v>
      </c>
      <c r="F325">
        <v>61600</v>
      </c>
      <c r="G325" t="s">
        <v>27</v>
      </c>
      <c r="H325" t="s">
        <v>70</v>
      </c>
      <c r="I325" t="s">
        <v>89</v>
      </c>
      <c r="J325" s="14">
        <v>43845</v>
      </c>
      <c r="K325" t="s">
        <v>52</v>
      </c>
      <c r="L325">
        <v>70</v>
      </c>
      <c r="M325" t="s">
        <v>784</v>
      </c>
      <c r="N325" t="s">
        <v>104</v>
      </c>
      <c r="O325" t="s">
        <v>44</v>
      </c>
      <c r="Q325">
        <v>8</v>
      </c>
      <c r="T325" s="14">
        <v>44470</v>
      </c>
      <c r="U325">
        <v>54</v>
      </c>
      <c r="V325" t="s">
        <v>46</v>
      </c>
      <c r="W325">
        <v>2</v>
      </c>
      <c r="X325" t="s">
        <v>46</v>
      </c>
    </row>
    <row r="326" spans="1:24" x14ac:dyDescent="0.35">
      <c r="A326" t="s">
        <v>785</v>
      </c>
      <c r="B326" t="s">
        <v>114</v>
      </c>
      <c r="C326" t="s">
        <v>179</v>
      </c>
      <c r="D326">
        <v>50</v>
      </c>
      <c r="E326">
        <v>1974</v>
      </c>
      <c r="F326" t="s">
        <v>50</v>
      </c>
      <c r="G326" t="s">
        <v>38</v>
      </c>
      <c r="H326" t="s">
        <v>51</v>
      </c>
      <c r="I326" t="s">
        <v>77</v>
      </c>
      <c r="J326" s="14">
        <v>43549</v>
      </c>
      <c r="K326" t="s">
        <v>30</v>
      </c>
      <c r="L326">
        <v>66</v>
      </c>
      <c r="M326" t="s">
        <v>786</v>
      </c>
      <c r="N326" t="s">
        <v>43</v>
      </c>
      <c r="O326" t="s">
        <v>44</v>
      </c>
      <c r="Q326">
        <v>3</v>
      </c>
      <c r="V326" t="s">
        <v>46</v>
      </c>
      <c r="W326">
        <v>4</v>
      </c>
      <c r="X326" t="s">
        <v>34</v>
      </c>
    </row>
    <row r="327" spans="1:24" x14ac:dyDescent="0.35">
      <c r="A327" t="s">
        <v>787</v>
      </c>
      <c r="B327" t="s">
        <v>68</v>
      </c>
      <c r="C327" t="s">
        <v>421</v>
      </c>
      <c r="D327">
        <v>50</v>
      </c>
      <c r="E327">
        <v>1974</v>
      </c>
      <c r="F327">
        <v>59300</v>
      </c>
      <c r="G327" t="s">
        <v>38</v>
      </c>
      <c r="H327" t="s">
        <v>122</v>
      </c>
      <c r="I327" t="s">
        <v>94</v>
      </c>
      <c r="J327" s="14">
        <v>43800</v>
      </c>
      <c r="K327" t="s">
        <v>59</v>
      </c>
      <c r="L327">
        <v>96</v>
      </c>
      <c r="M327" t="s">
        <v>422</v>
      </c>
      <c r="N327" t="s">
        <v>54</v>
      </c>
      <c r="O327" t="s">
        <v>112</v>
      </c>
      <c r="P327" t="s">
        <v>788</v>
      </c>
      <c r="Q327">
        <v>3</v>
      </c>
      <c r="T327" s="14">
        <v>44990</v>
      </c>
      <c r="W327">
        <v>4</v>
      </c>
      <c r="X327" t="s">
        <v>34</v>
      </c>
    </row>
    <row r="328" spans="1:24" x14ac:dyDescent="0.35">
      <c r="A328" t="s">
        <v>789</v>
      </c>
      <c r="B328" t="s">
        <v>131</v>
      </c>
      <c r="C328" t="s">
        <v>472</v>
      </c>
      <c r="D328">
        <v>25</v>
      </c>
      <c r="E328">
        <v>1999</v>
      </c>
      <c r="F328">
        <v>65000</v>
      </c>
      <c r="G328" t="s">
        <v>38</v>
      </c>
      <c r="H328" t="s">
        <v>122</v>
      </c>
      <c r="I328" t="s">
        <v>89</v>
      </c>
      <c r="J328" s="14">
        <v>43549</v>
      </c>
      <c r="K328" t="s">
        <v>41</v>
      </c>
      <c r="L328">
        <v>29</v>
      </c>
      <c r="M328" t="s">
        <v>473</v>
      </c>
      <c r="N328" t="s">
        <v>43</v>
      </c>
      <c r="O328" t="s">
        <v>32</v>
      </c>
      <c r="Q328">
        <v>7</v>
      </c>
      <c r="R328">
        <v>3</v>
      </c>
      <c r="S328">
        <v>18</v>
      </c>
      <c r="W328">
        <v>2</v>
      </c>
      <c r="X328" t="s">
        <v>46</v>
      </c>
    </row>
    <row r="329" spans="1:24" x14ac:dyDescent="0.35">
      <c r="A329" t="s">
        <v>790</v>
      </c>
      <c r="B329" t="s">
        <v>48</v>
      </c>
      <c r="C329" t="s">
        <v>681</v>
      </c>
      <c r="D329" t="s">
        <v>88</v>
      </c>
      <c r="E329">
        <v>1994</v>
      </c>
      <c r="F329">
        <v>70000</v>
      </c>
      <c r="G329" t="s">
        <v>38</v>
      </c>
      <c r="H329" t="s">
        <v>28</v>
      </c>
      <c r="I329" t="s">
        <v>40</v>
      </c>
      <c r="J329" s="14">
        <v>43195</v>
      </c>
      <c r="K329" t="s">
        <v>52</v>
      </c>
      <c r="L329">
        <v>76</v>
      </c>
      <c r="M329" t="s">
        <v>682</v>
      </c>
      <c r="N329" t="s">
        <v>104</v>
      </c>
      <c r="O329" t="s">
        <v>66</v>
      </c>
      <c r="P329" t="s">
        <v>791</v>
      </c>
      <c r="Q329">
        <v>5</v>
      </c>
      <c r="V329" t="s">
        <v>33</v>
      </c>
      <c r="W329">
        <v>5</v>
      </c>
      <c r="X329" t="s">
        <v>34</v>
      </c>
    </row>
    <row r="330" spans="1:24" x14ac:dyDescent="0.35">
      <c r="A330" t="s">
        <v>792</v>
      </c>
      <c r="B330" t="s">
        <v>131</v>
      </c>
      <c r="C330" t="s">
        <v>144</v>
      </c>
      <c r="D330">
        <v>25</v>
      </c>
      <c r="E330">
        <v>1999</v>
      </c>
      <c r="F330">
        <v>65000</v>
      </c>
      <c r="G330" t="s">
        <v>27</v>
      </c>
      <c r="H330" t="s">
        <v>28</v>
      </c>
      <c r="I330" t="s">
        <v>40</v>
      </c>
      <c r="J330" s="14">
        <v>43549</v>
      </c>
      <c r="K330" t="s">
        <v>30</v>
      </c>
      <c r="L330">
        <v>68</v>
      </c>
      <c r="M330" t="s">
        <v>146</v>
      </c>
      <c r="O330" t="s">
        <v>174</v>
      </c>
      <c r="P330" t="s">
        <v>793</v>
      </c>
      <c r="Q330">
        <v>6</v>
      </c>
      <c r="R330">
        <v>3</v>
      </c>
      <c r="V330" t="s">
        <v>73</v>
      </c>
      <c r="W330">
        <v>5</v>
      </c>
      <c r="X330" t="s">
        <v>46</v>
      </c>
    </row>
    <row r="331" spans="1:24" x14ac:dyDescent="0.35">
      <c r="A331" t="s">
        <v>794</v>
      </c>
      <c r="B331" t="s">
        <v>140</v>
      </c>
      <c r="C331" t="s">
        <v>196</v>
      </c>
      <c r="E331">
        <v>1981</v>
      </c>
      <c r="F331">
        <v>55000</v>
      </c>
      <c r="G331" t="s">
        <v>38</v>
      </c>
      <c r="H331" t="s">
        <v>122</v>
      </c>
      <c r="I331" t="s">
        <v>29</v>
      </c>
      <c r="J331" s="14">
        <v>43195</v>
      </c>
      <c r="K331" t="s">
        <v>59</v>
      </c>
      <c r="L331">
        <v>96</v>
      </c>
      <c r="M331" t="s">
        <v>197</v>
      </c>
      <c r="N331" t="s">
        <v>43</v>
      </c>
      <c r="O331" t="s">
        <v>174</v>
      </c>
      <c r="Q331">
        <v>4</v>
      </c>
      <c r="R331">
        <v>1</v>
      </c>
      <c r="S331">
        <v>13</v>
      </c>
      <c r="T331" s="14">
        <v>44941</v>
      </c>
      <c r="V331" t="s">
        <v>34</v>
      </c>
      <c r="W331">
        <v>3</v>
      </c>
      <c r="X331" t="s">
        <v>34</v>
      </c>
    </row>
    <row r="332" spans="1:24" x14ac:dyDescent="0.35">
      <c r="A332" t="s">
        <v>795</v>
      </c>
      <c r="B332" t="s">
        <v>107</v>
      </c>
      <c r="C332" t="s">
        <v>277</v>
      </c>
      <c r="D332">
        <v>35</v>
      </c>
      <c r="E332">
        <v>1989</v>
      </c>
      <c r="F332">
        <v>65000</v>
      </c>
      <c r="G332" t="s">
        <v>38</v>
      </c>
      <c r="H332" t="s">
        <v>145</v>
      </c>
      <c r="I332" t="s">
        <v>77</v>
      </c>
      <c r="J332" s="14">
        <v>43800</v>
      </c>
      <c r="K332" t="s">
        <v>41</v>
      </c>
      <c r="L332">
        <v>33</v>
      </c>
      <c r="M332" t="s">
        <v>796</v>
      </c>
      <c r="N332" t="s">
        <v>43</v>
      </c>
      <c r="O332" t="s">
        <v>44</v>
      </c>
      <c r="P332" t="s">
        <v>116</v>
      </c>
      <c r="Q332">
        <v>4</v>
      </c>
      <c r="R332">
        <v>1</v>
      </c>
      <c r="S332">
        <v>5</v>
      </c>
      <c r="V332" t="s">
        <v>34</v>
      </c>
      <c r="W332">
        <v>3</v>
      </c>
      <c r="X332" t="s">
        <v>34</v>
      </c>
    </row>
    <row r="333" spans="1:24" x14ac:dyDescent="0.35">
      <c r="A333" t="s">
        <v>797</v>
      </c>
      <c r="B333" t="s">
        <v>25</v>
      </c>
      <c r="C333" t="s">
        <v>132</v>
      </c>
      <c r="D333" t="s">
        <v>88</v>
      </c>
      <c r="E333">
        <v>1994</v>
      </c>
      <c r="F333">
        <v>50000</v>
      </c>
      <c r="G333" t="s">
        <v>27</v>
      </c>
      <c r="H333" t="s">
        <v>58</v>
      </c>
      <c r="I333" t="s">
        <v>94</v>
      </c>
      <c r="J333" s="14">
        <v>43800</v>
      </c>
      <c r="K333" t="s">
        <v>30</v>
      </c>
      <c r="L333">
        <v>65</v>
      </c>
      <c r="M333" t="s">
        <v>798</v>
      </c>
      <c r="N333" t="s">
        <v>43</v>
      </c>
      <c r="O333" t="s">
        <v>72</v>
      </c>
      <c r="Q333">
        <v>4</v>
      </c>
      <c r="R333">
        <v>9</v>
      </c>
      <c r="T333" s="14">
        <v>44732</v>
      </c>
      <c r="V333" t="s">
        <v>33</v>
      </c>
      <c r="W333">
        <v>3</v>
      </c>
      <c r="X333" t="s">
        <v>46</v>
      </c>
    </row>
    <row r="334" spans="1:24" x14ac:dyDescent="0.35">
      <c r="A334" t="s">
        <v>799</v>
      </c>
      <c r="B334" t="s">
        <v>68</v>
      </c>
      <c r="C334" t="s">
        <v>462</v>
      </c>
      <c r="D334">
        <v>25</v>
      </c>
      <c r="E334">
        <v>1999</v>
      </c>
      <c r="F334">
        <v>55000</v>
      </c>
      <c r="G334" t="s">
        <v>27</v>
      </c>
      <c r="H334" t="s">
        <v>28</v>
      </c>
      <c r="I334" t="s">
        <v>29</v>
      </c>
      <c r="J334" s="14">
        <v>43845</v>
      </c>
      <c r="K334" t="s">
        <v>41</v>
      </c>
      <c r="L334">
        <v>9</v>
      </c>
      <c r="M334" t="s">
        <v>800</v>
      </c>
      <c r="N334" t="s">
        <v>43</v>
      </c>
      <c r="O334" t="s">
        <v>72</v>
      </c>
      <c r="Q334">
        <v>5</v>
      </c>
      <c r="U334">
        <v>24</v>
      </c>
      <c r="V334" t="s">
        <v>169</v>
      </c>
      <c r="W334">
        <v>5</v>
      </c>
      <c r="X334" t="s">
        <v>46</v>
      </c>
    </row>
    <row r="335" spans="1:24" x14ac:dyDescent="0.35">
      <c r="A335" t="s">
        <v>801</v>
      </c>
      <c r="B335" t="s">
        <v>25</v>
      </c>
      <c r="C335" t="s">
        <v>49</v>
      </c>
      <c r="D335">
        <v>40</v>
      </c>
      <c r="E335">
        <v>1984</v>
      </c>
      <c r="F335">
        <v>58600</v>
      </c>
      <c r="G335" t="s">
        <v>38</v>
      </c>
      <c r="H335" t="s">
        <v>58</v>
      </c>
      <c r="I335" t="s">
        <v>77</v>
      </c>
      <c r="J335" s="14">
        <v>43195</v>
      </c>
      <c r="K335" t="s">
        <v>52</v>
      </c>
      <c r="L335">
        <v>72</v>
      </c>
      <c r="M335" t="s">
        <v>802</v>
      </c>
      <c r="N335" t="s">
        <v>104</v>
      </c>
      <c r="O335" t="s">
        <v>72</v>
      </c>
      <c r="Q335">
        <v>6</v>
      </c>
      <c r="S335">
        <v>6</v>
      </c>
      <c r="V335" t="s">
        <v>33</v>
      </c>
      <c r="W335">
        <v>5</v>
      </c>
      <c r="X335" t="s">
        <v>34</v>
      </c>
    </row>
    <row r="336" spans="1:24" x14ac:dyDescent="0.35">
      <c r="A336" t="s">
        <v>803</v>
      </c>
      <c r="B336" t="s">
        <v>68</v>
      </c>
      <c r="C336" t="s">
        <v>193</v>
      </c>
      <c r="D336" t="s">
        <v>88</v>
      </c>
      <c r="E336">
        <v>1994</v>
      </c>
      <c r="F336">
        <v>55000</v>
      </c>
      <c r="G336" t="s">
        <v>27</v>
      </c>
      <c r="H336" t="s">
        <v>122</v>
      </c>
      <c r="I336" t="s">
        <v>89</v>
      </c>
      <c r="J336" s="14">
        <v>43195</v>
      </c>
      <c r="K336" t="s">
        <v>59</v>
      </c>
      <c r="L336">
        <v>100</v>
      </c>
      <c r="M336" t="s">
        <v>194</v>
      </c>
      <c r="N336" t="s">
        <v>61</v>
      </c>
      <c r="O336" t="s">
        <v>100</v>
      </c>
      <c r="Q336">
        <v>3</v>
      </c>
      <c r="R336" t="s">
        <v>79</v>
      </c>
      <c r="V336" t="s">
        <v>33</v>
      </c>
      <c r="W336">
        <v>5</v>
      </c>
      <c r="X336" t="s">
        <v>46</v>
      </c>
    </row>
    <row r="337" spans="1:24" x14ac:dyDescent="0.35">
      <c r="A337" t="s">
        <v>804</v>
      </c>
      <c r="B337" t="s">
        <v>75</v>
      </c>
      <c r="C337" t="s">
        <v>362</v>
      </c>
      <c r="D337" t="s">
        <v>88</v>
      </c>
      <c r="E337">
        <v>1994</v>
      </c>
      <c r="F337">
        <v>70000</v>
      </c>
      <c r="G337" t="s">
        <v>27</v>
      </c>
      <c r="H337" t="s">
        <v>145</v>
      </c>
      <c r="I337" t="s">
        <v>40</v>
      </c>
      <c r="J337" s="14">
        <v>43881</v>
      </c>
      <c r="K337" t="s">
        <v>30</v>
      </c>
      <c r="L337">
        <v>69</v>
      </c>
      <c r="M337" t="s">
        <v>363</v>
      </c>
      <c r="N337" t="s">
        <v>61</v>
      </c>
      <c r="O337" t="s">
        <v>112</v>
      </c>
      <c r="Q337">
        <v>3</v>
      </c>
      <c r="V337" t="s">
        <v>169</v>
      </c>
      <c r="W337">
        <v>4</v>
      </c>
      <c r="X337" t="s">
        <v>34</v>
      </c>
    </row>
    <row r="338" spans="1:24" x14ac:dyDescent="0.35">
      <c r="A338" t="s">
        <v>805</v>
      </c>
      <c r="B338" t="s">
        <v>114</v>
      </c>
      <c r="C338" t="s">
        <v>222</v>
      </c>
      <c r="D338">
        <v>25</v>
      </c>
      <c r="E338">
        <v>1999</v>
      </c>
      <c r="F338" t="s">
        <v>50</v>
      </c>
      <c r="G338" t="s">
        <v>38</v>
      </c>
      <c r="H338" t="s">
        <v>93</v>
      </c>
      <c r="I338" t="s">
        <v>94</v>
      </c>
      <c r="J338" s="14">
        <v>43881</v>
      </c>
      <c r="K338" t="s">
        <v>59</v>
      </c>
      <c r="L338">
        <v>100</v>
      </c>
      <c r="M338" t="s">
        <v>223</v>
      </c>
      <c r="N338" t="s">
        <v>43</v>
      </c>
      <c r="O338" t="s">
        <v>72</v>
      </c>
      <c r="Q338">
        <v>6</v>
      </c>
      <c r="R338">
        <v>3</v>
      </c>
      <c r="T338" s="14">
        <v>44732</v>
      </c>
      <c r="V338" t="s">
        <v>34</v>
      </c>
      <c r="W338">
        <v>5</v>
      </c>
      <c r="X338" t="s">
        <v>34</v>
      </c>
    </row>
    <row r="339" spans="1:24" x14ac:dyDescent="0.35">
      <c r="A339" t="s">
        <v>806</v>
      </c>
      <c r="B339" t="s">
        <v>140</v>
      </c>
      <c r="C339" t="s">
        <v>161</v>
      </c>
      <c r="D339" t="s">
        <v>88</v>
      </c>
      <c r="E339">
        <v>1994</v>
      </c>
      <c r="F339">
        <v>60900</v>
      </c>
      <c r="G339" t="s">
        <v>38</v>
      </c>
      <c r="H339" t="s">
        <v>28</v>
      </c>
      <c r="I339" t="s">
        <v>40</v>
      </c>
      <c r="J339" s="14">
        <v>43881</v>
      </c>
      <c r="K339" t="s">
        <v>52</v>
      </c>
      <c r="L339">
        <v>77</v>
      </c>
      <c r="M339" t="s">
        <v>807</v>
      </c>
      <c r="N339" t="s">
        <v>104</v>
      </c>
      <c r="O339" t="s">
        <v>112</v>
      </c>
      <c r="Q339">
        <v>2</v>
      </c>
      <c r="S339">
        <v>14</v>
      </c>
      <c r="U339">
        <v>48</v>
      </c>
      <c r="V339" t="s">
        <v>46</v>
      </c>
      <c r="W339">
        <v>3</v>
      </c>
      <c r="X339" t="s">
        <v>46</v>
      </c>
    </row>
    <row r="340" spans="1:24" x14ac:dyDescent="0.35">
      <c r="A340" t="s">
        <v>808</v>
      </c>
      <c r="B340" t="s">
        <v>48</v>
      </c>
      <c r="C340" t="s">
        <v>459</v>
      </c>
      <c r="D340">
        <v>40</v>
      </c>
      <c r="E340">
        <v>1984</v>
      </c>
      <c r="F340">
        <v>55000</v>
      </c>
      <c r="G340" t="s">
        <v>38</v>
      </c>
      <c r="H340" t="s">
        <v>145</v>
      </c>
      <c r="I340" t="s">
        <v>89</v>
      </c>
      <c r="J340" s="14">
        <v>43549</v>
      </c>
      <c r="K340" t="s">
        <v>59</v>
      </c>
      <c r="L340">
        <v>94</v>
      </c>
      <c r="M340" t="s">
        <v>460</v>
      </c>
      <c r="N340" t="s">
        <v>104</v>
      </c>
      <c r="O340" t="s">
        <v>72</v>
      </c>
      <c r="P340" t="s">
        <v>155</v>
      </c>
      <c r="Q340">
        <v>6</v>
      </c>
      <c r="T340" s="14">
        <v>44941</v>
      </c>
      <c r="W340">
        <v>2</v>
      </c>
      <c r="X340" t="s">
        <v>34</v>
      </c>
    </row>
    <row r="341" spans="1:24" x14ac:dyDescent="0.35">
      <c r="A341" t="s">
        <v>809</v>
      </c>
      <c r="B341" t="s">
        <v>68</v>
      </c>
      <c r="C341" t="s">
        <v>193</v>
      </c>
      <c r="D341">
        <v>50</v>
      </c>
      <c r="E341">
        <v>1974</v>
      </c>
      <c r="F341">
        <v>58600</v>
      </c>
      <c r="G341" t="s">
        <v>27</v>
      </c>
      <c r="H341" t="s">
        <v>122</v>
      </c>
      <c r="I341" t="s">
        <v>77</v>
      </c>
      <c r="J341" s="14">
        <v>43881</v>
      </c>
      <c r="K341" t="s">
        <v>59</v>
      </c>
      <c r="L341">
        <v>98</v>
      </c>
      <c r="M341" t="s">
        <v>194</v>
      </c>
      <c r="N341" t="s">
        <v>43</v>
      </c>
      <c r="O341" t="s">
        <v>66</v>
      </c>
      <c r="Q341">
        <v>8</v>
      </c>
      <c r="R341">
        <v>7</v>
      </c>
      <c r="S341">
        <v>6</v>
      </c>
      <c r="U341">
        <v>54</v>
      </c>
      <c r="W341">
        <v>4</v>
      </c>
      <c r="X341" t="s">
        <v>46</v>
      </c>
    </row>
    <row r="342" spans="1:24" x14ac:dyDescent="0.35">
      <c r="A342" t="s">
        <v>810</v>
      </c>
      <c r="B342" t="s">
        <v>25</v>
      </c>
      <c r="C342" t="s">
        <v>161</v>
      </c>
      <c r="D342" t="s">
        <v>88</v>
      </c>
      <c r="E342">
        <v>1994</v>
      </c>
      <c r="F342">
        <v>59800</v>
      </c>
      <c r="G342" t="s">
        <v>38</v>
      </c>
      <c r="H342" t="s">
        <v>122</v>
      </c>
      <c r="I342" t="s">
        <v>89</v>
      </c>
      <c r="J342" s="14">
        <v>43195</v>
      </c>
      <c r="K342" t="s">
        <v>78</v>
      </c>
      <c r="L342">
        <v>80</v>
      </c>
      <c r="M342" t="s">
        <v>811</v>
      </c>
      <c r="N342" t="s">
        <v>54</v>
      </c>
      <c r="O342" t="s">
        <v>112</v>
      </c>
      <c r="Q342">
        <v>7</v>
      </c>
      <c r="V342" t="s">
        <v>34</v>
      </c>
      <c r="W342">
        <v>3</v>
      </c>
      <c r="X342" t="s">
        <v>34</v>
      </c>
    </row>
    <row r="343" spans="1:24" x14ac:dyDescent="0.35">
      <c r="A343" t="s">
        <v>812</v>
      </c>
      <c r="B343" t="s">
        <v>140</v>
      </c>
      <c r="C343" t="s">
        <v>268</v>
      </c>
      <c r="D343">
        <v>50</v>
      </c>
      <c r="E343">
        <v>1974</v>
      </c>
      <c r="F343">
        <v>61600</v>
      </c>
      <c r="G343" t="s">
        <v>38</v>
      </c>
      <c r="H343" t="s">
        <v>93</v>
      </c>
      <c r="I343" t="s">
        <v>89</v>
      </c>
      <c r="J343" s="14">
        <v>43549</v>
      </c>
      <c r="K343" t="s">
        <v>59</v>
      </c>
      <c r="L343">
        <v>100</v>
      </c>
      <c r="M343" t="s">
        <v>269</v>
      </c>
      <c r="N343" t="s">
        <v>43</v>
      </c>
      <c r="O343" t="s">
        <v>72</v>
      </c>
      <c r="Q343">
        <v>5</v>
      </c>
      <c r="S343">
        <v>15</v>
      </c>
      <c r="W343">
        <v>2</v>
      </c>
      <c r="X343" t="s">
        <v>46</v>
      </c>
    </row>
    <row r="344" spans="1:24" x14ac:dyDescent="0.35">
      <c r="A344" t="s">
        <v>813</v>
      </c>
      <c r="B344" t="s">
        <v>36</v>
      </c>
      <c r="C344" t="s">
        <v>359</v>
      </c>
      <c r="D344">
        <v>40</v>
      </c>
      <c r="E344">
        <v>1984</v>
      </c>
      <c r="F344" t="s">
        <v>50</v>
      </c>
      <c r="G344" t="s">
        <v>27</v>
      </c>
      <c r="H344" t="s">
        <v>82</v>
      </c>
      <c r="I344" t="s">
        <v>40</v>
      </c>
      <c r="J344" s="14">
        <v>43800</v>
      </c>
      <c r="K344" t="s">
        <v>41</v>
      </c>
      <c r="L344">
        <v>50</v>
      </c>
      <c r="M344" t="s">
        <v>814</v>
      </c>
      <c r="N344" t="s">
        <v>54</v>
      </c>
      <c r="O344" t="s">
        <v>174</v>
      </c>
      <c r="Q344">
        <v>7</v>
      </c>
      <c r="S344">
        <v>7</v>
      </c>
      <c r="T344" s="14">
        <v>45516</v>
      </c>
      <c r="U344">
        <v>29</v>
      </c>
      <c r="V344" t="s">
        <v>482</v>
      </c>
      <c r="W344">
        <v>2</v>
      </c>
      <c r="X344" t="s">
        <v>34</v>
      </c>
    </row>
    <row r="345" spans="1:24" x14ac:dyDescent="0.35">
      <c r="A345" t="s">
        <v>815</v>
      </c>
      <c r="B345" t="s">
        <v>36</v>
      </c>
      <c r="C345" t="s">
        <v>256</v>
      </c>
      <c r="D345">
        <v>25</v>
      </c>
      <c r="E345">
        <v>1999</v>
      </c>
      <c r="F345">
        <v>65000</v>
      </c>
      <c r="G345" t="s">
        <v>27</v>
      </c>
      <c r="H345" t="s">
        <v>82</v>
      </c>
      <c r="I345" t="s">
        <v>94</v>
      </c>
      <c r="J345" s="14">
        <v>43845</v>
      </c>
      <c r="K345" t="s">
        <v>30</v>
      </c>
      <c r="L345">
        <v>63</v>
      </c>
      <c r="M345" t="s">
        <v>669</v>
      </c>
      <c r="N345" t="s">
        <v>43</v>
      </c>
      <c r="O345" t="s">
        <v>44</v>
      </c>
      <c r="Q345">
        <v>1</v>
      </c>
      <c r="R345">
        <v>1</v>
      </c>
      <c r="U345">
        <v>12</v>
      </c>
      <c r="V345" t="s">
        <v>33</v>
      </c>
      <c r="W345">
        <v>3</v>
      </c>
      <c r="X345" t="s">
        <v>34</v>
      </c>
    </row>
    <row r="346" spans="1:24" x14ac:dyDescent="0.35">
      <c r="A346" t="s">
        <v>816</v>
      </c>
      <c r="B346" t="s">
        <v>131</v>
      </c>
      <c r="C346" t="s">
        <v>216</v>
      </c>
      <c r="D346">
        <v>35</v>
      </c>
      <c r="E346">
        <v>1989</v>
      </c>
      <c r="F346">
        <v>58500</v>
      </c>
      <c r="G346" t="s">
        <v>27</v>
      </c>
      <c r="H346" t="s">
        <v>64</v>
      </c>
      <c r="I346" t="s">
        <v>89</v>
      </c>
      <c r="J346" s="14">
        <v>43881</v>
      </c>
      <c r="K346" t="s">
        <v>78</v>
      </c>
      <c r="L346">
        <v>87</v>
      </c>
      <c r="M346" t="s">
        <v>217</v>
      </c>
      <c r="N346" t="s">
        <v>54</v>
      </c>
      <c r="O346" t="s">
        <v>112</v>
      </c>
      <c r="Q346">
        <v>2</v>
      </c>
      <c r="R346" t="s">
        <v>79</v>
      </c>
      <c r="V346" t="s">
        <v>73</v>
      </c>
      <c r="W346">
        <v>1</v>
      </c>
      <c r="X346" t="s">
        <v>34</v>
      </c>
    </row>
    <row r="347" spans="1:24" x14ac:dyDescent="0.35">
      <c r="A347" t="s">
        <v>817</v>
      </c>
      <c r="B347" t="s">
        <v>48</v>
      </c>
      <c r="C347" t="s">
        <v>96</v>
      </c>
      <c r="D347" t="s">
        <v>88</v>
      </c>
      <c r="E347">
        <v>1994</v>
      </c>
      <c r="F347">
        <v>50000</v>
      </c>
      <c r="G347" t="s">
        <v>38</v>
      </c>
      <c r="H347" t="s">
        <v>28</v>
      </c>
      <c r="I347" t="s">
        <v>40</v>
      </c>
      <c r="J347" s="14">
        <v>43800</v>
      </c>
      <c r="K347" t="s">
        <v>30</v>
      </c>
      <c r="L347">
        <v>61</v>
      </c>
      <c r="M347" t="s">
        <v>97</v>
      </c>
      <c r="N347" t="s">
        <v>54</v>
      </c>
      <c r="O347" t="s">
        <v>174</v>
      </c>
      <c r="Q347">
        <v>1</v>
      </c>
      <c r="S347">
        <v>5</v>
      </c>
      <c r="U347">
        <v>72</v>
      </c>
      <c r="W347">
        <v>1</v>
      </c>
      <c r="X347" t="s">
        <v>46</v>
      </c>
    </row>
    <row r="348" spans="1:24" x14ac:dyDescent="0.35">
      <c r="A348" t="s">
        <v>818</v>
      </c>
      <c r="B348" t="s">
        <v>75</v>
      </c>
      <c r="C348" t="s">
        <v>819</v>
      </c>
      <c r="D348">
        <v>35</v>
      </c>
      <c r="E348">
        <v>1989</v>
      </c>
      <c r="F348">
        <v>70000</v>
      </c>
      <c r="G348" t="s">
        <v>38</v>
      </c>
      <c r="H348" t="s">
        <v>70</v>
      </c>
      <c r="I348" t="s">
        <v>94</v>
      </c>
      <c r="J348" s="14">
        <v>43195</v>
      </c>
      <c r="K348" t="s">
        <v>30</v>
      </c>
      <c r="L348">
        <v>63</v>
      </c>
      <c r="M348" t="s">
        <v>820</v>
      </c>
      <c r="N348" t="s">
        <v>43</v>
      </c>
      <c r="O348" t="s">
        <v>174</v>
      </c>
      <c r="Q348">
        <v>7</v>
      </c>
      <c r="R348">
        <v>6</v>
      </c>
      <c r="S348">
        <v>12</v>
      </c>
      <c r="V348" t="s">
        <v>73</v>
      </c>
      <c r="W348">
        <v>1</v>
      </c>
      <c r="X348" t="s">
        <v>46</v>
      </c>
    </row>
    <row r="349" spans="1:24" x14ac:dyDescent="0.35">
      <c r="A349" t="s">
        <v>821</v>
      </c>
      <c r="B349" t="s">
        <v>25</v>
      </c>
      <c r="C349" t="s">
        <v>546</v>
      </c>
      <c r="D349">
        <v>40</v>
      </c>
      <c r="E349">
        <v>1984</v>
      </c>
      <c r="F349" t="s">
        <v>50</v>
      </c>
      <c r="G349" t="s">
        <v>38</v>
      </c>
      <c r="H349" t="s">
        <v>39</v>
      </c>
      <c r="I349" t="s">
        <v>77</v>
      </c>
      <c r="J349" s="14">
        <v>43845</v>
      </c>
      <c r="K349" t="s">
        <v>52</v>
      </c>
      <c r="L349">
        <v>78</v>
      </c>
      <c r="M349" t="s">
        <v>822</v>
      </c>
      <c r="N349" t="s">
        <v>54</v>
      </c>
      <c r="O349" t="s">
        <v>174</v>
      </c>
      <c r="Q349">
        <v>3</v>
      </c>
      <c r="T349" s="14">
        <v>44990</v>
      </c>
      <c r="V349" t="s">
        <v>33</v>
      </c>
      <c r="W349">
        <v>2</v>
      </c>
      <c r="X349" t="s">
        <v>46</v>
      </c>
    </row>
    <row r="350" spans="1:24" x14ac:dyDescent="0.35">
      <c r="A350" t="s">
        <v>823</v>
      </c>
      <c r="B350" t="s">
        <v>114</v>
      </c>
      <c r="C350" t="s">
        <v>117</v>
      </c>
      <c r="D350" t="s">
        <v>88</v>
      </c>
      <c r="E350">
        <v>1994</v>
      </c>
      <c r="F350">
        <v>55000</v>
      </c>
      <c r="G350" t="s">
        <v>27</v>
      </c>
      <c r="H350" t="s">
        <v>64</v>
      </c>
      <c r="I350" t="s">
        <v>77</v>
      </c>
      <c r="J350" s="14">
        <v>43800</v>
      </c>
      <c r="K350" t="s">
        <v>52</v>
      </c>
      <c r="L350">
        <v>75</v>
      </c>
      <c r="M350" t="s">
        <v>824</v>
      </c>
      <c r="O350" t="s">
        <v>100</v>
      </c>
      <c r="Q350">
        <v>1</v>
      </c>
      <c r="S350">
        <v>5</v>
      </c>
      <c r="U350">
        <v>42</v>
      </c>
      <c r="W350">
        <v>3</v>
      </c>
      <c r="X350" t="s">
        <v>46</v>
      </c>
    </row>
    <row r="351" spans="1:24" x14ac:dyDescent="0.35">
      <c r="A351" t="s">
        <v>825</v>
      </c>
      <c r="B351" t="s">
        <v>114</v>
      </c>
      <c r="C351" t="s">
        <v>154</v>
      </c>
      <c r="D351">
        <v>50</v>
      </c>
      <c r="E351">
        <v>1974</v>
      </c>
      <c r="F351" t="s">
        <v>50</v>
      </c>
      <c r="G351" t="s">
        <v>27</v>
      </c>
      <c r="H351" t="s">
        <v>122</v>
      </c>
      <c r="I351" t="s">
        <v>29</v>
      </c>
      <c r="J351" s="14">
        <v>43845</v>
      </c>
      <c r="K351" t="s">
        <v>78</v>
      </c>
      <c r="L351">
        <v>85</v>
      </c>
      <c r="M351" t="s">
        <v>826</v>
      </c>
      <c r="N351" t="s">
        <v>61</v>
      </c>
      <c r="O351" t="s">
        <v>44</v>
      </c>
      <c r="Q351">
        <v>1</v>
      </c>
      <c r="R351">
        <v>4</v>
      </c>
      <c r="U351">
        <v>15</v>
      </c>
      <c r="V351" t="s">
        <v>34</v>
      </c>
      <c r="W351">
        <v>2</v>
      </c>
      <c r="X351" t="s">
        <v>46</v>
      </c>
    </row>
    <row r="352" spans="1:24" x14ac:dyDescent="0.35">
      <c r="A352" t="s">
        <v>827</v>
      </c>
      <c r="B352" t="s">
        <v>25</v>
      </c>
      <c r="C352" t="s">
        <v>265</v>
      </c>
      <c r="E352">
        <v>1965</v>
      </c>
      <c r="F352">
        <v>55000</v>
      </c>
      <c r="G352" t="s">
        <v>38</v>
      </c>
      <c r="H352" t="s">
        <v>122</v>
      </c>
      <c r="I352" t="s">
        <v>40</v>
      </c>
      <c r="J352" s="14">
        <v>43881</v>
      </c>
      <c r="K352" t="s">
        <v>52</v>
      </c>
      <c r="L352">
        <v>71</v>
      </c>
      <c r="M352" t="s">
        <v>266</v>
      </c>
      <c r="N352" t="s">
        <v>104</v>
      </c>
      <c r="O352" t="s">
        <v>44</v>
      </c>
      <c r="P352" t="s">
        <v>303</v>
      </c>
      <c r="Q352">
        <v>4</v>
      </c>
      <c r="S352">
        <v>14</v>
      </c>
      <c r="T352" s="14">
        <v>44732</v>
      </c>
      <c r="U352">
        <v>46</v>
      </c>
      <c r="V352" t="s">
        <v>33</v>
      </c>
      <c r="W352">
        <v>4</v>
      </c>
      <c r="X352" t="s">
        <v>34</v>
      </c>
    </row>
    <row r="353" spans="1:24" x14ac:dyDescent="0.35">
      <c r="A353" t="s">
        <v>828</v>
      </c>
      <c r="B353" t="s">
        <v>107</v>
      </c>
      <c r="C353" t="s">
        <v>543</v>
      </c>
      <c r="D353">
        <v>35</v>
      </c>
      <c r="E353">
        <v>1989</v>
      </c>
      <c r="F353" t="s">
        <v>50</v>
      </c>
      <c r="G353" t="s">
        <v>38</v>
      </c>
      <c r="H353" t="s">
        <v>28</v>
      </c>
      <c r="I353" t="s">
        <v>94</v>
      </c>
      <c r="J353" s="14">
        <v>43195</v>
      </c>
      <c r="K353" t="s">
        <v>52</v>
      </c>
      <c r="L353">
        <v>74</v>
      </c>
      <c r="M353" t="s">
        <v>544</v>
      </c>
      <c r="N353" t="s">
        <v>54</v>
      </c>
      <c r="O353" t="s">
        <v>32</v>
      </c>
      <c r="Q353">
        <v>5</v>
      </c>
      <c r="S353">
        <v>9</v>
      </c>
      <c r="V353" t="s">
        <v>169</v>
      </c>
      <c r="W353">
        <v>3</v>
      </c>
      <c r="X353" t="s">
        <v>34</v>
      </c>
    </row>
    <row r="354" spans="1:24" x14ac:dyDescent="0.35">
      <c r="A354" t="s">
        <v>829</v>
      </c>
      <c r="B354" t="s">
        <v>75</v>
      </c>
      <c r="C354" t="s">
        <v>203</v>
      </c>
      <c r="D354" t="s">
        <v>88</v>
      </c>
      <c r="E354">
        <v>1994</v>
      </c>
      <c r="F354">
        <v>55000</v>
      </c>
      <c r="G354" t="s">
        <v>38</v>
      </c>
      <c r="H354" t="s">
        <v>64</v>
      </c>
      <c r="I354" t="s">
        <v>89</v>
      </c>
      <c r="J354" s="14">
        <v>43845</v>
      </c>
      <c r="K354" t="s">
        <v>52</v>
      </c>
      <c r="L354">
        <v>72</v>
      </c>
      <c r="M354" t="s">
        <v>830</v>
      </c>
      <c r="N354" t="s">
        <v>54</v>
      </c>
      <c r="O354" t="s">
        <v>100</v>
      </c>
      <c r="Q354">
        <v>3</v>
      </c>
      <c r="W354">
        <v>1</v>
      </c>
      <c r="X354" t="s">
        <v>34</v>
      </c>
    </row>
    <row r="355" spans="1:24" x14ac:dyDescent="0.35">
      <c r="A355" t="s">
        <v>831</v>
      </c>
      <c r="B355" t="s">
        <v>140</v>
      </c>
      <c r="C355" t="s">
        <v>92</v>
      </c>
      <c r="D355">
        <v>35</v>
      </c>
      <c r="E355">
        <v>1989</v>
      </c>
      <c r="F355">
        <v>58600</v>
      </c>
      <c r="G355" t="s">
        <v>38</v>
      </c>
      <c r="H355" t="s">
        <v>58</v>
      </c>
      <c r="I355" t="s">
        <v>77</v>
      </c>
      <c r="J355" s="14">
        <v>43800</v>
      </c>
      <c r="K355" t="s">
        <v>30</v>
      </c>
      <c r="L355">
        <v>64</v>
      </c>
      <c r="M355" t="s">
        <v>832</v>
      </c>
      <c r="N355" t="s">
        <v>104</v>
      </c>
      <c r="O355" t="s">
        <v>174</v>
      </c>
      <c r="Q355">
        <v>5</v>
      </c>
      <c r="R355" t="s">
        <v>79</v>
      </c>
      <c r="V355" t="s">
        <v>73</v>
      </c>
      <c r="W355">
        <v>1</v>
      </c>
      <c r="X355" t="s">
        <v>34</v>
      </c>
    </row>
    <row r="356" spans="1:24" x14ac:dyDescent="0.35">
      <c r="A356" t="s">
        <v>833</v>
      </c>
      <c r="B356" t="s">
        <v>68</v>
      </c>
      <c r="C356" t="s">
        <v>99</v>
      </c>
      <c r="D356" t="s">
        <v>88</v>
      </c>
      <c r="E356">
        <v>1994</v>
      </c>
      <c r="F356">
        <v>65000</v>
      </c>
      <c r="G356" t="s">
        <v>38</v>
      </c>
      <c r="H356" t="s">
        <v>70</v>
      </c>
      <c r="I356" t="s">
        <v>94</v>
      </c>
      <c r="J356" s="14">
        <v>43881</v>
      </c>
      <c r="K356" t="s">
        <v>78</v>
      </c>
      <c r="L356">
        <v>86</v>
      </c>
      <c r="M356" t="s">
        <v>834</v>
      </c>
      <c r="N356" t="s">
        <v>54</v>
      </c>
      <c r="O356" t="s">
        <v>44</v>
      </c>
      <c r="P356" t="s">
        <v>835</v>
      </c>
      <c r="Q356">
        <v>5</v>
      </c>
      <c r="S356">
        <v>7</v>
      </c>
      <c r="U356">
        <v>10</v>
      </c>
      <c r="W356">
        <v>3</v>
      </c>
      <c r="X356" t="s">
        <v>46</v>
      </c>
    </row>
    <row r="357" spans="1:24" x14ac:dyDescent="0.35">
      <c r="A357" t="s">
        <v>836</v>
      </c>
      <c r="B357" t="s">
        <v>107</v>
      </c>
      <c r="C357" t="s">
        <v>837</v>
      </c>
      <c r="D357">
        <v>25</v>
      </c>
      <c r="E357">
        <v>1999</v>
      </c>
      <c r="F357">
        <v>55000</v>
      </c>
      <c r="G357" t="s">
        <v>27</v>
      </c>
      <c r="H357" t="s">
        <v>58</v>
      </c>
      <c r="I357" t="s">
        <v>40</v>
      </c>
      <c r="J357" s="14">
        <v>43881</v>
      </c>
      <c r="K357" t="s">
        <v>30</v>
      </c>
      <c r="L357">
        <v>66</v>
      </c>
      <c r="M357" t="s">
        <v>838</v>
      </c>
      <c r="N357" t="s">
        <v>104</v>
      </c>
      <c r="O357" t="s">
        <v>44</v>
      </c>
      <c r="Q357">
        <v>3</v>
      </c>
      <c r="T357" s="14">
        <v>44470</v>
      </c>
      <c r="V357" t="s">
        <v>169</v>
      </c>
      <c r="W357">
        <v>4</v>
      </c>
      <c r="X357" t="s">
        <v>34</v>
      </c>
    </row>
    <row r="358" spans="1:24" x14ac:dyDescent="0.35">
      <c r="A358" t="s">
        <v>839</v>
      </c>
      <c r="B358" t="s">
        <v>68</v>
      </c>
      <c r="C358" t="s">
        <v>840</v>
      </c>
      <c r="D358">
        <v>50</v>
      </c>
      <c r="E358">
        <v>1974</v>
      </c>
      <c r="F358">
        <v>55000</v>
      </c>
      <c r="G358" t="s">
        <v>27</v>
      </c>
      <c r="H358" t="s">
        <v>122</v>
      </c>
      <c r="I358" t="s">
        <v>29</v>
      </c>
      <c r="J358" s="14">
        <v>43800</v>
      </c>
      <c r="K358" t="s">
        <v>41</v>
      </c>
      <c r="L358">
        <v>41</v>
      </c>
      <c r="M358" t="s">
        <v>841</v>
      </c>
      <c r="N358" t="s">
        <v>43</v>
      </c>
      <c r="O358" t="s">
        <v>174</v>
      </c>
      <c r="P358" t="s">
        <v>842</v>
      </c>
      <c r="Q358">
        <v>1</v>
      </c>
      <c r="R358" t="s">
        <v>79</v>
      </c>
      <c r="U358">
        <v>11</v>
      </c>
      <c r="V358" t="s">
        <v>46</v>
      </c>
      <c r="W358">
        <v>4</v>
      </c>
      <c r="X358" t="s">
        <v>34</v>
      </c>
    </row>
    <row r="359" spans="1:24" x14ac:dyDescent="0.35">
      <c r="A359" t="s">
        <v>843</v>
      </c>
      <c r="B359" t="s">
        <v>68</v>
      </c>
      <c r="C359" t="s">
        <v>277</v>
      </c>
      <c r="D359">
        <v>35</v>
      </c>
      <c r="E359">
        <v>1989</v>
      </c>
      <c r="F359">
        <v>50000</v>
      </c>
      <c r="G359" t="s">
        <v>27</v>
      </c>
      <c r="H359" t="s">
        <v>39</v>
      </c>
      <c r="I359" t="s">
        <v>77</v>
      </c>
      <c r="J359" s="14">
        <v>43800</v>
      </c>
      <c r="K359" t="s">
        <v>30</v>
      </c>
      <c r="L359">
        <v>65</v>
      </c>
      <c r="M359" t="s">
        <v>844</v>
      </c>
      <c r="O359" t="s">
        <v>174</v>
      </c>
      <c r="Q359">
        <v>5</v>
      </c>
      <c r="S359">
        <v>2</v>
      </c>
      <c r="V359" t="s">
        <v>73</v>
      </c>
      <c r="W359">
        <v>4</v>
      </c>
      <c r="X359" t="s">
        <v>34</v>
      </c>
    </row>
    <row r="360" spans="1:24" x14ac:dyDescent="0.35">
      <c r="A360" t="s">
        <v>845</v>
      </c>
      <c r="B360" t="s">
        <v>107</v>
      </c>
      <c r="C360" t="s">
        <v>446</v>
      </c>
      <c r="E360">
        <v>1987</v>
      </c>
      <c r="F360">
        <v>55000</v>
      </c>
      <c r="G360" t="s">
        <v>27</v>
      </c>
      <c r="H360" t="s">
        <v>39</v>
      </c>
      <c r="I360" t="s">
        <v>94</v>
      </c>
      <c r="J360" s="14">
        <v>43845</v>
      </c>
      <c r="K360" t="s">
        <v>41</v>
      </c>
      <c r="L360">
        <v>21</v>
      </c>
      <c r="M360" t="s">
        <v>447</v>
      </c>
      <c r="O360" t="s">
        <v>72</v>
      </c>
      <c r="Q360">
        <v>4</v>
      </c>
      <c r="R360">
        <v>0</v>
      </c>
      <c r="U360">
        <v>11</v>
      </c>
      <c r="W360">
        <v>3</v>
      </c>
      <c r="X360" t="s">
        <v>34</v>
      </c>
    </row>
    <row r="361" spans="1:24" x14ac:dyDescent="0.35">
      <c r="A361" t="s">
        <v>846</v>
      </c>
      <c r="B361" t="s">
        <v>131</v>
      </c>
      <c r="C361" t="s">
        <v>635</v>
      </c>
      <c r="E361">
        <v>1988</v>
      </c>
      <c r="F361">
        <v>50000</v>
      </c>
      <c r="G361" t="s">
        <v>38</v>
      </c>
      <c r="H361" t="s">
        <v>145</v>
      </c>
      <c r="I361" t="s">
        <v>94</v>
      </c>
      <c r="J361" s="14">
        <v>43549</v>
      </c>
      <c r="K361" t="s">
        <v>59</v>
      </c>
      <c r="L361">
        <v>97</v>
      </c>
      <c r="M361" t="s">
        <v>636</v>
      </c>
      <c r="N361" t="s">
        <v>61</v>
      </c>
      <c r="O361" t="s">
        <v>72</v>
      </c>
      <c r="Q361">
        <v>1</v>
      </c>
      <c r="R361" t="s">
        <v>79</v>
      </c>
      <c r="V361" t="s">
        <v>45</v>
      </c>
      <c r="W361">
        <v>1</v>
      </c>
      <c r="X361" t="s">
        <v>46</v>
      </c>
    </row>
    <row r="362" spans="1:24" x14ac:dyDescent="0.35">
      <c r="A362" t="s">
        <v>847</v>
      </c>
      <c r="B362" t="s">
        <v>36</v>
      </c>
      <c r="C362" t="s">
        <v>556</v>
      </c>
      <c r="D362">
        <v>40</v>
      </c>
      <c r="E362">
        <v>1984</v>
      </c>
      <c r="F362">
        <v>70000</v>
      </c>
      <c r="G362" t="s">
        <v>27</v>
      </c>
      <c r="H362" t="s">
        <v>70</v>
      </c>
      <c r="I362" t="s">
        <v>94</v>
      </c>
      <c r="J362" s="14">
        <v>43881</v>
      </c>
      <c r="K362" t="s">
        <v>59</v>
      </c>
      <c r="L362">
        <v>91</v>
      </c>
      <c r="M362" t="s">
        <v>557</v>
      </c>
      <c r="N362" t="s">
        <v>54</v>
      </c>
      <c r="O362" t="s">
        <v>112</v>
      </c>
      <c r="Q362">
        <v>6</v>
      </c>
      <c r="S362">
        <v>1</v>
      </c>
      <c r="V362" t="s">
        <v>73</v>
      </c>
      <c r="W362">
        <v>1</v>
      </c>
      <c r="X362" t="s">
        <v>34</v>
      </c>
    </row>
    <row r="363" spans="1:24" x14ac:dyDescent="0.35">
      <c r="A363" t="s">
        <v>848</v>
      </c>
      <c r="B363" t="s">
        <v>68</v>
      </c>
      <c r="C363" t="s">
        <v>849</v>
      </c>
      <c r="D363" t="s">
        <v>88</v>
      </c>
      <c r="E363">
        <v>1994</v>
      </c>
      <c r="F363">
        <v>60300</v>
      </c>
      <c r="G363" t="s">
        <v>27</v>
      </c>
      <c r="H363" t="s">
        <v>64</v>
      </c>
      <c r="I363" t="s">
        <v>40</v>
      </c>
      <c r="J363" s="14">
        <v>43845</v>
      </c>
      <c r="K363" t="s">
        <v>41</v>
      </c>
      <c r="L363">
        <v>56</v>
      </c>
      <c r="M363" t="s">
        <v>850</v>
      </c>
      <c r="N363" t="s">
        <v>61</v>
      </c>
      <c r="O363" t="s">
        <v>112</v>
      </c>
      <c r="Q363">
        <v>8</v>
      </c>
      <c r="W363">
        <v>3</v>
      </c>
      <c r="X363" t="s">
        <v>46</v>
      </c>
    </row>
    <row r="364" spans="1:24" x14ac:dyDescent="0.35">
      <c r="A364" t="s">
        <v>851</v>
      </c>
      <c r="B364" t="s">
        <v>107</v>
      </c>
      <c r="C364" t="s">
        <v>209</v>
      </c>
      <c r="D364">
        <v>35</v>
      </c>
      <c r="E364">
        <v>1989</v>
      </c>
      <c r="F364">
        <v>50000</v>
      </c>
      <c r="G364" t="s">
        <v>38</v>
      </c>
      <c r="H364" t="s">
        <v>28</v>
      </c>
      <c r="I364" t="s">
        <v>40</v>
      </c>
      <c r="J364" s="14">
        <v>43800</v>
      </c>
      <c r="K364" t="s">
        <v>41</v>
      </c>
      <c r="L364">
        <v>9</v>
      </c>
      <c r="M364" t="s">
        <v>852</v>
      </c>
      <c r="N364" t="s">
        <v>43</v>
      </c>
      <c r="O364" t="s">
        <v>112</v>
      </c>
      <c r="Q364">
        <v>2</v>
      </c>
      <c r="R364">
        <v>4</v>
      </c>
      <c r="S364">
        <v>12</v>
      </c>
      <c r="T364" s="14">
        <v>44732</v>
      </c>
      <c r="U364">
        <v>17</v>
      </c>
      <c r="W364">
        <v>1</v>
      </c>
      <c r="X364" t="s">
        <v>46</v>
      </c>
    </row>
    <row r="365" spans="1:24" x14ac:dyDescent="0.35">
      <c r="A365" t="s">
        <v>853</v>
      </c>
      <c r="B365" t="s">
        <v>107</v>
      </c>
      <c r="C365" t="s">
        <v>244</v>
      </c>
      <c r="D365">
        <v>40</v>
      </c>
      <c r="E365">
        <v>1984</v>
      </c>
      <c r="F365">
        <v>65000</v>
      </c>
      <c r="G365" t="s">
        <v>27</v>
      </c>
      <c r="H365" t="s">
        <v>70</v>
      </c>
      <c r="I365" t="s">
        <v>40</v>
      </c>
      <c r="J365" s="14">
        <v>43845</v>
      </c>
      <c r="K365" t="s">
        <v>30</v>
      </c>
      <c r="L365">
        <v>62</v>
      </c>
      <c r="M365" t="s">
        <v>245</v>
      </c>
      <c r="O365" t="s">
        <v>72</v>
      </c>
      <c r="P365" t="s">
        <v>116</v>
      </c>
      <c r="Q365">
        <v>4</v>
      </c>
      <c r="V365" t="s">
        <v>169</v>
      </c>
      <c r="W365">
        <v>4</v>
      </c>
      <c r="X365" t="s">
        <v>46</v>
      </c>
    </row>
    <row r="366" spans="1:24" x14ac:dyDescent="0.35">
      <c r="A366" t="s">
        <v>854</v>
      </c>
      <c r="B366" t="s">
        <v>56</v>
      </c>
      <c r="C366" t="s">
        <v>676</v>
      </c>
      <c r="D366">
        <v>35</v>
      </c>
      <c r="E366">
        <v>1989</v>
      </c>
      <c r="F366">
        <v>61600</v>
      </c>
      <c r="G366" t="s">
        <v>38</v>
      </c>
      <c r="H366" t="s">
        <v>70</v>
      </c>
      <c r="I366" t="s">
        <v>89</v>
      </c>
      <c r="J366" s="14">
        <v>43800</v>
      </c>
      <c r="K366" t="s">
        <v>41</v>
      </c>
      <c r="L366">
        <v>43</v>
      </c>
      <c r="M366" t="s">
        <v>677</v>
      </c>
      <c r="N366" t="s">
        <v>43</v>
      </c>
      <c r="O366" t="s">
        <v>174</v>
      </c>
      <c r="P366" t="s">
        <v>231</v>
      </c>
      <c r="Q366">
        <v>7</v>
      </c>
      <c r="T366" s="14">
        <v>44470</v>
      </c>
      <c r="V366" t="s">
        <v>34</v>
      </c>
      <c r="W366">
        <v>2</v>
      </c>
      <c r="X366" t="s">
        <v>46</v>
      </c>
    </row>
    <row r="367" spans="1:24" x14ac:dyDescent="0.35">
      <c r="A367" t="s">
        <v>855</v>
      </c>
      <c r="B367" t="s">
        <v>131</v>
      </c>
      <c r="C367" t="s">
        <v>740</v>
      </c>
      <c r="D367" t="s">
        <v>88</v>
      </c>
      <c r="E367">
        <v>1994</v>
      </c>
      <c r="F367">
        <v>50000</v>
      </c>
      <c r="G367" t="s">
        <v>38</v>
      </c>
      <c r="H367" t="s">
        <v>64</v>
      </c>
      <c r="I367" t="s">
        <v>94</v>
      </c>
      <c r="J367" s="14">
        <v>43195</v>
      </c>
      <c r="K367" t="s">
        <v>78</v>
      </c>
      <c r="L367">
        <v>87</v>
      </c>
      <c r="M367" t="s">
        <v>741</v>
      </c>
      <c r="N367" t="s">
        <v>43</v>
      </c>
      <c r="O367" t="s">
        <v>112</v>
      </c>
      <c r="Q367">
        <v>4</v>
      </c>
      <c r="R367" t="s">
        <v>79</v>
      </c>
      <c r="T367" s="14">
        <v>44990</v>
      </c>
      <c r="V367" t="s">
        <v>33</v>
      </c>
      <c r="W367">
        <v>2</v>
      </c>
      <c r="X367" t="s">
        <v>34</v>
      </c>
    </row>
    <row r="368" spans="1:24" x14ac:dyDescent="0.35">
      <c r="A368" t="s">
        <v>856</v>
      </c>
      <c r="B368" t="s">
        <v>48</v>
      </c>
      <c r="C368" t="s">
        <v>334</v>
      </c>
      <c r="E368">
        <v>1994</v>
      </c>
      <c r="F368">
        <v>58600</v>
      </c>
      <c r="G368" t="s">
        <v>38</v>
      </c>
      <c r="H368" t="s">
        <v>93</v>
      </c>
      <c r="I368" t="s">
        <v>77</v>
      </c>
      <c r="J368" s="14">
        <v>43800</v>
      </c>
      <c r="K368" t="s">
        <v>59</v>
      </c>
      <c r="L368">
        <v>97</v>
      </c>
      <c r="M368" t="s">
        <v>335</v>
      </c>
      <c r="N368" t="s">
        <v>54</v>
      </c>
      <c r="O368" t="s">
        <v>44</v>
      </c>
      <c r="Q368">
        <v>5</v>
      </c>
      <c r="V368" t="s">
        <v>482</v>
      </c>
      <c r="W368">
        <v>1</v>
      </c>
      <c r="X368" t="s">
        <v>46</v>
      </c>
    </row>
    <row r="369" spans="1:24" x14ac:dyDescent="0.35">
      <c r="A369" t="s">
        <v>857</v>
      </c>
      <c r="B369" t="s">
        <v>56</v>
      </c>
      <c r="C369" t="s">
        <v>87</v>
      </c>
      <c r="D369">
        <v>25</v>
      </c>
      <c r="E369">
        <v>1999</v>
      </c>
      <c r="F369">
        <v>60300</v>
      </c>
      <c r="G369" t="s">
        <v>38</v>
      </c>
      <c r="H369" t="s">
        <v>64</v>
      </c>
      <c r="I369" t="s">
        <v>40</v>
      </c>
      <c r="J369" s="14">
        <v>43800</v>
      </c>
      <c r="K369" t="s">
        <v>59</v>
      </c>
      <c r="L369">
        <v>97</v>
      </c>
      <c r="M369" t="s">
        <v>129</v>
      </c>
      <c r="N369" t="s">
        <v>43</v>
      </c>
      <c r="O369" t="s">
        <v>72</v>
      </c>
      <c r="Q369">
        <v>1</v>
      </c>
      <c r="U369">
        <v>10</v>
      </c>
      <c r="W369">
        <v>1</v>
      </c>
      <c r="X369" t="s">
        <v>46</v>
      </c>
    </row>
    <row r="370" spans="1:24" x14ac:dyDescent="0.35">
      <c r="A370" t="s">
        <v>858</v>
      </c>
      <c r="B370" t="s">
        <v>56</v>
      </c>
      <c r="C370" t="s">
        <v>367</v>
      </c>
      <c r="E370">
        <v>1975</v>
      </c>
      <c r="F370" t="s">
        <v>859</v>
      </c>
      <c r="G370" t="s">
        <v>27</v>
      </c>
      <c r="H370" t="s">
        <v>58</v>
      </c>
      <c r="I370" t="s">
        <v>40</v>
      </c>
      <c r="J370" s="14">
        <v>43800</v>
      </c>
      <c r="K370" t="s">
        <v>41</v>
      </c>
      <c r="L370">
        <v>33</v>
      </c>
      <c r="M370" t="s">
        <v>860</v>
      </c>
      <c r="O370" t="s">
        <v>112</v>
      </c>
      <c r="Q370">
        <v>7</v>
      </c>
      <c r="T370" s="14">
        <v>44732</v>
      </c>
      <c r="U370">
        <v>19</v>
      </c>
      <c r="V370" t="s">
        <v>33</v>
      </c>
      <c r="W370">
        <v>5</v>
      </c>
      <c r="X370" t="s">
        <v>34</v>
      </c>
    </row>
    <row r="371" spans="1:24" x14ac:dyDescent="0.35">
      <c r="A371" t="s">
        <v>861</v>
      </c>
      <c r="B371" t="s">
        <v>25</v>
      </c>
      <c r="C371" t="s">
        <v>108</v>
      </c>
      <c r="D371">
        <v>40</v>
      </c>
      <c r="E371">
        <v>1984</v>
      </c>
      <c r="F371">
        <v>70000</v>
      </c>
      <c r="G371" t="s">
        <v>27</v>
      </c>
      <c r="H371" t="s">
        <v>145</v>
      </c>
      <c r="I371" t="s">
        <v>94</v>
      </c>
      <c r="J371" s="14">
        <v>43549</v>
      </c>
      <c r="K371" t="s">
        <v>52</v>
      </c>
      <c r="L371">
        <v>73</v>
      </c>
      <c r="M371" t="s">
        <v>862</v>
      </c>
      <c r="N371" t="s">
        <v>61</v>
      </c>
      <c r="O371" t="s">
        <v>44</v>
      </c>
      <c r="P371" t="s">
        <v>863</v>
      </c>
      <c r="Q371">
        <v>7</v>
      </c>
      <c r="T371" t="s">
        <v>79</v>
      </c>
      <c r="V371" t="s">
        <v>34</v>
      </c>
      <c r="W371">
        <v>4</v>
      </c>
      <c r="X371" t="s">
        <v>34</v>
      </c>
    </row>
    <row r="372" spans="1:24" x14ac:dyDescent="0.35">
      <c r="A372" t="s">
        <v>864</v>
      </c>
      <c r="B372" t="s">
        <v>36</v>
      </c>
      <c r="C372" t="s">
        <v>556</v>
      </c>
      <c r="D372">
        <v>50</v>
      </c>
      <c r="E372">
        <v>1974</v>
      </c>
      <c r="F372">
        <v>65000</v>
      </c>
      <c r="G372" t="s">
        <v>38</v>
      </c>
      <c r="H372" t="s">
        <v>122</v>
      </c>
      <c r="I372" t="s">
        <v>40</v>
      </c>
      <c r="J372" s="14">
        <v>43800</v>
      </c>
      <c r="K372" t="s">
        <v>52</v>
      </c>
      <c r="L372">
        <v>77</v>
      </c>
      <c r="M372" t="s">
        <v>557</v>
      </c>
      <c r="O372" t="s">
        <v>112</v>
      </c>
      <c r="P372" t="s">
        <v>153</v>
      </c>
      <c r="Q372">
        <v>7</v>
      </c>
      <c r="V372" t="s">
        <v>33</v>
      </c>
      <c r="W372">
        <v>5</v>
      </c>
      <c r="X372" t="s">
        <v>34</v>
      </c>
    </row>
    <row r="373" spans="1:24" x14ac:dyDescent="0.35">
      <c r="A373" t="s">
        <v>865</v>
      </c>
      <c r="B373" t="s">
        <v>107</v>
      </c>
      <c r="C373" t="s">
        <v>543</v>
      </c>
      <c r="D373">
        <v>25</v>
      </c>
      <c r="E373">
        <v>1999</v>
      </c>
      <c r="F373" t="s">
        <v>50</v>
      </c>
      <c r="G373" t="s">
        <v>27</v>
      </c>
      <c r="H373" t="s">
        <v>64</v>
      </c>
      <c r="I373" t="s">
        <v>89</v>
      </c>
      <c r="J373" s="14">
        <v>43881</v>
      </c>
      <c r="K373" t="s">
        <v>41</v>
      </c>
      <c r="L373">
        <v>5</v>
      </c>
      <c r="M373" t="s">
        <v>544</v>
      </c>
      <c r="N373" t="s">
        <v>54</v>
      </c>
      <c r="O373" t="s">
        <v>66</v>
      </c>
      <c r="Q373">
        <v>6</v>
      </c>
      <c r="T373" s="14">
        <v>44941</v>
      </c>
      <c r="W373">
        <v>2</v>
      </c>
      <c r="X373" t="s">
        <v>46</v>
      </c>
    </row>
    <row r="374" spans="1:24" x14ac:dyDescent="0.35">
      <c r="A374" t="s">
        <v>866</v>
      </c>
      <c r="B374" t="s">
        <v>36</v>
      </c>
      <c r="C374" t="s">
        <v>256</v>
      </c>
      <c r="D374">
        <v>40</v>
      </c>
      <c r="E374">
        <v>1984</v>
      </c>
      <c r="F374" t="s">
        <v>50</v>
      </c>
      <c r="G374" t="s">
        <v>27</v>
      </c>
      <c r="H374" t="s">
        <v>64</v>
      </c>
      <c r="I374" t="s">
        <v>89</v>
      </c>
      <c r="J374" s="14">
        <v>43881</v>
      </c>
      <c r="K374" t="s">
        <v>78</v>
      </c>
      <c r="L374">
        <v>84</v>
      </c>
      <c r="M374" t="s">
        <v>669</v>
      </c>
      <c r="O374" t="s">
        <v>174</v>
      </c>
      <c r="P374" t="s">
        <v>867</v>
      </c>
      <c r="Q374">
        <v>1</v>
      </c>
      <c r="R374" t="s">
        <v>79</v>
      </c>
      <c r="V374" t="s">
        <v>33</v>
      </c>
      <c r="W374">
        <v>1</v>
      </c>
      <c r="X374" t="s">
        <v>46</v>
      </c>
    </row>
    <row r="375" spans="1:24" x14ac:dyDescent="0.35">
      <c r="A375" t="s">
        <v>868</v>
      </c>
      <c r="B375" t="s">
        <v>75</v>
      </c>
      <c r="C375" t="s">
        <v>151</v>
      </c>
      <c r="D375" t="s">
        <v>88</v>
      </c>
      <c r="E375">
        <v>1994</v>
      </c>
      <c r="F375">
        <v>50000</v>
      </c>
      <c r="G375" t="s">
        <v>27</v>
      </c>
      <c r="H375" t="s">
        <v>122</v>
      </c>
      <c r="I375" t="s">
        <v>40</v>
      </c>
      <c r="J375" s="14">
        <v>43845</v>
      </c>
      <c r="K375" t="s">
        <v>52</v>
      </c>
      <c r="L375">
        <v>73</v>
      </c>
      <c r="M375" t="s">
        <v>152</v>
      </c>
      <c r="N375" t="s">
        <v>104</v>
      </c>
      <c r="O375" t="s">
        <v>174</v>
      </c>
      <c r="Q375">
        <v>1</v>
      </c>
      <c r="R375">
        <v>2</v>
      </c>
      <c r="S375">
        <v>10</v>
      </c>
      <c r="T375" s="14">
        <v>44470</v>
      </c>
      <c r="V375" t="s">
        <v>45</v>
      </c>
      <c r="W375">
        <v>2</v>
      </c>
      <c r="X375" t="s">
        <v>34</v>
      </c>
    </row>
    <row r="376" spans="1:24" x14ac:dyDescent="0.35">
      <c r="A376" t="s">
        <v>869</v>
      </c>
      <c r="B376" t="s">
        <v>25</v>
      </c>
      <c r="C376" t="s">
        <v>81</v>
      </c>
      <c r="D376">
        <v>25</v>
      </c>
      <c r="E376">
        <v>1999</v>
      </c>
      <c r="F376" t="s">
        <v>859</v>
      </c>
      <c r="G376" t="s">
        <v>38</v>
      </c>
      <c r="H376" t="s">
        <v>28</v>
      </c>
      <c r="I376" t="s">
        <v>94</v>
      </c>
      <c r="J376" s="14">
        <v>43549</v>
      </c>
      <c r="K376" t="s">
        <v>41</v>
      </c>
      <c r="L376">
        <v>25</v>
      </c>
      <c r="M376" t="s">
        <v>401</v>
      </c>
      <c r="N376" t="s">
        <v>61</v>
      </c>
      <c r="O376" t="s">
        <v>112</v>
      </c>
      <c r="Q376">
        <v>5</v>
      </c>
      <c r="S376">
        <v>18</v>
      </c>
      <c r="U376">
        <v>38</v>
      </c>
      <c r="V376" t="s">
        <v>46</v>
      </c>
      <c r="W376">
        <v>1</v>
      </c>
      <c r="X376" t="s">
        <v>46</v>
      </c>
    </row>
    <row r="377" spans="1:24" x14ac:dyDescent="0.35">
      <c r="A377" t="s">
        <v>870</v>
      </c>
      <c r="B377" t="s">
        <v>48</v>
      </c>
      <c r="C377" t="s">
        <v>681</v>
      </c>
      <c r="D377">
        <v>40</v>
      </c>
      <c r="E377">
        <v>1984</v>
      </c>
      <c r="F377">
        <v>50000</v>
      </c>
      <c r="G377" t="s">
        <v>27</v>
      </c>
      <c r="H377" t="s">
        <v>82</v>
      </c>
      <c r="I377" t="s">
        <v>94</v>
      </c>
      <c r="J377" s="14">
        <v>43845</v>
      </c>
      <c r="K377" t="s">
        <v>78</v>
      </c>
      <c r="L377">
        <v>85</v>
      </c>
      <c r="M377" t="s">
        <v>682</v>
      </c>
      <c r="N377" t="s">
        <v>104</v>
      </c>
      <c r="O377" t="s">
        <v>66</v>
      </c>
      <c r="Q377">
        <v>4</v>
      </c>
      <c r="R377">
        <v>12</v>
      </c>
      <c r="S377">
        <v>20</v>
      </c>
      <c r="V377" t="s">
        <v>34</v>
      </c>
      <c r="W377">
        <v>5</v>
      </c>
      <c r="X377" t="s">
        <v>34</v>
      </c>
    </row>
    <row r="378" spans="1:24" x14ac:dyDescent="0.35">
      <c r="A378" t="s">
        <v>871</v>
      </c>
      <c r="B378" t="s">
        <v>36</v>
      </c>
      <c r="C378" t="s">
        <v>318</v>
      </c>
      <c r="D378" t="s">
        <v>88</v>
      </c>
      <c r="E378">
        <v>1994</v>
      </c>
      <c r="F378">
        <v>70000</v>
      </c>
      <c r="G378" t="s">
        <v>27</v>
      </c>
      <c r="H378" t="s">
        <v>28</v>
      </c>
      <c r="I378" t="s">
        <v>94</v>
      </c>
      <c r="J378" s="14">
        <v>43881</v>
      </c>
      <c r="K378" t="s">
        <v>78</v>
      </c>
      <c r="L378">
        <v>83</v>
      </c>
      <c r="M378" t="s">
        <v>419</v>
      </c>
      <c r="N378" t="s">
        <v>104</v>
      </c>
      <c r="O378" t="s">
        <v>112</v>
      </c>
      <c r="Q378">
        <v>8</v>
      </c>
      <c r="V378" t="s">
        <v>34</v>
      </c>
      <c r="W378">
        <v>4</v>
      </c>
      <c r="X378" t="s">
        <v>46</v>
      </c>
    </row>
    <row r="379" spans="1:24" x14ac:dyDescent="0.35">
      <c r="A379" t="s">
        <v>872</v>
      </c>
      <c r="B379" t="s">
        <v>114</v>
      </c>
      <c r="C379" t="s">
        <v>99</v>
      </c>
      <c r="E379">
        <v>1981</v>
      </c>
      <c r="F379">
        <v>70000</v>
      </c>
      <c r="G379" t="s">
        <v>38</v>
      </c>
      <c r="H379" t="s">
        <v>64</v>
      </c>
      <c r="I379" t="s">
        <v>29</v>
      </c>
      <c r="J379" s="14">
        <v>43881</v>
      </c>
      <c r="K379" t="s">
        <v>30</v>
      </c>
      <c r="L379">
        <v>62</v>
      </c>
      <c r="M379" t="s">
        <v>873</v>
      </c>
      <c r="N379" t="s">
        <v>54</v>
      </c>
      <c r="O379" t="s">
        <v>32</v>
      </c>
      <c r="Q379">
        <v>4</v>
      </c>
      <c r="R379">
        <v>1</v>
      </c>
      <c r="S379">
        <v>13</v>
      </c>
      <c r="V379" t="s">
        <v>73</v>
      </c>
      <c r="W379">
        <v>4</v>
      </c>
      <c r="X379" t="s">
        <v>34</v>
      </c>
    </row>
    <row r="380" spans="1:24" x14ac:dyDescent="0.35">
      <c r="A380" t="s">
        <v>874</v>
      </c>
      <c r="B380" t="s">
        <v>68</v>
      </c>
      <c r="C380" t="s">
        <v>158</v>
      </c>
      <c r="D380">
        <v>50</v>
      </c>
      <c r="E380">
        <v>1974</v>
      </c>
      <c r="F380">
        <v>55000</v>
      </c>
      <c r="G380" t="s">
        <v>27</v>
      </c>
      <c r="H380" t="s">
        <v>70</v>
      </c>
      <c r="I380" t="s">
        <v>40</v>
      </c>
      <c r="J380" s="14">
        <v>43195</v>
      </c>
      <c r="K380" t="s">
        <v>78</v>
      </c>
      <c r="L380">
        <v>87</v>
      </c>
      <c r="M380" t="s">
        <v>875</v>
      </c>
      <c r="N380" t="s">
        <v>43</v>
      </c>
      <c r="O380" t="s">
        <v>32</v>
      </c>
      <c r="Q380">
        <v>6</v>
      </c>
      <c r="R380">
        <v>4</v>
      </c>
      <c r="U380">
        <v>39</v>
      </c>
      <c r="V380" t="s">
        <v>33</v>
      </c>
      <c r="W380">
        <v>1</v>
      </c>
      <c r="X380" t="s">
        <v>46</v>
      </c>
    </row>
    <row r="381" spans="1:24" x14ac:dyDescent="0.35">
      <c r="A381" t="s">
        <v>876</v>
      </c>
      <c r="B381" t="s">
        <v>75</v>
      </c>
      <c r="C381" t="s">
        <v>117</v>
      </c>
      <c r="D381" t="s">
        <v>88</v>
      </c>
      <c r="E381">
        <v>1994</v>
      </c>
      <c r="F381">
        <v>70000</v>
      </c>
      <c r="G381" t="s">
        <v>27</v>
      </c>
      <c r="H381" t="s">
        <v>64</v>
      </c>
      <c r="I381" t="s">
        <v>94</v>
      </c>
      <c r="J381" s="14">
        <v>43800</v>
      </c>
      <c r="K381" t="s">
        <v>52</v>
      </c>
      <c r="L381">
        <v>71</v>
      </c>
      <c r="M381" t="s">
        <v>877</v>
      </c>
      <c r="N381" t="s">
        <v>104</v>
      </c>
      <c r="O381" t="s">
        <v>174</v>
      </c>
      <c r="Q381">
        <v>4</v>
      </c>
      <c r="S381">
        <v>12</v>
      </c>
      <c r="T381" s="14">
        <v>45516</v>
      </c>
      <c r="V381" t="s">
        <v>33</v>
      </c>
      <c r="W381">
        <v>1</v>
      </c>
      <c r="X381" t="s">
        <v>34</v>
      </c>
    </row>
    <row r="382" spans="1:24" x14ac:dyDescent="0.35">
      <c r="A382" t="s">
        <v>878</v>
      </c>
      <c r="B382" t="s">
        <v>131</v>
      </c>
      <c r="C382" t="s">
        <v>216</v>
      </c>
      <c r="D382">
        <v>35</v>
      </c>
      <c r="E382">
        <v>1989</v>
      </c>
      <c r="F382">
        <v>55000</v>
      </c>
      <c r="G382" t="s">
        <v>38</v>
      </c>
      <c r="H382" t="s">
        <v>70</v>
      </c>
      <c r="I382" t="s">
        <v>89</v>
      </c>
      <c r="J382" s="14">
        <v>43881</v>
      </c>
      <c r="K382" t="s">
        <v>52</v>
      </c>
      <c r="L382">
        <v>78</v>
      </c>
      <c r="M382" t="s">
        <v>217</v>
      </c>
      <c r="O382" t="s">
        <v>100</v>
      </c>
      <c r="Q382">
        <v>4</v>
      </c>
      <c r="V382" t="s">
        <v>73</v>
      </c>
      <c r="W382">
        <v>5</v>
      </c>
      <c r="X382" t="s">
        <v>34</v>
      </c>
    </row>
    <row r="383" spans="1:24" x14ac:dyDescent="0.35">
      <c r="A383" t="s">
        <v>879</v>
      </c>
      <c r="B383" t="s">
        <v>48</v>
      </c>
      <c r="C383" t="s">
        <v>225</v>
      </c>
      <c r="D383" t="s">
        <v>88</v>
      </c>
      <c r="E383">
        <v>1994</v>
      </c>
      <c r="F383">
        <v>65000</v>
      </c>
      <c r="G383" t="s">
        <v>27</v>
      </c>
      <c r="H383" t="s">
        <v>122</v>
      </c>
      <c r="I383" t="s">
        <v>77</v>
      </c>
      <c r="J383" s="14">
        <v>43845</v>
      </c>
      <c r="K383" t="s">
        <v>41</v>
      </c>
      <c r="L383">
        <v>19</v>
      </c>
      <c r="M383" t="s">
        <v>226</v>
      </c>
      <c r="N383" t="s">
        <v>43</v>
      </c>
      <c r="O383" t="s">
        <v>32</v>
      </c>
      <c r="P383" t="s">
        <v>331</v>
      </c>
      <c r="Q383">
        <v>5</v>
      </c>
      <c r="S383">
        <v>10</v>
      </c>
      <c r="T383" s="14">
        <v>44732</v>
      </c>
      <c r="U383">
        <v>67</v>
      </c>
      <c r="W383">
        <v>3</v>
      </c>
      <c r="X383" t="s">
        <v>34</v>
      </c>
    </row>
    <row r="384" spans="1:24" x14ac:dyDescent="0.35">
      <c r="A384" t="s">
        <v>880</v>
      </c>
      <c r="B384" t="s">
        <v>75</v>
      </c>
      <c r="C384" t="s">
        <v>103</v>
      </c>
      <c r="D384" t="s">
        <v>88</v>
      </c>
      <c r="E384">
        <v>1994</v>
      </c>
      <c r="F384">
        <v>50000</v>
      </c>
      <c r="G384" t="s">
        <v>27</v>
      </c>
      <c r="H384" t="s">
        <v>145</v>
      </c>
      <c r="I384" t="s">
        <v>77</v>
      </c>
      <c r="J384" s="14">
        <v>43845</v>
      </c>
      <c r="K384" t="s">
        <v>41</v>
      </c>
      <c r="L384">
        <v>40</v>
      </c>
      <c r="M384" t="s">
        <v>308</v>
      </c>
      <c r="O384" t="s">
        <v>32</v>
      </c>
      <c r="Q384">
        <v>8</v>
      </c>
      <c r="U384">
        <v>10</v>
      </c>
      <c r="W384">
        <v>3</v>
      </c>
      <c r="X384" t="s">
        <v>34</v>
      </c>
    </row>
    <row r="385" spans="1:24" x14ac:dyDescent="0.35">
      <c r="A385" t="s">
        <v>881</v>
      </c>
      <c r="B385" t="s">
        <v>68</v>
      </c>
      <c r="C385" t="s">
        <v>496</v>
      </c>
      <c r="D385">
        <v>50</v>
      </c>
      <c r="E385">
        <v>1974</v>
      </c>
      <c r="F385">
        <v>65000</v>
      </c>
      <c r="G385" t="s">
        <v>27</v>
      </c>
      <c r="H385" t="s">
        <v>70</v>
      </c>
      <c r="I385" t="s">
        <v>94</v>
      </c>
      <c r="J385" s="14">
        <v>43800</v>
      </c>
      <c r="K385" t="s">
        <v>78</v>
      </c>
      <c r="L385">
        <v>87</v>
      </c>
      <c r="M385" t="s">
        <v>882</v>
      </c>
      <c r="O385" t="s">
        <v>112</v>
      </c>
      <c r="Q385">
        <v>3</v>
      </c>
      <c r="R385" t="s">
        <v>79</v>
      </c>
      <c r="U385">
        <v>33</v>
      </c>
      <c r="V385" t="s">
        <v>169</v>
      </c>
      <c r="W385">
        <v>5</v>
      </c>
      <c r="X385" t="s">
        <v>46</v>
      </c>
    </row>
    <row r="386" spans="1:24" x14ac:dyDescent="0.35">
      <c r="A386" t="s">
        <v>883</v>
      </c>
      <c r="B386" t="s">
        <v>25</v>
      </c>
      <c r="C386" t="s">
        <v>259</v>
      </c>
      <c r="D386">
        <v>35</v>
      </c>
      <c r="E386">
        <v>1989</v>
      </c>
      <c r="F386">
        <v>70000</v>
      </c>
      <c r="G386" t="s">
        <v>27</v>
      </c>
      <c r="H386" t="s">
        <v>28</v>
      </c>
      <c r="I386" t="s">
        <v>77</v>
      </c>
      <c r="J386" s="14">
        <v>43800</v>
      </c>
      <c r="K386" t="s">
        <v>59</v>
      </c>
      <c r="L386">
        <v>97</v>
      </c>
      <c r="N386" t="s">
        <v>43</v>
      </c>
      <c r="O386" t="s">
        <v>72</v>
      </c>
      <c r="Q386">
        <v>2</v>
      </c>
      <c r="W386">
        <v>2</v>
      </c>
      <c r="X386" t="s">
        <v>34</v>
      </c>
    </row>
    <row r="387" spans="1:24" x14ac:dyDescent="0.35">
      <c r="A387" t="s">
        <v>884</v>
      </c>
      <c r="B387" t="s">
        <v>68</v>
      </c>
      <c r="C387" t="s">
        <v>747</v>
      </c>
      <c r="D387">
        <v>40</v>
      </c>
      <c r="E387">
        <v>1984</v>
      </c>
      <c r="F387">
        <v>65000</v>
      </c>
      <c r="G387" t="s">
        <v>27</v>
      </c>
      <c r="H387" t="s">
        <v>39</v>
      </c>
      <c r="I387" t="s">
        <v>77</v>
      </c>
      <c r="J387" s="14">
        <v>43195</v>
      </c>
      <c r="K387" t="s">
        <v>30</v>
      </c>
      <c r="L387">
        <v>62</v>
      </c>
      <c r="N387" t="s">
        <v>43</v>
      </c>
      <c r="O387" t="s">
        <v>72</v>
      </c>
      <c r="P387" t="s">
        <v>175</v>
      </c>
      <c r="Q387">
        <v>3</v>
      </c>
      <c r="U387">
        <v>37</v>
      </c>
      <c r="W387">
        <v>1</v>
      </c>
      <c r="X387" t="s">
        <v>34</v>
      </c>
    </row>
    <row r="388" spans="1:24" x14ac:dyDescent="0.35">
      <c r="A388" t="s">
        <v>885</v>
      </c>
      <c r="B388" t="s">
        <v>56</v>
      </c>
      <c r="C388" t="s">
        <v>49</v>
      </c>
      <c r="D388">
        <v>40</v>
      </c>
      <c r="E388">
        <v>1984</v>
      </c>
      <c r="F388">
        <v>65000</v>
      </c>
      <c r="G388" t="s">
        <v>27</v>
      </c>
      <c r="H388" t="s">
        <v>58</v>
      </c>
      <c r="I388" t="s">
        <v>29</v>
      </c>
      <c r="J388" s="14">
        <v>43549</v>
      </c>
      <c r="K388" t="s">
        <v>59</v>
      </c>
      <c r="L388">
        <v>96</v>
      </c>
      <c r="M388" t="s">
        <v>886</v>
      </c>
      <c r="O388" t="s">
        <v>66</v>
      </c>
      <c r="Q388">
        <v>3</v>
      </c>
      <c r="V388" t="s">
        <v>46</v>
      </c>
      <c r="W388">
        <v>5</v>
      </c>
      <c r="X388" t="s">
        <v>34</v>
      </c>
    </row>
    <row r="389" spans="1:24" x14ac:dyDescent="0.35">
      <c r="A389" t="s">
        <v>887</v>
      </c>
      <c r="B389" t="s">
        <v>68</v>
      </c>
      <c r="C389" t="s">
        <v>421</v>
      </c>
      <c r="D389" t="s">
        <v>88</v>
      </c>
      <c r="E389">
        <v>1994</v>
      </c>
      <c r="F389">
        <v>65000</v>
      </c>
      <c r="G389" t="s">
        <v>38</v>
      </c>
      <c r="H389" t="s">
        <v>28</v>
      </c>
      <c r="I389" t="s">
        <v>89</v>
      </c>
      <c r="J389" s="14">
        <v>43845</v>
      </c>
      <c r="K389" t="s">
        <v>78</v>
      </c>
      <c r="L389">
        <v>86</v>
      </c>
      <c r="M389" t="s">
        <v>422</v>
      </c>
      <c r="N389" t="s">
        <v>54</v>
      </c>
      <c r="O389" t="s">
        <v>72</v>
      </c>
      <c r="Q389">
        <v>2</v>
      </c>
      <c r="S389">
        <v>20</v>
      </c>
      <c r="V389" t="s">
        <v>169</v>
      </c>
      <c r="W389">
        <v>3</v>
      </c>
      <c r="X389" t="s">
        <v>34</v>
      </c>
    </row>
    <row r="390" spans="1:24" x14ac:dyDescent="0.35">
      <c r="A390" t="s">
        <v>888</v>
      </c>
      <c r="B390" t="s">
        <v>56</v>
      </c>
      <c r="C390" t="s">
        <v>199</v>
      </c>
      <c r="D390">
        <v>35</v>
      </c>
      <c r="E390">
        <v>1989</v>
      </c>
      <c r="F390">
        <v>70000</v>
      </c>
      <c r="G390" t="s">
        <v>27</v>
      </c>
      <c r="H390" t="s">
        <v>122</v>
      </c>
      <c r="I390" t="s">
        <v>89</v>
      </c>
      <c r="J390" s="14">
        <v>43800</v>
      </c>
      <c r="K390" t="s">
        <v>78</v>
      </c>
      <c r="L390">
        <v>81</v>
      </c>
      <c r="M390" t="s">
        <v>889</v>
      </c>
      <c r="N390" t="s">
        <v>61</v>
      </c>
      <c r="O390" t="s">
        <v>44</v>
      </c>
      <c r="Q390">
        <v>7</v>
      </c>
      <c r="T390" t="s">
        <v>79</v>
      </c>
      <c r="V390" t="s">
        <v>46</v>
      </c>
      <c r="W390">
        <v>2</v>
      </c>
      <c r="X390" t="s">
        <v>46</v>
      </c>
    </row>
    <row r="391" spans="1:24" x14ac:dyDescent="0.35">
      <c r="A391" t="s">
        <v>890</v>
      </c>
      <c r="B391" t="s">
        <v>25</v>
      </c>
      <c r="C391" t="s">
        <v>171</v>
      </c>
      <c r="D391">
        <v>35</v>
      </c>
      <c r="E391">
        <v>1989</v>
      </c>
      <c r="F391" t="s">
        <v>859</v>
      </c>
      <c r="G391" t="s">
        <v>38</v>
      </c>
      <c r="H391" t="s">
        <v>145</v>
      </c>
      <c r="I391" t="s">
        <v>29</v>
      </c>
      <c r="J391" s="14">
        <v>43845</v>
      </c>
      <c r="K391" t="s">
        <v>59</v>
      </c>
      <c r="L391">
        <v>98</v>
      </c>
      <c r="N391" t="s">
        <v>61</v>
      </c>
      <c r="O391" t="s">
        <v>100</v>
      </c>
      <c r="Q391">
        <v>1</v>
      </c>
      <c r="R391">
        <v>1</v>
      </c>
      <c r="V391" t="s">
        <v>482</v>
      </c>
      <c r="W391">
        <v>4</v>
      </c>
      <c r="X391" t="s">
        <v>46</v>
      </c>
    </row>
    <row r="392" spans="1:24" x14ac:dyDescent="0.35">
      <c r="A392" t="s">
        <v>891</v>
      </c>
      <c r="B392" t="s">
        <v>140</v>
      </c>
      <c r="C392" t="s">
        <v>403</v>
      </c>
      <c r="D392">
        <v>50</v>
      </c>
      <c r="E392">
        <v>1974</v>
      </c>
      <c r="F392">
        <v>65000</v>
      </c>
      <c r="G392" t="s">
        <v>38</v>
      </c>
      <c r="H392" t="s">
        <v>64</v>
      </c>
      <c r="I392" t="s">
        <v>29</v>
      </c>
      <c r="J392" s="14">
        <v>43800</v>
      </c>
      <c r="K392" t="s">
        <v>30</v>
      </c>
      <c r="L392">
        <v>65</v>
      </c>
      <c r="M392" t="s">
        <v>892</v>
      </c>
      <c r="N392" t="s">
        <v>54</v>
      </c>
      <c r="O392" t="s">
        <v>32</v>
      </c>
      <c r="Q392">
        <v>7</v>
      </c>
      <c r="U392">
        <v>65</v>
      </c>
      <c r="W392">
        <v>3</v>
      </c>
      <c r="X392" t="s">
        <v>34</v>
      </c>
    </row>
    <row r="393" spans="1:24" x14ac:dyDescent="0.35">
      <c r="A393" t="s">
        <v>893</v>
      </c>
      <c r="B393" t="s">
        <v>56</v>
      </c>
      <c r="C393" t="s">
        <v>295</v>
      </c>
      <c r="E393">
        <v>1998</v>
      </c>
      <c r="F393">
        <v>55000</v>
      </c>
      <c r="G393" t="s">
        <v>38</v>
      </c>
      <c r="H393" t="s">
        <v>64</v>
      </c>
      <c r="I393" t="s">
        <v>77</v>
      </c>
      <c r="J393" s="14">
        <v>43881</v>
      </c>
      <c r="K393" t="s">
        <v>59</v>
      </c>
      <c r="L393">
        <v>90</v>
      </c>
      <c r="M393" t="s">
        <v>894</v>
      </c>
      <c r="N393" t="s">
        <v>43</v>
      </c>
      <c r="O393" t="s">
        <v>100</v>
      </c>
      <c r="Q393">
        <v>5</v>
      </c>
      <c r="U393">
        <v>9</v>
      </c>
      <c r="V393" t="s">
        <v>45</v>
      </c>
      <c r="W393">
        <v>3</v>
      </c>
      <c r="X393" t="s">
        <v>34</v>
      </c>
    </row>
    <row r="394" spans="1:24" x14ac:dyDescent="0.35">
      <c r="A394" t="s">
        <v>895</v>
      </c>
      <c r="B394" t="s">
        <v>131</v>
      </c>
      <c r="C394" t="s">
        <v>108</v>
      </c>
      <c r="D394">
        <v>40</v>
      </c>
      <c r="E394">
        <v>1984</v>
      </c>
      <c r="F394">
        <v>70000</v>
      </c>
      <c r="G394" t="s">
        <v>38</v>
      </c>
      <c r="H394" t="s">
        <v>145</v>
      </c>
      <c r="I394" t="s">
        <v>40</v>
      </c>
      <c r="J394" s="14">
        <v>43845</v>
      </c>
      <c r="K394" t="s">
        <v>41</v>
      </c>
      <c r="L394">
        <v>8</v>
      </c>
      <c r="M394" t="s">
        <v>896</v>
      </c>
      <c r="O394" t="s">
        <v>44</v>
      </c>
      <c r="P394" t="s">
        <v>897</v>
      </c>
      <c r="Q394">
        <v>5</v>
      </c>
      <c r="R394">
        <v>9</v>
      </c>
      <c r="S394">
        <v>13</v>
      </c>
      <c r="T394" s="14">
        <v>44732</v>
      </c>
      <c r="U394">
        <v>35</v>
      </c>
      <c r="V394" t="s">
        <v>482</v>
      </c>
      <c r="W394">
        <v>3</v>
      </c>
      <c r="X394" t="s">
        <v>46</v>
      </c>
    </row>
    <row r="395" spans="1:24" x14ac:dyDescent="0.35">
      <c r="A395" t="s">
        <v>898</v>
      </c>
      <c r="B395" t="s">
        <v>68</v>
      </c>
      <c r="C395" t="s">
        <v>395</v>
      </c>
      <c r="D395">
        <v>50</v>
      </c>
      <c r="E395">
        <v>1974</v>
      </c>
      <c r="F395">
        <v>65000</v>
      </c>
      <c r="G395" t="s">
        <v>27</v>
      </c>
      <c r="H395" t="s">
        <v>64</v>
      </c>
      <c r="I395" t="s">
        <v>77</v>
      </c>
      <c r="J395" s="14">
        <v>43881</v>
      </c>
      <c r="K395" t="s">
        <v>52</v>
      </c>
      <c r="L395">
        <v>78</v>
      </c>
      <c r="M395" t="s">
        <v>899</v>
      </c>
      <c r="N395" t="s">
        <v>61</v>
      </c>
      <c r="O395" t="s">
        <v>32</v>
      </c>
      <c r="Q395">
        <v>3</v>
      </c>
      <c r="S395">
        <v>7</v>
      </c>
      <c r="T395" s="14">
        <v>44941</v>
      </c>
      <c r="U395">
        <v>23</v>
      </c>
      <c r="V395" t="s">
        <v>46</v>
      </c>
      <c r="W395">
        <v>4</v>
      </c>
      <c r="X395" t="s">
        <v>46</v>
      </c>
    </row>
    <row r="396" spans="1:24" x14ac:dyDescent="0.35">
      <c r="A396" t="s">
        <v>900</v>
      </c>
      <c r="B396" t="s">
        <v>68</v>
      </c>
      <c r="C396" t="s">
        <v>247</v>
      </c>
      <c r="D396">
        <v>25</v>
      </c>
      <c r="E396">
        <v>1999</v>
      </c>
      <c r="F396" t="s">
        <v>859</v>
      </c>
      <c r="G396" t="s">
        <v>27</v>
      </c>
      <c r="H396" t="s">
        <v>93</v>
      </c>
      <c r="I396" t="s">
        <v>29</v>
      </c>
      <c r="J396" s="14">
        <v>43845</v>
      </c>
      <c r="K396" t="s">
        <v>41</v>
      </c>
      <c r="L396">
        <v>40</v>
      </c>
      <c r="M396" t="s">
        <v>901</v>
      </c>
      <c r="O396" t="s">
        <v>66</v>
      </c>
      <c r="Q396">
        <v>3</v>
      </c>
      <c r="W396">
        <v>1</v>
      </c>
      <c r="X396" t="s">
        <v>34</v>
      </c>
    </row>
    <row r="397" spans="1:24" x14ac:dyDescent="0.35">
      <c r="A397" t="s">
        <v>902</v>
      </c>
      <c r="B397" t="s">
        <v>131</v>
      </c>
      <c r="C397" t="s">
        <v>285</v>
      </c>
      <c r="D397">
        <v>40</v>
      </c>
      <c r="E397">
        <v>1984</v>
      </c>
      <c r="F397">
        <v>70000</v>
      </c>
      <c r="G397" t="s">
        <v>27</v>
      </c>
      <c r="H397" t="s">
        <v>58</v>
      </c>
      <c r="I397" t="s">
        <v>89</v>
      </c>
      <c r="J397" s="14">
        <v>43549</v>
      </c>
      <c r="K397" t="s">
        <v>52</v>
      </c>
      <c r="L397">
        <v>71</v>
      </c>
      <c r="N397" t="s">
        <v>54</v>
      </c>
      <c r="O397" t="s">
        <v>44</v>
      </c>
      <c r="Q397">
        <v>5</v>
      </c>
      <c r="V397" t="s">
        <v>73</v>
      </c>
      <c r="W397">
        <v>2</v>
      </c>
      <c r="X397" t="s">
        <v>34</v>
      </c>
    </row>
    <row r="398" spans="1:24" x14ac:dyDescent="0.35">
      <c r="A398" t="s">
        <v>903</v>
      </c>
      <c r="B398" t="s">
        <v>114</v>
      </c>
      <c r="C398" t="s">
        <v>540</v>
      </c>
      <c r="D398">
        <v>50</v>
      </c>
      <c r="E398">
        <v>1974</v>
      </c>
      <c r="F398" t="s">
        <v>50</v>
      </c>
      <c r="G398" t="s">
        <v>27</v>
      </c>
      <c r="H398" t="s">
        <v>28</v>
      </c>
      <c r="I398" t="s">
        <v>77</v>
      </c>
      <c r="J398" s="14">
        <v>43195</v>
      </c>
      <c r="K398" t="s">
        <v>78</v>
      </c>
      <c r="L398">
        <v>83</v>
      </c>
      <c r="M398" t="s">
        <v>541</v>
      </c>
      <c r="O398" t="s">
        <v>44</v>
      </c>
      <c r="Q398">
        <v>1</v>
      </c>
      <c r="V398" t="s">
        <v>169</v>
      </c>
      <c r="W398">
        <v>2</v>
      </c>
      <c r="X398" t="s">
        <v>46</v>
      </c>
    </row>
    <row r="399" spans="1:24" x14ac:dyDescent="0.35">
      <c r="A399" t="s">
        <v>904</v>
      </c>
      <c r="B399" t="s">
        <v>107</v>
      </c>
      <c r="C399" t="s">
        <v>338</v>
      </c>
      <c r="D399">
        <v>40</v>
      </c>
      <c r="E399">
        <v>1984</v>
      </c>
      <c r="F399" t="s">
        <v>859</v>
      </c>
      <c r="G399" t="s">
        <v>38</v>
      </c>
      <c r="H399" t="s">
        <v>145</v>
      </c>
      <c r="I399" t="s">
        <v>40</v>
      </c>
      <c r="J399" s="14">
        <v>43881</v>
      </c>
      <c r="K399" t="s">
        <v>30</v>
      </c>
      <c r="L399">
        <v>68</v>
      </c>
      <c r="N399" t="s">
        <v>54</v>
      </c>
      <c r="O399" t="s">
        <v>100</v>
      </c>
      <c r="Q399">
        <v>6</v>
      </c>
      <c r="S399">
        <v>12</v>
      </c>
      <c r="T399" s="14">
        <v>45516</v>
      </c>
      <c r="V399" t="s">
        <v>34</v>
      </c>
      <c r="W399">
        <v>4</v>
      </c>
      <c r="X399" t="s">
        <v>34</v>
      </c>
    </row>
    <row r="400" spans="1:24" x14ac:dyDescent="0.35">
      <c r="A400" t="s">
        <v>905</v>
      </c>
      <c r="B400" t="s">
        <v>140</v>
      </c>
      <c r="C400" t="s">
        <v>436</v>
      </c>
      <c r="E400">
        <v>1996</v>
      </c>
      <c r="F400">
        <v>55000</v>
      </c>
      <c r="G400" t="s">
        <v>38</v>
      </c>
      <c r="H400" t="s">
        <v>70</v>
      </c>
      <c r="I400" t="s">
        <v>77</v>
      </c>
      <c r="J400" s="14">
        <v>43800</v>
      </c>
      <c r="K400" t="s">
        <v>59</v>
      </c>
      <c r="L400">
        <v>98</v>
      </c>
      <c r="M400" t="s">
        <v>437</v>
      </c>
      <c r="N400" t="s">
        <v>43</v>
      </c>
      <c r="O400" t="s">
        <v>112</v>
      </c>
      <c r="Q400">
        <v>8</v>
      </c>
      <c r="R400">
        <v>3</v>
      </c>
      <c r="S400">
        <v>13</v>
      </c>
      <c r="V400" t="s">
        <v>33</v>
      </c>
      <c r="W400">
        <v>4</v>
      </c>
      <c r="X400" t="s">
        <v>34</v>
      </c>
    </row>
    <row r="401" spans="1:24" x14ac:dyDescent="0.35">
      <c r="A401" t="s">
        <v>906</v>
      </c>
      <c r="B401" t="s">
        <v>48</v>
      </c>
      <c r="C401" t="s">
        <v>141</v>
      </c>
      <c r="D401">
        <v>25</v>
      </c>
      <c r="E401">
        <v>1999</v>
      </c>
      <c r="F401">
        <v>65000</v>
      </c>
      <c r="G401" t="s">
        <v>38</v>
      </c>
      <c r="H401" t="s">
        <v>28</v>
      </c>
      <c r="I401" t="s">
        <v>94</v>
      </c>
      <c r="J401" s="14">
        <v>43549</v>
      </c>
      <c r="K401" t="s">
        <v>30</v>
      </c>
      <c r="L401">
        <v>65</v>
      </c>
      <c r="N401" t="s">
        <v>54</v>
      </c>
      <c r="O401" t="s">
        <v>100</v>
      </c>
      <c r="P401" t="s">
        <v>907</v>
      </c>
      <c r="Q401">
        <v>3</v>
      </c>
      <c r="T401" s="14">
        <v>45516</v>
      </c>
      <c r="U401">
        <v>49</v>
      </c>
      <c r="V401" t="s">
        <v>45</v>
      </c>
      <c r="W401">
        <v>2</v>
      </c>
      <c r="X401" t="s">
        <v>46</v>
      </c>
    </row>
    <row r="402" spans="1:24" x14ac:dyDescent="0.35">
      <c r="A402" t="s">
        <v>908</v>
      </c>
      <c r="B402" t="s">
        <v>56</v>
      </c>
      <c r="C402" t="s">
        <v>496</v>
      </c>
      <c r="E402">
        <v>2000</v>
      </c>
      <c r="F402" t="s">
        <v>50</v>
      </c>
      <c r="G402" t="s">
        <v>38</v>
      </c>
      <c r="H402" t="s">
        <v>28</v>
      </c>
      <c r="I402" t="s">
        <v>77</v>
      </c>
      <c r="J402" s="14">
        <v>43845</v>
      </c>
      <c r="K402" t="s">
        <v>59</v>
      </c>
      <c r="L402">
        <v>90</v>
      </c>
      <c r="M402" t="s">
        <v>909</v>
      </c>
      <c r="N402" t="s">
        <v>54</v>
      </c>
      <c r="O402" t="s">
        <v>174</v>
      </c>
      <c r="P402" t="s">
        <v>910</v>
      </c>
      <c r="Q402">
        <v>1</v>
      </c>
      <c r="T402" s="14">
        <v>44941</v>
      </c>
      <c r="U402">
        <v>55</v>
      </c>
      <c r="V402" t="s">
        <v>33</v>
      </c>
      <c r="W402">
        <v>5</v>
      </c>
      <c r="X402" t="s">
        <v>34</v>
      </c>
    </row>
    <row r="403" spans="1:24" x14ac:dyDescent="0.35">
      <c r="A403" t="s">
        <v>911</v>
      </c>
      <c r="B403" t="s">
        <v>131</v>
      </c>
      <c r="C403" t="s">
        <v>49</v>
      </c>
      <c r="D403">
        <v>25</v>
      </c>
      <c r="E403">
        <v>1999</v>
      </c>
      <c r="F403" t="s">
        <v>50</v>
      </c>
      <c r="G403" t="s">
        <v>38</v>
      </c>
      <c r="H403" t="s">
        <v>51</v>
      </c>
      <c r="I403" t="s">
        <v>29</v>
      </c>
      <c r="J403" s="14">
        <v>43881</v>
      </c>
      <c r="K403" t="s">
        <v>41</v>
      </c>
      <c r="L403">
        <v>57</v>
      </c>
      <c r="M403" t="s">
        <v>912</v>
      </c>
      <c r="N403" t="s">
        <v>61</v>
      </c>
      <c r="O403" t="s">
        <v>100</v>
      </c>
      <c r="Q403">
        <v>3</v>
      </c>
      <c r="U403">
        <v>42</v>
      </c>
      <c r="V403" t="s">
        <v>33</v>
      </c>
      <c r="W403">
        <v>4</v>
      </c>
      <c r="X403" t="s">
        <v>34</v>
      </c>
    </row>
    <row r="404" spans="1:24" x14ac:dyDescent="0.35">
      <c r="A404" t="s">
        <v>913</v>
      </c>
      <c r="B404" t="s">
        <v>25</v>
      </c>
      <c r="C404" t="s">
        <v>914</v>
      </c>
      <c r="D404" t="s">
        <v>88</v>
      </c>
      <c r="E404">
        <v>1994</v>
      </c>
      <c r="F404">
        <v>70000</v>
      </c>
      <c r="G404" t="s">
        <v>38</v>
      </c>
      <c r="H404" t="s">
        <v>70</v>
      </c>
      <c r="I404" t="s">
        <v>89</v>
      </c>
      <c r="J404" s="14">
        <v>43845</v>
      </c>
      <c r="K404" t="s">
        <v>41</v>
      </c>
      <c r="L404">
        <v>44</v>
      </c>
      <c r="M404" t="s">
        <v>915</v>
      </c>
      <c r="O404" t="s">
        <v>72</v>
      </c>
      <c r="P404" t="s">
        <v>916</v>
      </c>
      <c r="Q404">
        <v>6</v>
      </c>
      <c r="S404">
        <v>12</v>
      </c>
      <c r="U404">
        <v>47</v>
      </c>
      <c r="V404" t="s">
        <v>73</v>
      </c>
      <c r="W404">
        <v>5</v>
      </c>
      <c r="X404" t="s">
        <v>46</v>
      </c>
    </row>
    <row r="405" spans="1:24" x14ac:dyDescent="0.35">
      <c r="A405" t="s">
        <v>917</v>
      </c>
      <c r="B405" t="s">
        <v>56</v>
      </c>
      <c r="C405" t="s">
        <v>612</v>
      </c>
      <c r="D405">
        <v>50</v>
      </c>
      <c r="E405">
        <v>1974</v>
      </c>
      <c r="F405" t="s">
        <v>50</v>
      </c>
      <c r="G405" t="s">
        <v>38</v>
      </c>
      <c r="H405" t="s">
        <v>28</v>
      </c>
      <c r="I405" t="s">
        <v>89</v>
      </c>
      <c r="J405" s="14">
        <v>43845</v>
      </c>
      <c r="K405" t="s">
        <v>59</v>
      </c>
      <c r="L405">
        <v>97</v>
      </c>
      <c r="N405" t="s">
        <v>61</v>
      </c>
      <c r="O405" t="s">
        <v>44</v>
      </c>
      <c r="P405" t="s">
        <v>567</v>
      </c>
      <c r="Q405">
        <v>1</v>
      </c>
      <c r="R405" t="s">
        <v>79</v>
      </c>
      <c r="T405" s="14">
        <v>44470</v>
      </c>
      <c r="V405" t="s">
        <v>45</v>
      </c>
      <c r="W405">
        <v>4</v>
      </c>
      <c r="X405" t="s">
        <v>34</v>
      </c>
    </row>
    <row r="406" spans="1:24" x14ac:dyDescent="0.35">
      <c r="A406" t="s">
        <v>918</v>
      </c>
      <c r="B406" t="s">
        <v>107</v>
      </c>
      <c r="C406" t="s">
        <v>244</v>
      </c>
      <c r="D406">
        <v>25</v>
      </c>
      <c r="E406">
        <v>1999</v>
      </c>
      <c r="F406">
        <v>55000</v>
      </c>
      <c r="G406" t="s">
        <v>27</v>
      </c>
      <c r="H406" t="s">
        <v>28</v>
      </c>
      <c r="I406" t="s">
        <v>29</v>
      </c>
      <c r="J406" s="14">
        <v>43845</v>
      </c>
      <c r="K406" t="s">
        <v>30</v>
      </c>
      <c r="L406">
        <v>66</v>
      </c>
      <c r="M406" t="s">
        <v>245</v>
      </c>
      <c r="N406" t="s">
        <v>104</v>
      </c>
      <c r="O406" t="s">
        <v>100</v>
      </c>
      <c r="Q406">
        <v>5</v>
      </c>
      <c r="V406" t="s">
        <v>482</v>
      </c>
      <c r="W406">
        <v>1</v>
      </c>
      <c r="X406" t="s">
        <v>34</v>
      </c>
    </row>
    <row r="407" spans="1:24" x14ac:dyDescent="0.35">
      <c r="A407" t="s">
        <v>919</v>
      </c>
      <c r="B407" t="s">
        <v>25</v>
      </c>
      <c r="C407" t="s">
        <v>171</v>
      </c>
      <c r="E407">
        <v>1993</v>
      </c>
      <c r="F407">
        <v>55000</v>
      </c>
      <c r="G407" t="s">
        <v>38</v>
      </c>
      <c r="H407" t="s">
        <v>93</v>
      </c>
      <c r="I407" t="s">
        <v>94</v>
      </c>
      <c r="J407" s="14">
        <v>43195</v>
      </c>
      <c r="K407" t="s">
        <v>59</v>
      </c>
      <c r="L407">
        <v>92</v>
      </c>
      <c r="M407" t="s">
        <v>172</v>
      </c>
      <c r="N407" t="s">
        <v>54</v>
      </c>
      <c r="O407" t="s">
        <v>44</v>
      </c>
      <c r="P407" t="s">
        <v>98</v>
      </c>
      <c r="Q407">
        <v>8</v>
      </c>
      <c r="T407" s="14">
        <v>44990</v>
      </c>
      <c r="U407">
        <v>45</v>
      </c>
      <c r="V407" t="s">
        <v>34</v>
      </c>
      <c r="W407">
        <v>2</v>
      </c>
      <c r="X407" t="s">
        <v>46</v>
      </c>
    </row>
    <row r="408" spans="1:24" x14ac:dyDescent="0.35">
      <c r="A408" t="s">
        <v>920</v>
      </c>
      <c r="B408" t="s">
        <v>75</v>
      </c>
      <c r="C408" t="s">
        <v>137</v>
      </c>
      <c r="D408">
        <v>40</v>
      </c>
      <c r="E408">
        <v>1984</v>
      </c>
      <c r="F408">
        <v>50000</v>
      </c>
      <c r="G408" t="s">
        <v>27</v>
      </c>
      <c r="H408" t="s">
        <v>39</v>
      </c>
      <c r="I408" t="s">
        <v>29</v>
      </c>
      <c r="J408" s="14">
        <v>43195</v>
      </c>
      <c r="K408" t="s">
        <v>78</v>
      </c>
      <c r="L408">
        <v>85</v>
      </c>
      <c r="N408" t="s">
        <v>104</v>
      </c>
      <c r="O408" t="s">
        <v>174</v>
      </c>
      <c r="Q408">
        <v>6</v>
      </c>
      <c r="R408" t="s">
        <v>79</v>
      </c>
      <c r="S408">
        <v>9</v>
      </c>
      <c r="T408" s="14">
        <v>45516</v>
      </c>
      <c r="V408" t="s">
        <v>45</v>
      </c>
      <c r="W408">
        <v>3</v>
      </c>
      <c r="X408" t="s">
        <v>34</v>
      </c>
    </row>
    <row r="409" spans="1:24" x14ac:dyDescent="0.35">
      <c r="A409" t="s">
        <v>921</v>
      </c>
      <c r="B409" t="s">
        <v>68</v>
      </c>
      <c r="C409" t="s">
        <v>413</v>
      </c>
      <c r="D409">
        <v>25</v>
      </c>
      <c r="E409">
        <v>1999</v>
      </c>
      <c r="F409">
        <v>55000</v>
      </c>
      <c r="G409" t="s">
        <v>27</v>
      </c>
      <c r="H409" t="s">
        <v>28</v>
      </c>
      <c r="I409" t="s">
        <v>77</v>
      </c>
      <c r="J409" s="14">
        <v>43800</v>
      </c>
      <c r="K409" t="s">
        <v>41</v>
      </c>
      <c r="L409">
        <v>22</v>
      </c>
      <c r="M409" t="s">
        <v>922</v>
      </c>
      <c r="N409" t="s">
        <v>61</v>
      </c>
      <c r="O409" t="s">
        <v>72</v>
      </c>
      <c r="Q409">
        <v>2</v>
      </c>
      <c r="S409">
        <v>19</v>
      </c>
      <c r="W409">
        <v>4</v>
      </c>
      <c r="X409" t="s">
        <v>34</v>
      </c>
    </row>
    <row r="410" spans="1:24" x14ac:dyDescent="0.35">
      <c r="A410" t="s">
        <v>923</v>
      </c>
      <c r="B410" t="s">
        <v>75</v>
      </c>
      <c r="C410" t="s">
        <v>92</v>
      </c>
      <c r="D410">
        <v>50</v>
      </c>
      <c r="E410">
        <v>1974</v>
      </c>
      <c r="F410">
        <v>60900</v>
      </c>
      <c r="G410" t="s">
        <v>38</v>
      </c>
      <c r="H410" t="s">
        <v>122</v>
      </c>
      <c r="I410" t="s">
        <v>29</v>
      </c>
      <c r="J410" s="14">
        <v>43881</v>
      </c>
      <c r="K410" t="s">
        <v>78</v>
      </c>
      <c r="L410">
        <v>80</v>
      </c>
      <c r="O410" t="s">
        <v>44</v>
      </c>
      <c r="P410" t="s">
        <v>924</v>
      </c>
      <c r="Q410">
        <v>6</v>
      </c>
      <c r="R410" t="s">
        <v>79</v>
      </c>
      <c r="T410" s="14">
        <v>45516</v>
      </c>
      <c r="V410" t="s">
        <v>73</v>
      </c>
      <c r="W410">
        <v>3</v>
      </c>
      <c r="X410" t="s">
        <v>34</v>
      </c>
    </row>
    <row r="411" spans="1:24" x14ac:dyDescent="0.35">
      <c r="A411" t="s">
        <v>925</v>
      </c>
      <c r="B411" t="s">
        <v>56</v>
      </c>
      <c r="C411" t="s">
        <v>87</v>
      </c>
      <c r="D411">
        <v>25</v>
      </c>
      <c r="E411">
        <v>1999</v>
      </c>
      <c r="F411" t="s">
        <v>50</v>
      </c>
      <c r="G411" t="s">
        <v>38</v>
      </c>
      <c r="H411" t="s">
        <v>70</v>
      </c>
      <c r="I411" t="s">
        <v>29</v>
      </c>
      <c r="J411" s="14">
        <v>43549</v>
      </c>
      <c r="K411" t="s">
        <v>41</v>
      </c>
      <c r="L411">
        <v>23</v>
      </c>
      <c r="N411" t="s">
        <v>61</v>
      </c>
      <c r="O411" t="s">
        <v>100</v>
      </c>
      <c r="Q411">
        <v>4</v>
      </c>
      <c r="R411">
        <v>1</v>
      </c>
      <c r="S411">
        <v>6</v>
      </c>
      <c r="T411" s="14">
        <v>45516</v>
      </c>
      <c r="U411">
        <v>9</v>
      </c>
      <c r="V411" t="s">
        <v>73</v>
      </c>
      <c r="W411">
        <v>5</v>
      </c>
      <c r="X411" t="s">
        <v>34</v>
      </c>
    </row>
    <row r="412" spans="1:24" x14ac:dyDescent="0.35">
      <c r="A412" t="s">
        <v>926</v>
      </c>
      <c r="B412" t="s">
        <v>107</v>
      </c>
      <c r="C412" t="s">
        <v>837</v>
      </c>
      <c r="D412">
        <v>35</v>
      </c>
      <c r="E412">
        <v>1989</v>
      </c>
      <c r="F412">
        <v>55000</v>
      </c>
      <c r="G412" t="s">
        <v>27</v>
      </c>
      <c r="H412" t="s">
        <v>28</v>
      </c>
      <c r="I412" t="s">
        <v>94</v>
      </c>
      <c r="J412" s="14">
        <v>43549</v>
      </c>
      <c r="K412" t="s">
        <v>41</v>
      </c>
      <c r="L412">
        <v>54</v>
      </c>
      <c r="O412" t="s">
        <v>44</v>
      </c>
      <c r="Q412">
        <v>3</v>
      </c>
      <c r="R412" t="s">
        <v>79</v>
      </c>
      <c r="T412" t="s">
        <v>79</v>
      </c>
      <c r="V412" t="s">
        <v>46</v>
      </c>
      <c r="W412">
        <v>5</v>
      </c>
      <c r="X412" t="s">
        <v>34</v>
      </c>
    </row>
    <row r="413" spans="1:24" x14ac:dyDescent="0.35">
      <c r="A413" t="s">
        <v>927</v>
      </c>
      <c r="B413" t="s">
        <v>140</v>
      </c>
      <c r="C413" t="s">
        <v>26</v>
      </c>
      <c r="D413">
        <v>40</v>
      </c>
      <c r="E413">
        <v>1984</v>
      </c>
      <c r="F413">
        <v>70000</v>
      </c>
      <c r="G413" t="s">
        <v>38</v>
      </c>
      <c r="H413" t="s">
        <v>145</v>
      </c>
      <c r="I413" t="s">
        <v>77</v>
      </c>
      <c r="J413" s="14">
        <v>43549</v>
      </c>
      <c r="K413" t="s">
        <v>52</v>
      </c>
      <c r="L413">
        <v>70</v>
      </c>
      <c r="M413" t="s">
        <v>928</v>
      </c>
      <c r="O413" t="s">
        <v>32</v>
      </c>
      <c r="Q413">
        <v>2</v>
      </c>
      <c r="S413">
        <v>15</v>
      </c>
      <c r="T413" s="14">
        <v>44470</v>
      </c>
      <c r="U413">
        <v>5</v>
      </c>
      <c r="V413" t="s">
        <v>46</v>
      </c>
      <c r="W413">
        <v>5</v>
      </c>
      <c r="X413" t="s">
        <v>46</v>
      </c>
    </row>
    <row r="414" spans="1:24" x14ac:dyDescent="0.35">
      <c r="A414" t="s">
        <v>929</v>
      </c>
      <c r="B414" t="s">
        <v>56</v>
      </c>
      <c r="C414" t="s">
        <v>413</v>
      </c>
      <c r="D414">
        <v>50</v>
      </c>
      <c r="E414">
        <v>1974</v>
      </c>
      <c r="F414">
        <v>50000</v>
      </c>
      <c r="G414" t="s">
        <v>27</v>
      </c>
      <c r="H414" t="s">
        <v>122</v>
      </c>
      <c r="I414" t="s">
        <v>40</v>
      </c>
      <c r="J414" s="14">
        <v>43845</v>
      </c>
      <c r="K414" t="s">
        <v>78</v>
      </c>
      <c r="L414">
        <v>85</v>
      </c>
      <c r="N414" t="s">
        <v>43</v>
      </c>
      <c r="O414" t="s">
        <v>174</v>
      </c>
      <c r="Q414">
        <v>3</v>
      </c>
      <c r="R414">
        <v>1</v>
      </c>
      <c r="T414" s="14">
        <v>45516</v>
      </c>
      <c r="V414" t="s">
        <v>46</v>
      </c>
      <c r="W414">
        <v>3</v>
      </c>
      <c r="X414" t="s">
        <v>34</v>
      </c>
    </row>
    <row r="415" spans="1:24" x14ac:dyDescent="0.35">
      <c r="A415" t="s">
        <v>930</v>
      </c>
      <c r="B415" t="s">
        <v>131</v>
      </c>
      <c r="C415" t="s">
        <v>692</v>
      </c>
      <c r="D415">
        <v>50</v>
      </c>
      <c r="E415">
        <v>1974</v>
      </c>
      <c r="F415" t="s">
        <v>50</v>
      </c>
      <c r="G415" t="s">
        <v>38</v>
      </c>
      <c r="H415" t="s">
        <v>82</v>
      </c>
      <c r="I415" t="s">
        <v>40</v>
      </c>
      <c r="J415" s="14">
        <v>43195</v>
      </c>
      <c r="K415" t="s">
        <v>78</v>
      </c>
      <c r="L415">
        <v>89</v>
      </c>
      <c r="M415" t="s">
        <v>693</v>
      </c>
      <c r="N415" t="s">
        <v>54</v>
      </c>
      <c r="O415" t="s">
        <v>72</v>
      </c>
      <c r="Q415">
        <v>7</v>
      </c>
      <c r="R415">
        <v>11</v>
      </c>
      <c r="V415" t="s">
        <v>46</v>
      </c>
      <c r="W415">
        <v>5</v>
      </c>
      <c r="X415" t="s">
        <v>34</v>
      </c>
    </row>
    <row r="416" spans="1:24" x14ac:dyDescent="0.35">
      <c r="A416" t="s">
        <v>931</v>
      </c>
      <c r="B416" t="s">
        <v>36</v>
      </c>
      <c r="C416" t="s">
        <v>395</v>
      </c>
      <c r="D416" t="s">
        <v>88</v>
      </c>
      <c r="E416">
        <v>1994</v>
      </c>
      <c r="F416">
        <v>50000</v>
      </c>
      <c r="G416" t="s">
        <v>38</v>
      </c>
      <c r="H416" t="s">
        <v>58</v>
      </c>
      <c r="I416" t="s">
        <v>89</v>
      </c>
      <c r="J416" s="14">
        <v>43881</v>
      </c>
      <c r="K416" t="s">
        <v>52</v>
      </c>
      <c r="L416">
        <v>71</v>
      </c>
      <c r="M416" t="s">
        <v>932</v>
      </c>
      <c r="N416" t="s">
        <v>61</v>
      </c>
      <c r="O416" t="s">
        <v>112</v>
      </c>
      <c r="Q416">
        <v>7</v>
      </c>
      <c r="U416">
        <v>33</v>
      </c>
      <c r="W416">
        <v>3</v>
      </c>
      <c r="X416" t="s">
        <v>46</v>
      </c>
    </row>
    <row r="417" spans="1:24" x14ac:dyDescent="0.35">
      <c r="A417" t="s">
        <v>933</v>
      </c>
      <c r="B417" t="s">
        <v>56</v>
      </c>
      <c r="C417" t="s">
        <v>69</v>
      </c>
      <c r="E417">
        <v>1982</v>
      </c>
      <c r="F417" t="s">
        <v>50</v>
      </c>
      <c r="G417" t="s">
        <v>27</v>
      </c>
      <c r="H417" t="s">
        <v>58</v>
      </c>
      <c r="I417" t="s">
        <v>29</v>
      </c>
      <c r="J417" s="14">
        <v>43845</v>
      </c>
      <c r="K417" t="s">
        <v>30</v>
      </c>
      <c r="L417">
        <v>65</v>
      </c>
      <c r="M417" t="s">
        <v>934</v>
      </c>
      <c r="O417" t="s">
        <v>44</v>
      </c>
      <c r="Q417">
        <v>2</v>
      </c>
      <c r="S417">
        <v>15</v>
      </c>
      <c r="U417">
        <v>78</v>
      </c>
      <c r="V417" t="s">
        <v>73</v>
      </c>
      <c r="W417">
        <v>2</v>
      </c>
      <c r="X417" t="s">
        <v>46</v>
      </c>
    </row>
    <row r="418" spans="1:24" x14ac:dyDescent="0.35">
      <c r="A418" t="s">
        <v>935</v>
      </c>
      <c r="B418" t="s">
        <v>68</v>
      </c>
      <c r="C418" t="s">
        <v>167</v>
      </c>
      <c r="D418" t="s">
        <v>88</v>
      </c>
      <c r="E418">
        <v>1994</v>
      </c>
      <c r="F418">
        <v>70000</v>
      </c>
      <c r="G418" t="s">
        <v>27</v>
      </c>
      <c r="H418" t="s">
        <v>39</v>
      </c>
      <c r="I418" t="s">
        <v>89</v>
      </c>
      <c r="J418" s="14">
        <v>43195</v>
      </c>
      <c r="K418" t="s">
        <v>78</v>
      </c>
      <c r="L418">
        <v>83</v>
      </c>
      <c r="M418" t="s">
        <v>936</v>
      </c>
      <c r="N418" t="s">
        <v>61</v>
      </c>
      <c r="O418" t="s">
        <v>100</v>
      </c>
      <c r="Q418">
        <v>6</v>
      </c>
      <c r="R418" t="s">
        <v>79</v>
      </c>
      <c r="S418">
        <v>3</v>
      </c>
      <c r="W418">
        <v>3</v>
      </c>
      <c r="X418" t="s">
        <v>34</v>
      </c>
    </row>
    <row r="419" spans="1:24" x14ac:dyDescent="0.35">
      <c r="A419" t="s">
        <v>937</v>
      </c>
      <c r="B419" t="s">
        <v>68</v>
      </c>
      <c r="C419" t="s">
        <v>421</v>
      </c>
      <c r="D419">
        <v>50</v>
      </c>
      <c r="E419">
        <v>1974</v>
      </c>
      <c r="F419">
        <v>50000</v>
      </c>
      <c r="G419" t="s">
        <v>27</v>
      </c>
      <c r="H419" t="s">
        <v>122</v>
      </c>
      <c r="I419" t="s">
        <v>94</v>
      </c>
      <c r="J419" s="14">
        <v>43195</v>
      </c>
      <c r="K419" t="s">
        <v>59</v>
      </c>
      <c r="L419">
        <v>92</v>
      </c>
      <c r="M419" t="s">
        <v>422</v>
      </c>
      <c r="N419" t="s">
        <v>61</v>
      </c>
      <c r="O419" t="s">
        <v>72</v>
      </c>
      <c r="Q419">
        <v>4</v>
      </c>
      <c r="T419" s="14">
        <v>44990</v>
      </c>
      <c r="V419" t="s">
        <v>46</v>
      </c>
      <c r="W419">
        <v>4</v>
      </c>
      <c r="X419" t="s">
        <v>34</v>
      </c>
    </row>
    <row r="420" spans="1:24" x14ac:dyDescent="0.35">
      <c r="A420" t="s">
        <v>938</v>
      </c>
      <c r="B420" t="s">
        <v>56</v>
      </c>
      <c r="C420" t="s">
        <v>413</v>
      </c>
      <c r="D420">
        <v>40</v>
      </c>
      <c r="E420">
        <v>1984</v>
      </c>
      <c r="F420">
        <v>65000</v>
      </c>
      <c r="G420" t="s">
        <v>27</v>
      </c>
      <c r="H420" t="s">
        <v>64</v>
      </c>
      <c r="I420" t="s">
        <v>40</v>
      </c>
      <c r="J420" s="14">
        <v>43881</v>
      </c>
      <c r="K420" t="s">
        <v>52</v>
      </c>
      <c r="L420">
        <v>74</v>
      </c>
      <c r="M420" t="s">
        <v>414</v>
      </c>
      <c r="O420" t="s">
        <v>100</v>
      </c>
      <c r="Q420">
        <v>4</v>
      </c>
      <c r="T420" s="14">
        <v>44470</v>
      </c>
      <c r="U420">
        <v>63</v>
      </c>
      <c r="W420">
        <v>2</v>
      </c>
      <c r="X420" t="s">
        <v>46</v>
      </c>
    </row>
    <row r="421" spans="1:24" x14ac:dyDescent="0.35">
      <c r="A421" t="s">
        <v>939</v>
      </c>
      <c r="B421" t="s">
        <v>25</v>
      </c>
      <c r="C421" t="s">
        <v>367</v>
      </c>
      <c r="D421">
        <v>25</v>
      </c>
      <c r="E421">
        <v>1999</v>
      </c>
      <c r="F421">
        <v>60000</v>
      </c>
      <c r="G421" t="s">
        <v>27</v>
      </c>
      <c r="H421" t="s">
        <v>93</v>
      </c>
      <c r="I421" t="s">
        <v>29</v>
      </c>
      <c r="J421" s="14">
        <v>43881</v>
      </c>
      <c r="K421" t="s">
        <v>78</v>
      </c>
      <c r="L421">
        <v>83</v>
      </c>
      <c r="M421" t="s">
        <v>940</v>
      </c>
      <c r="N421" t="s">
        <v>104</v>
      </c>
      <c r="O421" t="s">
        <v>100</v>
      </c>
      <c r="Q421">
        <v>6</v>
      </c>
      <c r="R421">
        <v>10</v>
      </c>
      <c r="T421" s="14">
        <v>44941</v>
      </c>
      <c r="V421" t="s">
        <v>73</v>
      </c>
      <c r="W421">
        <v>4</v>
      </c>
      <c r="X421" t="s">
        <v>34</v>
      </c>
    </row>
    <row r="422" spans="1:24" x14ac:dyDescent="0.35">
      <c r="A422" t="s">
        <v>941</v>
      </c>
      <c r="B422" t="s">
        <v>36</v>
      </c>
      <c r="C422" t="s">
        <v>479</v>
      </c>
      <c r="D422">
        <v>25</v>
      </c>
      <c r="E422">
        <v>1999</v>
      </c>
      <c r="F422">
        <v>60800</v>
      </c>
      <c r="G422" t="s">
        <v>27</v>
      </c>
      <c r="H422" t="s">
        <v>64</v>
      </c>
      <c r="I422" t="s">
        <v>94</v>
      </c>
      <c r="J422" s="14">
        <v>43881</v>
      </c>
      <c r="K422" t="s">
        <v>30</v>
      </c>
      <c r="L422">
        <v>62</v>
      </c>
      <c r="M422" t="s">
        <v>480</v>
      </c>
      <c r="N422" t="s">
        <v>54</v>
      </c>
      <c r="O422" t="s">
        <v>44</v>
      </c>
      <c r="Q422">
        <v>6</v>
      </c>
      <c r="S422">
        <v>12</v>
      </c>
      <c r="V422" t="s">
        <v>45</v>
      </c>
      <c r="W422">
        <v>2</v>
      </c>
      <c r="X422" t="s">
        <v>46</v>
      </c>
    </row>
    <row r="423" spans="1:24" x14ac:dyDescent="0.35">
      <c r="A423" t="s">
        <v>942</v>
      </c>
      <c r="B423" t="s">
        <v>131</v>
      </c>
      <c r="C423" t="s">
        <v>403</v>
      </c>
      <c r="D423">
        <v>40</v>
      </c>
      <c r="E423">
        <v>1984</v>
      </c>
      <c r="F423" t="s">
        <v>50</v>
      </c>
      <c r="G423" t="s">
        <v>38</v>
      </c>
      <c r="H423" t="s">
        <v>145</v>
      </c>
      <c r="I423" t="s">
        <v>94</v>
      </c>
      <c r="J423" s="14">
        <v>43845</v>
      </c>
      <c r="K423" t="s">
        <v>78</v>
      </c>
      <c r="L423">
        <v>87</v>
      </c>
      <c r="M423" t="s">
        <v>943</v>
      </c>
      <c r="N423" t="s">
        <v>54</v>
      </c>
      <c r="O423" t="s">
        <v>100</v>
      </c>
      <c r="P423" t="s">
        <v>944</v>
      </c>
      <c r="Q423">
        <v>6</v>
      </c>
      <c r="S423">
        <v>7</v>
      </c>
      <c r="T423" s="14">
        <v>44990</v>
      </c>
      <c r="W423">
        <v>3</v>
      </c>
      <c r="X423" t="s">
        <v>34</v>
      </c>
    </row>
    <row r="424" spans="1:24" x14ac:dyDescent="0.35">
      <c r="A424" t="s">
        <v>945</v>
      </c>
      <c r="B424" t="s">
        <v>56</v>
      </c>
      <c r="C424" t="s">
        <v>87</v>
      </c>
      <c r="D424">
        <v>50</v>
      </c>
      <c r="E424">
        <v>1974</v>
      </c>
      <c r="F424">
        <v>65000</v>
      </c>
      <c r="G424" t="s">
        <v>27</v>
      </c>
      <c r="H424" t="s">
        <v>82</v>
      </c>
      <c r="I424" t="s">
        <v>29</v>
      </c>
      <c r="J424" s="14">
        <v>43800</v>
      </c>
      <c r="K424" t="s">
        <v>41</v>
      </c>
      <c r="L424">
        <v>35</v>
      </c>
      <c r="M424" t="s">
        <v>129</v>
      </c>
      <c r="N424" t="s">
        <v>43</v>
      </c>
      <c r="O424" t="s">
        <v>44</v>
      </c>
      <c r="Q424">
        <v>5</v>
      </c>
      <c r="T424" s="14">
        <v>44941</v>
      </c>
      <c r="V424" t="s">
        <v>46</v>
      </c>
      <c r="W424">
        <v>2</v>
      </c>
      <c r="X424" t="s">
        <v>46</v>
      </c>
    </row>
    <row r="425" spans="1:24" x14ac:dyDescent="0.35">
      <c r="A425" t="s">
        <v>946</v>
      </c>
      <c r="B425" t="s">
        <v>25</v>
      </c>
      <c r="C425" t="s">
        <v>81</v>
      </c>
      <c r="D425">
        <v>25</v>
      </c>
      <c r="E425">
        <v>1999</v>
      </c>
      <c r="F425">
        <v>50000</v>
      </c>
      <c r="G425" t="s">
        <v>38</v>
      </c>
      <c r="H425" t="s">
        <v>70</v>
      </c>
      <c r="I425" t="s">
        <v>94</v>
      </c>
      <c r="J425" s="14">
        <v>43881</v>
      </c>
      <c r="K425" t="s">
        <v>59</v>
      </c>
      <c r="L425">
        <v>98</v>
      </c>
      <c r="M425" t="s">
        <v>401</v>
      </c>
      <c r="N425" t="s">
        <v>43</v>
      </c>
      <c r="O425" t="s">
        <v>112</v>
      </c>
      <c r="Q425">
        <v>4</v>
      </c>
      <c r="T425" s="14">
        <v>45516</v>
      </c>
      <c r="V425" t="s">
        <v>34</v>
      </c>
      <c r="W425">
        <v>4</v>
      </c>
      <c r="X425" t="s">
        <v>34</v>
      </c>
    </row>
    <row r="426" spans="1:24" x14ac:dyDescent="0.35">
      <c r="A426" t="s">
        <v>947</v>
      </c>
      <c r="B426" t="s">
        <v>68</v>
      </c>
      <c r="C426" t="s">
        <v>421</v>
      </c>
      <c r="D426">
        <v>25</v>
      </c>
      <c r="E426">
        <v>1999</v>
      </c>
      <c r="F426">
        <v>65000</v>
      </c>
      <c r="G426" t="s">
        <v>38</v>
      </c>
      <c r="H426" t="s">
        <v>70</v>
      </c>
      <c r="I426" t="s">
        <v>29</v>
      </c>
      <c r="J426" s="14">
        <v>43800</v>
      </c>
      <c r="K426" t="s">
        <v>52</v>
      </c>
      <c r="L426">
        <v>75</v>
      </c>
      <c r="M426" t="s">
        <v>422</v>
      </c>
      <c r="N426" t="s">
        <v>43</v>
      </c>
      <c r="O426" t="s">
        <v>32</v>
      </c>
      <c r="P426" t="s">
        <v>670</v>
      </c>
      <c r="Q426">
        <v>8</v>
      </c>
      <c r="R426">
        <v>9</v>
      </c>
      <c r="V426" t="s">
        <v>34</v>
      </c>
      <c r="W426">
        <v>1</v>
      </c>
      <c r="X426" t="s">
        <v>34</v>
      </c>
    </row>
    <row r="427" spans="1:24" x14ac:dyDescent="0.35">
      <c r="A427" t="s">
        <v>948</v>
      </c>
      <c r="B427" t="s">
        <v>68</v>
      </c>
      <c r="C427" t="s">
        <v>193</v>
      </c>
      <c r="D427">
        <v>25</v>
      </c>
      <c r="E427">
        <v>1999</v>
      </c>
      <c r="F427">
        <v>65000</v>
      </c>
      <c r="G427" t="s">
        <v>27</v>
      </c>
      <c r="H427" t="s">
        <v>51</v>
      </c>
      <c r="I427" t="s">
        <v>29</v>
      </c>
      <c r="J427" s="14">
        <v>43845</v>
      </c>
      <c r="K427" t="s">
        <v>41</v>
      </c>
      <c r="L427">
        <v>50</v>
      </c>
      <c r="M427" t="s">
        <v>194</v>
      </c>
      <c r="N427" t="s">
        <v>54</v>
      </c>
      <c r="O427" t="s">
        <v>100</v>
      </c>
      <c r="Q427">
        <v>1</v>
      </c>
      <c r="S427">
        <v>18</v>
      </c>
      <c r="T427" t="s">
        <v>79</v>
      </c>
      <c r="V427" t="s">
        <v>169</v>
      </c>
      <c r="W427">
        <v>2</v>
      </c>
      <c r="X427" t="s">
        <v>34</v>
      </c>
    </row>
    <row r="428" spans="1:24" x14ac:dyDescent="0.35">
      <c r="A428" t="s">
        <v>949</v>
      </c>
      <c r="B428" t="s">
        <v>107</v>
      </c>
      <c r="C428" t="s">
        <v>777</v>
      </c>
      <c r="E428">
        <v>1990</v>
      </c>
      <c r="F428">
        <v>50000</v>
      </c>
      <c r="G428" t="s">
        <v>27</v>
      </c>
      <c r="H428" t="s">
        <v>64</v>
      </c>
      <c r="I428" t="s">
        <v>77</v>
      </c>
      <c r="J428" s="14">
        <v>43800</v>
      </c>
      <c r="K428" t="s">
        <v>30</v>
      </c>
      <c r="L428">
        <v>68</v>
      </c>
      <c r="M428" t="s">
        <v>778</v>
      </c>
      <c r="N428" t="s">
        <v>104</v>
      </c>
      <c r="O428" t="s">
        <v>100</v>
      </c>
      <c r="P428" t="s">
        <v>950</v>
      </c>
      <c r="Q428">
        <v>2</v>
      </c>
      <c r="S428">
        <v>20</v>
      </c>
      <c r="T428" t="s">
        <v>79</v>
      </c>
      <c r="U428">
        <v>31</v>
      </c>
      <c r="V428" t="s">
        <v>73</v>
      </c>
      <c r="W428">
        <v>2</v>
      </c>
      <c r="X428" t="s">
        <v>34</v>
      </c>
    </row>
    <row r="429" spans="1:24" x14ac:dyDescent="0.35">
      <c r="A429" t="s">
        <v>951</v>
      </c>
      <c r="B429" t="s">
        <v>56</v>
      </c>
      <c r="C429" t="s">
        <v>462</v>
      </c>
      <c r="E429">
        <v>1997</v>
      </c>
      <c r="F429">
        <v>70000</v>
      </c>
      <c r="G429" t="s">
        <v>38</v>
      </c>
      <c r="H429" t="s">
        <v>82</v>
      </c>
      <c r="I429" t="s">
        <v>89</v>
      </c>
      <c r="J429" s="14">
        <v>43549</v>
      </c>
      <c r="K429" t="s">
        <v>41</v>
      </c>
      <c r="L429">
        <v>39</v>
      </c>
      <c r="M429" t="s">
        <v>952</v>
      </c>
      <c r="N429" t="s">
        <v>54</v>
      </c>
      <c r="O429" t="s">
        <v>100</v>
      </c>
      <c r="P429" t="s">
        <v>953</v>
      </c>
      <c r="Q429">
        <v>6</v>
      </c>
      <c r="T429" s="14">
        <v>44732</v>
      </c>
      <c r="U429">
        <v>63</v>
      </c>
      <c r="V429" t="s">
        <v>45</v>
      </c>
      <c r="W429">
        <v>1</v>
      </c>
      <c r="X429" t="s">
        <v>46</v>
      </c>
    </row>
    <row r="430" spans="1:24" x14ac:dyDescent="0.35">
      <c r="A430" t="s">
        <v>954</v>
      </c>
      <c r="B430" t="s">
        <v>36</v>
      </c>
      <c r="C430" t="s">
        <v>37</v>
      </c>
      <c r="D430">
        <v>35</v>
      </c>
      <c r="E430">
        <v>1989</v>
      </c>
      <c r="F430">
        <v>65000</v>
      </c>
      <c r="G430" t="s">
        <v>27</v>
      </c>
      <c r="H430" t="s">
        <v>64</v>
      </c>
      <c r="I430" t="s">
        <v>94</v>
      </c>
      <c r="J430" s="14">
        <v>43800</v>
      </c>
      <c r="K430" t="s">
        <v>41</v>
      </c>
      <c r="L430">
        <v>45</v>
      </c>
      <c r="M430" t="s">
        <v>42</v>
      </c>
      <c r="N430" t="s">
        <v>54</v>
      </c>
      <c r="O430" t="s">
        <v>66</v>
      </c>
      <c r="Q430">
        <v>8</v>
      </c>
      <c r="V430" t="s">
        <v>46</v>
      </c>
      <c r="W430">
        <v>2</v>
      </c>
      <c r="X430" t="s">
        <v>46</v>
      </c>
    </row>
    <row r="431" spans="1:24" x14ac:dyDescent="0.35">
      <c r="A431" t="s">
        <v>955</v>
      </c>
      <c r="B431" t="s">
        <v>114</v>
      </c>
      <c r="C431" t="s">
        <v>359</v>
      </c>
      <c r="D431" t="s">
        <v>88</v>
      </c>
      <c r="E431">
        <v>1994</v>
      </c>
      <c r="F431">
        <v>65000</v>
      </c>
      <c r="G431" t="s">
        <v>27</v>
      </c>
      <c r="H431" t="s">
        <v>122</v>
      </c>
      <c r="I431" t="s">
        <v>94</v>
      </c>
      <c r="J431" s="14">
        <v>43881</v>
      </c>
      <c r="K431" t="s">
        <v>30</v>
      </c>
      <c r="L431">
        <v>66</v>
      </c>
      <c r="M431" t="s">
        <v>956</v>
      </c>
      <c r="N431" t="s">
        <v>54</v>
      </c>
      <c r="O431" t="s">
        <v>66</v>
      </c>
      <c r="Q431">
        <v>4</v>
      </c>
      <c r="V431" t="s">
        <v>73</v>
      </c>
      <c r="W431">
        <v>2</v>
      </c>
      <c r="X431" t="s">
        <v>34</v>
      </c>
    </row>
    <row r="432" spans="1:24" x14ac:dyDescent="0.35">
      <c r="A432" t="s">
        <v>957</v>
      </c>
      <c r="B432" t="s">
        <v>36</v>
      </c>
      <c r="C432" t="s">
        <v>203</v>
      </c>
      <c r="D432">
        <v>40</v>
      </c>
      <c r="E432">
        <v>1984</v>
      </c>
      <c r="F432">
        <v>70000</v>
      </c>
      <c r="G432" t="s">
        <v>38</v>
      </c>
      <c r="H432" t="s">
        <v>39</v>
      </c>
      <c r="I432" t="s">
        <v>77</v>
      </c>
      <c r="J432" s="14">
        <v>43845</v>
      </c>
      <c r="K432" t="s">
        <v>41</v>
      </c>
      <c r="L432">
        <v>41</v>
      </c>
      <c r="M432" t="s">
        <v>958</v>
      </c>
      <c r="N432" t="s">
        <v>54</v>
      </c>
      <c r="O432" t="s">
        <v>72</v>
      </c>
      <c r="Q432">
        <v>4</v>
      </c>
      <c r="W432">
        <v>1</v>
      </c>
      <c r="X432" t="s">
        <v>34</v>
      </c>
    </row>
    <row r="433" spans="1:24" x14ac:dyDescent="0.35">
      <c r="A433" t="s">
        <v>959</v>
      </c>
      <c r="B433" t="s">
        <v>68</v>
      </c>
      <c r="C433" t="s">
        <v>141</v>
      </c>
      <c r="D433">
        <v>40</v>
      </c>
      <c r="E433">
        <v>1984</v>
      </c>
      <c r="F433">
        <v>65000</v>
      </c>
      <c r="G433" t="s">
        <v>27</v>
      </c>
      <c r="H433" t="s">
        <v>70</v>
      </c>
      <c r="I433" t="s">
        <v>77</v>
      </c>
      <c r="J433" s="14">
        <v>43881</v>
      </c>
      <c r="K433" t="s">
        <v>52</v>
      </c>
      <c r="L433">
        <v>77</v>
      </c>
      <c r="M433" t="s">
        <v>960</v>
      </c>
      <c r="N433" t="s">
        <v>104</v>
      </c>
      <c r="O433" t="s">
        <v>32</v>
      </c>
      <c r="Q433">
        <v>1</v>
      </c>
      <c r="T433" s="14">
        <v>44732</v>
      </c>
      <c r="V433" t="s">
        <v>34</v>
      </c>
      <c r="W433">
        <v>2</v>
      </c>
      <c r="X433" t="s">
        <v>46</v>
      </c>
    </row>
    <row r="434" spans="1:24" x14ac:dyDescent="0.35">
      <c r="A434" t="s">
        <v>961</v>
      </c>
      <c r="B434" t="s">
        <v>68</v>
      </c>
      <c r="C434" t="s">
        <v>465</v>
      </c>
      <c r="D434">
        <v>40</v>
      </c>
      <c r="E434">
        <v>1984</v>
      </c>
      <c r="F434">
        <v>65000</v>
      </c>
      <c r="G434" t="s">
        <v>27</v>
      </c>
      <c r="H434" t="s">
        <v>82</v>
      </c>
      <c r="I434" t="s">
        <v>77</v>
      </c>
      <c r="J434" s="14">
        <v>43549</v>
      </c>
      <c r="K434" t="s">
        <v>78</v>
      </c>
      <c r="L434">
        <v>88</v>
      </c>
      <c r="M434" t="s">
        <v>962</v>
      </c>
      <c r="N434" t="s">
        <v>43</v>
      </c>
      <c r="O434" t="s">
        <v>32</v>
      </c>
      <c r="Q434">
        <v>6</v>
      </c>
      <c r="W434">
        <v>3</v>
      </c>
      <c r="X434" t="s">
        <v>34</v>
      </c>
    </row>
    <row r="435" spans="1:24" x14ac:dyDescent="0.35">
      <c r="A435" t="s">
        <v>963</v>
      </c>
      <c r="B435" t="s">
        <v>75</v>
      </c>
      <c r="C435" t="s">
        <v>362</v>
      </c>
      <c r="D435">
        <v>35</v>
      </c>
      <c r="E435">
        <v>1989</v>
      </c>
      <c r="F435">
        <v>65000</v>
      </c>
      <c r="G435" t="s">
        <v>27</v>
      </c>
      <c r="H435" t="s">
        <v>64</v>
      </c>
      <c r="I435" t="s">
        <v>40</v>
      </c>
      <c r="J435" s="14">
        <v>43881</v>
      </c>
      <c r="K435" t="s">
        <v>41</v>
      </c>
      <c r="L435">
        <v>53</v>
      </c>
      <c r="M435" t="s">
        <v>363</v>
      </c>
      <c r="N435" t="s">
        <v>61</v>
      </c>
      <c r="O435" t="s">
        <v>66</v>
      </c>
      <c r="Q435">
        <v>7</v>
      </c>
      <c r="R435" t="s">
        <v>79</v>
      </c>
      <c r="V435" t="s">
        <v>34</v>
      </c>
      <c r="W435">
        <v>3</v>
      </c>
      <c r="X435" t="s">
        <v>46</v>
      </c>
    </row>
    <row r="436" spans="1:24" x14ac:dyDescent="0.35">
      <c r="A436" t="s">
        <v>964</v>
      </c>
      <c r="B436" t="s">
        <v>68</v>
      </c>
      <c r="C436" t="s">
        <v>359</v>
      </c>
      <c r="E436">
        <v>1971</v>
      </c>
      <c r="F436">
        <v>60900</v>
      </c>
      <c r="G436" t="s">
        <v>38</v>
      </c>
      <c r="H436" t="s">
        <v>28</v>
      </c>
      <c r="I436" t="s">
        <v>40</v>
      </c>
      <c r="J436" s="14">
        <v>43881</v>
      </c>
      <c r="K436" t="s">
        <v>52</v>
      </c>
      <c r="L436">
        <v>72</v>
      </c>
      <c r="M436" t="s">
        <v>965</v>
      </c>
      <c r="N436" t="s">
        <v>43</v>
      </c>
      <c r="O436" t="s">
        <v>72</v>
      </c>
      <c r="Q436">
        <v>2</v>
      </c>
      <c r="S436">
        <v>5</v>
      </c>
      <c r="U436">
        <v>75</v>
      </c>
      <c r="V436" t="s">
        <v>34</v>
      </c>
      <c r="W436">
        <v>3</v>
      </c>
      <c r="X436" t="s">
        <v>46</v>
      </c>
    </row>
    <row r="437" spans="1:24" x14ac:dyDescent="0.35">
      <c r="A437" t="s">
        <v>966</v>
      </c>
      <c r="B437" t="s">
        <v>131</v>
      </c>
      <c r="C437" t="s">
        <v>299</v>
      </c>
      <c r="D437">
        <v>50</v>
      </c>
      <c r="E437">
        <v>1974</v>
      </c>
      <c r="F437">
        <v>55000</v>
      </c>
      <c r="G437" t="s">
        <v>27</v>
      </c>
      <c r="H437" t="s">
        <v>82</v>
      </c>
      <c r="I437" t="s">
        <v>40</v>
      </c>
      <c r="J437" s="14">
        <v>43881</v>
      </c>
      <c r="K437" t="s">
        <v>78</v>
      </c>
      <c r="L437">
        <v>85</v>
      </c>
      <c r="M437" t="s">
        <v>967</v>
      </c>
      <c r="N437" t="s">
        <v>43</v>
      </c>
      <c r="O437" t="s">
        <v>66</v>
      </c>
      <c r="P437" t="s">
        <v>770</v>
      </c>
      <c r="Q437">
        <v>7</v>
      </c>
      <c r="S437">
        <v>16</v>
      </c>
      <c r="U437">
        <v>32</v>
      </c>
      <c r="W437">
        <v>4</v>
      </c>
      <c r="X437" t="s">
        <v>34</v>
      </c>
    </row>
    <row r="438" spans="1:24" x14ac:dyDescent="0.35">
      <c r="A438" t="s">
        <v>968</v>
      </c>
      <c r="B438" t="s">
        <v>48</v>
      </c>
      <c r="C438" t="s">
        <v>148</v>
      </c>
      <c r="D438">
        <v>50</v>
      </c>
      <c r="E438">
        <v>1974</v>
      </c>
      <c r="F438">
        <v>70000</v>
      </c>
      <c r="G438" t="s">
        <v>38</v>
      </c>
      <c r="H438" t="s">
        <v>58</v>
      </c>
      <c r="I438" t="s">
        <v>29</v>
      </c>
      <c r="J438" s="14">
        <v>43195</v>
      </c>
      <c r="K438" t="s">
        <v>78</v>
      </c>
      <c r="L438">
        <v>81</v>
      </c>
      <c r="M438" t="s">
        <v>969</v>
      </c>
      <c r="N438" t="s">
        <v>61</v>
      </c>
      <c r="O438" t="s">
        <v>112</v>
      </c>
      <c r="P438" t="s">
        <v>970</v>
      </c>
      <c r="Q438">
        <v>5</v>
      </c>
      <c r="U438">
        <v>74</v>
      </c>
      <c r="W438">
        <v>4</v>
      </c>
      <c r="X438" t="s">
        <v>34</v>
      </c>
    </row>
    <row r="439" spans="1:24" x14ac:dyDescent="0.35">
      <c r="A439" t="s">
        <v>971</v>
      </c>
      <c r="B439" t="s">
        <v>56</v>
      </c>
      <c r="C439" t="s">
        <v>161</v>
      </c>
      <c r="D439">
        <v>35</v>
      </c>
      <c r="E439">
        <v>1989</v>
      </c>
      <c r="F439">
        <v>65000</v>
      </c>
      <c r="G439" t="s">
        <v>38</v>
      </c>
      <c r="H439" t="s">
        <v>122</v>
      </c>
      <c r="I439" t="s">
        <v>94</v>
      </c>
      <c r="J439" s="14">
        <v>43549</v>
      </c>
      <c r="K439" t="s">
        <v>41</v>
      </c>
      <c r="L439">
        <v>39</v>
      </c>
      <c r="M439" t="s">
        <v>972</v>
      </c>
      <c r="N439" t="s">
        <v>54</v>
      </c>
      <c r="O439" t="s">
        <v>72</v>
      </c>
      <c r="Q439">
        <v>5</v>
      </c>
      <c r="R439" t="s">
        <v>79</v>
      </c>
      <c r="S439">
        <v>6</v>
      </c>
      <c r="V439" t="s">
        <v>169</v>
      </c>
      <c r="W439">
        <v>1</v>
      </c>
      <c r="X439" t="s">
        <v>46</v>
      </c>
    </row>
    <row r="440" spans="1:24" x14ac:dyDescent="0.35">
      <c r="A440" t="s">
        <v>973</v>
      </c>
      <c r="B440" t="s">
        <v>36</v>
      </c>
      <c r="C440" t="s">
        <v>499</v>
      </c>
      <c r="D440">
        <v>50</v>
      </c>
      <c r="E440">
        <v>1974</v>
      </c>
      <c r="F440">
        <v>61600</v>
      </c>
      <c r="G440" t="s">
        <v>27</v>
      </c>
      <c r="H440" t="s">
        <v>70</v>
      </c>
      <c r="I440" t="s">
        <v>89</v>
      </c>
      <c r="J440" s="14">
        <v>43881</v>
      </c>
      <c r="K440" t="s">
        <v>52</v>
      </c>
      <c r="L440">
        <v>78</v>
      </c>
      <c r="M440" t="s">
        <v>974</v>
      </c>
      <c r="N440" t="s">
        <v>104</v>
      </c>
      <c r="O440" t="s">
        <v>32</v>
      </c>
      <c r="P440" t="s">
        <v>975</v>
      </c>
      <c r="Q440">
        <v>1</v>
      </c>
      <c r="T440" s="14">
        <v>44732</v>
      </c>
      <c r="U440">
        <v>25</v>
      </c>
      <c r="V440" t="s">
        <v>73</v>
      </c>
      <c r="W440">
        <v>1</v>
      </c>
      <c r="X440" t="s">
        <v>46</v>
      </c>
    </row>
    <row r="441" spans="1:24" x14ac:dyDescent="0.35">
      <c r="A441" t="s">
        <v>976</v>
      </c>
      <c r="B441" t="s">
        <v>48</v>
      </c>
      <c r="C441" t="s">
        <v>315</v>
      </c>
      <c r="D441">
        <v>40</v>
      </c>
      <c r="E441">
        <v>1984</v>
      </c>
      <c r="F441">
        <v>70000</v>
      </c>
      <c r="G441" t="s">
        <v>38</v>
      </c>
      <c r="H441" t="s">
        <v>145</v>
      </c>
      <c r="I441" t="s">
        <v>29</v>
      </c>
      <c r="J441" s="14">
        <v>43881</v>
      </c>
      <c r="K441" t="s">
        <v>41</v>
      </c>
      <c r="L441">
        <v>46</v>
      </c>
      <c r="M441" t="s">
        <v>977</v>
      </c>
      <c r="N441" t="s">
        <v>104</v>
      </c>
      <c r="O441" t="s">
        <v>32</v>
      </c>
      <c r="P441" t="s">
        <v>978</v>
      </c>
      <c r="Q441">
        <v>6</v>
      </c>
      <c r="V441" t="s">
        <v>73</v>
      </c>
      <c r="W441">
        <v>3</v>
      </c>
      <c r="X441" t="s">
        <v>34</v>
      </c>
    </row>
    <row r="442" spans="1:24" x14ac:dyDescent="0.35">
      <c r="A442" t="s">
        <v>979</v>
      </c>
      <c r="B442" t="s">
        <v>25</v>
      </c>
      <c r="C442" t="s">
        <v>359</v>
      </c>
      <c r="D442" t="s">
        <v>88</v>
      </c>
      <c r="E442">
        <v>1994</v>
      </c>
      <c r="F442" t="s">
        <v>50</v>
      </c>
      <c r="G442" t="s">
        <v>27</v>
      </c>
      <c r="H442" t="s">
        <v>28</v>
      </c>
      <c r="I442" t="s">
        <v>94</v>
      </c>
      <c r="J442" s="14">
        <v>43881</v>
      </c>
      <c r="K442" t="s">
        <v>30</v>
      </c>
      <c r="L442">
        <v>60</v>
      </c>
      <c r="M442" t="s">
        <v>980</v>
      </c>
      <c r="N442" t="s">
        <v>43</v>
      </c>
      <c r="O442" t="s">
        <v>66</v>
      </c>
      <c r="P442" t="s">
        <v>221</v>
      </c>
      <c r="Q442">
        <v>8</v>
      </c>
      <c r="S442">
        <v>13</v>
      </c>
      <c r="T442" s="14">
        <v>44732</v>
      </c>
      <c r="V442" t="s">
        <v>73</v>
      </c>
      <c r="W442">
        <v>5</v>
      </c>
      <c r="X442" t="s">
        <v>34</v>
      </c>
    </row>
    <row r="443" spans="1:24" x14ac:dyDescent="0.35">
      <c r="A443" t="s">
        <v>981</v>
      </c>
      <c r="B443" t="s">
        <v>114</v>
      </c>
      <c r="C443" t="s">
        <v>295</v>
      </c>
      <c r="D443">
        <v>25</v>
      </c>
      <c r="E443">
        <v>1999</v>
      </c>
      <c r="F443" t="s">
        <v>50</v>
      </c>
      <c r="G443" t="s">
        <v>27</v>
      </c>
      <c r="H443" t="s">
        <v>145</v>
      </c>
      <c r="I443" t="s">
        <v>94</v>
      </c>
      <c r="J443" s="14">
        <v>43845</v>
      </c>
      <c r="K443" t="s">
        <v>78</v>
      </c>
      <c r="L443">
        <v>81</v>
      </c>
      <c r="M443" t="s">
        <v>982</v>
      </c>
      <c r="N443" t="s">
        <v>61</v>
      </c>
      <c r="O443" t="s">
        <v>112</v>
      </c>
      <c r="Q443">
        <v>8</v>
      </c>
      <c r="R443">
        <v>11</v>
      </c>
      <c r="V443" t="s">
        <v>46</v>
      </c>
      <c r="W443">
        <v>4</v>
      </c>
      <c r="X443" t="s">
        <v>34</v>
      </c>
    </row>
    <row r="444" spans="1:24" x14ac:dyDescent="0.35">
      <c r="A444" t="s">
        <v>983</v>
      </c>
      <c r="B444" t="s">
        <v>131</v>
      </c>
      <c r="C444" t="s">
        <v>984</v>
      </c>
      <c r="E444">
        <v>1996</v>
      </c>
      <c r="F444">
        <v>65000</v>
      </c>
      <c r="G444" t="s">
        <v>38</v>
      </c>
      <c r="H444" t="s">
        <v>70</v>
      </c>
      <c r="I444" t="s">
        <v>77</v>
      </c>
      <c r="J444" s="14">
        <v>43195</v>
      </c>
      <c r="K444" t="s">
        <v>41</v>
      </c>
      <c r="L444">
        <v>39</v>
      </c>
      <c r="M444" t="s">
        <v>985</v>
      </c>
      <c r="O444" t="s">
        <v>66</v>
      </c>
      <c r="Q444">
        <v>1</v>
      </c>
      <c r="R444">
        <v>3</v>
      </c>
      <c r="S444">
        <v>2</v>
      </c>
      <c r="T444" s="14">
        <v>44941</v>
      </c>
      <c r="V444" t="s">
        <v>34</v>
      </c>
      <c r="W444">
        <v>5</v>
      </c>
      <c r="X444" t="s">
        <v>34</v>
      </c>
    </row>
    <row r="445" spans="1:24" x14ac:dyDescent="0.35">
      <c r="A445" t="s">
        <v>986</v>
      </c>
      <c r="B445" t="s">
        <v>36</v>
      </c>
      <c r="C445" t="s">
        <v>176</v>
      </c>
      <c r="E445">
        <v>1989</v>
      </c>
      <c r="F445">
        <v>58800</v>
      </c>
      <c r="G445" t="s">
        <v>27</v>
      </c>
      <c r="H445" t="s">
        <v>28</v>
      </c>
      <c r="I445" t="s">
        <v>77</v>
      </c>
      <c r="J445" s="14">
        <v>43845</v>
      </c>
      <c r="K445" t="s">
        <v>78</v>
      </c>
      <c r="L445">
        <v>80</v>
      </c>
      <c r="M445" t="s">
        <v>987</v>
      </c>
      <c r="N445" t="s">
        <v>54</v>
      </c>
      <c r="O445" t="s">
        <v>174</v>
      </c>
      <c r="P445" t="s">
        <v>258</v>
      </c>
      <c r="Q445">
        <v>5</v>
      </c>
      <c r="R445" t="s">
        <v>79</v>
      </c>
      <c r="S445">
        <v>2</v>
      </c>
      <c r="V445" t="s">
        <v>46</v>
      </c>
      <c r="W445">
        <v>5</v>
      </c>
      <c r="X445" t="s">
        <v>34</v>
      </c>
    </row>
    <row r="446" spans="1:24" x14ac:dyDescent="0.35">
      <c r="A446" t="s">
        <v>988</v>
      </c>
      <c r="B446" t="s">
        <v>48</v>
      </c>
      <c r="C446" t="s">
        <v>534</v>
      </c>
      <c r="D446">
        <v>35</v>
      </c>
      <c r="E446">
        <v>1989</v>
      </c>
      <c r="F446">
        <v>59000</v>
      </c>
      <c r="G446" t="s">
        <v>38</v>
      </c>
      <c r="H446" t="s">
        <v>28</v>
      </c>
      <c r="I446" t="s">
        <v>29</v>
      </c>
      <c r="J446" s="14">
        <v>43195</v>
      </c>
      <c r="K446" t="s">
        <v>52</v>
      </c>
      <c r="L446">
        <v>77</v>
      </c>
      <c r="M446" t="s">
        <v>535</v>
      </c>
      <c r="N446" t="s">
        <v>43</v>
      </c>
      <c r="O446" t="s">
        <v>44</v>
      </c>
      <c r="Q446">
        <v>4</v>
      </c>
      <c r="R446" t="s">
        <v>79</v>
      </c>
      <c r="S446">
        <v>15</v>
      </c>
      <c r="T446" s="14">
        <v>44941</v>
      </c>
      <c r="V446" t="s">
        <v>33</v>
      </c>
      <c r="W446">
        <v>5</v>
      </c>
      <c r="X446" t="s">
        <v>46</v>
      </c>
    </row>
    <row r="447" spans="1:24" x14ac:dyDescent="0.35">
      <c r="A447" t="s">
        <v>989</v>
      </c>
      <c r="B447" t="s">
        <v>114</v>
      </c>
      <c r="C447" t="s">
        <v>591</v>
      </c>
      <c r="E447">
        <v>1998</v>
      </c>
      <c r="F447">
        <v>70000</v>
      </c>
      <c r="G447" t="s">
        <v>27</v>
      </c>
      <c r="H447" t="s">
        <v>145</v>
      </c>
      <c r="I447" t="s">
        <v>77</v>
      </c>
      <c r="J447" s="14">
        <v>43881</v>
      </c>
      <c r="K447" t="s">
        <v>59</v>
      </c>
      <c r="L447">
        <v>100</v>
      </c>
      <c r="M447" t="s">
        <v>592</v>
      </c>
      <c r="N447" t="s">
        <v>104</v>
      </c>
      <c r="O447" t="s">
        <v>44</v>
      </c>
      <c r="Q447">
        <v>6</v>
      </c>
      <c r="R447" t="s">
        <v>79</v>
      </c>
      <c r="S447">
        <v>8</v>
      </c>
      <c r="U447">
        <v>72</v>
      </c>
      <c r="V447" t="s">
        <v>46</v>
      </c>
      <c r="W447">
        <v>1</v>
      </c>
      <c r="X447" t="s">
        <v>34</v>
      </c>
    </row>
    <row r="448" spans="1:24" x14ac:dyDescent="0.35">
      <c r="A448" t="s">
        <v>990</v>
      </c>
      <c r="B448" t="s">
        <v>75</v>
      </c>
      <c r="C448" t="s">
        <v>259</v>
      </c>
      <c r="D448">
        <v>40</v>
      </c>
      <c r="E448">
        <v>1984</v>
      </c>
      <c r="F448">
        <v>70000</v>
      </c>
      <c r="G448" t="s">
        <v>27</v>
      </c>
      <c r="H448" t="s">
        <v>64</v>
      </c>
      <c r="I448" t="s">
        <v>94</v>
      </c>
      <c r="J448" s="14">
        <v>43549</v>
      </c>
      <c r="K448" t="s">
        <v>41</v>
      </c>
      <c r="L448">
        <v>30</v>
      </c>
      <c r="M448" t="s">
        <v>991</v>
      </c>
      <c r="N448" t="s">
        <v>61</v>
      </c>
      <c r="O448" t="s">
        <v>112</v>
      </c>
      <c r="Q448">
        <v>2</v>
      </c>
      <c r="R448">
        <v>13</v>
      </c>
      <c r="S448">
        <v>0</v>
      </c>
      <c r="V448" t="s">
        <v>34</v>
      </c>
      <c r="W448">
        <v>1</v>
      </c>
      <c r="X448" t="s">
        <v>46</v>
      </c>
    </row>
    <row r="449" spans="1:24" x14ac:dyDescent="0.35">
      <c r="A449" t="s">
        <v>992</v>
      </c>
      <c r="B449" t="s">
        <v>131</v>
      </c>
      <c r="C449" t="s">
        <v>99</v>
      </c>
      <c r="D449">
        <v>50</v>
      </c>
      <c r="E449">
        <v>1974</v>
      </c>
      <c r="F449">
        <v>58600</v>
      </c>
      <c r="G449" t="s">
        <v>38</v>
      </c>
      <c r="H449" t="s">
        <v>122</v>
      </c>
      <c r="I449" t="s">
        <v>77</v>
      </c>
      <c r="J449" s="14">
        <v>43800</v>
      </c>
      <c r="K449" t="s">
        <v>41</v>
      </c>
      <c r="L449">
        <v>9</v>
      </c>
      <c r="M449" t="s">
        <v>993</v>
      </c>
      <c r="N449" t="s">
        <v>61</v>
      </c>
      <c r="O449" t="s">
        <v>100</v>
      </c>
      <c r="Q449">
        <v>2</v>
      </c>
      <c r="R449" t="s">
        <v>79</v>
      </c>
      <c r="S449">
        <v>15</v>
      </c>
      <c r="V449" t="s">
        <v>34</v>
      </c>
      <c r="W449">
        <v>4</v>
      </c>
      <c r="X449" t="s">
        <v>34</v>
      </c>
    </row>
    <row r="450" spans="1:24" x14ac:dyDescent="0.35">
      <c r="A450" t="s">
        <v>994</v>
      </c>
      <c r="B450" t="s">
        <v>131</v>
      </c>
      <c r="C450" t="s">
        <v>692</v>
      </c>
      <c r="D450">
        <v>40</v>
      </c>
      <c r="E450">
        <v>1984</v>
      </c>
      <c r="F450">
        <v>70000</v>
      </c>
      <c r="G450" t="s">
        <v>27</v>
      </c>
      <c r="H450" t="s">
        <v>64</v>
      </c>
      <c r="I450" t="s">
        <v>40</v>
      </c>
      <c r="J450" s="14">
        <v>43800</v>
      </c>
      <c r="K450" t="s">
        <v>78</v>
      </c>
      <c r="L450">
        <v>85</v>
      </c>
      <c r="M450" t="s">
        <v>693</v>
      </c>
      <c r="N450" t="s">
        <v>43</v>
      </c>
      <c r="O450" t="s">
        <v>100</v>
      </c>
      <c r="Q450">
        <v>3</v>
      </c>
      <c r="R450">
        <v>1</v>
      </c>
      <c r="V450" t="s">
        <v>33</v>
      </c>
      <c r="W450">
        <v>2</v>
      </c>
      <c r="X450" t="s">
        <v>46</v>
      </c>
    </row>
    <row r="451" spans="1:24" x14ac:dyDescent="0.35">
      <c r="A451" t="s">
        <v>995</v>
      </c>
      <c r="B451" t="s">
        <v>75</v>
      </c>
      <c r="C451" t="s">
        <v>189</v>
      </c>
      <c r="D451">
        <v>35</v>
      </c>
      <c r="E451">
        <v>1989</v>
      </c>
      <c r="F451">
        <v>63000</v>
      </c>
      <c r="G451" t="s">
        <v>38</v>
      </c>
      <c r="H451" t="s">
        <v>145</v>
      </c>
      <c r="I451" t="s">
        <v>77</v>
      </c>
      <c r="J451" s="14">
        <v>43881</v>
      </c>
      <c r="K451" t="s">
        <v>52</v>
      </c>
      <c r="L451">
        <v>78</v>
      </c>
      <c r="M451" t="s">
        <v>996</v>
      </c>
      <c r="O451" t="s">
        <v>44</v>
      </c>
      <c r="Q451">
        <v>1</v>
      </c>
      <c r="T451" s="14">
        <v>44990</v>
      </c>
      <c r="W451">
        <v>5</v>
      </c>
      <c r="X451" t="s">
        <v>34</v>
      </c>
    </row>
    <row r="452" spans="1:24" x14ac:dyDescent="0.35">
      <c r="A452" t="s">
        <v>997</v>
      </c>
      <c r="B452" t="s">
        <v>56</v>
      </c>
      <c r="C452" t="s">
        <v>57</v>
      </c>
      <c r="D452">
        <v>40</v>
      </c>
      <c r="E452">
        <v>1984</v>
      </c>
      <c r="F452">
        <v>55000</v>
      </c>
      <c r="G452" t="s">
        <v>38</v>
      </c>
      <c r="H452" t="s">
        <v>122</v>
      </c>
      <c r="I452" t="s">
        <v>94</v>
      </c>
      <c r="J452" s="14">
        <v>43845</v>
      </c>
      <c r="K452" t="s">
        <v>30</v>
      </c>
      <c r="L452">
        <v>64</v>
      </c>
      <c r="M452" t="s">
        <v>60</v>
      </c>
      <c r="N452" t="s">
        <v>104</v>
      </c>
      <c r="O452" t="s">
        <v>44</v>
      </c>
      <c r="Q452">
        <v>2</v>
      </c>
      <c r="T452" s="14">
        <v>44470</v>
      </c>
      <c r="V452" t="s">
        <v>73</v>
      </c>
      <c r="W452">
        <v>3</v>
      </c>
      <c r="X452" t="s">
        <v>46</v>
      </c>
    </row>
    <row r="453" spans="1:24" x14ac:dyDescent="0.35">
      <c r="A453" t="s">
        <v>998</v>
      </c>
      <c r="B453" t="s">
        <v>75</v>
      </c>
      <c r="C453" t="s">
        <v>819</v>
      </c>
      <c r="D453">
        <v>50</v>
      </c>
      <c r="E453">
        <v>1974</v>
      </c>
      <c r="F453">
        <v>59500</v>
      </c>
      <c r="G453" t="s">
        <v>38</v>
      </c>
      <c r="H453" t="s">
        <v>64</v>
      </c>
      <c r="I453" t="s">
        <v>29</v>
      </c>
      <c r="J453" s="14">
        <v>43549</v>
      </c>
      <c r="K453" t="s">
        <v>52</v>
      </c>
      <c r="L453">
        <v>71</v>
      </c>
      <c r="M453" t="s">
        <v>820</v>
      </c>
      <c r="N453" t="s">
        <v>43</v>
      </c>
      <c r="O453" t="s">
        <v>100</v>
      </c>
      <c r="Q453">
        <v>4</v>
      </c>
      <c r="R453">
        <v>8</v>
      </c>
      <c r="T453" s="14">
        <v>44470</v>
      </c>
      <c r="V453" t="s">
        <v>34</v>
      </c>
      <c r="W453">
        <v>3</v>
      </c>
      <c r="X453" t="s">
        <v>34</v>
      </c>
    </row>
    <row r="454" spans="1:24" x14ac:dyDescent="0.35">
      <c r="A454" t="s">
        <v>999</v>
      </c>
      <c r="B454" t="s">
        <v>131</v>
      </c>
      <c r="C454" t="s">
        <v>635</v>
      </c>
      <c r="D454" t="s">
        <v>88</v>
      </c>
      <c r="E454">
        <v>1994</v>
      </c>
      <c r="F454" t="s">
        <v>50</v>
      </c>
      <c r="G454" t="s">
        <v>38</v>
      </c>
      <c r="H454" t="s">
        <v>122</v>
      </c>
      <c r="I454" t="s">
        <v>89</v>
      </c>
      <c r="J454" s="14">
        <v>43195</v>
      </c>
      <c r="K454" t="s">
        <v>41</v>
      </c>
      <c r="L454">
        <v>55</v>
      </c>
      <c r="M454" t="s">
        <v>636</v>
      </c>
      <c r="O454" t="s">
        <v>72</v>
      </c>
      <c r="Q454">
        <v>4</v>
      </c>
      <c r="R454" t="s">
        <v>79</v>
      </c>
      <c r="V454" t="s">
        <v>46</v>
      </c>
      <c r="W454">
        <v>4</v>
      </c>
      <c r="X454" t="s">
        <v>34</v>
      </c>
    </row>
    <row r="455" spans="1:24" x14ac:dyDescent="0.35">
      <c r="A455" t="s">
        <v>1000</v>
      </c>
      <c r="B455" t="s">
        <v>131</v>
      </c>
      <c r="C455" t="s">
        <v>1001</v>
      </c>
      <c r="D455">
        <v>35</v>
      </c>
      <c r="E455">
        <v>1989</v>
      </c>
      <c r="F455">
        <v>70000</v>
      </c>
      <c r="G455" t="s">
        <v>38</v>
      </c>
      <c r="H455" t="s">
        <v>82</v>
      </c>
      <c r="I455" t="s">
        <v>77</v>
      </c>
      <c r="J455" s="14">
        <v>43881</v>
      </c>
      <c r="K455" t="s">
        <v>30</v>
      </c>
      <c r="L455">
        <v>65</v>
      </c>
      <c r="M455" t="s">
        <v>1002</v>
      </c>
      <c r="N455" t="s">
        <v>61</v>
      </c>
      <c r="O455" t="s">
        <v>100</v>
      </c>
      <c r="P455" t="s">
        <v>198</v>
      </c>
      <c r="Q455">
        <v>7</v>
      </c>
      <c r="S455">
        <v>12</v>
      </c>
      <c r="T455" s="14">
        <v>44990</v>
      </c>
      <c r="V455" t="s">
        <v>73</v>
      </c>
      <c r="W455">
        <v>3</v>
      </c>
      <c r="X455" t="s">
        <v>46</v>
      </c>
    </row>
    <row r="456" spans="1:24" x14ac:dyDescent="0.35">
      <c r="A456" t="s">
        <v>1003</v>
      </c>
      <c r="B456" t="s">
        <v>48</v>
      </c>
      <c r="C456" t="s">
        <v>96</v>
      </c>
      <c r="D456" t="s">
        <v>88</v>
      </c>
      <c r="E456">
        <v>1994</v>
      </c>
      <c r="F456">
        <v>60800</v>
      </c>
      <c r="G456" t="s">
        <v>38</v>
      </c>
      <c r="H456" t="s">
        <v>39</v>
      </c>
      <c r="I456" t="s">
        <v>94</v>
      </c>
      <c r="J456" s="14">
        <v>43549</v>
      </c>
      <c r="K456" t="s">
        <v>52</v>
      </c>
      <c r="L456">
        <v>78</v>
      </c>
      <c r="M456" t="s">
        <v>97</v>
      </c>
      <c r="N456" t="s">
        <v>54</v>
      </c>
      <c r="O456" t="s">
        <v>66</v>
      </c>
      <c r="P456" t="s">
        <v>312</v>
      </c>
      <c r="Q456">
        <v>2</v>
      </c>
      <c r="V456" t="s">
        <v>34</v>
      </c>
      <c r="W456">
        <v>4</v>
      </c>
      <c r="X456" t="s">
        <v>34</v>
      </c>
    </row>
    <row r="457" spans="1:24" x14ac:dyDescent="0.35">
      <c r="A457" t="s">
        <v>1004</v>
      </c>
      <c r="B457" t="s">
        <v>68</v>
      </c>
      <c r="C457" t="s">
        <v>324</v>
      </c>
      <c r="D457">
        <v>25</v>
      </c>
      <c r="E457">
        <v>1999</v>
      </c>
      <c r="F457">
        <v>59800</v>
      </c>
      <c r="G457" t="s">
        <v>38</v>
      </c>
      <c r="H457" t="s">
        <v>122</v>
      </c>
      <c r="I457" t="s">
        <v>89</v>
      </c>
      <c r="J457" s="14">
        <v>43549</v>
      </c>
      <c r="K457" t="s">
        <v>59</v>
      </c>
      <c r="L457">
        <v>94</v>
      </c>
      <c r="M457" t="s">
        <v>325</v>
      </c>
      <c r="N457" t="s">
        <v>104</v>
      </c>
      <c r="O457" t="s">
        <v>72</v>
      </c>
      <c r="Q457">
        <v>4</v>
      </c>
      <c r="T457" s="14">
        <v>44990</v>
      </c>
      <c r="V457" t="s">
        <v>34</v>
      </c>
      <c r="W457">
        <v>3</v>
      </c>
      <c r="X457" t="s">
        <v>34</v>
      </c>
    </row>
    <row r="458" spans="1:24" x14ac:dyDescent="0.35">
      <c r="A458" t="s">
        <v>1005</v>
      </c>
      <c r="B458" t="s">
        <v>114</v>
      </c>
      <c r="C458" t="s">
        <v>662</v>
      </c>
      <c r="D458" t="s">
        <v>88</v>
      </c>
      <c r="E458">
        <v>1994</v>
      </c>
      <c r="F458">
        <v>70000</v>
      </c>
      <c r="G458" t="s">
        <v>27</v>
      </c>
      <c r="H458" t="s">
        <v>122</v>
      </c>
      <c r="I458" t="s">
        <v>89</v>
      </c>
      <c r="J458" s="14">
        <v>43195</v>
      </c>
      <c r="K458" t="s">
        <v>78</v>
      </c>
      <c r="L458">
        <v>87</v>
      </c>
      <c r="M458" t="s">
        <v>663</v>
      </c>
      <c r="N458" t="s">
        <v>104</v>
      </c>
      <c r="O458" t="s">
        <v>66</v>
      </c>
      <c r="Q458">
        <v>7</v>
      </c>
      <c r="T458" s="14">
        <v>44732</v>
      </c>
      <c r="U458">
        <v>20</v>
      </c>
      <c r="V458" t="s">
        <v>33</v>
      </c>
      <c r="W458">
        <v>1</v>
      </c>
      <c r="X458" t="s">
        <v>46</v>
      </c>
    </row>
    <row r="459" spans="1:24" x14ac:dyDescent="0.35">
      <c r="A459" t="s">
        <v>1006</v>
      </c>
      <c r="B459" t="s">
        <v>75</v>
      </c>
      <c r="C459" t="s">
        <v>359</v>
      </c>
      <c r="D459">
        <v>25</v>
      </c>
      <c r="E459">
        <v>1999</v>
      </c>
      <c r="F459">
        <v>55000</v>
      </c>
      <c r="G459" t="s">
        <v>38</v>
      </c>
      <c r="H459" t="s">
        <v>122</v>
      </c>
      <c r="I459" t="s">
        <v>40</v>
      </c>
      <c r="J459" s="14">
        <v>43549</v>
      </c>
      <c r="K459" t="s">
        <v>52</v>
      </c>
      <c r="L459">
        <v>70</v>
      </c>
      <c r="M459" t="s">
        <v>1007</v>
      </c>
      <c r="O459" t="s">
        <v>44</v>
      </c>
      <c r="Q459">
        <v>2</v>
      </c>
      <c r="S459">
        <v>12</v>
      </c>
      <c r="T459" s="22">
        <v>44990</v>
      </c>
      <c r="W459">
        <v>2</v>
      </c>
      <c r="X459" t="s">
        <v>34</v>
      </c>
    </row>
    <row r="460" spans="1:24" x14ac:dyDescent="0.35">
      <c r="A460" t="s">
        <v>1008</v>
      </c>
      <c r="B460" t="s">
        <v>114</v>
      </c>
      <c r="C460" t="s">
        <v>115</v>
      </c>
      <c r="D460">
        <v>25</v>
      </c>
      <c r="E460">
        <v>1999</v>
      </c>
      <c r="F460">
        <v>55000</v>
      </c>
      <c r="G460" t="s">
        <v>38</v>
      </c>
      <c r="H460" t="s">
        <v>64</v>
      </c>
      <c r="I460" t="s">
        <v>89</v>
      </c>
      <c r="J460" s="14">
        <v>43845</v>
      </c>
      <c r="K460" t="s">
        <v>52</v>
      </c>
      <c r="L460">
        <v>74</v>
      </c>
      <c r="M460" t="s">
        <v>182</v>
      </c>
      <c r="N460" t="s">
        <v>43</v>
      </c>
      <c r="O460" t="s">
        <v>72</v>
      </c>
      <c r="Q460">
        <v>3</v>
      </c>
      <c r="R460">
        <v>0</v>
      </c>
      <c r="V460" t="s">
        <v>73</v>
      </c>
      <c r="W460">
        <v>4</v>
      </c>
      <c r="X460" t="s">
        <v>34</v>
      </c>
    </row>
    <row r="461" spans="1:24" x14ac:dyDescent="0.35">
      <c r="A461" t="s">
        <v>1009</v>
      </c>
      <c r="B461" t="s">
        <v>75</v>
      </c>
      <c r="C461" t="s">
        <v>277</v>
      </c>
      <c r="D461" t="s">
        <v>88</v>
      </c>
      <c r="E461">
        <v>1994</v>
      </c>
      <c r="F461">
        <v>70000</v>
      </c>
      <c r="G461" t="s">
        <v>27</v>
      </c>
      <c r="H461" t="s">
        <v>93</v>
      </c>
      <c r="I461" t="s">
        <v>94</v>
      </c>
      <c r="J461" s="14">
        <v>43845</v>
      </c>
      <c r="K461" t="s">
        <v>59</v>
      </c>
      <c r="L461">
        <v>91</v>
      </c>
      <c r="M461" t="s">
        <v>1010</v>
      </c>
      <c r="N461" t="s">
        <v>61</v>
      </c>
      <c r="O461" t="s">
        <v>66</v>
      </c>
      <c r="Q461">
        <v>1</v>
      </c>
      <c r="R461">
        <v>3</v>
      </c>
      <c r="S461">
        <v>15</v>
      </c>
      <c r="T461" s="14">
        <v>45516</v>
      </c>
      <c r="V461" t="s">
        <v>46</v>
      </c>
      <c r="W461">
        <v>1</v>
      </c>
      <c r="X461" t="s">
        <v>46</v>
      </c>
    </row>
    <row r="462" spans="1:24" x14ac:dyDescent="0.35">
      <c r="A462" t="s">
        <v>1011</v>
      </c>
      <c r="B462" t="s">
        <v>25</v>
      </c>
      <c r="C462" t="s">
        <v>63</v>
      </c>
      <c r="D462">
        <v>35</v>
      </c>
      <c r="E462">
        <v>1989</v>
      </c>
      <c r="F462">
        <v>50000</v>
      </c>
      <c r="G462" t="s">
        <v>27</v>
      </c>
      <c r="H462" t="s">
        <v>39</v>
      </c>
      <c r="I462" t="s">
        <v>94</v>
      </c>
      <c r="J462" s="14">
        <v>43845</v>
      </c>
      <c r="K462" t="s">
        <v>41</v>
      </c>
      <c r="L462">
        <v>25</v>
      </c>
      <c r="M462" t="s">
        <v>65</v>
      </c>
      <c r="O462" t="s">
        <v>66</v>
      </c>
      <c r="P462" t="s">
        <v>763</v>
      </c>
      <c r="Q462">
        <v>8</v>
      </c>
      <c r="W462">
        <v>5</v>
      </c>
      <c r="X462" t="s">
        <v>34</v>
      </c>
    </row>
    <row r="463" spans="1:24" x14ac:dyDescent="0.35">
      <c r="A463" t="s">
        <v>1012</v>
      </c>
      <c r="B463" t="s">
        <v>131</v>
      </c>
      <c r="C463" t="s">
        <v>84</v>
      </c>
      <c r="D463">
        <v>50</v>
      </c>
      <c r="E463">
        <v>1974</v>
      </c>
      <c r="F463">
        <v>70000</v>
      </c>
      <c r="G463" t="s">
        <v>38</v>
      </c>
      <c r="H463" t="s">
        <v>51</v>
      </c>
      <c r="I463" t="s">
        <v>77</v>
      </c>
      <c r="J463" s="14">
        <v>43549</v>
      </c>
      <c r="K463" t="s">
        <v>78</v>
      </c>
      <c r="L463">
        <v>89</v>
      </c>
      <c r="M463" t="s">
        <v>1013</v>
      </c>
      <c r="N463" t="s">
        <v>54</v>
      </c>
      <c r="O463" t="s">
        <v>72</v>
      </c>
      <c r="P463" t="s">
        <v>1014</v>
      </c>
      <c r="Q463">
        <v>6</v>
      </c>
      <c r="V463" t="s">
        <v>33</v>
      </c>
      <c r="W463">
        <v>5</v>
      </c>
      <c r="X463" t="s">
        <v>46</v>
      </c>
    </row>
    <row r="464" spans="1:24" x14ac:dyDescent="0.35">
      <c r="A464" t="s">
        <v>1015</v>
      </c>
      <c r="B464" t="s">
        <v>68</v>
      </c>
      <c r="C464" t="s">
        <v>209</v>
      </c>
      <c r="D464">
        <v>40</v>
      </c>
      <c r="E464">
        <v>1984</v>
      </c>
      <c r="F464">
        <v>70000</v>
      </c>
      <c r="G464" t="s">
        <v>27</v>
      </c>
      <c r="H464" t="s">
        <v>39</v>
      </c>
      <c r="I464" t="s">
        <v>77</v>
      </c>
      <c r="J464" s="14">
        <v>43845</v>
      </c>
      <c r="K464" t="s">
        <v>52</v>
      </c>
      <c r="L464">
        <v>71</v>
      </c>
      <c r="M464" t="s">
        <v>1016</v>
      </c>
      <c r="N464" t="s">
        <v>54</v>
      </c>
      <c r="O464" t="s">
        <v>112</v>
      </c>
      <c r="Q464">
        <v>1</v>
      </c>
      <c r="R464">
        <v>1</v>
      </c>
      <c r="S464">
        <v>19</v>
      </c>
      <c r="U464">
        <v>61</v>
      </c>
      <c r="W464">
        <v>5</v>
      </c>
      <c r="X464" t="s">
        <v>34</v>
      </c>
    </row>
    <row r="465" spans="1:24" x14ac:dyDescent="0.35">
      <c r="A465" t="s">
        <v>1017</v>
      </c>
      <c r="B465" t="s">
        <v>48</v>
      </c>
      <c r="C465" t="s">
        <v>334</v>
      </c>
      <c r="D465">
        <v>40</v>
      </c>
      <c r="E465">
        <v>1984</v>
      </c>
      <c r="F465">
        <v>55000</v>
      </c>
      <c r="G465" t="s">
        <v>38</v>
      </c>
      <c r="H465" t="s">
        <v>122</v>
      </c>
      <c r="I465" t="s">
        <v>77</v>
      </c>
      <c r="J465" s="14">
        <v>43195</v>
      </c>
      <c r="K465" t="s">
        <v>30</v>
      </c>
      <c r="L465">
        <v>69</v>
      </c>
      <c r="M465" t="s">
        <v>335</v>
      </c>
      <c r="N465" t="s">
        <v>54</v>
      </c>
      <c r="O465" t="s">
        <v>174</v>
      </c>
      <c r="Q465">
        <v>2</v>
      </c>
      <c r="T465" s="14">
        <v>44470</v>
      </c>
      <c r="U465">
        <v>65</v>
      </c>
      <c r="V465" t="s">
        <v>169</v>
      </c>
      <c r="W465">
        <v>4</v>
      </c>
      <c r="X465" t="s">
        <v>46</v>
      </c>
    </row>
    <row r="466" spans="1:24" x14ac:dyDescent="0.35">
      <c r="A466" t="s">
        <v>1018</v>
      </c>
      <c r="B466" t="s">
        <v>68</v>
      </c>
      <c r="C466" t="s">
        <v>479</v>
      </c>
      <c r="D466">
        <v>50</v>
      </c>
      <c r="E466">
        <v>1974</v>
      </c>
      <c r="F466">
        <v>55000</v>
      </c>
      <c r="G466" t="s">
        <v>38</v>
      </c>
      <c r="H466" t="s">
        <v>28</v>
      </c>
      <c r="I466" t="s">
        <v>89</v>
      </c>
      <c r="J466" s="14">
        <v>43549</v>
      </c>
      <c r="K466" t="s">
        <v>52</v>
      </c>
      <c r="L466">
        <v>72</v>
      </c>
      <c r="M466" t="s">
        <v>768</v>
      </c>
      <c r="O466" t="s">
        <v>100</v>
      </c>
      <c r="Q466">
        <v>2</v>
      </c>
      <c r="R466">
        <v>8</v>
      </c>
      <c r="S466">
        <v>3</v>
      </c>
      <c r="V466" t="s">
        <v>46</v>
      </c>
      <c r="W466">
        <v>3</v>
      </c>
      <c r="X466" t="s">
        <v>46</v>
      </c>
    </row>
    <row r="467" spans="1:24" x14ac:dyDescent="0.35">
      <c r="A467" t="s">
        <v>1019</v>
      </c>
      <c r="B467" t="s">
        <v>68</v>
      </c>
      <c r="C467" t="s">
        <v>250</v>
      </c>
      <c r="D467">
        <v>25</v>
      </c>
      <c r="E467">
        <v>1999</v>
      </c>
      <c r="F467">
        <v>70000</v>
      </c>
      <c r="G467" t="s">
        <v>27</v>
      </c>
      <c r="H467" t="s">
        <v>39</v>
      </c>
      <c r="I467" t="s">
        <v>89</v>
      </c>
      <c r="J467" s="14">
        <v>43800</v>
      </c>
      <c r="K467" t="s">
        <v>78</v>
      </c>
      <c r="L467">
        <v>85</v>
      </c>
      <c r="M467" t="s">
        <v>251</v>
      </c>
      <c r="N467" t="s">
        <v>61</v>
      </c>
      <c r="O467" t="s">
        <v>32</v>
      </c>
      <c r="Q467">
        <v>1</v>
      </c>
      <c r="R467">
        <v>3</v>
      </c>
      <c r="S467">
        <v>6</v>
      </c>
      <c r="W467">
        <v>1</v>
      </c>
      <c r="X467" t="s">
        <v>46</v>
      </c>
    </row>
    <row r="468" spans="1:24" x14ac:dyDescent="0.35">
      <c r="A468" t="s">
        <v>1020</v>
      </c>
      <c r="B468" t="s">
        <v>68</v>
      </c>
      <c r="C468" t="s">
        <v>421</v>
      </c>
      <c r="D468">
        <v>25</v>
      </c>
      <c r="E468">
        <v>1999</v>
      </c>
      <c r="F468">
        <v>70000</v>
      </c>
      <c r="G468" t="s">
        <v>38</v>
      </c>
      <c r="H468" t="s">
        <v>39</v>
      </c>
      <c r="I468" t="s">
        <v>40</v>
      </c>
      <c r="J468" s="14">
        <v>43549</v>
      </c>
      <c r="K468" t="s">
        <v>52</v>
      </c>
      <c r="L468">
        <v>79</v>
      </c>
      <c r="M468" t="s">
        <v>422</v>
      </c>
      <c r="N468" t="s">
        <v>104</v>
      </c>
      <c r="O468" t="s">
        <v>66</v>
      </c>
      <c r="Q468">
        <v>3</v>
      </c>
      <c r="S468">
        <v>9</v>
      </c>
      <c r="U468">
        <v>28</v>
      </c>
      <c r="V468" t="s">
        <v>73</v>
      </c>
      <c r="W468">
        <v>3</v>
      </c>
      <c r="X468" t="s">
        <v>34</v>
      </c>
    </row>
    <row r="469" spans="1:24" x14ac:dyDescent="0.35">
      <c r="A469" t="s">
        <v>1021</v>
      </c>
      <c r="B469" t="s">
        <v>114</v>
      </c>
      <c r="C469" t="s">
        <v>110</v>
      </c>
      <c r="D469">
        <v>35</v>
      </c>
      <c r="E469">
        <v>1989</v>
      </c>
      <c r="F469">
        <v>70000</v>
      </c>
      <c r="G469" t="s">
        <v>27</v>
      </c>
      <c r="H469" t="s">
        <v>122</v>
      </c>
      <c r="I469" t="s">
        <v>77</v>
      </c>
      <c r="J469" s="14">
        <v>43195</v>
      </c>
      <c r="K469" t="s">
        <v>59</v>
      </c>
      <c r="L469">
        <v>98</v>
      </c>
      <c r="M469" t="s">
        <v>1022</v>
      </c>
      <c r="N469" t="s">
        <v>43</v>
      </c>
      <c r="O469" t="s">
        <v>100</v>
      </c>
      <c r="P469" t="s">
        <v>314</v>
      </c>
      <c r="Q469">
        <v>5</v>
      </c>
      <c r="R469">
        <v>5</v>
      </c>
      <c r="S469">
        <v>3</v>
      </c>
      <c r="V469" t="s">
        <v>34</v>
      </c>
      <c r="W469">
        <v>5</v>
      </c>
      <c r="X469" t="s">
        <v>46</v>
      </c>
    </row>
    <row r="470" spans="1:24" x14ac:dyDescent="0.35">
      <c r="A470" t="s">
        <v>1023</v>
      </c>
      <c r="B470" t="s">
        <v>75</v>
      </c>
      <c r="C470" t="s">
        <v>315</v>
      </c>
      <c r="E470">
        <v>1978</v>
      </c>
      <c r="F470">
        <v>55000</v>
      </c>
      <c r="G470" t="s">
        <v>27</v>
      </c>
      <c r="H470" t="s">
        <v>28</v>
      </c>
      <c r="I470" t="s">
        <v>29</v>
      </c>
      <c r="J470" s="14">
        <v>43800</v>
      </c>
      <c r="K470" t="s">
        <v>52</v>
      </c>
      <c r="L470">
        <v>78</v>
      </c>
      <c r="M470" t="s">
        <v>1024</v>
      </c>
      <c r="N470" t="s">
        <v>104</v>
      </c>
      <c r="O470" t="s">
        <v>174</v>
      </c>
      <c r="Q470">
        <v>2</v>
      </c>
      <c r="V470" t="s">
        <v>46</v>
      </c>
      <c r="W470">
        <v>2</v>
      </c>
      <c r="X470" t="s">
        <v>34</v>
      </c>
    </row>
    <row r="471" spans="1:24" x14ac:dyDescent="0.35">
      <c r="A471" t="s">
        <v>1025</v>
      </c>
      <c r="B471" t="s">
        <v>140</v>
      </c>
      <c r="C471" t="s">
        <v>395</v>
      </c>
      <c r="D471" t="s">
        <v>88</v>
      </c>
      <c r="E471">
        <v>1994</v>
      </c>
      <c r="F471">
        <v>70000</v>
      </c>
      <c r="G471" t="s">
        <v>38</v>
      </c>
      <c r="H471" t="s">
        <v>82</v>
      </c>
      <c r="I471" t="s">
        <v>40</v>
      </c>
      <c r="J471" s="14">
        <v>43549</v>
      </c>
      <c r="K471" t="s">
        <v>52</v>
      </c>
      <c r="L471">
        <v>72</v>
      </c>
      <c r="M471" t="s">
        <v>1026</v>
      </c>
      <c r="N471" t="s">
        <v>61</v>
      </c>
      <c r="O471" t="s">
        <v>32</v>
      </c>
      <c r="Q471">
        <v>4</v>
      </c>
      <c r="R471" t="s">
        <v>79</v>
      </c>
      <c r="S471">
        <v>3</v>
      </c>
      <c r="T471" t="s">
        <v>79</v>
      </c>
      <c r="V471" t="s">
        <v>34</v>
      </c>
      <c r="W471">
        <v>1</v>
      </c>
      <c r="X471" t="s">
        <v>46</v>
      </c>
    </row>
    <row r="472" spans="1:24" x14ac:dyDescent="0.35">
      <c r="A472" t="s">
        <v>1027</v>
      </c>
      <c r="B472" t="s">
        <v>25</v>
      </c>
      <c r="C472" t="s">
        <v>189</v>
      </c>
      <c r="D472">
        <v>25</v>
      </c>
      <c r="E472">
        <v>1999</v>
      </c>
      <c r="F472">
        <v>70000</v>
      </c>
      <c r="G472" t="s">
        <v>27</v>
      </c>
      <c r="H472" t="s">
        <v>145</v>
      </c>
      <c r="I472" t="s">
        <v>29</v>
      </c>
      <c r="J472" s="14">
        <v>43845</v>
      </c>
      <c r="K472" t="s">
        <v>30</v>
      </c>
      <c r="L472">
        <v>66</v>
      </c>
      <c r="M472" t="s">
        <v>1028</v>
      </c>
      <c r="N472" t="s">
        <v>104</v>
      </c>
      <c r="O472" t="s">
        <v>100</v>
      </c>
      <c r="Q472">
        <v>5</v>
      </c>
      <c r="T472" s="22">
        <v>44990</v>
      </c>
      <c r="U472">
        <v>43</v>
      </c>
      <c r="V472" t="s">
        <v>34</v>
      </c>
      <c r="W472">
        <v>2</v>
      </c>
      <c r="X472" t="s">
        <v>46</v>
      </c>
    </row>
    <row r="473" spans="1:24" x14ac:dyDescent="0.35">
      <c r="A473" t="s">
        <v>1029</v>
      </c>
      <c r="B473" t="s">
        <v>36</v>
      </c>
      <c r="C473" t="s">
        <v>37</v>
      </c>
      <c r="D473">
        <v>40</v>
      </c>
      <c r="E473">
        <v>1984</v>
      </c>
      <c r="F473">
        <v>65000</v>
      </c>
      <c r="G473" t="s">
        <v>27</v>
      </c>
      <c r="H473" t="s">
        <v>64</v>
      </c>
      <c r="I473" t="s">
        <v>89</v>
      </c>
      <c r="J473" s="14">
        <v>43881</v>
      </c>
      <c r="K473" t="s">
        <v>59</v>
      </c>
      <c r="L473">
        <v>94</v>
      </c>
      <c r="M473" t="s">
        <v>42</v>
      </c>
      <c r="O473" t="s">
        <v>44</v>
      </c>
      <c r="Q473">
        <v>7</v>
      </c>
      <c r="T473" s="14">
        <v>45516</v>
      </c>
      <c r="W473">
        <v>5</v>
      </c>
      <c r="X473" t="s">
        <v>34</v>
      </c>
    </row>
    <row r="474" spans="1:24" x14ac:dyDescent="0.35">
      <c r="A474" t="s">
        <v>1030</v>
      </c>
      <c r="B474" t="s">
        <v>68</v>
      </c>
      <c r="C474" t="s">
        <v>546</v>
      </c>
      <c r="D474">
        <v>35</v>
      </c>
      <c r="E474">
        <v>1989</v>
      </c>
      <c r="F474">
        <v>50000</v>
      </c>
      <c r="G474" t="s">
        <v>27</v>
      </c>
      <c r="H474" t="s">
        <v>28</v>
      </c>
      <c r="I474" t="s">
        <v>40</v>
      </c>
      <c r="J474" s="14">
        <v>43881</v>
      </c>
      <c r="K474" t="s">
        <v>59</v>
      </c>
      <c r="L474">
        <v>98</v>
      </c>
      <c r="M474" t="s">
        <v>1031</v>
      </c>
      <c r="N474" t="s">
        <v>54</v>
      </c>
      <c r="O474" t="s">
        <v>32</v>
      </c>
      <c r="P474" t="s">
        <v>1032</v>
      </c>
      <c r="Q474">
        <v>7</v>
      </c>
      <c r="S474">
        <v>8</v>
      </c>
      <c r="T474" t="s">
        <v>79</v>
      </c>
      <c r="V474" t="s">
        <v>73</v>
      </c>
      <c r="W474">
        <v>2</v>
      </c>
      <c r="X474" t="s">
        <v>34</v>
      </c>
    </row>
    <row r="475" spans="1:24" x14ac:dyDescent="0.35">
      <c r="A475" t="s">
        <v>1033</v>
      </c>
      <c r="B475" t="s">
        <v>56</v>
      </c>
      <c r="C475" t="s">
        <v>413</v>
      </c>
      <c r="D475" t="s">
        <v>88</v>
      </c>
      <c r="E475">
        <v>1994</v>
      </c>
      <c r="F475" t="s">
        <v>50</v>
      </c>
      <c r="G475" t="s">
        <v>38</v>
      </c>
      <c r="H475" t="s">
        <v>82</v>
      </c>
      <c r="I475" t="s">
        <v>40</v>
      </c>
      <c r="J475" s="14">
        <v>43845</v>
      </c>
      <c r="K475" t="s">
        <v>52</v>
      </c>
      <c r="L475">
        <v>75</v>
      </c>
      <c r="M475" t="s">
        <v>414</v>
      </c>
      <c r="N475" t="s">
        <v>61</v>
      </c>
      <c r="O475" t="s">
        <v>174</v>
      </c>
      <c r="Q475">
        <v>8</v>
      </c>
      <c r="S475">
        <v>20</v>
      </c>
      <c r="V475" t="s">
        <v>33</v>
      </c>
      <c r="W475">
        <v>2</v>
      </c>
      <c r="X475" t="s">
        <v>34</v>
      </c>
    </row>
    <row r="476" spans="1:24" x14ac:dyDescent="0.35">
      <c r="A476" t="s">
        <v>1034</v>
      </c>
      <c r="B476" t="s">
        <v>114</v>
      </c>
      <c r="C476" t="s">
        <v>499</v>
      </c>
      <c r="D476">
        <v>35</v>
      </c>
      <c r="E476">
        <v>1989</v>
      </c>
      <c r="F476">
        <v>50000</v>
      </c>
      <c r="G476" t="s">
        <v>38</v>
      </c>
      <c r="H476" t="s">
        <v>70</v>
      </c>
      <c r="I476" t="s">
        <v>94</v>
      </c>
      <c r="J476" s="14">
        <v>43881</v>
      </c>
      <c r="K476" t="s">
        <v>30</v>
      </c>
      <c r="L476">
        <v>64</v>
      </c>
      <c r="M476" t="s">
        <v>1035</v>
      </c>
      <c r="N476" t="s">
        <v>61</v>
      </c>
      <c r="O476" t="s">
        <v>100</v>
      </c>
      <c r="Q476">
        <v>7</v>
      </c>
      <c r="R476">
        <v>10</v>
      </c>
      <c r="S476">
        <v>10</v>
      </c>
      <c r="T476" t="s">
        <v>79</v>
      </c>
      <c r="V476" t="s">
        <v>46</v>
      </c>
      <c r="W476">
        <v>5</v>
      </c>
      <c r="X476" t="s">
        <v>34</v>
      </c>
    </row>
    <row r="477" spans="1:24" x14ac:dyDescent="0.35">
      <c r="A477" t="s">
        <v>1036</v>
      </c>
      <c r="B477" t="s">
        <v>48</v>
      </c>
      <c r="C477" t="s">
        <v>199</v>
      </c>
      <c r="D477" t="s">
        <v>88</v>
      </c>
      <c r="E477">
        <v>1994</v>
      </c>
      <c r="F477">
        <v>65000</v>
      </c>
      <c r="G477" t="s">
        <v>27</v>
      </c>
      <c r="H477" t="s">
        <v>70</v>
      </c>
      <c r="I477" t="s">
        <v>89</v>
      </c>
      <c r="J477" s="14">
        <v>43881</v>
      </c>
      <c r="K477" t="s">
        <v>52</v>
      </c>
      <c r="L477">
        <v>79</v>
      </c>
      <c r="M477" t="s">
        <v>1037</v>
      </c>
      <c r="N477" t="s">
        <v>104</v>
      </c>
      <c r="O477" t="s">
        <v>66</v>
      </c>
      <c r="Q477">
        <v>7</v>
      </c>
      <c r="S477">
        <v>12</v>
      </c>
      <c r="U477">
        <v>7</v>
      </c>
      <c r="V477" t="s">
        <v>34</v>
      </c>
      <c r="W477">
        <v>2</v>
      </c>
      <c r="X477" t="s">
        <v>46</v>
      </c>
    </row>
    <row r="478" spans="1:24" x14ac:dyDescent="0.35">
      <c r="A478" t="s">
        <v>1038</v>
      </c>
      <c r="B478" t="s">
        <v>36</v>
      </c>
      <c r="C478" t="s">
        <v>154</v>
      </c>
      <c r="D478" t="s">
        <v>88</v>
      </c>
      <c r="E478">
        <v>1994</v>
      </c>
      <c r="F478" t="s">
        <v>50</v>
      </c>
      <c r="G478" t="s">
        <v>27</v>
      </c>
      <c r="H478" t="s">
        <v>28</v>
      </c>
      <c r="I478" t="s">
        <v>89</v>
      </c>
      <c r="J478" s="14">
        <v>43845</v>
      </c>
      <c r="K478" t="s">
        <v>52</v>
      </c>
      <c r="L478">
        <v>79</v>
      </c>
      <c r="M478" t="s">
        <v>1039</v>
      </c>
      <c r="O478" t="s">
        <v>32</v>
      </c>
      <c r="P478" t="s">
        <v>494</v>
      </c>
      <c r="Q478">
        <v>6</v>
      </c>
      <c r="V478" t="s">
        <v>46</v>
      </c>
      <c r="W478">
        <v>3</v>
      </c>
      <c r="X478" t="s">
        <v>34</v>
      </c>
    </row>
    <row r="479" spans="1:24" x14ac:dyDescent="0.35">
      <c r="A479" t="s">
        <v>1040</v>
      </c>
      <c r="B479" t="s">
        <v>140</v>
      </c>
      <c r="C479" t="s">
        <v>359</v>
      </c>
      <c r="D479">
        <v>50</v>
      </c>
      <c r="E479">
        <v>1974</v>
      </c>
      <c r="F479">
        <v>70000</v>
      </c>
      <c r="G479" t="s">
        <v>27</v>
      </c>
      <c r="H479" t="s">
        <v>145</v>
      </c>
      <c r="I479" t="s">
        <v>40</v>
      </c>
      <c r="J479" s="14">
        <v>43845</v>
      </c>
      <c r="K479" t="s">
        <v>78</v>
      </c>
      <c r="L479">
        <v>89</v>
      </c>
      <c r="M479" t="s">
        <v>1041</v>
      </c>
      <c r="N479" t="s">
        <v>104</v>
      </c>
      <c r="O479" t="s">
        <v>44</v>
      </c>
      <c r="Q479">
        <v>1</v>
      </c>
      <c r="R479" t="s">
        <v>79</v>
      </c>
      <c r="S479">
        <v>3</v>
      </c>
      <c r="V479" t="s">
        <v>46</v>
      </c>
      <c r="W479">
        <v>4</v>
      </c>
      <c r="X479" t="s">
        <v>34</v>
      </c>
    </row>
    <row r="480" spans="1:24" x14ac:dyDescent="0.35">
      <c r="A480" t="s">
        <v>1042</v>
      </c>
      <c r="B480" t="s">
        <v>56</v>
      </c>
      <c r="C480" t="s">
        <v>1043</v>
      </c>
      <c r="D480">
        <v>25</v>
      </c>
      <c r="E480">
        <v>1999</v>
      </c>
      <c r="F480">
        <v>65000</v>
      </c>
      <c r="G480" t="s">
        <v>27</v>
      </c>
      <c r="H480" t="s">
        <v>28</v>
      </c>
      <c r="I480" t="s">
        <v>89</v>
      </c>
      <c r="J480" s="14">
        <v>43549</v>
      </c>
      <c r="K480" t="s">
        <v>78</v>
      </c>
      <c r="L480">
        <v>89</v>
      </c>
      <c r="M480" t="s">
        <v>1044</v>
      </c>
      <c r="N480" t="s">
        <v>104</v>
      </c>
      <c r="O480" t="s">
        <v>72</v>
      </c>
      <c r="Q480">
        <v>7</v>
      </c>
      <c r="W480">
        <v>5</v>
      </c>
      <c r="X480" t="s">
        <v>34</v>
      </c>
    </row>
    <row r="481" spans="1:24" x14ac:dyDescent="0.35">
      <c r="A481" t="s">
        <v>1045</v>
      </c>
      <c r="B481" t="s">
        <v>140</v>
      </c>
      <c r="C481" t="s">
        <v>268</v>
      </c>
      <c r="D481">
        <v>35</v>
      </c>
      <c r="E481">
        <v>1989</v>
      </c>
      <c r="F481">
        <v>70000</v>
      </c>
      <c r="G481" t="s">
        <v>38</v>
      </c>
      <c r="H481" t="s">
        <v>122</v>
      </c>
      <c r="I481" t="s">
        <v>40</v>
      </c>
      <c r="J481" s="14">
        <v>43549</v>
      </c>
      <c r="K481" t="s">
        <v>30</v>
      </c>
      <c r="L481">
        <v>69</v>
      </c>
      <c r="M481" t="s">
        <v>269</v>
      </c>
      <c r="N481" t="s">
        <v>61</v>
      </c>
      <c r="O481" t="s">
        <v>66</v>
      </c>
      <c r="Q481">
        <v>2</v>
      </c>
      <c r="R481" t="s">
        <v>79</v>
      </c>
      <c r="W481">
        <v>4</v>
      </c>
      <c r="X481" t="s">
        <v>46</v>
      </c>
    </row>
    <row r="482" spans="1:24" x14ac:dyDescent="0.35">
      <c r="A482" t="s">
        <v>1046</v>
      </c>
      <c r="B482" t="s">
        <v>36</v>
      </c>
      <c r="C482" t="s">
        <v>219</v>
      </c>
      <c r="D482">
        <v>35</v>
      </c>
      <c r="E482">
        <v>1989</v>
      </c>
      <c r="F482">
        <v>55000</v>
      </c>
      <c r="G482" t="s">
        <v>27</v>
      </c>
      <c r="H482" t="s">
        <v>64</v>
      </c>
      <c r="I482" t="s">
        <v>94</v>
      </c>
      <c r="J482" s="14">
        <v>43845</v>
      </c>
      <c r="K482" t="s">
        <v>41</v>
      </c>
      <c r="L482">
        <v>20</v>
      </c>
      <c r="M482" t="s">
        <v>220</v>
      </c>
      <c r="N482" t="s">
        <v>104</v>
      </c>
      <c r="O482" t="s">
        <v>44</v>
      </c>
      <c r="Q482">
        <v>1</v>
      </c>
      <c r="S482">
        <v>10</v>
      </c>
      <c r="T482" t="s">
        <v>79</v>
      </c>
      <c r="U482">
        <v>45</v>
      </c>
      <c r="V482" t="s">
        <v>169</v>
      </c>
      <c r="W482">
        <v>4</v>
      </c>
      <c r="X482" t="s">
        <v>46</v>
      </c>
    </row>
    <row r="483" spans="1:24" x14ac:dyDescent="0.35">
      <c r="A483" t="s">
        <v>1047</v>
      </c>
      <c r="B483" t="s">
        <v>68</v>
      </c>
      <c r="C483" t="s">
        <v>193</v>
      </c>
      <c r="D483">
        <v>50</v>
      </c>
      <c r="E483">
        <v>1974</v>
      </c>
      <c r="F483">
        <v>63000</v>
      </c>
      <c r="G483" t="s">
        <v>38</v>
      </c>
      <c r="H483" t="s">
        <v>51</v>
      </c>
      <c r="I483" t="s">
        <v>40</v>
      </c>
      <c r="J483" s="14">
        <v>43195</v>
      </c>
      <c r="K483" t="s">
        <v>78</v>
      </c>
      <c r="L483">
        <v>82</v>
      </c>
      <c r="M483" t="s">
        <v>194</v>
      </c>
      <c r="N483" t="s">
        <v>54</v>
      </c>
      <c r="O483" t="s">
        <v>44</v>
      </c>
      <c r="Q483">
        <v>2</v>
      </c>
      <c r="R483">
        <v>2</v>
      </c>
      <c r="U483">
        <v>38</v>
      </c>
      <c r="V483" t="s">
        <v>46</v>
      </c>
      <c r="W483">
        <v>2</v>
      </c>
      <c r="X483" t="s">
        <v>34</v>
      </c>
    </row>
    <row r="484" spans="1:24" x14ac:dyDescent="0.35">
      <c r="A484" t="s">
        <v>1048</v>
      </c>
      <c r="B484" t="s">
        <v>56</v>
      </c>
      <c r="C484" t="s">
        <v>676</v>
      </c>
      <c r="D484">
        <v>40</v>
      </c>
      <c r="E484">
        <v>1984</v>
      </c>
      <c r="F484">
        <v>65000</v>
      </c>
      <c r="G484" t="s">
        <v>27</v>
      </c>
      <c r="H484" t="s">
        <v>122</v>
      </c>
      <c r="I484" t="s">
        <v>89</v>
      </c>
      <c r="J484" s="14">
        <v>43881</v>
      </c>
      <c r="K484" t="s">
        <v>41</v>
      </c>
      <c r="L484">
        <v>45</v>
      </c>
      <c r="M484" t="s">
        <v>677</v>
      </c>
      <c r="N484" t="s">
        <v>104</v>
      </c>
      <c r="O484" t="s">
        <v>32</v>
      </c>
      <c r="P484" t="s">
        <v>1049</v>
      </c>
      <c r="Q484">
        <v>1</v>
      </c>
      <c r="R484" t="s">
        <v>79</v>
      </c>
      <c r="V484" t="s">
        <v>34</v>
      </c>
      <c r="W484">
        <v>4</v>
      </c>
      <c r="X484" t="s">
        <v>46</v>
      </c>
    </row>
    <row r="485" spans="1:24" x14ac:dyDescent="0.35">
      <c r="A485" t="s">
        <v>1050</v>
      </c>
      <c r="B485" t="s">
        <v>140</v>
      </c>
      <c r="C485" t="s">
        <v>620</v>
      </c>
      <c r="D485">
        <v>40</v>
      </c>
      <c r="E485">
        <v>1984</v>
      </c>
      <c r="F485">
        <v>55000</v>
      </c>
      <c r="G485" t="s">
        <v>27</v>
      </c>
      <c r="H485" t="s">
        <v>145</v>
      </c>
      <c r="I485" t="s">
        <v>89</v>
      </c>
      <c r="J485" s="14">
        <v>43549</v>
      </c>
      <c r="K485" t="s">
        <v>59</v>
      </c>
      <c r="L485">
        <v>92</v>
      </c>
      <c r="M485" t="s">
        <v>621</v>
      </c>
      <c r="N485" t="s">
        <v>54</v>
      </c>
      <c r="O485" t="s">
        <v>100</v>
      </c>
      <c r="P485" t="s">
        <v>1051</v>
      </c>
      <c r="Q485">
        <v>2</v>
      </c>
      <c r="T485" s="14">
        <v>45516</v>
      </c>
      <c r="U485">
        <v>39</v>
      </c>
      <c r="V485" t="s">
        <v>46</v>
      </c>
      <c r="W485">
        <v>4</v>
      </c>
      <c r="X485" t="s">
        <v>34</v>
      </c>
    </row>
    <row r="486" spans="1:24" x14ac:dyDescent="0.35">
      <c r="A486" t="s">
        <v>1052</v>
      </c>
      <c r="B486" t="s">
        <v>48</v>
      </c>
      <c r="C486" t="s">
        <v>359</v>
      </c>
      <c r="D486">
        <v>25</v>
      </c>
      <c r="E486">
        <v>1999</v>
      </c>
      <c r="F486">
        <v>65000</v>
      </c>
      <c r="G486" t="s">
        <v>38</v>
      </c>
      <c r="H486" t="s">
        <v>122</v>
      </c>
      <c r="I486" t="s">
        <v>40</v>
      </c>
      <c r="J486" s="14">
        <v>43881</v>
      </c>
      <c r="K486" t="s">
        <v>78</v>
      </c>
      <c r="L486">
        <v>87</v>
      </c>
      <c r="M486" t="s">
        <v>1053</v>
      </c>
      <c r="N486" t="s">
        <v>61</v>
      </c>
      <c r="O486" t="s">
        <v>72</v>
      </c>
      <c r="Q486">
        <v>6</v>
      </c>
      <c r="R486">
        <v>0</v>
      </c>
      <c r="U486">
        <v>9</v>
      </c>
      <c r="V486" t="s">
        <v>33</v>
      </c>
      <c r="W486">
        <v>1</v>
      </c>
      <c r="X486" t="s">
        <v>46</v>
      </c>
    </row>
    <row r="487" spans="1:24" x14ac:dyDescent="0.35">
      <c r="A487" t="s">
        <v>1054</v>
      </c>
      <c r="B487" t="s">
        <v>75</v>
      </c>
      <c r="C487" t="s">
        <v>783</v>
      </c>
      <c r="D487">
        <v>25</v>
      </c>
      <c r="E487">
        <v>1999</v>
      </c>
      <c r="F487">
        <v>65000</v>
      </c>
      <c r="G487" t="s">
        <v>27</v>
      </c>
      <c r="H487" t="s">
        <v>64</v>
      </c>
      <c r="I487" t="s">
        <v>40</v>
      </c>
      <c r="J487" s="14">
        <v>43800</v>
      </c>
      <c r="K487" t="s">
        <v>78</v>
      </c>
      <c r="L487">
        <v>87</v>
      </c>
      <c r="M487" t="s">
        <v>1055</v>
      </c>
      <c r="O487" t="s">
        <v>66</v>
      </c>
      <c r="Q487">
        <v>2</v>
      </c>
      <c r="S487">
        <v>17</v>
      </c>
      <c r="V487" t="s">
        <v>73</v>
      </c>
      <c r="W487">
        <v>3</v>
      </c>
      <c r="X487" t="s">
        <v>46</v>
      </c>
    </row>
    <row r="488" spans="1:24" x14ac:dyDescent="0.35">
      <c r="A488" t="s">
        <v>1056</v>
      </c>
      <c r="B488" t="s">
        <v>131</v>
      </c>
      <c r="C488" t="s">
        <v>135</v>
      </c>
      <c r="E488">
        <v>1978</v>
      </c>
      <c r="F488">
        <v>55000</v>
      </c>
      <c r="G488" t="s">
        <v>27</v>
      </c>
      <c r="H488" t="s">
        <v>64</v>
      </c>
      <c r="I488" t="s">
        <v>40</v>
      </c>
      <c r="J488" s="14">
        <v>43845</v>
      </c>
      <c r="K488" t="s">
        <v>30</v>
      </c>
      <c r="L488">
        <v>67</v>
      </c>
      <c r="M488" t="s">
        <v>1057</v>
      </c>
      <c r="N488" t="s">
        <v>54</v>
      </c>
      <c r="O488" t="s">
        <v>66</v>
      </c>
      <c r="Q488">
        <v>5</v>
      </c>
      <c r="S488">
        <v>7</v>
      </c>
      <c r="U488">
        <v>30</v>
      </c>
      <c r="V488" t="s">
        <v>169</v>
      </c>
      <c r="W488">
        <v>1</v>
      </c>
      <c r="X488" t="s">
        <v>34</v>
      </c>
    </row>
    <row r="489" spans="1:24" x14ac:dyDescent="0.35">
      <c r="A489" t="s">
        <v>1058</v>
      </c>
      <c r="B489" t="s">
        <v>75</v>
      </c>
      <c r="C489" t="s">
        <v>151</v>
      </c>
      <c r="D489">
        <v>50</v>
      </c>
      <c r="E489">
        <v>1974</v>
      </c>
      <c r="F489" t="s">
        <v>50</v>
      </c>
      <c r="G489" t="s">
        <v>27</v>
      </c>
      <c r="H489" t="s">
        <v>70</v>
      </c>
      <c r="I489" t="s">
        <v>77</v>
      </c>
      <c r="J489" s="14">
        <v>43195</v>
      </c>
      <c r="K489" t="s">
        <v>41</v>
      </c>
      <c r="L489">
        <v>14</v>
      </c>
      <c r="M489" t="s">
        <v>152</v>
      </c>
      <c r="O489" t="s">
        <v>100</v>
      </c>
      <c r="P489" t="s">
        <v>770</v>
      </c>
      <c r="Q489">
        <v>5</v>
      </c>
      <c r="T489" t="s">
        <v>79</v>
      </c>
      <c r="U489">
        <v>39</v>
      </c>
      <c r="V489" t="s">
        <v>169</v>
      </c>
      <c r="W489">
        <v>1</v>
      </c>
      <c r="X489" t="s">
        <v>46</v>
      </c>
    </row>
    <row r="490" spans="1:24" x14ac:dyDescent="0.35">
      <c r="A490" t="s">
        <v>1059</v>
      </c>
      <c r="B490" t="s">
        <v>36</v>
      </c>
      <c r="C490" t="s">
        <v>380</v>
      </c>
      <c r="D490">
        <v>40</v>
      </c>
      <c r="E490">
        <v>1984</v>
      </c>
      <c r="F490">
        <v>50000</v>
      </c>
      <c r="G490" t="s">
        <v>27</v>
      </c>
      <c r="H490" t="s">
        <v>122</v>
      </c>
      <c r="I490" t="s">
        <v>89</v>
      </c>
      <c r="J490" s="14">
        <v>43800</v>
      </c>
      <c r="K490" t="s">
        <v>78</v>
      </c>
      <c r="L490">
        <v>84</v>
      </c>
      <c r="M490" t="s">
        <v>1060</v>
      </c>
      <c r="O490" t="s">
        <v>72</v>
      </c>
      <c r="P490" t="s">
        <v>105</v>
      </c>
      <c r="Q490">
        <v>2</v>
      </c>
      <c r="R490" t="s">
        <v>79</v>
      </c>
      <c r="T490" s="14">
        <v>45516</v>
      </c>
      <c r="U490">
        <v>59</v>
      </c>
      <c r="V490" t="s">
        <v>73</v>
      </c>
      <c r="W490">
        <v>2</v>
      </c>
      <c r="X490" t="s">
        <v>34</v>
      </c>
    </row>
    <row r="491" spans="1:24" x14ac:dyDescent="0.35">
      <c r="A491" t="s">
        <v>1061</v>
      </c>
      <c r="B491" t="s">
        <v>114</v>
      </c>
      <c r="C491" t="s">
        <v>148</v>
      </c>
      <c r="D491" t="s">
        <v>88</v>
      </c>
      <c r="E491">
        <v>1994</v>
      </c>
      <c r="F491">
        <v>70000</v>
      </c>
      <c r="G491" t="s">
        <v>27</v>
      </c>
      <c r="H491" t="s">
        <v>70</v>
      </c>
      <c r="I491" t="s">
        <v>89</v>
      </c>
      <c r="J491" s="14">
        <v>43800</v>
      </c>
      <c r="K491" t="s">
        <v>78</v>
      </c>
      <c r="L491">
        <v>85</v>
      </c>
      <c r="M491" t="s">
        <v>1062</v>
      </c>
      <c r="N491" t="s">
        <v>54</v>
      </c>
      <c r="O491" t="s">
        <v>32</v>
      </c>
      <c r="Q491">
        <v>5</v>
      </c>
      <c r="S491">
        <v>8</v>
      </c>
      <c r="V491" t="s">
        <v>46</v>
      </c>
      <c r="W491">
        <v>5</v>
      </c>
      <c r="X491" t="s">
        <v>46</v>
      </c>
    </row>
    <row r="492" spans="1:24" x14ac:dyDescent="0.35">
      <c r="A492" t="s">
        <v>1063</v>
      </c>
      <c r="B492" t="s">
        <v>131</v>
      </c>
      <c r="C492" t="s">
        <v>285</v>
      </c>
      <c r="D492">
        <v>35</v>
      </c>
      <c r="E492">
        <v>1989</v>
      </c>
      <c r="F492">
        <v>65000</v>
      </c>
      <c r="G492" t="s">
        <v>38</v>
      </c>
      <c r="H492" t="s">
        <v>58</v>
      </c>
      <c r="I492" t="s">
        <v>77</v>
      </c>
      <c r="J492" s="14">
        <v>43800</v>
      </c>
      <c r="K492" t="s">
        <v>30</v>
      </c>
      <c r="L492">
        <v>66</v>
      </c>
      <c r="M492" t="s">
        <v>286</v>
      </c>
      <c r="N492" t="s">
        <v>61</v>
      </c>
      <c r="O492" t="s">
        <v>66</v>
      </c>
      <c r="Q492">
        <v>8</v>
      </c>
      <c r="R492">
        <v>15</v>
      </c>
      <c r="T492" s="22">
        <v>44990</v>
      </c>
      <c r="V492" t="s">
        <v>169</v>
      </c>
      <c r="W492">
        <v>1</v>
      </c>
      <c r="X492" t="s">
        <v>34</v>
      </c>
    </row>
    <row r="493" spans="1:24" x14ac:dyDescent="0.35">
      <c r="A493" t="s">
        <v>1064</v>
      </c>
      <c r="B493" t="s">
        <v>25</v>
      </c>
      <c r="C493" t="s">
        <v>377</v>
      </c>
      <c r="D493">
        <v>25</v>
      </c>
      <c r="E493">
        <v>1999</v>
      </c>
      <c r="F493">
        <v>70000</v>
      </c>
      <c r="G493" t="s">
        <v>27</v>
      </c>
      <c r="H493" t="s">
        <v>93</v>
      </c>
      <c r="I493" t="s">
        <v>40</v>
      </c>
      <c r="J493" s="14">
        <v>43845</v>
      </c>
      <c r="K493" t="s">
        <v>30</v>
      </c>
      <c r="L493">
        <v>64</v>
      </c>
      <c r="M493" t="s">
        <v>378</v>
      </c>
      <c r="N493" t="s">
        <v>43</v>
      </c>
      <c r="O493" t="s">
        <v>72</v>
      </c>
      <c r="Q493">
        <v>7</v>
      </c>
      <c r="T493" s="14">
        <v>44941</v>
      </c>
      <c r="U493">
        <v>15</v>
      </c>
      <c r="V493" t="s">
        <v>73</v>
      </c>
      <c r="W493">
        <v>2</v>
      </c>
      <c r="X493" t="s">
        <v>34</v>
      </c>
    </row>
    <row r="494" spans="1:24" x14ac:dyDescent="0.35">
      <c r="A494" t="s">
        <v>1065</v>
      </c>
      <c r="B494" t="s">
        <v>48</v>
      </c>
      <c r="C494" t="s">
        <v>271</v>
      </c>
      <c r="D494">
        <v>35</v>
      </c>
      <c r="E494">
        <v>1989</v>
      </c>
      <c r="F494">
        <v>60800</v>
      </c>
      <c r="G494" t="s">
        <v>38</v>
      </c>
      <c r="H494" t="s">
        <v>64</v>
      </c>
      <c r="I494" t="s">
        <v>94</v>
      </c>
      <c r="J494" s="14">
        <v>43549</v>
      </c>
      <c r="K494" t="s">
        <v>41</v>
      </c>
      <c r="L494">
        <v>41</v>
      </c>
      <c r="M494" t="s">
        <v>272</v>
      </c>
      <c r="O494" t="s">
        <v>32</v>
      </c>
      <c r="Q494">
        <v>7</v>
      </c>
      <c r="R494">
        <v>12</v>
      </c>
      <c r="S494">
        <v>6</v>
      </c>
      <c r="V494" t="s">
        <v>73</v>
      </c>
      <c r="W494">
        <v>1</v>
      </c>
      <c r="X494" t="s">
        <v>46</v>
      </c>
    </row>
    <row r="495" spans="1:24" x14ac:dyDescent="0.35">
      <c r="A495" t="s">
        <v>1066</v>
      </c>
      <c r="B495" t="s">
        <v>25</v>
      </c>
      <c r="C495" t="s">
        <v>176</v>
      </c>
      <c r="D495">
        <v>35</v>
      </c>
      <c r="E495">
        <v>1989</v>
      </c>
      <c r="F495">
        <v>55000</v>
      </c>
      <c r="G495" t="s">
        <v>27</v>
      </c>
      <c r="H495" t="s">
        <v>51</v>
      </c>
      <c r="I495" t="s">
        <v>40</v>
      </c>
      <c r="J495" s="14">
        <v>43845</v>
      </c>
      <c r="K495" t="s">
        <v>59</v>
      </c>
      <c r="L495">
        <v>94</v>
      </c>
      <c r="M495" t="s">
        <v>1067</v>
      </c>
      <c r="O495" t="s">
        <v>32</v>
      </c>
      <c r="P495" t="s">
        <v>153</v>
      </c>
      <c r="Q495">
        <v>1</v>
      </c>
      <c r="T495" s="14">
        <v>44470</v>
      </c>
      <c r="U495">
        <v>45</v>
      </c>
      <c r="V495" t="s">
        <v>73</v>
      </c>
      <c r="W495">
        <v>5</v>
      </c>
      <c r="X495" t="s">
        <v>34</v>
      </c>
    </row>
    <row r="496" spans="1:24" x14ac:dyDescent="0.35">
      <c r="A496" t="s">
        <v>1068</v>
      </c>
      <c r="B496" t="s">
        <v>56</v>
      </c>
      <c r="C496" t="s">
        <v>87</v>
      </c>
      <c r="E496">
        <v>1966</v>
      </c>
      <c r="F496">
        <v>70000</v>
      </c>
      <c r="G496" t="s">
        <v>38</v>
      </c>
      <c r="H496" t="s">
        <v>70</v>
      </c>
      <c r="I496" t="s">
        <v>40</v>
      </c>
      <c r="J496" s="14">
        <v>43549</v>
      </c>
      <c r="K496" t="s">
        <v>59</v>
      </c>
      <c r="L496">
        <v>98</v>
      </c>
      <c r="M496" t="s">
        <v>129</v>
      </c>
      <c r="N496" t="s">
        <v>61</v>
      </c>
      <c r="O496" t="s">
        <v>174</v>
      </c>
      <c r="Q496">
        <v>8</v>
      </c>
      <c r="R496">
        <v>10</v>
      </c>
      <c r="T496" s="14">
        <v>44732</v>
      </c>
      <c r="V496" t="s">
        <v>169</v>
      </c>
      <c r="W496">
        <v>1</v>
      </c>
      <c r="X496" t="s">
        <v>34</v>
      </c>
    </row>
    <row r="497" spans="1:24" x14ac:dyDescent="0.35">
      <c r="A497" t="s">
        <v>1069</v>
      </c>
      <c r="B497" t="s">
        <v>131</v>
      </c>
      <c r="C497" t="s">
        <v>692</v>
      </c>
      <c r="D497">
        <v>40</v>
      </c>
      <c r="E497">
        <v>1984</v>
      </c>
      <c r="F497">
        <v>55000</v>
      </c>
      <c r="G497" t="s">
        <v>38</v>
      </c>
      <c r="H497" t="s">
        <v>122</v>
      </c>
      <c r="I497" t="s">
        <v>77</v>
      </c>
      <c r="J497" s="14">
        <v>43800</v>
      </c>
      <c r="K497" t="s">
        <v>52</v>
      </c>
      <c r="L497">
        <v>79</v>
      </c>
      <c r="M497" t="s">
        <v>693</v>
      </c>
      <c r="N497" t="s">
        <v>61</v>
      </c>
      <c r="O497" t="s">
        <v>66</v>
      </c>
      <c r="Q497">
        <v>3</v>
      </c>
      <c r="V497" t="s">
        <v>33</v>
      </c>
      <c r="W497">
        <v>1</v>
      </c>
      <c r="X497" t="s">
        <v>46</v>
      </c>
    </row>
    <row r="498" spans="1:24" x14ac:dyDescent="0.35">
      <c r="A498" t="s">
        <v>1070</v>
      </c>
      <c r="B498" t="s">
        <v>25</v>
      </c>
      <c r="C498" t="s">
        <v>328</v>
      </c>
      <c r="D498">
        <v>25</v>
      </c>
      <c r="E498">
        <v>1999</v>
      </c>
      <c r="F498">
        <v>70000</v>
      </c>
      <c r="G498" t="s">
        <v>38</v>
      </c>
      <c r="H498" t="s">
        <v>122</v>
      </c>
      <c r="I498" t="s">
        <v>89</v>
      </c>
      <c r="J498" s="14">
        <v>43800</v>
      </c>
      <c r="K498" t="s">
        <v>78</v>
      </c>
      <c r="L498">
        <v>88</v>
      </c>
      <c r="M498" t="s">
        <v>329</v>
      </c>
      <c r="N498" t="s">
        <v>104</v>
      </c>
      <c r="O498" t="s">
        <v>100</v>
      </c>
      <c r="Q498">
        <v>4</v>
      </c>
      <c r="R498">
        <v>7</v>
      </c>
      <c r="S498">
        <v>9</v>
      </c>
      <c r="U498">
        <v>35</v>
      </c>
      <c r="W498">
        <v>2</v>
      </c>
      <c r="X498" t="s">
        <v>34</v>
      </c>
    </row>
    <row r="499" spans="1:24" x14ac:dyDescent="0.35">
      <c r="A499" t="s">
        <v>1071</v>
      </c>
      <c r="B499" t="s">
        <v>25</v>
      </c>
      <c r="C499" t="s">
        <v>377</v>
      </c>
      <c r="D499">
        <v>35</v>
      </c>
      <c r="E499">
        <v>1989</v>
      </c>
      <c r="F499">
        <v>50000</v>
      </c>
      <c r="G499" t="s">
        <v>38</v>
      </c>
      <c r="H499" t="s">
        <v>39</v>
      </c>
      <c r="I499" t="s">
        <v>40</v>
      </c>
      <c r="J499" s="14">
        <v>43195</v>
      </c>
      <c r="K499" t="s">
        <v>41</v>
      </c>
      <c r="L499">
        <v>6</v>
      </c>
      <c r="M499" t="s">
        <v>378</v>
      </c>
      <c r="N499" t="s">
        <v>61</v>
      </c>
      <c r="O499" t="s">
        <v>112</v>
      </c>
      <c r="P499" t="s">
        <v>1072</v>
      </c>
      <c r="Q499">
        <v>3</v>
      </c>
      <c r="S499">
        <v>13</v>
      </c>
      <c r="T499" s="14">
        <v>44941</v>
      </c>
      <c r="U499">
        <v>6</v>
      </c>
      <c r="V499" t="s">
        <v>46</v>
      </c>
      <c r="W499">
        <v>1</v>
      </c>
      <c r="X499" t="s">
        <v>46</v>
      </c>
    </row>
    <row r="500" spans="1:24" x14ac:dyDescent="0.35">
      <c r="A500" t="s">
        <v>1073</v>
      </c>
      <c r="B500" t="s">
        <v>140</v>
      </c>
      <c r="C500" t="s">
        <v>203</v>
      </c>
      <c r="D500">
        <v>25</v>
      </c>
      <c r="E500">
        <v>1999</v>
      </c>
      <c r="F500">
        <v>50000</v>
      </c>
      <c r="G500" t="s">
        <v>38</v>
      </c>
      <c r="H500" t="s">
        <v>122</v>
      </c>
      <c r="I500" t="s">
        <v>89</v>
      </c>
      <c r="J500" s="14">
        <v>43549</v>
      </c>
      <c r="K500" t="s">
        <v>78</v>
      </c>
      <c r="L500">
        <v>82</v>
      </c>
      <c r="M500" t="s">
        <v>1074</v>
      </c>
      <c r="O500" t="s">
        <v>66</v>
      </c>
      <c r="Q500">
        <v>7</v>
      </c>
      <c r="U500">
        <v>63</v>
      </c>
      <c r="W500">
        <v>1</v>
      </c>
      <c r="X500" t="s">
        <v>34</v>
      </c>
    </row>
    <row r="501" spans="1:24" x14ac:dyDescent="0.35">
      <c r="A501" t="s">
        <v>1075</v>
      </c>
      <c r="B501" t="s">
        <v>75</v>
      </c>
      <c r="C501" t="s">
        <v>310</v>
      </c>
      <c r="D501" t="s">
        <v>88</v>
      </c>
      <c r="E501">
        <v>1994</v>
      </c>
      <c r="F501">
        <v>50000</v>
      </c>
      <c r="G501" t="s">
        <v>38</v>
      </c>
      <c r="H501" t="s">
        <v>82</v>
      </c>
      <c r="I501" t="s">
        <v>29</v>
      </c>
      <c r="J501" s="14">
        <v>43800</v>
      </c>
      <c r="K501" t="s">
        <v>41</v>
      </c>
      <c r="L501">
        <v>41</v>
      </c>
      <c r="M501" t="s">
        <v>311</v>
      </c>
      <c r="N501" t="s">
        <v>54</v>
      </c>
      <c r="O501" t="s">
        <v>174</v>
      </c>
      <c r="P501" t="s">
        <v>1076</v>
      </c>
      <c r="Q501">
        <v>5</v>
      </c>
      <c r="R501">
        <v>12</v>
      </c>
      <c r="V501" t="s">
        <v>73</v>
      </c>
      <c r="W501">
        <v>4</v>
      </c>
      <c r="X501" t="s">
        <v>34</v>
      </c>
    </row>
    <row r="502" spans="1:24" x14ac:dyDescent="0.35">
      <c r="A502" t="s">
        <v>1077</v>
      </c>
      <c r="B502" t="s">
        <v>140</v>
      </c>
      <c r="C502" t="s">
        <v>240</v>
      </c>
      <c r="E502">
        <v>1992</v>
      </c>
      <c r="F502">
        <v>50000</v>
      </c>
      <c r="G502" t="s">
        <v>27</v>
      </c>
      <c r="H502" t="s">
        <v>145</v>
      </c>
      <c r="I502" t="s">
        <v>89</v>
      </c>
      <c r="J502" s="14">
        <v>43881</v>
      </c>
      <c r="K502" t="s">
        <v>41</v>
      </c>
      <c r="L502">
        <v>41</v>
      </c>
      <c r="M502" t="s">
        <v>1078</v>
      </c>
      <c r="N502" t="s">
        <v>43</v>
      </c>
      <c r="O502" t="s">
        <v>44</v>
      </c>
      <c r="Q502">
        <v>3</v>
      </c>
      <c r="R502" t="s">
        <v>79</v>
      </c>
      <c r="V502" t="s">
        <v>169</v>
      </c>
      <c r="W502">
        <v>5</v>
      </c>
      <c r="X502" t="s">
        <v>46</v>
      </c>
    </row>
    <row r="503" spans="1:24" x14ac:dyDescent="0.35">
      <c r="A503" t="s">
        <v>1079</v>
      </c>
      <c r="B503" t="s">
        <v>131</v>
      </c>
      <c r="C503" t="s">
        <v>524</v>
      </c>
      <c r="D503" t="s">
        <v>88</v>
      </c>
      <c r="E503">
        <v>1994</v>
      </c>
      <c r="F503">
        <v>50000</v>
      </c>
      <c r="G503" t="s">
        <v>38</v>
      </c>
      <c r="H503" t="s">
        <v>93</v>
      </c>
      <c r="I503" t="s">
        <v>94</v>
      </c>
      <c r="J503" s="14">
        <v>43195</v>
      </c>
      <c r="K503" t="s">
        <v>41</v>
      </c>
      <c r="L503">
        <v>34</v>
      </c>
      <c r="M503" t="s">
        <v>1080</v>
      </c>
      <c r="N503" t="s">
        <v>104</v>
      </c>
      <c r="O503" t="s">
        <v>44</v>
      </c>
      <c r="P503" t="s">
        <v>1081</v>
      </c>
      <c r="Q503">
        <v>5</v>
      </c>
      <c r="S503">
        <v>17</v>
      </c>
      <c r="V503" t="s">
        <v>46</v>
      </c>
      <c r="W503">
        <v>2</v>
      </c>
      <c r="X503" t="s">
        <v>46</v>
      </c>
    </row>
    <row r="504" spans="1:24" x14ac:dyDescent="0.35">
      <c r="A504" t="s">
        <v>1082</v>
      </c>
      <c r="B504" t="s">
        <v>131</v>
      </c>
      <c r="C504" t="s">
        <v>305</v>
      </c>
      <c r="D504">
        <v>25</v>
      </c>
      <c r="E504">
        <v>1999</v>
      </c>
      <c r="F504">
        <v>50000</v>
      </c>
      <c r="G504" t="s">
        <v>38</v>
      </c>
      <c r="H504" t="s">
        <v>145</v>
      </c>
      <c r="I504" t="s">
        <v>94</v>
      </c>
      <c r="J504" s="14">
        <v>43845</v>
      </c>
      <c r="K504" t="s">
        <v>78</v>
      </c>
      <c r="L504">
        <v>82</v>
      </c>
      <c r="M504" t="s">
        <v>306</v>
      </c>
      <c r="N504" t="s">
        <v>54</v>
      </c>
      <c r="O504" t="s">
        <v>32</v>
      </c>
      <c r="Q504">
        <v>6</v>
      </c>
      <c r="R504">
        <v>6</v>
      </c>
      <c r="S504">
        <v>10</v>
      </c>
      <c r="U504">
        <v>5</v>
      </c>
      <c r="V504" t="s">
        <v>34</v>
      </c>
      <c r="W504">
        <v>4</v>
      </c>
      <c r="X504" t="s">
        <v>34</v>
      </c>
    </row>
    <row r="505" spans="1:24" x14ac:dyDescent="0.35">
      <c r="A505" t="s">
        <v>1083</v>
      </c>
      <c r="B505" t="s">
        <v>36</v>
      </c>
      <c r="C505" t="s">
        <v>256</v>
      </c>
      <c r="D505">
        <v>25</v>
      </c>
      <c r="E505">
        <v>1999</v>
      </c>
      <c r="F505">
        <v>55000</v>
      </c>
      <c r="G505" t="s">
        <v>27</v>
      </c>
      <c r="H505" t="s">
        <v>64</v>
      </c>
      <c r="I505" t="s">
        <v>40</v>
      </c>
      <c r="J505" s="14">
        <v>43195</v>
      </c>
      <c r="K505" t="s">
        <v>30</v>
      </c>
      <c r="L505">
        <v>62</v>
      </c>
      <c r="M505" t="s">
        <v>669</v>
      </c>
      <c r="N505" t="s">
        <v>43</v>
      </c>
      <c r="O505" t="s">
        <v>112</v>
      </c>
      <c r="Q505">
        <v>1</v>
      </c>
      <c r="T505" s="14">
        <v>44941</v>
      </c>
      <c r="V505" t="s">
        <v>73</v>
      </c>
      <c r="W505">
        <v>1</v>
      </c>
      <c r="X505" t="s">
        <v>46</v>
      </c>
    </row>
    <row r="506" spans="1:24" x14ac:dyDescent="0.35">
      <c r="A506" t="s">
        <v>1084</v>
      </c>
      <c r="B506" t="s">
        <v>140</v>
      </c>
      <c r="C506" t="s">
        <v>179</v>
      </c>
      <c r="D506">
        <v>40</v>
      </c>
      <c r="E506">
        <v>1984</v>
      </c>
      <c r="F506">
        <v>65000</v>
      </c>
      <c r="G506" t="s">
        <v>27</v>
      </c>
      <c r="H506" t="s">
        <v>93</v>
      </c>
      <c r="I506" t="s">
        <v>89</v>
      </c>
      <c r="J506" s="14">
        <v>43881</v>
      </c>
      <c r="K506" t="s">
        <v>78</v>
      </c>
      <c r="L506">
        <v>80</v>
      </c>
      <c r="M506" t="s">
        <v>1085</v>
      </c>
      <c r="N506" t="s">
        <v>43</v>
      </c>
      <c r="O506" t="s">
        <v>174</v>
      </c>
      <c r="Q506">
        <v>3</v>
      </c>
      <c r="R506" t="s">
        <v>79</v>
      </c>
      <c r="U506">
        <v>15</v>
      </c>
      <c r="V506" t="s">
        <v>46</v>
      </c>
      <c r="W506">
        <v>3</v>
      </c>
      <c r="X506" t="s">
        <v>34</v>
      </c>
    </row>
    <row r="507" spans="1:24" x14ac:dyDescent="0.35">
      <c r="A507" t="s">
        <v>1086</v>
      </c>
      <c r="B507" t="s">
        <v>107</v>
      </c>
      <c r="C507" t="s">
        <v>229</v>
      </c>
      <c r="D507">
        <v>35</v>
      </c>
      <c r="E507">
        <v>1989</v>
      </c>
      <c r="F507">
        <v>70000</v>
      </c>
      <c r="G507" t="s">
        <v>38</v>
      </c>
      <c r="H507" t="s">
        <v>70</v>
      </c>
      <c r="I507" t="s">
        <v>40</v>
      </c>
      <c r="J507" s="14">
        <v>43549</v>
      </c>
      <c r="K507" t="s">
        <v>41</v>
      </c>
      <c r="L507">
        <v>29</v>
      </c>
      <c r="M507" t="s">
        <v>1087</v>
      </c>
      <c r="N507" t="s">
        <v>43</v>
      </c>
      <c r="O507" t="s">
        <v>66</v>
      </c>
      <c r="Q507">
        <v>2</v>
      </c>
      <c r="R507" t="s">
        <v>79</v>
      </c>
      <c r="T507" s="14">
        <v>44470</v>
      </c>
      <c r="U507">
        <v>29</v>
      </c>
      <c r="V507" t="s">
        <v>33</v>
      </c>
      <c r="W507">
        <v>4</v>
      </c>
      <c r="X507" t="s">
        <v>34</v>
      </c>
    </row>
    <row r="508" spans="1:24" x14ac:dyDescent="0.35">
      <c r="A508" t="s">
        <v>1088</v>
      </c>
      <c r="B508" t="s">
        <v>75</v>
      </c>
      <c r="C508" t="s">
        <v>151</v>
      </c>
      <c r="D508">
        <v>35</v>
      </c>
      <c r="E508">
        <v>1989</v>
      </c>
      <c r="F508">
        <v>50000</v>
      </c>
      <c r="G508" t="s">
        <v>27</v>
      </c>
      <c r="H508" t="s">
        <v>82</v>
      </c>
      <c r="I508" t="s">
        <v>77</v>
      </c>
      <c r="J508" s="14">
        <v>43845</v>
      </c>
      <c r="K508" t="s">
        <v>52</v>
      </c>
      <c r="L508">
        <v>78</v>
      </c>
      <c r="M508" t="s">
        <v>152</v>
      </c>
      <c r="N508" t="s">
        <v>54</v>
      </c>
      <c r="O508" t="s">
        <v>44</v>
      </c>
      <c r="Q508">
        <v>1</v>
      </c>
      <c r="R508">
        <v>14</v>
      </c>
      <c r="V508" t="s">
        <v>34</v>
      </c>
      <c r="W508">
        <v>1</v>
      </c>
      <c r="X508" t="s">
        <v>46</v>
      </c>
    </row>
    <row r="509" spans="1:24" x14ac:dyDescent="0.35">
      <c r="A509" t="s">
        <v>1089</v>
      </c>
      <c r="B509" t="s">
        <v>131</v>
      </c>
      <c r="C509" t="s">
        <v>1090</v>
      </c>
      <c r="D509" t="s">
        <v>88</v>
      </c>
      <c r="E509">
        <v>1994</v>
      </c>
      <c r="F509">
        <v>55000</v>
      </c>
      <c r="G509" t="s">
        <v>27</v>
      </c>
      <c r="H509" t="s">
        <v>64</v>
      </c>
      <c r="I509" t="s">
        <v>94</v>
      </c>
      <c r="J509" s="14">
        <v>43845</v>
      </c>
      <c r="K509" t="s">
        <v>59</v>
      </c>
      <c r="L509">
        <v>92</v>
      </c>
      <c r="M509" t="s">
        <v>1091</v>
      </c>
      <c r="N509" t="s">
        <v>104</v>
      </c>
      <c r="O509" t="s">
        <v>44</v>
      </c>
      <c r="Q509">
        <v>1</v>
      </c>
      <c r="S509">
        <v>6</v>
      </c>
      <c r="T509" s="22">
        <v>44990</v>
      </c>
      <c r="V509" t="s">
        <v>169</v>
      </c>
      <c r="W509">
        <v>2</v>
      </c>
      <c r="X509" t="s">
        <v>46</v>
      </c>
    </row>
    <row r="510" spans="1:24" x14ac:dyDescent="0.35">
      <c r="A510" t="s">
        <v>1092</v>
      </c>
      <c r="B510" t="s">
        <v>36</v>
      </c>
      <c r="C510" t="s">
        <v>556</v>
      </c>
      <c r="E510">
        <v>1970</v>
      </c>
      <c r="F510">
        <v>55000</v>
      </c>
      <c r="G510" t="s">
        <v>27</v>
      </c>
      <c r="H510" t="s">
        <v>58</v>
      </c>
      <c r="I510" t="s">
        <v>40</v>
      </c>
      <c r="J510" s="14">
        <v>43549</v>
      </c>
      <c r="K510" t="s">
        <v>41</v>
      </c>
      <c r="L510">
        <v>41</v>
      </c>
      <c r="M510" t="s">
        <v>557</v>
      </c>
      <c r="N510" t="s">
        <v>104</v>
      </c>
      <c r="O510" t="s">
        <v>66</v>
      </c>
      <c r="P510" t="s">
        <v>1093</v>
      </c>
      <c r="Q510">
        <v>7</v>
      </c>
      <c r="T510" s="14">
        <v>44470</v>
      </c>
      <c r="V510" t="s">
        <v>34</v>
      </c>
      <c r="W510">
        <v>3</v>
      </c>
      <c r="X510" t="s">
        <v>34</v>
      </c>
    </row>
    <row r="511" spans="1:24" x14ac:dyDescent="0.35">
      <c r="A511" t="s">
        <v>1094</v>
      </c>
      <c r="B511" t="s">
        <v>140</v>
      </c>
      <c r="C511" t="s">
        <v>462</v>
      </c>
      <c r="D511">
        <v>50</v>
      </c>
      <c r="E511">
        <v>1974</v>
      </c>
      <c r="F511">
        <v>55000</v>
      </c>
      <c r="G511" t="s">
        <v>38</v>
      </c>
      <c r="H511" t="s">
        <v>28</v>
      </c>
      <c r="I511" t="s">
        <v>77</v>
      </c>
      <c r="J511" s="14">
        <v>43195</v>
      </c>
      <c r="K511" t="s">
        <v>52</v>
      </c>
      <c r="L511">
        <v>70</v>
      </c>
      <c r="M511" t="s">
        <v>1095</v>
      </c>
      <c r="N511" t="s">
        <v>43</v>
      </c>
      <c r="O511" t="s">
        <v>174</v>
      </c>
      <c r="P511" t="s">
        <v>1096</v>
      </c>
      <c r="Q511">
        <v>2</v>
      </c>
      <c r="S511">
        <v>13</v>
      </c>
      <c r="V511" t="s">
        <v>169</v>
      </c>
      <c r="W511">
        <v>3</v>
      </c>
      <c r="X511" t="s">
        <v>34</v>
      </c>
    </row>
    <row r="512" spans="1:24" x14ac:dyDescent="0.35">
      <c r="A512" t="s">
        <v>1097</v>
      </c>
      <c r="B512" t="s">
        <v>75</v>
      </c>
      <c r="C512" t="s">
        <v>305</v>
      </c>
      <c r="D512">
        <v>35</v>
      </c>
      <c r="E512">
        <v>1989</v>
      </c>
      <c r="F512">
        <v>65000</v>
      </c>
      <c r="G512" t="s">
        <v>27</v>
      </c>
      <c r="H512" t="s">
        <v>82</v>
      </c>
      <c r="I512" t="s">
        <v>40</v>
      </c>
      <c r="J512" s="14">
        <v>43800</v>
      </c>
      <c r="K512" t="s">
        <v>30</v>
      </c>
      <c r="L512">
        <v>62</v>
      </c>
      <c r="M512" t="s">
        <v>1098</v>
      </c>
      <c r="N512" t="s">
        <v>54</v>
      </c>
      <c r="O512" t="s">
        <v>72</v>
      </c>
      <c r="Q512">
        <v>5</v>
      </c>
      <c r="S512">
        <v>15</v>
      </c>
      <c r="T512" s="22">
        <v>44990</v>
      </c>
      <c r="W512">
        <v>1</v>
      </c>
      <c r="X512" t="s">
        <v>46</v>
      </c>
    </row>
    <row r="513" spans="1:24" x14ac:dyDescent="0.35">
      <c r="A513" t="s">
        <v>1099</v>
      </c>
      <c r="B513" t="s">
        <v>140</v>
      </c>
      <c r="C513" t="s">
        <v>588</v>
      </c>
      <c r="D513">
        <v>40</v>
      </c>
      <c r="E513">
        <v>1984</v>
      </c>
      <c r="F513">
        <v>70000</v>
      </c>
      <c r="G513" t="s">
        <v>27</v>
      </c>
      <c r="H513" t="s">
        <v>145</v>
      </c>
      <c r="I513" t="s">
        <v>89</v>
      </c>
      <c r="J513" s="14">
        <v>43195</v>
      </c>
      <c r="K513" t="s">
        <v>41</v>
      </c>
      <c r="L513">
        <v>20</v>
      </c>
      <c r="M513" t="s">
        <v>589</v>
      </c>
      <c r="N513" t="s">
        <v>43</v>
      </c>
      <c r="O513" t="s">
        <v>32</v>
      </c>
      <c r="P513" t="s">
        <v>907</v>
      </c>
      <c r="Q513">
        <v>4</v>
      </c>
      <c r="T513" s="14">
        <v>44990</v>
      </c>
      <c r="V513" t="s">
        <v>34</v>
      </c>
      <c r="W513">
        <v>5</v>
      </c>
      <c r="X513" t="s">
        <v>34</v>
      </c>
    </row>
    <row r="514" spans="1:24" x14ac:dyDescent="0.35">
      <c r="A514" t="s">
        <v>1100</v>
      </c>
      <c r="B514" t="s">
        <v>25</v>
      </c>
      <c r="C514" t="s">
        <v>81</v>
      </c>
      <c r="D514" t="s">
        <v>88</v>
      </c>
      <c r="E514">
        <v>1994</v>
      </c>
      <c r="F514">
        <v>65000</v>
      </c>
      <c r="G514" t="s">
        <v>38</v>
      </c>
      <c r="H514" t="s">
        <v>145</v>
      </c>
      <c r="I514" t="s">
        <v>89</v>
      </c>
      <c r="J514" s="14">
        <v>43881</v>
      </c>
      <c r="K514" t="s">
        <v>52</v>
      </c>
      <c r="L514">
        <v>71</v>
      </c>
      <c r="M514" t="s">
        <v>401</v>
      </c>
      <c r="N514" t="s">
        <v>61</v>
      </c>
      <c r="O514" t="s">
        <v>66</v>
      </c>
      <c r="Q514">
        <v>6</v>
      </c>
      <c r="S514">
        <v>20</v>
      </c>
      <c r="V514" t="s">
        <v>46</v>
      </c>
      <c r="W514">
        <v>5</v>
      </c>
      <c r="X514" t="s">
        <v>34</v>
      </c>
    </row>
    <row r="515" spans="1:24" x14ac:dyDescent="0.35">
      <c r="A515" t="s">
        <v>1101</v>
      </c>
      <c r="B515" t="s">
        <v>36</v>
      </c>
      <c r="C515" t="s">
        <v>247</v>
      </c>
      <c r="D515" t="s">
        <v>88</v>
      </c>
      <c r="E515">
        <v>1994</v>
      </c>
      <c r="F515" t="s">
        <v>50</v>
      </c>
      <c r="G515" t="s">
        <v>27</v>
      </c>
      <c r="H515" t="s">
        <v>145</v>
      </c>
      <c r="I515" t="s">
        <v>89</v>
      </c>
      <c r="J515" s="14">
        <v>43800</v>
      </c>
      <c r="K515" t="s">
        <v>41</v>
      </c>
      <c r="L515">
        <v>16</v>
      </c>
      <c r="M515" t="s">
        <v>1102</v>
      </c>
      <c r="N515" t="s">
        <v>104</v>
      </c>
      <c r="O515" t="s">
        <v>72</v>
      </c>
      <c r="P515" t="s">
        <v>1103</v>
      </c>
      <c r="Q515">
        <v>4</v>
      </c>
      <c r="R515">
        <v>2</v>
      </c>
      <c r="S515">
        <v>7</v>
      </c>
      <c r="T515" s="14">
        <v>44941</v>
      </c>
      <c r="V515" t="s">
        <v>169</v>
      </c>
      <c r="W515">
        <v>1</v>
      </c>
      <c r="X515" t="s">
        <v>34</v>
      </c>
    </row>
    <row r="516" spans="1:24" x14ac:dyDescent="0.35">
      <c r="A516" t="s">
        <v>1104</v>
      </c>
      <c r="B516" t="s">
        <v>75</v>
      </c>
      <c r="C516" t="s">
        <v>625</v>
      </c>
      <c r="D516">
        <v>50</v>
      </c>
      <c r="E516">
        <v>1974</v>
      </c>
      <c r="F516">
        <v>55000</v>
      </c>
      <c r="G516" t="s">
        <v>27</v>
      </c>
      <c r="H516" t="s">
        <v>28</v>
      </c>
      <c r="I516" t="s">
        <v>89</v>
      </c>
      <c r="J516" s="14">
        <v>43195</v>
      </c>
      <c r="K516" t="s">
        <v>78</v>
      </c>
      <c r="L516">
        <v>83</v>
      </c>
      <c r="M516" t="s">
        <v>626</v>
      </c>
      <c r="O516" t="s">
        <v>32</v>
      </c>
      <c r="Q516">
        <v>7</v>
      </c>
      <c r="S516">
        <v>5</v>
      </c>
      <c r="V516" t="s">
        <v>46</v>
      </c>
      <c r="W516">
        <v>5</v>
      </c>
      <c r="X516" t="s">
        <v>46</v>
      </c>
    </row>
    <row r="517" spans="1:24" x14ac:dyDescent="0.35">
      <c r="A517" t="s">
        <v>1105</v>
      </c>
      <c r="B517" t="s">
        <v>68</v>
      </c>
      <c r="C517" t="s">
        <v>318</v>
      </c>
      <c r="D517">
        <v>40</v>
      </c>
      <c r="E517">
        <v>1984</v>
      </c>
      <c r="F517" t="s">
        <v>50</v>
      </c>
      <c r="G517" t="s">
        <v>27</v>
      </c>
      <c r="H517" t="s">
        <v>122</v>
      </c>
      <c r="I517" t="s">
        <v>29</v>
      </c>
      <c r="J517" s="14">
        <v>43549</v>
      </c>
      <c r="K517" t="s">
        <v>52</v>
      </c>
      <c r="L517">
        <v>79</v>
      </c>
      <c r="M517" t="s">
        <v>319</v>
      </c>
      <c r="N517" t="s">
        <v>43</v>
      </c>
      <c r="O517" t="s">
        <v>112</v>
      </c>
      <c r="Q517">
        <v>3</v>
      </c>
      <c r="R517" t="s">
        <v>79</v>
      </c>
      <c r="V517" t="s">
        <v>46</v>
      </c>
      <c r="W517">
        <v>4</v>
      </c>
      <c r="X517" t="s">
        <v>46</v>
      </c>
    </row>
    <row r="518" spans="1:24" x14ac:dyDescent="0.35">
      <c r="A518" t="s">
        <v>1106</v>
      </c>
      <c r="B518" t="s">
        <v>56</v>
      </c>
      <c r="C518" t="s">
        <v>209</v>
      </c>
      <c r="E518">
        <v>1999</v>
      </c>
      <c r="F518">
        <v>58600</v>
      </c>
      <c r="G518" t="s">
        <v>38</v>
      </c>
      <c r="H518" t="s">
        <v>93</v>
      </c>
      <c r="I518" t="s">
        <v>77</v>
      </c>
      <c r="J518" s="14">
        <v>43881</v>
      </c>
      <c r="K518" t="s">
        <v>78</v>
      </c>
      <c r="L518">
        <v>85</v>
      </c>
      <c r="M518" t="s">
        <v>1107</v>
      </c>
      <c r="N518" t="s">
        <v>61</v>
      </c>
      <c r="O518" t="s">
        <v>100</v>
      </c>
      <c r="Q518">
        <v>3</v>
      </c>
      <c r="U518">
        <v>42</v>
      </c>
      <c r="W518">
        <v>5</v>
      </c>
      <c r="X518" t="s">
        <v>34</v>
      </c>
    </row>
    <row r="519" spans="1:24" x14ac:dyDescent="0.35">
      <c r="A519" t="s">
        <v>1108</v>
      </c>
      <c r="B519" t="s">
        <v>56</v>
      </c>
      <c r="C519" t="s">
        <v>259</v>
      </c>
      <c r="D519">
        <v>40</v>
      </c>
      <c r="E519">
        <v>1984</v>
      </c>
      <c r="F519">
        <v>50000</v>
      </c>
      <c r="G519" t="s">
        <v>38</v>
      </c>
      <c r="H519" t="s">
        <v>51</v>
      </c>
      <c r="I519" t="s">
        <v>77</v>
      </c>
      <c r="J519" s="14">
        <v>43881</v>
      </c>
      <c r="K519" t="s">
        <v>78</v>
      </c>
      <c r="L519">
        <v>87</v>
      </c>
      <c r="M519" t="s">
        <v>1109</v>
      </c>
      <c r="N519" t="s">
        <v>104</v>
      </c>
      <c r="O519" t="s">
        <v>32</v>
      </c>
      <c r="Q519">
        <v>3</v>
      </c>
      <c r="S519">
        <v>14</v>
      </c>
      <c r="T519" s="14">
        <v>45516</v>
      </c>
      <c r="U519">
        <v>32</v>
      </c>
      <c r="V519" t="s">
        <v>169</v>
      </c>
      <c r="W519">
        <v>4</v>
      </c>
      <c r="X519" t="s">
        <v>34</v>
      </c>
    </row>
    <row r="520" spans="1:24" x14ac:dyDescent="0.35">
      <c r="A520" t="s">
        <v>1110</v>
      </c>
      <c r="B520" t="s">
        <v>75</v>
      </c>
      <c r="C520" t="s">
        <v>76</v>
      </c>
      <c r="E520">
        <v>1998</v>
      </c>
      <c r="F520">
        <v>50000</v>
      </c>
      <c r="G520" t="s">
        <v>27</v>
      </c>
      <c r="H520" t="s">
        <v>58</v>
      </c>
      <c r="I520" t="s">
        <v>89</v>
      </c>
      <c r="J520" s="14">
        <v>43881</v>
      </c>
      <c r="K520" t="s">
        <v>52</v>
      </c>
      <c r="L520">
        <v>74</v>
      </c>
      <c r="M520" t="s">
        <v>653</v>
      </c>
      <c r="N520" t="s">
        <v>54</v>
      </c>
      <c r="O520" t="s">
        <v>112</v>
      </c>
      <c r="P520" t="s">
        <v>1111</v>
      </c>
      <c r="Q520">
        <v>4</v>
      </c>
      <c r="T520" s="14">
        <v>44990</v>
      </c>
      <c r="U520">
        <v>49</v>
      </c>
      <c r="V520" t="s">
        <v>34</v>
      </c>
      <c r="W520">
        <v>2</v>
      </c>
      <c r="X520" t="s">
        <v>34</v>
      </c>
    </row>
    <row r="521" spans="1:24" x14ac:dyDescent="0.35">
      <c r="A521" t="s">
        <v>1112</v>
      </c>
      <c r="B521" t="s">
        <v>140</v>
      </c>
      <c r="C521" t="s">
        <v>49</v>
      </c>
      <c r="D521">
        <v>40</v>
      </c>
      <c r="E521">
        <v>1984</v>
      </c>
      <c r="F521">
        <v>65000</v>
      </c>
      <c r="G521" t="s">
        <v>38</v>
      </c>
      <c r="H521" t="s">
        <v>64</v>
      </c>
      <c r="I521" t="s">
        <v>29</v>
      </c>
      <c r="J521" s="14">
        <v>43800</v>
      </c>
      <c r="K521" t="s">
        <v>59</v>
      </c>
      <c r="L521">
        <v>94</v>
      </c>
      <c r="M521" t="s">
        <v>1113</v>
      </c>
      <c r="N521" t="s">
        <v>104</v>
      </c>
      <c r="O521" t="s">
        <v>100</v>
      </c>
      <c r="Q521">
        <v>5</v>
      </c>
      <c r="R521">
        <v>7</v>
      </c>
      <c r="S521">
        <v>3</v>
      </c>
      <c r="V521" t="s">
        <v>34</v>
      </c>
      <c r="W521">
        <v>1</v>
      </c>
      <c r="X521" t="s">
        <v>46</v>
      </c>
    </row>
    <row r="522" spans="1:24" x14ac:dyDescent="0.35">
      <c r="A522" t="s">
        <v>1114</v>
      </c>
      <c r="B522" t="s">
        <v>36</v>
      </c>
      <c r="C522" t="s">
        <v>37</v>
      </c>
      <c r="D522">
        <v>40</v>
      </c>
      <c r="E522">
        <v>1984</v>
      </c>
      <c r="F522">
        <v>70000</v>
      </c>
      <c r="G522" t="s">
        <v>27</v>
      </c>
      <c r="H522" t="s">
        <v>145</v>
      </c>
      <c r="I522" t="s">
        <v>89</v>
      </c>
      <c r="J522" s="14">
        <v>43845</v>
      </c>
      <c r="K522" t="s">
        <v>52</v>
      </c>
      <c r="L522">
        <v>72</v>
      </c>
      <c r="M522" t="s">
        <v>42</v>
      </c>
      <c r="N522" t="s">
        <v>54</v>
      </c>
      <c r="O522" t="s">
        <v>44</v>
      </c>
      <c r="P522" t="s">
        <v>1115</v>
      </c>
      <c r="Q522">
        <v>4</v>
      </c>
      <c r="R522">
        <v>5</v>
      </c>
      <c r="S522">
        <v>16</v>
      </c>
      <c r="V522" t="s">
        <v>34</v>
      </c>
      <c r="W522">
        <v>3</v>
      </c>
      <c r="X522" t="s">
        <v>34</v>
      </c>
    </row>
    <row r="523" spans="1:24" x14ac:dyDescent="0.35">
      <c r="A523" t="s">
        <v>1116</v>
      </c>
      <c r="B523" t="s">
        <v>56</v>
      </c>
      <c r="C523" t="s">
        <v>57</v>
      </c>
      <c r="D523">
        <v>25</v>
      </c>
      <c r="E523">
        <v>1999</v>
      </c>
      <c r="F523" t="s">
        <v>50</v>
      </c>
      <c r="G523" t="s">
        <v>27</v>
      </c>
      <c r="H523" t="s">
        <v>70</v>
      </c>
      <c r="I523" t="s">
        <v>29</v>
      </c>
      <c r="J523" s="14">
        <v>43800</v>
      </c>
      <c r="K523" t="s">
        <v>59</v>
      </c>
      <c r="L523">
        <v>99</v>
      </c>
      <c r="M523" t="s">
        <v>60</v>
      </c>
      <c r="N523" t="s">
        <v>54</v>
      </c>
      <c r="O523" t="s">
        <v>44</v>
      </c>
      <c r="Q523">
        <v>2</v>
      </c>
      <c r="T523" s="14">
        <v>44732</v>
      </c>
      <c r="U523">
        <v>25</v>
      </c>
      <c r="V523" t="s">
        <v>169</v>
      </c>
      <c r="W523">
        <v>5</v>
      </c>
      <c r="X523" t="s">
        <v>34</v>
      </c>
    </row>
    <row r="524" spans="1:24" x14ac:dyDescent="0.35">
      <c r="A524" t="s">
        <v>1117</v>
      </c>
      <c r="B524" t="s">
        <v>36</v>
      </c>
      <c r="C524" t="s">
        <v>479</v>
      </c>
      <c r="D524" t="s">
        <v>88</v>
      </c>
      <c r="E524">
        <v>1994</v>
      </c>
      <c r="F524">
        <v>70000</v>
      </c>
      <c r="G524" t="s">
        <v>27</v>
      </c>
      <c r="H524" t="s">
        <v>64</v>
      </c>
      <c r="I524" t="s">
        <v>89</v>
      </c>
      <c r="J524" s="14">
        <v>43195</v>
      </c>
      <c r="K524" t="s">
        <v>41</v>
      </c>
      <c r="L524">
        <v>43</v>
      </c>
      <c r="M524" t="s">
        <v>480</v>
      </c>
      <c r="N524" t="s">
        <v>43</v>
      </c>
      <c r="O524" t="s">
        <v>44</v>
      </c>
      <c r="Q524">
        <v>3</v>
      </c>
      <c r="U524">
        <v>12</v>
      </c>
      <c r="V524" t="s">
        <v>73</v>
      </c>
      <c r="W524">
        <v>3</v>
      </c>
      <c r="X524" t="s">
        <v>46</v>
      </c>
    </row>
    <row r="525" spans="1:24" x14ac:dyDescent="0.35">
      <c r="A525" t="s">
        <v>1118</v>
      </c>
      <c r="B525" t="s">
        <v>56</v>
      </c>
      <c r="C525" t="s">
        <v>26</v>
      </c>
      <c r="D525">
        <v>40</v>
      </c>
      <c r="E525">
        <v>1984</v>
      </c>
      <c r="F525">
        <v>65000</v>
      </c>
      <c r="G525" t="s">
        <v>38</v>
      </c>
      <c r="H525" t="s">
        <v>64</v>
      </c>
      <c r="I525" t="s">
        <v>94</v>
      </c>
      <c r="J525" s="14">
        <v>43845</v>
      </c>
      <c r="K525" t="s">
        <v>41</v>
      </c>
      <c r="L525">
        <v>33</v>
      </c>
      <c r="M525" t="s">
        <v>1119</v>
      </c>
      <c r="N525" t="s">
        <v>43</v>
      </c>
      <c r="O525" t="s">
        <v>32</v>
      </c>
      <c r="Q525">
        <v>1</v>
      </c>
      <c r="R525" t="s">
        <v>79</v>
      </c>
      <c r="U525">
        <v>62</v>
      </c>
      <c r="V525" t="s">
        <v>34</v>
      </c>
      <c r="W525">
        <v>2</v>
      </c>
      <c r="X525" t="s">
        <v>34</v>
      </c>
    </row>
    <row r="526" spans="1:24" x14ac:dyDescent="0.35">
      <c r="A526" t="s">
        <v>1120</v>
      </c>
      <c r="B526" t="s">
        <v>25</v>
      </c>
      <c r="C526" t="s">
        <v>277</v>
      </c>
      <c r="D526">
        <v>50</v>
      </c>
      <c r="E526">
        <v>1974</v>
      </c>
      <c r="F526">
        <v>50000</v>
      </c>
      <c r="G526" t="s">
        <v>38</v>
      </c>
      <c r="H526" t="s">
        <v>70</v>
      </c>
      <c r="I526" t="s">
        <v>94</v>
      </c>
      <c r="J526" s="14">
        <v>43195</v>
      </c>
      <c r="K526" t="s">
        <v>52</v>
      </c>
      <c r="L526">
        <v>79</v>
      </c>
      <c r="M526" t="s">
        <v>1121</v>
      </c>
      <c r="N526" t="s">
        <v>104</v>
      </c>
      <c r="O526" t="s">
        <v>72</v>
      </c>
      <c r="Q526">
        <v>8</v>
      </c>
      <c r="S526">
        <v>3</v>
      </c>
      <c r="T526" s="14">
        <v>45516</v>
      </c>
      <c r="V526" t="s">
        <v>169</v>
      </c>
      <c r="W526">
        <v>1</v>
      </c>
      <c r="X526" t="s">
        <v>46</v>
      </c>
    </row>
    <row r="527" spans="1:24" x14ac:dyDescent="0.35">
      <c r="A527" t="s">
        <v>1122</v>
      </c>
      <c r="B527" t="s">
        <v>140</v>
      </c>
      <c r="C527" t="s">
        <v>154</v>
      </c>
      <c r="D527">
        <v>40</v>
      </c>
      <c r="E527">
        <v>1984</v>
      </c>
      <c r="F527">
        <v>70000</v>
      </c>
      <c r="G527" t="s">
        <v>27</v>
      </c>
      <c r="H527" t="s">
        <v>145</v>
      </c>
      <c r="I527" t="s">
        <v>40</v>
      </c>
      <c r="J527" s="14">
        <v>43845</v>
      </c>
      <c r="K527" t="s">
        <v>41</v>
      </c>
      <c r="L527">
        <v>34</v>
      </c>
      <c r="M527" t="s">
        <v>1123</v>
      </c>
      <c r="N527" t="s">
        <v>61</v>
      </c>
      <c r="O527" t="s">
        <v>100</v>
      </c>
      <c r="Q527">
        <v>2</v>
      </c>
      <c r="S527">
        <v>5</v>
      </c>
      <c r="V527" t="s">
        <v>34</v>
      </c>
      <c r="W527">
        <v>4</v>
      </c>
      <c r="X527" t="s">
        <v>34</v>
      </c>
    </row>
    <row r="528" spans="1:24" x14ac:dyDescent="0.35">
      <c r="A528" t="s">
        <v>1124</v>
      </c>
      <c r="B528" t="s">
        <v>25</v>
      </c>
      <c r="C528" t="s">
        <v>209</v>
      </c>
      <c r="D528">
        <v>35</v>
      </c>
      <c r="E528">
        <v>1989</v>
      </c>
      <c r="F528">
        <v>70000</v>
      </c>
      <c r="G528" t="s">
        <v>38</v>
      </c>
      <c r="H528" t="s">
        <v>28</v>
      </c>
      <c r="I528" t="s">
        <v>89</v>
      </c>
      <c r="J528" s="14">
        <v>43800</v>
      </c>
      <c r="K528" t="s">
        <v>30</v>
      </c>
      <c r="L528">
        <v>68</v>
      </c>
      <c r="M528" t="s">
        <v>1125</v>
      </c>
      <c r="N528" t="s">
        <v>104</v>
      </c>
      <c r="O528" t="s">
        <v>44</v>
      </c>
      <c r="P528" t="s">
        <v>638</v>
      </c>
      <c r="Q528">
        <v>5</v>
      </c>
      <c r="V528" t="s">
        <v>34</v>
      </c>
      <c r="W528">
        <v>3</v>
      </c>
      <c r="X528" t="s">
        <v>34</v>
      </c>
    </row>
    <row r="529" spans="1:24" x14ac:dyDescent="0.35">
      <c r="A529" t="s">
        <v>1126</v>
      </c>
      <c r="B529" t="s">
        <v>56</v>
      </c>
      <c r="C529" t="s">
        <v>413</v>
      </c>
      <c r="D529" t="s">
        <v>88</v>
      </c>
      <c r="E529">
        <v>1994</v>
      </c>
      <c r="F529">
        <v>50000</v>
      </c>
      <c r="G529" t="s">
        <v>38</v>
      </c>
      <c r="H529" t="s">
        <v>93</v>
      </c>
      <c r="I529" t="s">
        <v>77</v>
      </c>
      <c r="J529" s="14">
        <v>43881</v>
      </c>
      <c r="K529" t="s">
        <v>78</v>
      </c>
      <c r="L529">
        <v>83</v>
      </c>
      <c r="M529" t="s">
        <v>414</v>
      </c>
      <c r="O529" t="s">
        <v>174</v>
      </c>
      <c r="Q529">
        <v>2</v>
      </c>
      <c r="S529">
        <v>17</v>
      </c>
      <c r="T529" s="14">
        <v>44470</v>
      </c>
      <c r="V529" t="s">
        <v>34</v>
      </c>
      <c r="W529">
        <v>2</v>
      </c>
      <c r="X529" t="s">
        <v>46</v>
      </c>
    </row>
    <row r="530" spans="1:24" x14ac:dyDescent="0.35">
      <c r="A530" t="s">
        <v>1127</v>
      </c>
      <c r="B530" t="s">
        <v>68</v>
      </c>
      <c r="C530" t="s">
        <v>849</v>
      </c>
      <c r="D530">
        <v>35</v>
      </c>
      <c r="E530">
        <v>1989</v>
      </c>
      <c r="F530" t="s">
        <v>50</v>
      </c>
      <c r="G530" t="s">
        <v>27</v>
      </c>
      <c r="H530" t="s">
        <v>93</v>
      </c>
      <c r="I530" t="s">
        <v>40</v>
      </c>
      <c r="J530" s="14">
        <v>43549</v>
      </c>
      <c r="K530" t="s">
        <v>78</v>
      </c>
      <c r="L530">
        <v>87</v>
      </c>
      <c r="M530" t="s">
        <v>850</v>
      </c>
      <c r="N530" t="s">
        <v>54</v>
      </c>
      <c r="O530" t="s">
        <v>66</v>
      </c>
      <c r="P530" t="s">
        <v>1128</v>
      </c>
      <c r="Q530">
        <v>5</v>
      </c>
      <c r="R530">
        <v>5</v>
      </c>
      <c r="S530">
        <v>18</v>
      </c>
      <c r="V530" t="s">
        <v>73</v>
      </c>
      <c r="W530">
        <v>4</v>
      </c>
      <c r="X530" t="s">
        <v>34</v>
      </c>
    </row>
    <row r="531" spans="1:24" x14ac:dyDescent="0.35">
      <c r="A531" t="s">
        <v>1129</v>
      </c>
      <c r="B531" t="s">
        <v>68</v>
      </c>
      <c r="C531" t="s">
        <v>193</v>
      </c>
      <c r="D531" t="s">
        <v>88</v>
      </c>
      <c r="E531">
        <v>1994</v>
      </c>
      <c r="F531">
        <v>50000</v>
      </c>
      <c r="G531" t="s">
        <v>27</v>
      </c>
      <c r="H531" t="s">
        <v>93</v>
      </c>
      <c r="I531" t="s">
        <v>94</v>
      </c>
      <c r="J531" s="14">
        <v>43881</v>
      </c>
      <c r="K531" t="s">
        <v>59</v>
      </c>
      <c r="L531">
        <v>98</v>
      </c>
      <c r="M531" t="s">
        <v>194</v>
      </c>
      <c r="N531" t="s">
        <v>54</v>
      </c>
      <c r="O531" t="s">
        <v>100</v>
      </c>
      <c r="P531" t="s">
        <v>1130</v>
      </c>
      <c r="Q531">
        <v>2</v>
      </c>
      <c r="R531">
        <v>10</v>
      </c>
      <c r="T531" s="14">
        <v>45516</v>
      </c>
      <c r="U531">
        <v>46</v>
      </c>
      <c r="V531" t="s">
        <v>169</v>
      </c>
      <c r="W531">
        <v>4</v>
      </c>
      <c r="X531" t="s">
        <v>34</v>
      </c>
    </row>
    <row r="532" spans="1:24" x14ac:dyDescent="0.35">
      <c r="A532" t="s">
        <v>1131</v>
      </c>
      <c r="B532" t="s">
        <v>25</v>
      </c>
      <c r="C532" t="s">
        <v>137</v>
      </c>
      <c r="D532">
        <v>35</v>
      </c>
      <c r="E532">
        <v>1989</v>
      </c>
      <c r="F532">
        <v>70000</v>
      </c>
      <c r="G532" t="s">
        <v>27</v>
      </c>
      <c r="H532" t="s">
        <v>39</v>
      </c>
      <c r="I532" t="s">
        <v>89</v>
      </c>
      <c r="J532" s="14">
        <v>43800</v>
      </c>
      <c r="K532" t="s">
        <v>41</v>
      </c>
      <c r="L532">
        <v>25</v>
      </c>
      <c r="M532" t="s">
        <v>1132</v>
      </c>
      <c r="N532" t="s">
        <v>43</v>
      </c>
      <c r="O532" t="s">
        <v>100</v>
      </c>
      <c r="Q532">
        <v>4</v>
      </c>
      <c r="R532" t="s">
        <v>79</v>
      </c>
      <c r="V532" t="s">
        <v>33</v>
      </c>
      <c r="W532">
        <v>5</v>
      </c>
      <c r="X532" t="s">
        <v>46</v>
      </c>
    </row>
    <row r="533" spans="1:24" x14ac:dyDescent="0.35">
      <c r="A533" t="s">
        <v>1133</v>
      </c>
      <c r="B533" t="s">
        <v>68</v>
      </c>
      <c r="C533" t="s">
        <v>117</v>
      </c>
      <c r="D533">
        <v>40</v>
      </c>
      <c r="E533">
        <v>1984</v>
      </c>
      <c r="F533" t="s">
        <v>50</v>
      </c>
      <c r="G533" t="s">
        <v>27</v>
      </c>
      <c r="H533" t="s">
        <v>122</v>
      </c>
      <c r="I533" t="s">
        <v>40</v>
      </c>
      <c r="J533" s="14">
        <v>43845</v>
      </c>
      <c r="K533" t="s">
        <v>59</v>
      </c>
      <c r="L533">
        <v>94</v>
      </c>
      <c r="M533" t="s">
        <v>1134</v>
      </c>
      <c r="N533" t="s">
        <v>61</v>
      </c>
      <c r="O533" t="s">
        <v>72</v>
      </c>
      <c r="Q533">
        <v>8</v>
      </c>
      <c r="S533">
        <v>14</v>
      </c>
      <c r="T533" s="14">
        <v>44941</v>
      </c>
      <c r="U533">
        <v>54</v>
      </c>
      <c r="W533">
        <v>5</v>
      </c>
      <c r="X533" t="s">
        <v>34</v>
      </c>
    </row>
    <row r="534" spans="1:24" x14ac:dyDescent="0.35">
      <c r="A534" t="s">
        <v>1135</v>
      </c>
      <c r="B534" t="s">
        <v>56</v>
      </c>
      <c r="C534" t="s">
        <v>92</v>
      </c>
      <c r="D534">
        <v>40</v>
      </c>
      <c r="E534">
        <v>1984</v>
      </c>
      <c r="F534" t="s">
        <v>50</v>
      </c>
      <c r="G534" t="s">
        <v>27</v>
      </c>
      <c r="H534" t="s">
        <v>28</v>
      </c>
      <c r="I534" t="s">
        <v>89</v>
      </c>
      <c r="J534" s="14">
        <v>43881</v>
      </c>
      <c r="K534" t="s">
        <v>78</v>
      </c>
      <c r="L534">
        <v>86</v>
      </c>
      <c r="M534" t="s">
        <v>1136</v>
      </c>
      <c r="N534" t="s">
        <v>43</v>
      </c>
      <c r="O534" t="s">
        <v>112</v>
      </c>
      <c r="Q534">
        <v>6</v>
      </c>
      <c r="T534" t="s">
        <v>79</v>
      </c>
      <c r="W534">
        <v>3</v>
      </c>
      <c r="X534" t="s">
        <v>34</v>
      </c>
    </row>
    <row r="535" spans="1:24" x14ac:dyDescent="0.35">
      <c r="A535" t="s">
        <v>1137</v>
      </c>
      <c r="B535" t="s">
        <v>75</v>
      </c>
      <c r="C535" t="s">
        <v>135</v>
      </c>
      <c r="D535">
        <v>25</v>
      </c>
      <c r="E535">
        <v>1999</v>
      </c>
      <c r="F535">
        <v>50000</v>
      </c>
      <c r="G535" t="s">
        <v>27</v>
      </c>
      <c r="H535" t="s">
        <v>51</v>
      </c>
      <c r="I535" t="s">
        <v>94</v>
      </c>
      <c r="J535" s="14">
        <v>43800</v>
      </c>
      <c r="K535" t="s">
        <v>78</v>
      </c>
      <c r="L535">
        <v>81</v>
      </c>
      <c r="M535" t="s">
        <v>1138</v>
      </c>
      <c r="O535" t="s">
        <v>72</v>
      </c>
      <c r="P535" t="s">
        <v>1049</v>
      </c>
      <c r="Q535">
        <v>6</v>
      </c>
      <c r="S535">
        <v>8</v>
      </c>
      <c r="T535" s="14">
        <v>45516</v>
      </c>
      <c r="W535">
        <v>4</v>
      </c>
      <c r="X535" t="s">
        <v>34</v>
      </c>
    </row>
    <row r="536" spans="1:24" x14ac:dyDescent="0.35">
      <c r="A536" t="s">
        <v>1139</v>
      </c>
      <c r="B536" t="s">
        <v>25</v>
      </c>
      <c r="C536" t="s">
        <v>81</v>
      </c>
      <c r="D536">
        <v>50</v>
      </c>
      <c r="E536">
        <v>1974</v>
      </c>
      <c r="F536">
        <v>70000</v>
      </c>
      <c r="G536" t="s">
        <v>38</v>
      </c>
      <c r="H536" t="s">
        <v>145</v>
      </c>
      <c r="I536" t="s">
        <v>40</v>
      </c>
      <c r="J536" s="14">
        <v>43195</v>
      </c>
      <c r="K536" t="s">
        <v>41</v>
      </c>
      <c r="L536">
        <v>23</v>
      </c>
      <c r="M536" t="s">
        <v>401</v>
      </c>
      <c r="N536" t="s">
        <v>104</v>
      </c>
      <c r="O536" t="s">
        <v>44</v>
      </c>
      <c r="Q536">
        <v>3</v>
      </c>
      <c r="R536">
        <v>15</v>
      </c>
      <c r="V536" t="s">
        <v>46</v>
      </c>
      <c r="W536">
        <v>2</v>
      </c>
      <c r="X536" t="s">
        <v>46</v>
      </c>
    </row>
    <row r="537" spans="1:24" x14ac:dyDescent="0.35">
      <c r="A537" t="s">
        <v>1140</v>
      </c>
      <c r="B537" t="s">
        <v>114</v>
      </c>
      <c r="C537" t="s">
        <v>137</v>
      </c>
      <c r="D537">
        <v>35</v>
      </c>
      <c r="E537">
        <v>1989</v>
      </c>
      <c r="F537">
        <v>65000</v>
      </c>
      <c r="G537" t="s">
        <v>27</v>
      </c>
      <c r="H537" t="s">
        <v>122</v>
      </c>
      <c r="I537" t="s">
        <v>94</v>
      </c>
      <c r="J537" s="14">
        <v>43549</v>
      </c>
      <c r="K537" t="s">
        <v>30</v>
      </c>
      <c r="L537">
        <v>66</v>
      </c>
      <c r="M537" t="s">
        <v>1141</v>
      </c>
      <c r="N537" t="s">
        <v>104</v>
      </c>
      <c r="O537" t="s">
        <v>66</v>
      </c>
      <c r="P537" t="s">
        <v>1142</v>
      </c>
      <c r="Q537">
        <v>4</v>
      </c>
      <c r="R537">
        <v>5</v>
      </c>
      <c r="W537">
        <v>5</v>
      </c>
      <c r="X537" t="s">
        <v>46</v>
      </c>
    </row>
    <row r="538" spans="1:24" x14ac:dyDescent="0.35">
      <c r="A538" t="s">
        <v>1143</v>
      </c>
      <c r="B538" t="s">
        <v>140</v>
      </c>
      <c r="C538" t="s">
        <v>588</v>
      </c>
      <c r="E538">
        <v>1977</v>
      </c>
      <c r="F538">
        <v>70000</v>
      </c>
      <c r="G538" t="s">
        <v>38</v>
      </c>
      <c r="H538" t="s">
        <v>93</v>
      </c>
      <c r="I538" t="s">
        <v>29</v>
      </c>
      <c r="J538" s="14">
        <v>43881</v>
      </c>
      <c r="K538" t="s">
        <v>30</v>
      </c>
      <c r="L538">
        <v>65</v>
      </c>
      <c r="M538" t="s">
        <v>589</v>
      </c>
      <c r="N538" t="s">
        <v>61</v>
      </c>
      <c r="O538" t="s">
        <v>66</v>
      </c>
      <c r="P538" t="s">
        <v>1144</v>
      </c>
      <c r="Q538">
        <v>2</v>
      </c>
      <c r="T538" s="14">
        <v>44732</v>
      </c>
      <c r="U538">
        <v>55</v>
      </c>
      <c r="V538" t="s">
        <v>169</v>
      </c>
      <c r="W538">
        <v>5</v>
      </c>
      <c r="X538" t="s">
        <v>46</v>
      </c>
    </row>
    <row r="539" spans="1:24" x14ac:dyDescent="0.35">
      <c r="A539" t="s">
        <v>1145</v>
      </c>
      <c r="B539" t="s">
        <v>68</v>
      </c>
      <c r="C539" t="s">
        <v>849</v>
      </c>
      <c r="D539">
        <v>25</v>
      </c>
      <c r="E539">
        <v>1999</v>
      </c>
      <c r="F539">
        <v>55000</v>
      </c>
      <c r="G539" t="s">
        <v>27</v>
      </c>
      <c r="H539" t="s">
        <v>28</v>
      </c>
      <c r="I539" t="s">
        <v>94</v>
      </c>
      <c r="J539" s="14">
        <v>43845</v>
      </c>
      <c r="K539" t="s">
        <v>41</v>
      </c>
      <c r="L539">
        <v>8</v>
      </c>
      <c r="M539" t="s">
        <v>850</v>
      </c>
      <c r="N539" t="s">
        <v>43</v>
      </c>
      <c r="O539" t="s">
        <v>174</v>
      </c>
      <c r="Q539">
        <v>5</v>
      </c>
      <c r="R539" t="s">
        <v>79</v>
      </c>
      <c r="S539">
        <v>9</v>
      </c>
      <c r="U539">
        <v>48</v>
      </c>
      <c r="W539">
        <v>4</v>
      </c>
      <c r="X539" t="s">
        <v>46</v>
      </c>
    </row>
    <row r="540" spans="1:24" x14ac:dyDescent="0.35">
      <c r="A540" t="s">
        <v>1146</v>
      </c>
      <c r="B540" t="s">
        <v>68</v>
      </c>
      <c r="C540" t="s">
        <v>259</v>
      </c>
      <c r="D540">
        <v>35</v>
      </c>
      <c r="E540">
        <v>1989</v>
      </c>
      <c r="F540">
        <v>58300</v>
      </c>
      <c r="G540" t="s">
        <v>27</v>
      </c>
      <c r="H540" t="s">
        <v>145</v>
      </c>
      <c r="I540" t="s">
        <v>89</v>
      </c>
      <c r="J540" s="14">
        <v>43195</v>
      </c>
      <c r="K540" t="s">
        <v>41</v>
      </c>
      <c r="L540">
        <v>29</v>
      </c>
      <c r="M540" t="s">
        <v>1147</v>
      </c>
      <c r="N540" t="s">
        <v>43</v>
      </c>
      <c r="O540" t="s">
        <v>174</v>
      </c>
      <c r="Q540">
        <v>2</v>
      </c>
      <c r="T540" t="s">
        <v>79</v>
      </c>
      <c r="V540" t="s">
        <v>73</v>
      </c>
      <c r="W540">
        <v>5</v>
      </c>
      <c r="X540" t="s">
        <v>46</v>
      </c>
    </row>
    <row r="541" spans="1:24" x14ac:dyDescent="0.35">
      <c r="A541" t="s">
        <v>1148</v>
      </c>
      <c r="B541" t="s">
        <v>131</v>
      </c>
      <c r="C541" t="s">
        <v>315</v>
      </c>
      <c r="D541">
        <v>35</v>
      </c>
      <c r="E541">
        <v>1989</v>
      </c>
      <c r="F541">
        <v>65000</v>
      </c>
      <c r="G541" t="s">
        <v>38</v>
      </c>
      <c r="H541" t="s">
        <v>51</v>
      </c>
      <c r="I541" t="s">
        <v>77</v>
      </c>
      <c r="J541" s="14">
        <v>43800</v>
      </c>
      <c r="K541" t="s">
        <v>59</v>
      </c>
      <c r="L541">
        <v>100</v>
      </c>
      <c r="M541" t="s">
        <v>1149</v>
      </c>
      <c r="O541" t="s">
        <v>44</v>
      </c>
      <c r="Q541">
        <v>4</v>
      </c>
      <c r="R541" t="s">
        <v>79</v>
      </c>
      <c r="S541">
        <v>16</v>
      </c>
      <c r="T541" s="14">
        <v>44990</v>
      </c>
      <c r="U541">
        <v>68</v>
      </c>
      <c r="W541">
        <v>1</v>
      </c>
      <c r="X541" t="s">
        <v>34</v>
      </c>
    </row>
    <row r="542" spans="1:24" x14ac:dyDescent="0.35">
      <c r="A542" t="s">
        <v>1150</v>
      </c>
      <c r="B542" t="s">
        <v>107</v>
      </c>
      <c r="C542" t="s">
        <v>729</v>
      </c>
      <c r="D542">
        <v>25</v>
      </c>
      <c r="E542">
        <v>1999</v>
      </c>
      <c r="F542" t="s">
        <v>50</v>
      </c>
      <c r="G542" t="s">
        <v>27</v>
      </c>
      <c r="H542" t="s">
        <v>70</v>
      </c>
      <c r="I542" t="s">
        <v>94</v>
      </c>
      <c r="J542" s="14">
        <v>43549</v>
      </c>
      <c r="K542" t="s">
        <v>41</v>
      </c>
      <c r="L542">
        <v>9</v>
      </c>
      <c r="M542" t="s">
        <v>730</v>
      </c>
      <c r="N542" t="s">
        <v>104</v>
      </c>
      <c r="O542" t="s">
        <v>66</v>
      </c>
      <c r="Q542">
        <v>6</v>
      </c>
      <c r="R542">
        <v>5</v>
      </c>
      <c r="S542">
        <v>1</v>
      </c>
      <c r="T542" t="s">
        <v>79</v>
      </c>
      <c r="U542">
        <v>25</v>
      </c>
      <c r="V542" t="s">
        <v>34</v>
      </c>
      <c r="W542">
        <v>1</v>
      </c>
      <c r="X542" t="s">
        <v>46</v>
      </c>
    </row>
    <row r="543" spans="1:24" x14ac:dyDescent="0.35">
      <c r="A543" t="s">
        <v>1151</v>
      </c>
      <c r="B543" t="s">
        <v>25</v>
      </c>
      <c r="C543" t="s">
        <v>199</v>
      </c>
      <c r="D543">
        <v>40</v>
      </c>
      <c r="E543">
        <v>1984</v>
      </c>
      <c r="F543">
        <v>65000</v>
      </c>
      <c r="G543" t="s">
        <v>38</v>
      </c>
      <c r="H543" t="s">
        <v>122</v>
      </c>
      <c r="I543" t="s">
        <v>77</v>
      </c>
      <c r="J543" s="14">
        <v>43845</v>
      </c>
      <c r="K543" t="s">
        <v>30</v>
      </c>
      <c r="L543">
        <v>60</v>
      </c>
      <c r="M543" t="s">
        <v>1152</v>
      </c>
      <c r="N543" t="s">
        <v>43</v>
      </c>
      <c r="O543" t="s">
        <v>72</v>
      </c>
      <c r="P543" t="s">
        <v>1014</v>
      </c>
      <c r="Q543">
        <v>8</v>
      </c>
      <c r="R543">
        <v>15</v>
      </c>
      <c r="V543" t="s">
        <v>169</v>
      </c>
      <c r="W543">
        <v>3</v>
      </c>
      <c r="X543" t="s">
        <v>34</v>
      </c>
    </row>
    <row r="544" spans="1:24" x14ac:dyDescent="0.35">
      <c r="A544" t="s">
        <v>1153</v>
      </c>
      <c r="B544" t="s">
        <v>48</v>
      </c>
      <c r="C544" t="s">
        <v>253</v>
      </c>
      <c r="D544">
        <v>35</v>
      </c>
      <c r="E544">
        <v>1989</v>
      </c>
      <c r="F544" t="s">
        <v>50</v>
      </c>
      <c r="G544" t="s">
        <v>27</v>
      </c>
      <c r="H544" t="s">
        <v>82</v>
      </c>
      <c r="I544" t="s">
        <v>29</v>
      </c>
      <c r="J544" s="14">
        <v>43800</v>
      </c>
      <c r="K544" t="s">
        <v>41</v>
      </c>
      <c r="L544">
        <v>15</v>
      </c>
      <c r="M544" t="s">
        <v>1154</v>
      </c>
      <c r="N544" t="s">
        <v>61</v>
      </c>
      <c r="O544" t="s">
        <v>32</v>
      </c>
      <c r="P544" t="s">
        <v>309</v>
      </c>
      <c r="Q544">
        <v>8</v>
      </c>
      <c r="W544">
        <v>5</v>
      </c>
      <c r="X544" t="s">
        <v>34</v>
      </c>
    </row>
    <row r="545" spans="1:24" x14ac:dyDescent="0.35">
      <c r="A545" t="s">
        <v>1155</v>
      </c>
      <c r="B545" t="s">
        <v>68</v>
      </c>
      <c r="C545" t="s">
        <v>849</v>
      </c>
      <c r="D545">
        <v>40</v>
      </c>
      <c r="E545">
        <v>1984</v>
      </c>
      <c r="F545" t="s">
        <v>50</v>
      </c>
      <c r="G545" t="s">
        <v>27</v>
      </c>
      <c r="H545" t="s">
        <v>58</v>
      </c>
      <c r="I545" t="s">
        <v>40</v>
      </c>
      <c r="J545" s="14">
        <v>43800</v>
      </c>
      <c r="K545" t="s">
        <v>59</v>
      </c>
      <c r="L545">
        <v>93</v>
      </c>
      <c r="M545" t="s">
        <v>850</v>
      </c>
      <c r="N545" t="s">
        <v>104</v>
      </c>
      <c r="O545" t="s">
        <v>72</v>
      </c>
      <c r="Q545">
        <v>6</v>
      </c>
      <c r="S545">
        <v>19</v>
      </c>
      <c r="U545">
        <v>35</v>
      </c>
      <c r="V545" t="s">
        <v>33</v>
      </c>
      <c r="W545">
        <v>2</v>
      </c>
      <c r="X545" t="s">
        <v>46</v>
      </c>
    </row>
    <row r="546" spans="1:24" x14ac:dyDescent="0.35">
      <c r="A546" t="s">
        <v>1156</v>
      </c>
      <c r="B546" t="s">
        <v>140</v>
      </c>
      <c r="C546" t="s">
        <v>299</v>
      </c>
      <c r="D546">
        <v>25</v>
      </c>
      <c r="E546">
        <v>1999</v>
      </c>
      <c r="F546">
        <v>65000</v>
      </c>
      <c r="G546" t="s">
        <v>38</v>
      </c>
      <c r="H546" t="s">
        <v>122</v>
      </c>
      <c r="I546" t="s">
        <v>40</v>
      </c>
      <c r="J546" s="14">
        <v>43881</v>
      </c>
      <c r="K546" t="s">
        <v>59</v>
      </c>
      <c r="L546">
        <v>97</v>
      </c>
      <c r="M546" t="s">
        <v>1157</v>
      </c>
      <c r="O546" t="s">
        <v>32</v>
      </c>
      <c r="Q546">
        <v>5</v>
      </c>
      <c r="V546" t="s">
        <v>46</v>
      </c>
      <c r="W546">
        <v>2</v>
      </c>
      <c r="X546" t="s">
        <v>46</v>
      </c>
    </row>
    <row r="547" spans="1:24" x14ac:dyDescent="0.35">
      <c r="A547" t="s">
        <v>1158</v>
      </c>
      <c r="B547" t="s">
        <v>114</v>
      </c>
      <c r="C547" t="s">
        <v>608</v>
      </c>
      <c r="D547">
        <v>40</v>
      </c>
      <c r="E547">
        <v>1984</v>
      </c>
      <c r="F547" t="s">
        <v>50</v>
      </c>
      <c r="G547" t="s">
        <v>27</v>
      </c>
      <c r="H547" t="s">
        <v>28</v>
      </c>
      <c r="I547" t="s">
        <v>77</v>
      </c>
      <c r="J547" s="14">
        <v>43881</v>
      </c>
      <c r="K547" t="s">
        <v>59</v>
      </c>
      <c r="L547">
        <v>90</v>
      </c>
      <c r="M547" t="s">
        <v>609</v>
      </c>
      <c r="N547" t="s">
        <v>61</v>
      </c>
      <c r="O547" t="s">
        <v>44</v>
      </c>
      <c r="P547" t="s">
        <v>1159</v>
      </c>
      <c r="Q547">
        <v>3</v>
      </c>
      <c r="S547">
        <v>8</v>
      </c>
      <c r="T547" s="14">
        <v>44941</v>
      </c>
      <c r="V547" t="s">
        <v>33</v>
      </c>
      <c r="W547">
        <v>2</v>
      </c>
      <c r="X547" t="s">
        <v>46</v>
      </c>
    </row>
    <row r="548" spans="1:24" x14ac:dyDescent="0.35">
      <c r="A548" t="s">
        <v>1160</v>
      </c>
      <c r="B548" t="s">
        <v>68</v>
      </c>
      <c r="C548" t="s">
        <v>154</v>
      </c>
      <c r="D548" t="s">
        <v>88</v>
      </c>
      <c r="E548">
        <v>1994</v>
      </c>
      <c r="F548" t="s">
        <v>50</v>
      </c>
      <c r="G548" t="s">
        <v>38</v>
      </c>
      <c r="H548" t="s">
        <v>28</v>
      </c>
      <c r="I548" t="s">
        <v>40</v>
      </c>
      <c r="J548" s="14">
        <v>43845</v>
      </c>
      <c r="K548" t="s">
        <v>59</v>
      </c>
      <c r="L548">
        <v>93</v>
      </c>
      <c r="M548" t="s">
        <v>1161</v>
      </c>
      <c r="N548" t="s">
        <v>54</v>
      </c>
      <c r="O548" t="s">
        <v>66</v>
      </c>
      <c r="P548" t="s">
        <v>793</v>
      </c>
      <c r="Q548">
        <v>6</v>
      </c>
      <c r="T548" s="14">
        <v>44990</v>
      </c>
      <c r="U548">
        <v>44</v>
      </c>
      <c r="V548" t="s">
        <v>73</v>
      </c>
      <c r="W548">
        <v>2</v>
      </c>
      <c r="X548" t="s">
        <v>34</v>
      </c>
    </row>
    <row r="549" spans="1:24" x14ac:dyDescent="0.35">
      <c r="A549" t="s">
        <v>1162</v>
      </c>
      <c r="B549" t="s">
        <v>114</v>
      </c>
      <c r="C549" t="s">
        <v>462</v>
      </c>
      <c r="E549">
        <v>1988</v>
      </c>
      <c r="F549">
        <v>55000</v>
      </c>
      <c r="G549" t="s">
        <v>27</v>
      </c>
      <c r="H549" t="s">
        <v>145</v>
      </c>
      <c r="I549" t="s">
        <v>94</v>
      </c>
      <c r="J549" s="14">
        <v>43800</v>
      </c>
      <c r="K549" t="s">
        <v>52</v>
      </c>
      <c r="L549">
        <v>75</v>
      </c>
      <c r="M549" t="s">
        <v>1163</v>
      </c>
      <c r="O549" t="s">
        <v>174</v>
      </c>
      <c r="Q549">
        <v>6</v>
      </c>
      <c r="T549" t="s">
        <v>79</v>
      </c>
      <c r="V549" t="s">
        <v>46</v>
      </c>
      <c r="W549">
        <v>4</v>
      </c>
      <c r="X549" t="s">
        <v>34</v>
      </c>
    </row>
    <row r="550" spans="1:24" x14ac:dyDescent="0.35">
      <c r="A550" t="s">
        <v>1164</v>
      </c>
      <c r="B550" t="s">
        <v>56</v>
      </c>
      <c r="C550" t="s">
        <v>87</v>
      </c>
      <c r="D550">
        <v>35</v>
      </c>
      <c r="E550">
        <v>1989</v>
      </c>
      <c r="F550">
        <v>70000</v>
      </c>
      <c r="G550" t="s">
        <v>38</v>
      </c>
      <c r="H550" t="s">
        <v>145</v>
      </c>
      <c r="I550" t="s">
        <v>77</v>
      </c>
      <c r="J550" s="14">
        <v>43881</v>
      </c>
      <c r="K550" t="s">
        <v>41</v>
      </c>
      <c r="L550">
        <v>56</v>
      </c>
      <c r="M550" t="s">
        <v>129</v>
      </c>
      <c r="N550" t="s">
        <v>61</v>
      </c>
      <c r="O550" t="s">
        <v>100</v>
      </c>
      <c r="Q550">
        <v>7</v>
      </c>
      <c r="R550">
        <v>6</v>
      </c>
      <c r="T550" s="14">
        <v>45516</v>
      </c>
      <c r="V550" t="s">
        <v>73</v>
      </c>
      <c r="W550">
        <v>4</v>
      </c>
      <c r="X550" t="s">
        <v>34</v>
      </c>
    </row>
    <row r="551" spans="1:24" x14ac:dyDescent="0.35">
      <c r="A551" t="s">
        <v>1165</v>
      </c>
      <c r="B551" t="s">
        <v>56</v>
      </c>
      <c r="C551" t="s">
        <v>164</v>
      </c>
      <c r="D551">
        <v>50</v>
      </c>
      <c r="E551">
        <v>1974</v>
      </c>
      <c r="F551">
        <v>70000</v>
      </c>
      <c r="G551" t="s">
        <v>27</v>
      </c>
      <c r="H551" t="s">
        <v>82</v>
      </c>
      <c r="I551" t="s">
        <v>89</v>
      </c>
      <c r="J551" s="14">
        <v>43549</v>
      </c>
      <c r="K551" t="s">
        <v>78</v>
      </c>
      <c r="L551">
        <v>88</v>
      </c>
      <c r="M551" t="s">
        <v>165</v>
      </c>
      <c r="N551" t="s">
        <v>43</v>
      </c>
      <c r="O551" t="s">
        <v>174</v>
      </c>
      <c r="Q551">
        <v>3</v>
      </c>
      <c r="T551" s="14">
        <v>44732</v>
      </c>
      <c r="V551" t="s">
        <v>34</v>
      </c>
      <c r="W551">
        <v>5</v>
      </c>
      <c r="X551" t="s">
        <v>46</v>
      </c>
    </row>
    <row r="552" spans="1:24" x14ac:dyDescent="0.35">
      <c r="A552" t="s">
        <v>1166</v>
      </c>
      <c r="B552" t="s">
        <v>107</v>
      </c>
      <c r="C552" t="s">
        <v>729</v>
      </c>
      <c r="E552">
        <v>1991</v>
      </c>
      <c r="F552">
        <v>60800</v>
      </c>
      <c r="G552" t="s">
        <v>27</v>
      </c>
      <c r="H552" t="s">
        <v>64</v>
      </c>
      <c r="I552" t="s">
        <v>94</v>
      </c>
      <c r="J552" s="14">
        <v>43549</v>
      </c>
      <c r="K552" t="s">
        <v>41</v>
      </c>
      <c r="L552">
        <v>56</v>
      </c>
      <c r="M552" t="s">
        <v>730</v>
      </c>
      <c r="N552" t="s">
        <v>54</v>
      </c>
      <c r="O552" t="s">
        <v>112</v>
      </c>
      <c r="P552" t="s">
        <v>897</v>
      </c>
      <c r="Q552">
        <v>1</v>
      </c>
      <c r="R552" t="s">
        <v>79</v>
      </c>
      <c r="S552">
        <v>10</v>
      </c>
      <c r="T552" s="14">
        <v>44470</v>
      </c>
      <c r="V552" t="s">
        <v>33</v>
      </c>
      <c r="W552">
        <v>5</v>
      </c>
      <c r="X552" t="s">
        <v>34</v>
      </c>
    </row>
    <row r="553" spans="1:24" x14ac:dyDescent="0.35">
      <c r="A553" t="s">
        <v>1167</v>
      </c>
      <c r="B553" t="s">
        <v>75</v>
      </c>
      <c r="C553" t="s">
        <v>151</v>
      </c>
      <c r="D553">
        <v>40</v>
      </c>
      <c r="E553">
        <v>1984</v>
      </c>
      <c r="F553">
        <v>60000</v>
      </c>
      <c r="G553" t="s">
        <v>27</v>
      </c>
      <c r="H553" t="s">
        <v>145</v>
      </c>
      <c r="I553" t="s">
        <v>94</v>
      </c>
      <c r="J553" s="14">
        <v>43800</v>
      </c>
      <c r="K553" t="s">
        <v>52</v>
      </c>
      <c r="L553">
        <v>78</v>
      </c>
      <c r="M553" t="s">
        <v>152</v>
      </c>
      <c r="O553" t="s">
        <v>100</v>
      </c>
      <c r="Q553">
        <v>6</v>
      </c>
      <c r="R553">
        <v>1</v>
      </c>
      <c r="S553">
        <v>19</v>
      </c>
      <c r="T553" t="s">
        <v>79</v>
      </c>
      <c r="U553">
        <v>65</v>
      </c>
      <c r="V553" t="s">
        <v>34</v>
      </c>
      <c r="W553">
        <v>1</v>
      </c>
      <c r="X553" t="s">
        <v>46</v>
      </c>
    </row>
    <row r="554" spans="1:24" x14ac:dyDescent="0.35">
      <c r="A554" t="s">
        <v>1168</v>
      </c>
      <c r="B554" t="s">
        <v>48</v>
      </c>
      <c r="C554" t="s">
        <v>96</v>
      </c>
      <c r="D554">
        <v>35</v>
      </c>
      <c r="E554">
        <v>1989</v>
      </c>
      <c r="F554">
        <v>55000</v>
      </c>
      <c r="G554" t="s">
        <v>38</v>
      </c>
      <c r="H554" t="s">
        <v>39</v>
      </c>
      <c r="I554" t="s">
        <v>94</v>
      </c>
      <c r="J554" s="14">
        <v>43881</v>
      </c>
      <c r="K554" t="s">
        <v>59</v>
      </c>
      <c r="L554">
        <v>95</v>
      </c>
      <c r="M554" t="s">
        <v>97</v>
      </c>
      <c r="N554" t="s">
        <v>43</v>
      </c>
      <c r="O554" t="s">
        <v>32</v>
      </c>
      <c r="Q554">
        <v>4</v>
      </c>
      <c r="S554">
        <v>3</v>
      </c>
      <c r="T554" s="14">
        <v>44732</v>
      </c>
      <c r="W554">
        <v>4</v>
      </c>
      <c r="X554" t="s">
        <v>34</v>
      </c>
    </row>
    <row r="555" spans="1:24" x14ac:dyDescent="0.35">
      <c r="A555" t="s">
        <v>1169</v>
      </c>
      <c r="B555" t="s">
        <v>131</v>
      </c>
      <c r="C555" t="s">
        <v>635</v>
      </c>
      <c r="D555">
        <v>40</v>
      </c>
      <c r="E555">
        <v>1984</v>
      </c>
      <c r="F555">
        <v>61500</v>
      </c>
      <c r="G555" t="s">
        <v>38</v>
      </c>
      <c r="H555" t="s">
        <v>28</v>
      </c>
      <c r="I555" t="s">
        <v>89</v>
      </c>
      <c r="J555" s="14">
        <v>43845</v>
      </c>
      <c r="K555" t="s">
        <v>52</v>
      </c>
      <c r="L555">
        <v>72</v>
      </c>
      <c r="M555" t="s">
        <v>636</v>
      </c>
      <c r="N555" t="s">
        <v>54</v>
      </c>
      <c r="O555" t="s">
        <v>72</v>
      </c>
      <c r="P555" t="s">
        <v>1170</v>
      </c>
      <c r="Q555">
        <v>4</v>
      </c>
      <c r="R555" t="s">
        <v>79</v>
      </c>
      <c r="T555" t="s">
        <v>79</v>
      </c>
      <c r="W555">
        <v>5</v>
      </c>
      <c r="X555" t="s">
        <v>34</v>
      </c>
    </row>
    <row r="556" spans="1:24" x14ac:dyDescent="0.35">
      <c r="A556" t="s">
        <v>1171</v>
      </c>
      <c r="B556" t="s">
        <v>107</v>
      </c>
      <c r="C556" t="s">
        <v>837</v>
      </c>
      <c r="D556" t="s">
        <v>88</v>
      </c>
      <c r="E556">
        <v>1994</v>
      </c>
      <c r="F556">
        <v>65000</v>
      </c>
      <c r="G556" t="s">
        <v>38</v>
      </c>
      <c r="H556" t="s">
        <v>145</v>
      </c>
      <c r="I556" t="s">
        <v>29</v>
      </c>
      <c r="J556" s="14">
        <v>43845</v>
      </c>
      <c r="K556" t="s">
        <v>30</v>
      </c>
      <c r="L556">
        <v>63</v>
      </c>
      <c r="M556" t="s">
        <v>838</v>
      </c>
      <c r="N556" t="s">
        <v>104</v>
      </c>
      <c r="O556" t="s">
        <v>72</v>
      </c>
      <c r="Q556">
        <v>7</v>
      </c>
      <c r="T556" s="14">
        <v>44990</v>
      </c>
      <c r="V556" t="s">
        <v>34</v>
      </c>
      <c r="W556">
        <v>2</v>
      </c>
      <c r="X556" t="s">
        <v>34</v>
      </c>
    </row>
    <row r="557" spans="1:24" x14ac:dyDescent="0.35">
      <c r="A557" t="s">
        <v>1172</v>
      </c>
      <c r="B557" t="s">
        <v>36</v>
      </c>
      <c r="C557" t="s">
        <v>315</v>
      </c>
      <c r="D557">
        <v>25</v>
      </c>
      <c r="E557">
        <v>1999</v>
      </c>
      <c r="F557">
        <v>50000</v>
      </c>
      <c r="G557" t="s">
        <v>27</v>
      </c>
      <c r="H557" t="s">
        <v>122</v>
      </c>
      <c r="I557" t="s">
        <v>40</v>
      </c>
      <c r="J557" s="14">
        <v>43845</v>
      </c>
      <c r="K557" t="s">
        <v>30</v>
      </c>
      <c r="L557">
        <v>67</v>
      </c>
      <c r="M557" t="s">
        <v>1173</v>
      </c>
      <c r="N557" t="s">
        <v>43</v>
      </c>
      <c r="O557" t="s">
        <v>174</v>
      </c>
      <c r="Q557">
        <v>5</v>
      </c>
      <c r="R557" t="s">
        <v>79</v>
      </c>
      <c r="T557" t="s">
        <v>79</v>
      </c>
      <c r="V557" t="s">
        <v>34</v>
      </c>
      <c r="W557">
        <v>4</v>
      </c>
      <c r="X557" t="s">
        <v>34</v>
      </c>
    </row>
    <row r="558" spans="1:24" x14ac:dyDescent="0.35">
      <c r="A558" t="s">
        <v>1174</v>
      </c>
      <c r="B558" t="s">
        <v>131</v>
      </c>
      <c r="C558" t="s">
        <v>285</v>
      </c>
      <c r="D558">
        <v>35</v>
      </c>
      <c r="E558">
        <v>1989</v>
      </c>
      <c r="F558">
        <v>50000</v>
      </c>
      <c r="G558" t="s">
        <v>38</v>
      </c>
      <c r="H558" t="s">
        <v>82</v>
      </c>
      <c r="I558" t="s">
        <v>77</v>
      </c>
      <c r="J558" s="14">
        <v>43549</v>
      </c>
      <c r="K558" t="s">
        <v>41</v>
      </c>
      <c r="L558">
        <v>35</v>
      </c>
      <c r="M558" t="s">
        <v>286</v>
      </c>
      <c r="N558" t="s">
        <v>61</v>
      </c>
      <c r="O558" t="s">
        <v>72</v>
      </c>
      <c r="P558" t="s">
        <v>212</v>
      </c>
      <c r="Q558">
        <v>6</v>
      </c>
      <c r="S558">
        <v>7</v>
      </c>
      <c r="T558" s="14">
        <v>45516</v>
      </c>
      <c r="V558" t="s">
        <v>169</v>
      </c>
      <c r="W558">
        <v>4</v>
      </c>
      <c r="X558" t="s">
        <v>46</v>
      </c>
    </row>
    <row r="559" spans="1:24" x14ac:dyDescent="0.35">
      <c r="A559" t="s">
        <v>1175</v>
      </c>
      <c r="B559" t="s">
        <v>25</v>
      </c>
      <c r="C559" t="s">
        <v>81</v>
      </c>
      <c r="D559" t="s">
        <v>88</v>
      </c>
      <c r="E559">
        <v>1994</v>
      </c>
      <c r="F559">
        <v>50000</v>
      </c>
      <c r="G559" t="s">
        <v>38</v>
      </c>
      <c r="H559" t="s">
        <v>70</v>
      </c>
      <c r="I559" t="s">
        <v>29</v>
      </c>
      <c r="J559" s="14">
        <v>43881</v>
      </c>
      <c r="K559" t="s">
        <v>41</v>
      </c>
      <c r="L559">
        <v>16</v>
      </c>
      <c r="M559" t="s">
        <v>401</v>
      </c>
      <c r="O559" t="s">
        <v>174</v>
      </c>
      <c r="Q559">
        <v>3</v>
      </c>
      <c r="S559">
        <v>7</v>
      </c>
      <c r="V559" t="s">
        <v>46</v>
      </c>
      <c r="W559">
        <v>2</v>
      </c>
      <c r="X559" t="s">
        <v>46</v>
      </c>
    </row>
    <row r="560" spans="1:24" x14ac:dyDescent="0.35">
      <c r="A560" t="s">
        <v>1176</v>
      </c>
      <c r="B560" t="s">
        <v>140</v>
      </c>
      <c r="C560" t="s">
        <v>620</v>
      </c>
      <c r="D560" t="s">
        <v>88</v>
      </c>
      <c r="E560">
        <v>1994</v>
      </c>
      <c r="F560">
        <v>55000</v>
      </c>
      <c r="G560" t="s">
        <v>38</v>
      </c>
      <c r="H560" t="s">
        <v>64</v>
      </c>
      <c r="I560" t="s">
        <v>77</v>
      </c>
      <c r="J560" s="14">
        <v>43881</v>
      </c>
      <c r="K560" t="s">
        <v>78</v>
      </c>
      <c r="L560">
        <v>85</v>
      </c>
      <c r="M560" t="s">
        <v>621</v>
      </c>
      <c r="N560" t="s">
        <v>54</v>
      </c>
      <c r="O560" t="s">
        <v>174</v>
      </c>
      <c r="Q560">
        <v>6</v>
      </c>
      <c r="R560" t="s">
        <v>79</v>
      </c>
      <c r="V560" t="s">
        <v>73</v>
      </c>
      <c r="W560">
        <v>4</v>
      </c>
      <c r="X560" t="s">
        <v>34</v>
      </c>
    </row>
    <row r="561" spans="1:24" x14ac:dyDescent="0.35">
      <c r="A561" t="s">
        <v>1177</v>
      </c>
      <c r="B561" t="s">
        <v>36</v>
      </c>
      <c r="C561" t="s">
        <v>256</v>
      </c>
      <c r="D561">
        <v>35</v>
      </c>
      <c r="E561">
        <v>1989</v>
      </c>
      <c r="F561">
        <v>55000</v>
      </c>
      <c r="G561" t="s">
        <v>38</v>
      </c>
      <c r="H561" t="s">
        <v>28</v>
      </c>
      <c r="I561" t="s">
        <v>40</v>
      </c>
      <c r="J561" s="14">
        <v>43549</v>
      </c>
      <c r="K561" t="s">
        <v>78</v>
      </c>
      <c r="L561">
        <v>81</v>
      </c>
      <c r="M561" t="s">
        <v>669</v>
      </c>
      <c r="N561" t="s">
        <v>43</v>
      </c>
      <c r="O561" t="s">
        <v>72</v>
      </c>
      <c r="P561" t="s">
        <v>910</v>
      </c>
      <c r="Q561">
        <v>8</v>
      </c>
      <c r="S561">
        <v>9</v>
      </c>
      <c r="W561">
        <v>2</v>
      </c>
      <c r="X561" t="s">
        <v>34</v>
      </c>
    </row>
    <row r="562" spans="1:24" x14ac:dyDescent="0.35">
      <c r="A562" t="s">
        <v>1178</v>
      </c>
      <c r="B562" t="s">
        <v>36</v>
      </c>
      <c r="C562" t="s">
        <v>141</v>
      </c>
      <c r="D562">
        <v>40</v>
      </c>
      <c r="E562">
        <v>1984</v>
      </c>
      <c r="F562" t="s">
        <v>50</v>
      </c>
      <c r="G562" t="s">
        <v>27</v>
      </c>
      <c r="H562" t="s">
        <v>28</v>
      </c>
      <c r="I562" t="s">
        <v>89</v>
      </c>
      <c r="J562" s="14">
        <v>43845</v>
      </c>
      <c r="K562" t="s">
        <v>30</v>
      </c>
      <c r="L562">
        <v>69</v>
      </c>
      <c r="M562" t="s">
        <v>1179</v>
      </c>
      <c r="N562" t="s">
        <v>104</v>
      </c>
      <c r="O562" t="s">
        <v>112</v>
      </c>
      <c r="Q562">
        <v>8</v>
      </c>
      <c r="V562" t="s">
        <v>34</v>
      </c>
      <c r="W562">
        <v>5</v>
      </c>
      <c r="X562" t="s">
        <v>34</v>
      </c>
    </row>
    <row r="563" spans="1:24" x14ac:dyDescent="0.35">
      <c r="A563" t="s">
        <v>1180</v>
      </c>
      <c r="B563" t="s">
        <v>107</v>
      </c>
      <c r="C563" t="s">
        <v>110</v>
      </c>
      <c r="D563">
        <v>50</v>
      </c>
      <c r="E563">
        <v>1974</v>
      </c>
      <c r="F563">
        <v>50000</v>
      </c>
      <c r="G563" t="s">
        <v>27</v>
      </c>
      <c r="H563" t="s">
        <v>145</v>
      </c>
      <c r="I563" t="s">
        <v>94</v>
      </c>
      <c r="J563" s="14">
        <v>43845</v>
      </c>
      <c r="K563" t="s">
        <v>59</v>
      </c>
      <c r="L563">
        <v>91</v>
      </c>
      <c r="M563" t="s">
        <v>1181</v>
      </c>
      <c r="O563" t="s">
        <v>44</v>
      </c>
      <c r="Q563">
        <v>8</v>
      </c>
      <c r="S563">
        <v>19</v>
      </c>
      <c r="T563" s="14">
        <v>44990</v>
      </c>
      <c r="W563">
        <v>1</v>
      </c>
      <c r="X563" t="s">
        <v>34</v>
      </c>
    </row>
    <row r="564" spans="1:24" x14ac:dyDescent="0.35">
      <c r="A564" t="s">
        <v>1182</v>
      </c>
      <c r="B564" t="s">
        <v>75</v>
      </c>
      <c r="C564" t="s">
        <v>213</v>
      </c>
      <c r="D564" t="s">
        <v>88</v>
      </c>
      <c r="E564">
        <v>1994</v>
      </c>
      <c r="F564">
        <v>65000</v>
      </c>
      <c r="G564" t="s">
        <v>38</v>
      </c>
      <c r="H564" t="s">
        <v>145</v>
      </c>
      <c r="I564" t="s">
        <v>94</v>
      </c>
      <c r="J564" s="14">
        <v>43800</v>
      </c>
      <c r="K564" t="s">
        <v>52</v>
      </c>
      <c r="L564">
        <v>75</v>
      </c>
      <c r="M564" t="s">
        <v>214</v>
      </c>
      <c r="O564" t="s">
        <v>72</v>
      </c>
      <c r="Q564">
        <v>6</v>
      </c>
      <c r="W564">
        <v>3</v>
      </c>
      <c r="X564" t="s">
        <v>46</v>
      </c>
    </row>
    <row r="565" spans="1:24" x14ac:dyDescent="0.35">
      <c r="A565" t="s">
        <v>1183</v>
      </c>
      <c r="B565" t="s">
        <v>107</v>
      </c>
      <c r="C565" t="s">
        <v>167</v>
      </c>
      <c r="E565">
        <v>1992</v>
      </c>
      <c r="F565">
        <v>58300</v>
      </c>
      <c r="G565" t="s">
        <v>38</v>
      </c>
      <c r="H565" t="s">
        <v>145</v>
      </c>
      <c r="I565" t="s">
        <v>89</v>
      </c>
      <c r="J565" s="14">
        <v>43195</v>
      </c>
      <c r="K565" t="s">
        <v>78</v>
      </c>
      <c r="L565">
        <v>83</v>
      </c>
      <c r="M565" t="s">
        <v>1184</v>
      </c>
      <c r="N565" t="s">
        <v>43</v>
      </c>
      <c r="O565" t="s">
        <v>32</v>
      </c>
      <c r="Q565">
        <v>5</v>
      </c>
      <c r="U565">
        <v>77</v>
      </c>
      <c r="V565" t="s">
        <v>34</v>
      </c>
      <c r="W565">
        <v>1</v>
      </c>
      <c r="X565" t="s">
        <v>46</v>
      </c>
    </row>
    <row r="566" spans="1:24" x14ac:dyDescent="0.35">
      <c r="A566" t="s">
        <v>1185</v>
      </c>
      <c r="B566" t="s">
        <v>25</v>
      </c>
      <c r="C566" t="s">
        <v>148</v>
      </c>
      <c r="D566" t="s">
        <v>88</v>
      </c>
      <c r="E566">
        <v>1994</v>
      </c>
      <c r="F566">
        <v>65000</v>
      </c>
      <c r="G566" t="s">
        <v>38</v>
      </c>
      <c r="H566" t="s">
        <v>70</v>
      </c>
      <c r="I566" t="s">
        <v>29</v>
      </c>
      <c r="J566" s="14">
        <v>43881</v>
      </c>
      <c r="K566" t="s">
        <v>78</v>
      </c>
      <c r="L566">
        <v>83</v>
      </c>
      <c r="M566" t="s">
        <v>1186</v>
      </c>
      <c r="N566" t="s">
        <v>104</v>
      </c>
      <c r="O566" t="s">
        <v>66</v>
      </c>
      <c r="Q566">
        <v>8</v>
      </c>
      <c r="R566">
        <v>7</v>
      </c>
      <c r="S566">
        <v>17</v>
      </c>
      <c r="V566" t="s">
        <v>169</v>
      </c>
      <c r="W566">
        <v>5</v>
      </c>
      <c r="X566" t="s">
        <v>46</v>
      </c>
    </row>
    <row r="567" spans="1:24" x14ac:dyDescent="0.35">
      <c r="A567" t="s">
        <v>1187</v>
      </c>
      <c r="B567" t="s">
        <v>68</v>
      </c>
      <c r="C567" t="s">
        <v>250</v>
      </c>
      <c r="D567">
        <v>50</v>
      </c>
      <c r="E567">
        <v>1974</v>
      </c>
      <c r="F567">
        <v>61500</v>
      </c>
      <c r="G567" t="s">
        <v>27</v>
      </c>
      <c r="H567" t="s">
        <v>145</v>
      </c>
      <c r="I567" t="s">
        <v>29</v>
      </c>
      <c r="J567" s="14">
        <v>43881</v>
      </c>
      <c r="K567" t="s">
        <v>59</v>
      </c>
      <c r="L567">
        <v>93</v>
      </c>
      <c r="M567" t="s">
        <v>251</v>
      </c>
      <c r="N567" t="s">
        <v>54</v>
      </c>
      <c r="O567" t="s">
        <v>174</v>
      </c>
      <c r="Q567">
        <v>2</v>
      </c>
      <c r="R567">
        <v>15</v>
      </c>
      <c r="S567">
        <v>4</v>
      </c>
      <c r="U567">
        <v>72</v>
      </c>
      <c r="V567" t="s">
        <v>46</v>
      </c>
      <c r="W567">
        <v>5</v>
      </c>
      <c r="X567" t="s">
        <v>34</v>
      </c>
    </row>
    <row r="568" spans="1:24" x14ac:dyDescent="0.35">
      <c r="A568" t="s">
        <v>1188</v>
      </c>
      <c r="B568" t="s">
        <v>68</v>
      </c>
      <c r="C568" t="s">
        <v>343</v>
      </c>
      <c r="D568">
        <v>40</v>
      </c>
      <c r="E568">
        <v>1984</v>
      </c>
      <c r="F568">
        <v>50000</v>
      </c>
      <c r="G568" t="s">
        <v>38</v>
      </c>
      <c r="H568" t="s">
        <v>82</v>
      </c>
      <c r="I568" t="s">
        <v>77</v>
      </c>
      <c r="J568" s="14">
        <v>43881</v>
      </c>
      <c r="K568" t="s">
        <v>59</v>
      </c>
      <c r="L568">
        <v>97</v>
      </c>
      <c r="M568" t="s">
        <v>1189</v>
      </c>
      <c r="N568" t="s">
        <v>43</v>
      </c>
      <c r="O568" t="s">
        <v>112</v>
      </c>
      <c r="P568" t="s">
        <v>1190</v>
      </c>
      <c r="Q568">
        <v>3</v>
      </c>
      <c r="T568" t="s">
        <v>79</v>
      </c>
      <c r="U568">
        <v>13</v>
      </c>
      <c r="W568">
        <v>5</v>
      </c>
      <c r="X568" t="s">
        <v>34</v>
      </c>
    </row>
    <row r="569" spans="1:24" x14ac:dyDescent="0.35">
      <c r="A569" t="s">
        <v>1191</v>
      </c>
      <c r="B569" t="s">
        <v>75</v>
      </c>
      <c r="C569" t="s">
        <v>26</v>
      </c>
      <c r="D569">
        <v>40</v>
      </c>
      <c r="E569">
        <v>1984</v>
      </c>
      <c r="F569">
        <v>50000</v>
      </c>
      <c r="G569" t="s">
        <v>27</v>
      </c>
      <c r="H569" t="s">
        <v>145</v>
      </c>
      <c r="I569" t="s">
        <v>89</v>
      </c>
      <c r="J569" s="14">
        <v>43195</v>
      </c>
      <c r="K569" t="s">
        <v>41</v>
      </c>
      <c r="L569">
        <v>6</v>
      </c>
      <c r="M569" t="s">
        <v>1192</v>
      </c>
      <c r="N569" t="s">
        <v>54</v>
      </c>
      <c r="O569" t="s">
        <v>174</v>
      </c>
      <c r="Q569">
        <v>2</v>
      </c>
      <c r="V569" t="s">
        <v>169</v>
      </c>
      <c r="W569">
        <v>1</v>
      </c>
      <c r="X569" t="s">
        <v>46</v>
      </c>
    </row>
    <row r="570" spans="1:24" x14ac:dyDescent="0.35">
      <c r="A570" t="s">
        <v>1193</v>
      </c>
      <c r="B570" t="s">
        <v>25</v>
      </c>
      <c r="C570" t="s">
        <v>247</v>
      </c>
      <c r="E570">
        <v>1984</v>
      </c>
      <c r="F570">
        <v>50000</v>
      </c>
      <c r="G570" t="s">
        <v>38</v>
      </c>
      <c r="H570" t="s">
        <v>122</v>
      </c>
      <c r="I570" t="s">
        <v>29</v>
      </c>
      <c r="J570" s="14">
        <v>43800</v>
      </c>
      <c r="K570" t="s">
        <v>52</v>
      </c>
      <c r="L570">
        <v>73</v>
      </c>
      <c r="M570" t="s">
        <v>1194</v>
      </c>
      <c r="O570" t="s">
        <v>32</v>
      </c>
      <c r="Q570">
        <v>5</v>
      </c>
      <c r="R570" t="s">
        <v>79</v>
      </c>
      <c r="S570">
        <v>19</v>
      </c>
      <c r="T570" s="14">
        <v>44732</v>
      </c>
      <c r="W570">
        <v>5</v>
      </c>
      <c r="X570" t="s">
        <v>46</v>
      </c>
    </row>
    <row r="571" spans="1:24" x14ac:dyDescent="0.35">
      <c r="A571" t="s">
        <v>1195</v>
      </c>
      <c r="B571" t="s">
        <v>75</v>
      </c>
      <c r="C571" t="s">
        <v>84</v>
      </c>
      <c r="D571" t="s">
        <v>88</v>
      </c>
      <c r="E571">
        <v>1994</v>
      </c>
      <c r="F571">
        <v>55000</v>
      </c>
      <c r="G571" t="s">
        <v>27</v>
      </c>
      <c r="H571" t="s">
        <v>145</v>
      </c>
      <c r="I571" t="s">
        <v>89</v>
      </c>
      <c r="J571" s="14">
        <v>43195</v>
      </c>
      <c r="K571" t="s">
        <v>59</v>
      </c>
      <c r="L571">
        <v>96</v>
      </c>
      <c r="M571" t="s">
        <v>1196</v>
      </c>
      <c r="N571" t="s">
        <v>54</v>
      </c>
      <c r="O571" t="s">
        <v>174</v>
      </c>
      <c r="Q571">
        <v>3</v>
      </c>
      <c r="V571" t="s">
        <v>73</v>
      </c>
      <c r="W571">
        <v>5</v>
      </c>
      <c r="X571" t="s">
        <v>46</v>
      </c>
    </row>
    <row r="572" spans="1:24" x14ac:dyDescent="0.35">
      <c r="A572" t="s">
        <v>1197</v>
      </c>
      <c r="B572" t="s">
        <v>114</v>
      </c>
      <c r="C572" t="s">
        <v>591</v>
      </c>
      <c r="D572">
        <v>40</v>
      </c>
      <c r="E572">
        <v>1984</v>
      </c>
      <c r="F572">
        <v>60500</v>
      </c>
      <c r="G572" t="s">
        <v>27</v>
      </c>
      <c r="H572" t="s">
        <v>70</v>
      </c>
      <c r="I572" t="s">
        <v>40</v>
      </c>
      <c r="J572" s="14">
        <v>43845</v>
      </c>
      <c r="K572" t="s">
        <v>78</v>
      </c>
      <c r="L572">
        <v>80</v>
      </c>
      <c r="M572" t="s">
        <v>592</v>
      </c>
      <c r="N572" t="s">
        <v>104</v>
      </c>
      <c r="O572" t="s">
        <v>32</v>
      </c>
      <c r="Q572">
        <v>4</v>
      </c>
      <c r="T572" s="14">
        <v>44732</v>
      </c>
      <c r="V572" t="s">
        <v>169</v>
      </c>
      <c r="W572">
        <v>1</v>
      </c>
      <c r="X572" t="s">
        <v>34</v>
      </c>
    </row>
    <row r="573" spans="1:24" x14ac:dyDescent="0.35">
      <c r="A573" t="s">
        <v>1198</v>
      </c>
      <c r="B573" t="s">
        <v>68</v>
      </c>
      <c r="C573" t="s">
        <v>849</v>
      </c>
      <c r="D573">
        <v>50</v>
      </c>
      <c r="E573">
        <v>1974</v>
      </c>
      <c r="F573">
        <v>55000</v>
      </c>
      <c r="G573" t="s">
        <v>27</v>
      </c>
      <c r="H573" t="s">
        <v>122</v>
      </c>
      <c r="I573" t="s">
        <v>94</v>
      </c>
      <c r="J573" s="14">
        <v>43845</v>
      </c>
      <c r="K573" t="s">
        <v>78</v>
      </c>
      <c r="L573">
        <v>89</v>
      </c>
      <c r="M573" t="s">
        <v>850</v>
      </c>
      <c r="N573" t="s">
        <v>61</v>
      </c>
      <c r="O573" t="s">
        <v>174</v>
      </c>
      <c r="Q573">
        <v>5</v>
      </c>
      <c r="R573">
        <v>1</v>
      </c>
      <c r="T573" s="14">
        <v>44941</v>
      </c>
      <c r="V573" t="s">
        <v>73</v>
      </c>
      <c r="W573">
        <v>5</v>
      </c>
      <c r="X573" t="s">
        <v>34</v>
      </c>
    </row>
    <row r="574" spans="1:24" x14ac:dyDescent="0.35">
      <c r="A574" t="s">
        <v>1199</v>
      </c>
      <c r="B574" t="s">
        <v>36</v>
      </c>
      <c r="C574" t="s">
        <v>199</v>
      </c>
      <c r="D574">
        <v>35</v>
      </c>
      <c r="E574">
        <v>1989</v>
      </c>
      <c r="F574">
        <v>55000</v>
      </c>
      <c r="G574" t="s">
        <v>27</v>
      </c>
      <c r="H574" t="s">
        <v>28</v>
      </c>
      <c r="I574" t="s">
        <v>94</v>
      </c>
      <c r="J574" s="14">
        <v>43881</v>
      </c>
      <c r="K574" t="s">
        <v>30</v>
      </c>
      <c r="L574">
        <v>66</v>
      </c>
      <c r="M574" t="s">
        <v>1200</v>
      </c>
      <c r="N574" t="s">
        <v>104</v>
      </c>
      <c r="O574" t="s">
        <v>72</v>
      </c>
      <c r="Q574">
        <v>2</v>
      </c>
      <c r="R574" t="s">
        <v>79</v>
      </c>
      <c r="S574">
        <v>9</v>
      </c>
      <c r="T574" s="14">
        <v>44732</v>
      </c>
      <c r="V574" t="s">
        <v>46</v>
      </c>
      <c r="W574">
        <v>3</v>
      </c>
      <c r="X574" t="s">
        <v>34</v>
      </c>
    </row>
    <row r="575" spans="1:24" x14ac:dyDescent="0.35">
      <c r="A575" t="s">
        <v>1201</v>
      </c>
      <c r="B575" t="s">
        <v>48</v>
      </c>
      <c r="C575" t="s">
        <v>534</v>
      </c>
      <c r="D575">
        <v>25</v>
      </c>
      <c r="E575">
        <v>1999</v>
      </c>
      <c r="F575">
        <v>70000</v>
      </c>
      <c r="G575" t="s">
        <v>38</v>
      </c>
      <c r="H575" t="s">
        <v>28</v>
      </c>
      <c r="I575" t="s">
        <v>94</v>
      </c>
      <c r="J575" s="14">
        <v>43549</v>
      </c>
      <c r="K575" t="s">
        <v>59</v>
      </c>
      <c r="L575">
        <v>93</v>
      </c>
      <c r="M575" t="s">
        <v>535</v>
      </c>
      <c r="N575" t="s">
        <v>54</v>
      </c>
      <c r="O575" t="s">
        <v>66</v>
      </c>
      <c r="Q575">
        <v>2</v>
      </c>
      <c r="T575" t="s">
        <v>79</v>
      </c>
      <c r="W575">
        <v>3</v>
      </c>
      <c r="X575" t="s">
        <v>34</v>
      </c>
    </row>
    <row r="576" spans="1:24" x14ac:dyDescent="0.35">
      <c r="A576" t="s">
        <v>1202</v>
      </c>
      <c r="B576" t="s">
        <v>140</v>
      </c>
      <c r="C576" t="s">
        <v>253</v>
      </c>
      <c r="D576">
        <v>25</v>
      </c>
      <c r="E576">
        <v>1999</v>
      </c>
      <c r="F576">
        <v>65000</v>
      </c>
      <c r="G576" t="s">
        <v>27</v>
      </c>
      <c r="H576" t="s">
        <v>39</v>
      </c>
      <c r="I576" t="s">
        <v>89</v>
      </c>
      <c r="J576" s="14">
        <v>43881</v>
      </c>
      <c r="K576" t="s">
        <v>41</v>
      </c>
      <c r="L576">
        <v>46</v>
      </c>
      <c r="M576" t="s">
        <v>1203</v>
      </c>
      <c r="N576" t="s">
        <v>43</v>
      </c>
      <c r="O576" t="s">
        <v>72</v>
      </c>
      <c r="Q576">
        <v>1</v>
      </c>
      <c r="U576">
        <v>20</v>
      </c>
      <c r="W576">
        <v>3</v>
      </c>
      <c r="X576" t="s">
        <v>34</v>
      </c>
    </row>
    <row r="577" spans="1:24" x14ac:dyDescent="0.35">
      <c r="A577" t="s">
        <v>1204</v>
      </c>
      <c r="B577" t="s">
        <v>25</v>
      </c>
      <c r="C577" t="s">
        <v>315</v>
      </c>
      <c r="D577">
        <v>25</v>
      </c>
      <c r="E577">
        <v>1999</v>
      </c>
      <c r="F577">
        <v>65000</v>
      </c>
      <c r="G577" t="s">
        <v>38</v>
      </c>
      <c r="H577" t="s">
        <v>122</v>
      </c>
      <c r="I577" t="s">
        <v>89</v>
      </c>
      <c r="J577" s="14">
        <v>43549</v>
      </c>
      <c r="K577" t="s">
        <v>52</v>
      </c>
      <c r="L577">
        <v>72</v>
      </c>
      <c r="M577" t="s">
        <v>1205</v>
      </c>
      <c r="O577" t="s">
        <v>174</v>
      </c>
      <c r="P577" t="s">
        <v>1206</v>
      </c>
      <c r="Q577">
        <v>1</v>
      </c>
      <c r="S577">
        <v>2</v>
      </c>
      <c r="V577" t="s">
        <v>34</v>
      </c>
      <c r="W577">
        <v>2</v>
      </c>
      <c r="X577" t="s">
        <v>46</v>
      </c>
    </row>
    <row r="578" spans="1:24" x14ac:dyDescent="0.35">
      <c r="A578" t="s">
        <v>1207</v>
      </c>
      <c r="B578" t="s">
        <v>131</v>
      </c>
      <c r="C578" t="s">
        <v>305</v>
      </c>
      <c r="D578" t="s">
        <v>88</v>
      </c>
      <c r="E578">
        <v>1994</v>
      </c>
      <c r="F578" t="s">
        <v>50</v>
      </c>
      <c r="G578" t="s">
        <v>27</v>
      </c>
      <c r="H578" t="s">
        <v>64</v>
      </c>
      <c r="I578" t="s">
        <v>77</v>
      </c>
      <c r="J578" s="14">
        <v>43195</v>
      </c>
      <c r="K578" t="s">
        <v>41</v>
      </c>
      <c r="L578">
        <v>2</v>
      </c>
      <c r="M578" t="s">
        <v>306</v>
      </c>
      <c r="N578" t="s">
        <v>61</v>
      </c>
      <c r="O578" t="s">
        <v>32</v>
      </c>
      <c r="Q578">
        <v>7</v>
      </c>
      <c r="T578" t="s">
        <v>79</v>
      </c>
      <c r="V578" t="s">
        <v>73</v>
      </c>
      <c r="W578">
        <v>1</v>
      </c>
      <c r="X578" t="s">
        <v>34</v>
      </c>
    </row>
    <row r="579" spans="1:24" x14ac:dyDescent="0.35">
      <c r="A579" t="s">
        <v>1208</v>
      </c>
      <c r="B579" t="s">
        <v>75</v>
      </c>
      <c r="C579" t="s">
        <v>499</v>
      </c>
      <c r="E579">
        <v>1997</v>
      </c>
      <c r="F579">
        <v>55000</v>
      </c>
      <c r="G579" t="s">
        <v>38</v>
      </c>
      <c r="H579" t="s">
        <v>122</v>
      </c>
      <c r="I579" t="s">
        <v>94</v>
      </c>
      <c r="J579" s="14">
        <v>43845</v>
      </c>
      <c r="K579" t="s">
        <v>78</v>
      </c>
      <c r="L579">
        <v>80</v>
      </c>
      <c r="M579" t="s">
        <v>1209</v>
      </c>
      <c r="N579" t="s">
        <v>43</v>
      </c>
      <c r="O579" t="s">
        <v>44</v>
      </c>
      <c r="P579" t="s">
        <v>336</v>
      </c>
      <c r="Q579">
        <v>4</v>
      </c>
      <c r="S579">
        <v>0</v>
      </c>
      <c r="W579">
        <v>1</v>
      </c>
      <c r="X579" t="s">
        <v>34</v>
      </c>
    </row>
    <row r="580" spans="1:24" x14ac:dyDescent="0.35">
      <c r="A580" t="s">
        <v>1210</v>
      </c>
      <c r="B580" t="s">
        <v>140</v>
      </c>
      <c r="C580" t="s">
        <v>167</v>
      </c>
      <c r="D580">
        <v>40</v>
      </c>
      <c r="E580">
        <v>1984</v>
      </c>
      <c r="F580">
        <v>58600</v>
      </c>
      <c r="G580" t="s">
        <v>38</v>
      </c>
      <c r="H580" t="s">
        <v>122</v>
      </c>
      <c r="I580" t="s">
        <v>77</v>
      </c>
      <c r="J580" s="14">
        <v>43549</v>
      </c>
      <c r="K580" t="s">
        <v>41</v>
      </c>
      <c r="L580">
        <v>0</v>
      </c>
      <c r="M580" t="s">
        <v>1211</v>
      </c>
      <c r="N580" t="s">
        <v>43</v>
      </c>
      <c r="O580" t="s">
        <v>112</v>
      </c>
      <c r="P580" t="s">
        <v>205</v>
      </c>
      <c r="Q580">
        <v>1</v>
      </c>
      <c r="S580">
        <v>15</v>
      </c>
      <c r="T580" s="14">
        <v>45516</v>
      </c>
      <c r="W580">
        <v>2</v>
      </c>
      <c r="X580" t="s">
        <v>34</v>
      </c>
    </row>
    <row r="581" spans="1:24" x14ac:dyDescent="0.35">
      <c r="A581" t="s">
        <v>1212</v>
      </c>
      <c r="B581" t="s">
        <v>131</v>
      </c>
      <c r="C581" t="s">
        <v>285</v>
      </c>
      <c r="D581">
        <v>35</v>
      </c>
      <c r="E581">
        <v>1989</v>
      </c>
      <c r="F581">
        <v>70000</v>
      </c>
      <c r="G581" t="s">
        <v>38</v>
      </c>
      <c r="H581" t="s">
        <v>70</v>
      </c>
      <c r="I581" t="s">
        <v>94</v>
      </c>
      <c r="J581" s="14">
        <v>43195</v>
      </c>
      <c r="K581" t="s">
        <v>78</v>
      </c>
      <c r="L581">
        <v>88</v>
      </c>
      <c r="M581" t="s">
        <v>286</v>
      </c>
      <c r="N581" t="s">
        <v>104</v>
      </c>
      <c r="O581" t="s">
        <v>174</v>
      </c>
      <c r="Q581">
        <v>5</v>
      </c>
      <c r="R581">
        <v>6</v>
      </c>
      <c r="S581">
        <v>3</v>
      </c>
      <c r="T581" s="14">
        <v>45516</v>
      </c>
      <c r="U581">
        <v>42</v>
      </c>
      <c r="V581" t="s">
        <v>34</v>
      </c>
      <c r="W581">
        <v>3</v>
      </c>
      <c r="X581" t="s">
        <v>34</v>
      </c>
    </row>
    <row r="582" spans="1:24" x14ac:dyDescent="0.35">
      <c r="A582" t="s">
        <v>1213</v>
      </c>
      <c r="B582" t="s">
        <v>140</v>
      </c>
      <c r="C582" t="s">
        <v>281</v>
      </c>
      <c r="D582">
        <v>50</v>
      </c>
      <c r="E582">
        <v>1974</v>
      </c>
      <c r="F582">
        <v>70000</v>
      </c>
      <c r="G582" t="s">
        <v>38</v>
      </c>
      <c r="H582" t="s">
        <v>39</v>
      </c>
      <c r="I582" t="s">
        <v>77</v>
      </c>
      <c r="J582" s="14">
        <v>43845</v>
      </c>
      <c r="K582" t="s">
        <v>78</v>
      </c>
      <c r="L582">
        <v>89</v>
      </c>
      <c r="M582" t="s">
        <v>282</v>
      </c>
      <c r="N582" t="s">
        <v>54</v>
      </c>
      <c r="O582" t="s">
        <v>44</v>
      </c>
      <c r="Q582">
        <v>8</v>
      </c>
      <c r="S582">
        <v>0</v>
      </c>
      <c r="V582" t="s">
        <v>46</v>
      </c>
      <c r="W582">
        <v>5</v>
      </c>
      <c r="X582" t="s">
        <v>46</v>
      </c>
    </row>
    <row r="583" spans="1:24" x14ac:dyDescent="0.35">
      <c r="A583" t="s">
        <v>1214</v>
      </c>
      <c r="B583" t="s">
        <v>48</v>
      </c>
      <c r="C583" t="s">
        <v>225</v>
      </c>
      <c r="D583">
        <v>35</v>
      </c>
      <c r="E583">
        <v>1989</v>
      </c>
      <c r="F583">
        <v>65000</v>
      </c>
      <c r="G583" t="s">
        <v>38</v>
      </c>
      <c r="H583" t="s">
        <v>70</v>
      </c>
      <c r="I583" t="s">
        <v>77</v>
      </c>
      <c r="J583" s="14">
        <v>43549</v>
      </c>
      <c r="K583" t="s">
        <v>78</v>
      </c>
      <c r="L583">
        <v>88</v>
      </c>
      <c r="M583" t="s">
        <v>226</v>
      </c>
      <c r="N583" t="s">
        <v>104</v>
      </c>
      <c r="O583" t="s">
        <v>174</v>
      </c>
      <c r="Q583">
        <v>3</v>
      </c>
      <c r="S583">
        <v>11</v>
      </c>
      <c r="W583">
        <v>1</v>
      </c>
      <c r="X583" t="s">
        <v>34</v>
      </c>
    </row>
    <row r="584" spans="1:24" x14ac:dyDescent="0.35">
      <c r="A584" t="s">
        <v>1215</v>
      </c>
      <c r="B584" t="s">
        <v>131</v>
      </c>
      <c r="C584" t="s">
        <v>154</v>
      </c>
      <c r="D584">
        <v>50</v>
      </c>
      <c r="E584">
        <v>1974</v>
      </c>
      <c r="F584">
        <v>55000</v>
      </c>
      <c r="G584" t="s">
        <v>38</v>
      </c>
      <c r="H584" t="s">
        <v>122</v>
      </c>
      <c r="I584" t="s">
        <v>40</v>
      </c>
      <c r="J584" s="14">
        <v>43881</v>
      </c>
      <c r="K584" t="s">
        <v>78</v>
      </c>
      <c r="L584">
        <v>88</v>
      </c>
      <c r="M584" t="s">
        <v>1216</v>
      </c>
      <c r="N584" t="s">
        <v>54</v>
      </c>
      <c r="O584" t="s">
        <v>112</v>
      </c>
      <c r="P584" t="s">
        <v>175</v>
      </c>
      <c r="Q584">
        <v>6</v>
      </c>
      <c r="R584">
        <v>4</v>
      </c>
      <c r="U584">
        <v>23</v>
      </c>
      <c r="W584">
        <v>1</v>
      </c>
      <c r="X584" t="s">
        <v>34</v>
      </c>
    </row>
    <row r="585" spans="1:24" x14ac:dyDescent="0.35">
      <c r="A585" t="s">
        <v>1217</v>
      </c>
      <c r="B585" t="s">
        <v>107</v>
      </c>
      <c r="C585" t="s">
        <v>244</v>
      </c>
      <c r="D585" t="s">
        <v>88</v>
      </c>
      <c r="E585">
        <v>1994</v>
      </c>
      <c r="F585" t="s">
        <v>50</v>
      </c>
      <c r="G585" t="s">
        <v>27</v>
      </c>
      <c r="H585" t="s">
        <v>82</v>
      </c>
      <c r="I585" t="s">
        <v>77</v>
      </c>
      <c r="J585" s="14">
        <v>43881</v>
      </c>
      <c r="K585" t="s">
        <v>78</v>
      </c>
      <c r="L585">
        <v>88</v>
      </c>
      <c r="M585" t="s">
        <v>245</v>
      </c>
      <c r="N585" t="s">
        <v>104</v>
      </c>
      <c r="O585" t="s">
        <v>72</v>
      </c>
      <c r="Q585">
        <v>7</v>
      </c>
      <c r="R585">
        <v>1</v>
      </c>
      <c r="U585">
        <v>25</v>
      </c>
      <c r="V585" t="s">
        <v>34</v>
      </c>
      <c r="W585">
        <v>3</v>
      </c>
      <c r="X585" t="s">
        <v>46</v>
      </c>
    </row>
    <row r="586" spans="1:24" x14ac:dyDescent="0.35">
      <c r="A586" t="s">
        <v>1218</v>
      </c>
      <c r="B586" t="s">
        <v>56</v>
      </c>
      <c r="C586" t="s">
        <v>135</v>
      </c>
      <c r="D586">
        <v>25</v>
      </c>
      <c r="E586">
        <v>1999</v>
      </c>
      <c r="F586">
        <v>55000</v>
      </c>
      <c r="G586" t="s">
        <v>38</v>
      </c>
      <c r="H586" t="s">
        <v>122</v>
      </c>
      <c r="I586" t="s">
        <v>89</v>
      </c>
      <c r="J586" s="14">
        <v>43881</v>
      </c>
      <c r="K586" t="s">
        <v>30</v>
      </c>
      <c r="L586">
        <v>63</v>
      </c>
      <c r="M586" t="s">
        <v>1219</v>
      </c>
      <c r="N586" t="s">
        <v>43</v>
      </c>
      <c r="O586" t="s">
        <v>72</v>
      </c>
      <c r="P586" t="s">
        <v>1220</v>
      </c>
      <c r="Q586">
        <v>4</v>
      </c>
      <c r="T586" s="14">
        <v>44470</v>
      </c>
      <c r="V586" t="s">
        <v>33</v>
      </c>
      <c r="W586">
        <v>3</v>
      </c>
      <c r="X586" t="s">
        <v>34</v>
      </c>
    </row>
    <row r="587" spans="1:24" x14ac:dyDescent="0.35">
      <c r="A587" t="s">
        <v>1221</v>
      </c>
      <c r="B587" t="s">
        <v>107</v>
      </c>
      <c r="C587" t="s">
        <v>355</v>
      </c>
      <c r="D587" t="s">
        <v>88</v>
      </c>
      <c r="E587">
        <v>1994</v>
      </c>
      <c r="F587">
        <v>50000</v>
      </c>
      <c r="G587" t="s">
        <v>27</v>
      </c>
      <c r="H587" t="s">
        <v>93</v>
      </c>
      <c r="I587" t="s">
        <v>77</v>
      </c>
      <c r="J587" s="14">
        <v>43195</v>
      </c>
      <c r="K587" t="s">
        <v>41</v>
      </c>
      <c r="L587">
        <v>17</v>
      </c>
      <c r="M587" t="s">
        <v>356</v>
      </c>
      <c r="O587" t="s">
        <v>174</v>
      </c>
      <c r="Q587">
        <v>5</v>
      </c>
      <c r="T587" s="14">
        <v>44990</v>
      </c>
      <c r="V587" t="s">
        <v>33</v>
      </c>
      <c r="W587">
        <v>3</v>
      </c>
      <c r="X587" t="s">
        <v>34</v>
      </c>
    </row>
    <row r="588" spans="1:24" x14ac:dyDescent="0.35">
      <c r="A588" t="s">
        <v>1222</v>
      </c>
      <c r="B588" t="s">
        <v>68</v>
      </c>
      <c r="C588" t="s">
        <v>479</v>
      </c>
      <c r="E588">
        <v>1990</v>
      </c>
      <c r="F588">
        <v>55000</v>
      </c>
      <c r="G588" t="s">
        <v>27</v>
      </c>
      <c r="H588" t="s">
        <v>64</v>
      </c>
      <c r="I588" t="s">
        <v>94</v>
      </c>
      <c r="J588" s="14">
        <v>43881</v>
      </c>
      <c r="K588" t="s">
        <v>30</v>
      </c>
      <c r="L588">
        <v>66</v>
      </c>
      <c r="M588" t="s">
        <v>768</v>
      </c>
      <c r="N588" t="s">
        <v>54</v>
      </c>
      <c r="O588" t="s">
        <v>112</v>
      </c>
      <c r="Q588">
        <v>3</v>
      </c>
      <c r="R588" t="s">
        <v>79</v>
      </c>
      <c r="V588" t="s">
        <v>46</v>
      </c>
      <c r="W588">
        <v>1</v>
      </c>
      <c r="X588" t="s">
        <v>46</v>
      </c>
    </row>
    <row r="589" spans="1:24" x14ac:dyDescent="0.35">
      <c r="A589" t="s">
        <v>1223</v>
      </c>
      <c r="B589" t="s">
        <v>56</v>
      </c>
      <c r="C589" t="s">
        <v>247</v>
      </c>
      <c r="E589">
        <v>1989</v>
      </c>
      <c r="F589">
        <v>50000</v>
      </c>
      <c r="G589" t="s">
        <v>38</v>
      </c>
      <c r="H589" t="s">
        <v>64</v>
      </c>
      <c r="I589" t="s">
        <v>77</v>
      </c>
      <c r="J589" s="14">
        <v>43800</v>
      </c>
      <c r="K589" t="s">
        <v>30</v>
      </c>
      <c r="L589">
        <v>64</v>
      </c>
      <c r="M589" t="s">
        <v>1224</v>
      </c>
      <c r="N589" t="s">
        <v>61</v>
      </c>
      <c r="O589" t="s">
        <v>66</v>
      </c>
      <c r="Q589">
        <v>8</v>
      </c>
      <c r="R589" t="s">
        <v>79</v>
      </c>
      <c r="S589">
        <v>7</v>
      </c>
      <c r="U589">
        <v>46</v>
      </c>
      <c r="W589">
        <v>2</v>
      </c>
      <c r="X589" t="s">
        <v>46</v>
      </c>
    </row>
    <row r="590" spans="1:24" x14ac:dyDescent="0.35">
      <c r="A590" t="s">
        <v>1225</v>
      </c>
      <c r="B590" t="s">
        <v>107</v>
      </c>
      <c r="C590" t="s">
        <v>176</v>
      </c>
      <c r="D590">
        <v>50</v>
      </c>
      <c r="E590">
        <v>1974</v>
      </c>
      <c r="F590">
        <v>50000</v>
      </c>
      <c r="G590" t="s">
        <v>27</v>
      </c>
      <c r="H590" t="s">
        <v>70</v>
      </c>
      <c r="I590" t="s">
        <v>29</v>
      </c>
      <c r="J590" s="14">
        <v>43845</v>
      </c>
      <c r="K590" t="s">
        <v>59</v>
      </c>
      <c r="L590">
        <v>91</v>
      </c>
      <c r="M590" t="s">
        <v>1226</v>
      </c>
      <c r="N590" t="s">
        <v>61</v>
      </c>
      <c r="O590" t="s">
        <v>66</v>
      </c>
      <c r="Q590">
        <v>2</v>
      </c>
      <c r="R590">
        <v>2</v>
      </c>
      <c r="T590" s="14">
        <v>45516</v>
      </c>
      <c r="U590">
        <v>75</v>
      </c>
      <c r="V590" t="s">
        <v>169</v>
      </c>
      <c r="W590">
        <v>5</v>
      </c>
      <c r="X590" t="s">
        <v>34</v>
      </c>
    </row>
    <row r="591" spans="1:24" x14ac:dyDescent="0.35">
      <c r="A591" t="s">
        <v>1227</v>
      </c>
      <c r="B591" t="s">
        <v>56</v>
      </c>
      <c r="C591" t="s">
        <v>87</v>
      </c>
      <c r="D591">
        <v>40</v>
      </c>
      <c r="E591">
        <v>1984</v>
      </c>
      <c r="F591" t="s">
        <v>50</v>
      </c>
      <c r="G591" t="s">
        <v>27</v>
      </c>
      <c r="H591" t="s">
        <v>39</v>
      </c>
      <c r="I591" t="s">
        <v>94</v>
      </c>
      <c r="J591" s="14">
        <v>43195</v>
      </c>
      <c r="K591" t="s">
        <v>59</v>
      </c>
      <c r="L591">
        <v>96</v>
      </c>
      <c r="M591" t="s">
        <v>129</v>
      </c>
      <c r="N591" t="s">
        <v>43</v>
      </c>
      <c r="O591" t="s">
        <v>174</v>
      </c>
      <c r="Q591">
        <v>7</v>
      </c>
      <c r="S591">
        <v>18</v>
      </c>
      <c r="T591" s="14">
        <v>44990</v>
      </c>
      <c r="U591">
        <v>45</v>
      </c>
      <c r="V591" t="s">
        <v>169</v>
      </c>
      <c r="W591">
        <v>1</v>
      </c>
      <c r="X591" t="s">
        <v>34</v>
      </c>
    </row>
    <row r="592" spans="1:24" x14ac:dyDescent="0.35">
      <c r="A592" t="s">
        <v>1228</v>
      </c>
      <c r="B592" t="s">
        <v>56</v>
      </c>
      <c r="C592" t="s">
        <v>176</v>
      </c>
      <c r="D592">
        <v>40</v>
      </c>
      <c r="E592">
        <v>1984</v>
      </c>
      <c r="F592">
        <v>61500</v>
      </c>
      <c r="G592" t="s">
        <v>27</v>
      </c>
      <c r="H592" t="s">
        <v>145</v>
      </c>
      <c r="I592" t="s">
        <v>29</v>
      </c>
      <c r="J592" s="14">
        <v>43881</v>
      </c>
      <c r="K592" t="s">
        <v>59</v>
      </c>
      <c r="L592">
        <v>90</v>
      </c>
      <c r="M592" t="s">
        <v>1229</v>
      </c>
      <c r="N592" t="s">
        <v>104</v>
      </c>
      <c r="O592" t="s">
        <v>174</v>
      </c>
      <c r="Q592">
        <v>6</v>
      </c>
      <c r="S592">
        <v>9</v>
      </c>
      <c r="V592" t="s">
        <v>46</v>
      </c>
      <c r="W592">
        <v>2</v>
      </c>
      <c r="X592" t="s">
        <v>34</v>
      </c>
    </row>
    <row r="593" spans="1:24" x14ac:dyDescent="0.35">
      <c r="A593" t="s">
        <v>1230</v>
      </c>
      <c r="B593" t="s">
        <v>36</v>
      </c>
      <c r="C593" t="s">
        <v>167</v>
      </c>
      <c r="D593">
        <v>50</v>
      </c>
      <c r="E593">
        <v>1974</v>
      </c>
      <c r="F593">
        <v>65000</v>
      </c>
      <c r="G593" t="s">
        <v>27</v>
      </c>
      <c r="H593" t="s">
        <v>82</v>
      </c>
      <c r="I593" t="s">
        <v>94</v>
      </c>
      <c r="J593" s="14">
        <v>43845</v>
      </c>
      <c r="K593" t="s">
        <v>52</v>
      </c>
      <c r="L593">
        <v>79</v>
      </c>
      <c r="M593" t="s">
        <v>1231</v>
      </c>
      <c r="N593" t="s">
        <v>104</v>
      </c>
      <c r="O593" t="s">
        <v>174</v>
      </c>
      <c r="Q593">
        <v>1</v>
      </c>
      <c r="R593">
        <v>2</v>
      </c>
      <c r="V593" t="s">
        <v>34</v>
      </c>
      <c r="W593">
        <v>1</v>
      </c>
      <c r="X593" t="s">
        <v>46</v>
      </c>
    </row>
    <row r="594" spans="1:24" x14ac:dyDescent="0.35">
      <c r="A594" t="s">
        <v>1232</v>
      </c>
      <c r="B594" t="s">
        <v>75</v>
      </c>
      <c r="C594" t="s">
        <v>103</v>
      </c>
      <c r="E594">
        <v>1993</v>
      </c>
      <c r="F594">
        <v>55000</v>
      </c>
      <c r="G594" t="s">
        <v>27</v>
      </c>
      <c r="H594" t="s">
        <v>82</v>
      </c>
      <c r="I594" t="s">
        <v>89</v>
      </c>
      <c r="J594" s="14">
        <v>43549</v>
      </c>
      <c r="K594" t="s">
        <v>59</v>
      </c>
      <c r="L594">
        <v>98</v>
      </c>
      <c r="M594" t="s">
        <v>308</v>
      </c>
      <c r="N594" t="s">
        <v>43</v>
      </c>
      <c r="O594" t="s">
        <v>72</v>
      </c>
      <c r="Q594">
        <v>4</v>
      </c>
      <c r="U594">
        <v>77</v>
      </c>
      <c r="W594">
        <v>4</v>
      </c>
      <c r="X594" t="s">
        <v>46</v>
      </c>
    </row>
    <row r="595" spans="1:24" x14ac:dyDescent="0.35">
      <c r="A595" t="s">
        <v>1233</v>
      </c>
      <c r="B595" t="s">
        <v>75</v>
      </c>
      <c r="C595" t="s">
        <v>338</v>
      </c>
      <c r="E595">
        <v>1983</v>
      </c>
      <c r="F595">
        <v>50000</v>
      </c>
      <c r="G595" t="s">
        <v>27</v>
      </c>
      <c r="H595" t="s">
        <v>28</v>
      </c>
      <c r="I595" t="s">
        <v>89</v>
      </c>
      <c r="J595" s="14">
        <v>43881</v>
      </c>
      <c r="K595" t="s">
        <v>41</v>
      </c>
      <c r="L595">
        <v>59</v>
      </c>
      <c r="M595" t="s">
        <v>1234</v>
      </c>
      <c r="N595" t="s">
        <v>61</v>
      </c>
      <c r="O595" t="s">
        <v>72</v>
      </c>
      <c r="Q595">
        <v>3</v>
      </c>
      <c r="V595" t="s">
        <v>73</v>
      </c>
      <c r="W595">
        <v>4</v>
      </c>
      <c r="X595" t="s">
        <v>34</v>
      </c>
    </row>
    <row r="596" spans="1:24" x14ac:dyDescent="0.35">
      <c r="A596" t="s">
        <v>1235</v>
      </c>
      <c r="B596" t="s">
        <v>36</v>
      </c>
      <c r="C596" t="s">
        <v>161</v>
      </c>
      <c r="E596">
        <v>1990</v>
      </c>
      <c r="F596">
        <v>55000</v>
      </c>
      <c r="G596" t="s">
        <v>27</v>
      </c>
      <c r="H596" t="s">
        <v>64</v>
      </c>
      <c r="I596" t="s">
        <v>89</v>
      </c>
      <c r="J596" s="14">
        <v>43845</v>
      </c>
      <c r="K596" t="s">
        <v>30</v>
      </c>
      <c r="L596">
        <v>69</v>
      </c>
      <c r="M596" t="s">
        <v>1236</v>
      </c>
      <c r="N596" t="s">
        <v>61</v>
      </c>
      <c r="O596" t="s">
        <v>44</v>
      </c>
      <c r="Q596">
        <v>3</v>
      </c>
      <c r="S596">
        <v>19</v>
      </c>
      <c r="T596" t="s">
        <v>79</v>
      </c>
      <c r="V596" t="s">
        <v>169</v>
      </c>
      <c r="W596">
        <v>3</v>
      </c>
      <c r="X596" t="s">
        <v>34</v>
      </c>
    </row>
    <row r="597" spans="1:24" x14ac:dyDescent="0.35">
      <c r="A597" t="s">
        <v>1237</v>
      </c>
      <c r="B597" t="s">
        <v>140</v>
      </c>
      <c r="C597" t="s">
        <v>268</v>
      </c>
      <c r="D597" t="s">
        <v>88</v>
      </c>
      <c r="E597">
        <v>1994</v>
      </c>
      <c r="F597">
        <v>59500</v>
      </c>
      <c r="G597" t="s">
        <v>38</v>
      </c>
      <c r="H597" t="s">
        <v>64</v>
      </c>
      <c r="I597" t="s">
        <v>29</v>
      </c>
      <c r="J597" s="14">
        <v>43800</v>
      </c>
      <c r="K597" t="s">
        <v>41</v>
      </c>
      <c r="L597">
        <v>13</v>
      </c>
      <c r="M597" t="s">
        <v>269</v>
      </c>
      <c r="N597" t="s">
        <v>104</v>
      </c>
      <c r="O597" t="s">
        <v>32</v>
      </c>
      <c r="Q597">
        <v>8</v>
      </c>
      <c r="S597">
        <v>11</v>
      </c>
      <c r="V597" t="s">
        <v>73</v>
      </c>
      <c r="W597">
        <v>2</v>
      </c>
      <c r="X597" t="s">
        <v>46</v>
      </c>
    </row>
    <row r="598" spans="1:24" x14ac:dyDescent="0.35">
      <c r="A598" t="s">
        <v>1238</v>
      </c>
      <c r="B598" t="s">
        <v>114</v>
      </c>
      <c r="C598" t="s">
        <v>315</v>
      </c>
      <c r="E598">
        <v>1963</v>
      </c>
      <c r="F598">
        <v>65000</v>
      </c>
      <c r="G598" t="s">
        <v>38</v>
      </c>
      <c r="H598" t="s">
        <v>122</v>
      </c>
      <c r="I598" t="s">
        <v>40</v>
      </c>
      <c r="J598" s="14">
        <v>43549</v>
      </c>
      <c r="K598" t="s">
        <v>59</v>
      </c>
      <c r="L598">
        <v>99</v>
      </c>
      <c r="M598" t="s">
        <v>1239</v>
      </c>
      <c r="N598" t="s">
        <v>54</v>
      </c>
      <c r="O598" t="s">
        <v>72</v>
      </c>
      <c r="Q598">
        <v>3</v>
      </c>
      <c r="R598" t="s">
        <v>79</v>
      </c>
      <c r="T598" t="s">
        <v>79</v>
      </c>
      <c r="U598">
        <v>25</v>
      </c>
      <c r="V598" t="s">
        <v>34</v>
      </c>
      <c r="W598">
        <v>4</v>
      </c>
      <c r="X598" t="s">
        <v>34</v>
      </c>
    </row>
    <row r="599" spans="1:24" x14ac:dyDescent="0.35">
      <c r="A599" t="s">
        <v>1240</v>
      </c>
      <c r="B599" t="s">
        <v>140</v>
      </c>
      <c r="C599" t="s">
        <v>436</v>
      </c>
      <c r="D599">
        <v>35</v>
      </c>
      <c r="E599">
        <v>1989</v>
      </c>
      <c r="F599">
        <v>59300</v>
      </c>
      <c r="G599" t="s">
        <v>38</v>
      </c>
      <c r="H599" t="s">
        <v>58</v>
      </c>
      <c r="I599" t="s">
        <v>94</v>
      </c>
      <c r="J599" s="14">
        <v>43800</v>
      </c>
      <c r="K599" t="s">
        <v>52</v>
      </c>
      <c r="L599">
        <v>73</v>
      </c>
      <c r="M599" t="s">
        <v>437</v>
      </c>
      <c r="O599" t="s">
        <v>112</v>
      </c>
      <c r="Q599">
        <v>3</v>
      </c>
      <c r="T599" s="14">
        <v>44941</v>
      </c>
      <c r="W599">
        <v>1</v>
      </c>
      <c r="X599" t="s">
        <v>46</v>
      </c>
    </row>
    <row r="600" spans="1:24" x14ac:dyDescent="0.35">
      <c r="A600" t="s">
        <v>1241</v>
      </c>
      <c r="B600" t="s">
        <v>131</v>
      </c>
      <c r="C600" t="s">
        <v>253</v>
      </c>
      <c r="D600">
        <v>25</v>
      </c>
      <c r="E600">
        <v>1999</v>
      </c>
      <c r="F600">
        <v>65000</v>
      </c>
      <c r="G600" t="s">
        <v>38</v>
      </c>
      <c r="H600" t="s">
        <v>82</v>
      </c>
      <c r="I600" t="s">
        <v>89</v>
      </c>
      <c r="J600" s="14">
        <v>43845</v>
      </c>
      <c r="K600" t="s">
        <v>52</v>
      </c>
      <c r="L600">
        <v>75</v>
      </c>
      <c r="M600" t="s">
        <v>1242</v>
      </c>
      <c r="N600" t="s">
        <v>54</v>
      </c>
      <c r="O600" t="s">
        <v>66</v>
      </c>
      <c r="Q600">
        <v>3</v>
      </c>
      <c r="R600">
        <v>3</v>
      </c>
      <c r="S600">
        <v>4</v>
      </c>
      <c r="T600" s="14">
        <v>44990</v>
      </c>
      <c r="V600" t="s">
        <v>169</v>
      </c>
      <c r="W600">
        <v>2</v>
      </c>
      <c r="X600" t="s">
        <v>46</v>
      </c>
    </row>
    <row r="601" spans="1:24" x14ac:dyDescent="0.35">
      <c r="A601" t="s">
        <v>1243</v>
      </c>
      <c r="B601" t="s">
        <v>131</v>
      </c>
      <c r="C601" t="s">
        <v>740</v>
      </c>
      <c r="E601">
        <v>1985</v>
      </c>
      <c r="F601">
        <v>70000</v>
      </c>
      <c r="G601" t="s">
        <v>27</v>
      </c>
      <c r="H601" t="s">
        <v>145</v>
      </c>
      <c r="I601" t="s">
        <v>94</v>
      </c>
      <c r="J601" s="14">
        <v>43800</v>
      </c>
      <c r="K601" t="s">
        <v>30</v>
      </c>
      <c r="L601">
        <v>65</v>
      </c>
      <c r="M601" t="s">
        <v>741</v>
      </c>
      <c r="N601" t="s">
        <v>61</v>
      </c>
      <c r="O601" t="s">
        <v>66</v>
      </c>
      <c r="Q601">
        <v>8</v>
      </c>
      <c r="R601" t="s">
        <v>79</v>
      </c>
      <c r="T601" s="14">
        <v>44732</v>
      </c>
      <c r="U601">
        <v>57</v>
      </c>
      <c r="W601">
        <v>2</v>
      </c>
      <c r="X601" t="s">
        <v>34</v>
      </c>
    </row>
    <row r="602" spans="1:24" x14ac:dyDescent="0.35">
      <c r="A602" t="s">
        <v>1244</v>
      </c>
      <c r="B602" t="s">
        <v>56</v>
      </c>
      <c r="C602" t="s">
        <v>612</v>
      </c>
      <c r="D602">
        <v>50</v>
      </c>
      <c r="E602">
        <v>1974</v>
      </c>
      <c r="F602">
        <v>65000</v>
      </c>
      <c r="G602" t="s">
        <v>27</v>
      </c>
      <c r="H602" t="s">
        <v>58</v>
      </c>
      <c r="I602" t="s">
        <v>29</v>
      </c>
      <c r="J602" s="14">
        <v>43845</v>
      </c>
      <c r="K602" t="s">
        <v>41</v>
      </c>
      <c r="L602">
        <v>21</v>
      </c>
      <c r="M602" t="s">
        <v>613</v>
      </c>
      <c r="N602" t="s">
        <v>54</v>
      </c>
      <c r="O602" t="s">
        <v>174</v>
      </c>
      <c r="Q602">
        <v>6</v>
      </c>
      <c r="U602">
        <v>12</v>
      </c>
      <c r="V602" t="s">
        <v>34</v>
      </c>
      <c r="W602">
        <v>5</v>
      </c>
      <c r="X602" t="s">
        <v>34</v>
      </c>
    </row>
    <row r="603" spans="1:24" x14ac:dyDescent="0.35">
      <c r="A603" t="s">
        <v>1245</v>
      </c>
      <c r="B603" t="s">
        <v>107</v>
      </c>
      <c r="C603" t="s">
        <v>355</v>
      </c>
      <c r="D603">
        <v>25</v>
      </c>
      <c r="E603">
        <v>1999</v>
      </c>
      <c r="F603" t="s">
        <v>50</v>
      </c>
      <c r="G603" t="s">
        <v>27</v>
      </c>
      <c r="H603" t="s">
        <v>122</v>
      </c>
      <c r="I603" t="s">
        <v>40</v>
      </c>
      <c r="J603" s="14">
        <v>43845</v>
      </c>
      <c r="K603" t="s">
        <v>78</v>
      </c>
      <c r="L603">
        <v>89</v>
      </c>
      <c r="M603" t="s">
        <v>356</v>
      </c>
      <c r="O603" t="s">
        <v>44</v>
      </c>
      <c r="Q603">
        <v>1</v>
      </c>
      <c r="R603" t="s">
        <v>79</v>
      </c>
      <c r="T603" t="s">
        <v>79</v>
      </c>
      <c r="U603">
        <v>55</v>
      </c>
      <c r="V603" t="s">
        <v>34</v>
      </c>
      <c r="W603">
        <v>3</v>
      </c>
      <c r="X603" t="s">
        <v>34</v>
      </c>
    </row>
    <row r="604" spans="1:24" x14ac:dyDescent="0.35">
      <c r="A604" t="s">
        <v>1246</v>
      </c>
      <c r="B604" t="s">
        <v>107</v>
      </c>
      <c r="C604" t="s">
        <v>253</v>
      </c>
      <c r="D604" t="s">
        <v>88</v>
      </c>
      <c r="E604">
        <v>1994</v>
      </c>
      <c r="F604">
        <v>59500</v>
      </c>
      <c r="G604" t="s">
        <v>38</v>
      </c>
      <c r="H604" t="s">
        <v>64</v>
      </c>
      <c r="I604" t="s">
        <v>29</v>
      </c>
      <c r="J604" s="14">
        <v>43800</v>
      </c>
      <c r="K604" t="s">
        <v>41</v>
      </c>
      <c r="L604">
        <v>31</v>
      </c>
      <c r="M604" t="s">
        <v>1247</v>
      </c>
      <c r="N604" t="s">
        <v>54</v>
      </c>
      <c r="O604" t="s">
        <v>174</v>
      </c>
      <c r="P604" t="s">
        <v>280</v>
      </c>
      <c r="Q604">
        <v>4</v>
      </c>
      <c r="T604" s="14">
        <v>44732</v>
      </c>
      <c r="W604">
        <v>4</v>
      </c>
      <c r="X604" t="s">
        <v>34</v>
      </c>
    </row>
    <row r="605" spans="1:24" x14ac:dyDescent="0.35">
      <c r="A605" t="s">
        <v>1248</v>
      </c>
      <c r="B605" t="s">
        <v>75</v>
      </c>
      <c r="C605" t="s">
        <v>213</v>
      </c>
      <c r="D605">
        <v>50</v>
      </c>
      <c r="E605">
        <v>1974</v>
      </c>
      <c r="F605">
        <v>50000</v>
      </c>
      <c r="G605" t="s">
        <v>27</v>
      </c>
      <c r="H605" t="s">
        <v>145</v>
      </c>
      <c r="I605" t="s">
        <v>94</v>
      </c>
      <c r="J605" s="14">
        <v>43845</v>
      </c>
      <c r="K605" t="s">
        <v>59</v>
      </c>
      <c r="L605">
        <v>93</v>
      </c>
      <c r="M605" t="s">
        <v>214</v>
      </c>
      <c r="N605" t="s">
        <v>54</v>
      </c>
      <c r="O605" t="s">
        <v>66</v>
      </c>
      <c r="P605" t="s">
        <v>1249</v>
      </c>
      <c r="Q605">
        <v>8</v>
      </c>
      <c r="T605" s="14">
        <v>44990</v>
      </c>
      <c r="V605" t="s">
        <v>34</v>
      </c>
      <c r="W605">
        <v>2</v>
      </c>
      <c r="X605" t="s">
        <v>34</v>
      </c>
    </row>
    <row r="606" spans="1:24" x14ac:dyDescent="0.35">
      <c r="A606" t="s">
        <v>1250</v>
      </c>
      <c r="B606" t="s">
        <v>25</v>
      </c>
      <c r="C606" t="s">
        <v>167</v>
      </c>
      <c r="D606">
        <v>25</v>
      </c>
      <c r="E606">
        <v>1999</v>
      </c>
      <c r="F606">
        <v>70000</v>
      </c>
      <c r="G606" t="s">
        <v>38</v>
      </c>
      <c r="H606" t="s">
        <v>28</v>
      </c>
      <c r="I606" t="s">
        <v>40</v>
      </c>
      <c r="J606" s="14">
        <v>43881</v>
      </c>
      <c r="K606" t="s">
        <v>78</v>
      </c>
      <c r="L606">
        <v>89</v>
      </c>
      <c r="M606" t="s">
        <v>1251</v>
      </c>
      <c r="N606" t="s">
        <v>54</v>
      </c>
      <c r="O606" t="s">
        <v>66</v>
      </c>
      <c r="Q606">
        <v>4</v>
      </c>
      <c r="T606" s="14">
        <v>44941</v>
      </c>
      <c r="U606">
        <v>76</v>
      </c>
      <c r="V606" t="s">
        <v>46</v>
      </c>
      <c r="W606">
        <v>1</v>
      </c>
      <c r="X606" t="s">
        <v>46</v>
      </c>
    </row>
    <row r="607" spans="1:24" x14ac:dyDescent="0.35">
      <c r="A607" t="s">
        <v>1252</v>
      </c>
      <c r="B607" t="s">
        <v>140</v>
      </c>
      <c r="C607" t="s">
        <v>588</v>
      </c>
      <c r="D607">
        <v>50</v>
      </c>
      <c r="E607">
        <v>1974</v>
      </c>
      <c r="F607" t="s">
        <v>50</v>
      </c>
      <c r="G607" t="s">
        <v>38</v>
      </c>
      <c r="H607" t="s">
        <v>122</v>
      </c>
      <c r="I607" t="s">
        <v>40</v>
      </c>
      <c r="J607" s="14">
        <v>43845</v>
      </c>
      <c r="K607" t="s">
        <v>52</v>
      </c>
      <c r="L607">
        <v>73</v>
      </c>
      <c r="M607" t="s">
        <v>589</v>
      </c>
      <c r="N607" t="s">
        <v>54</v>
      </c>
      <c r="O607" t="s">
        <v>32</v>
      </c>
      <c r="Q607">
        <v>2</v>
      </c>
      <c r="U607">
        <v>33</v>
      </c>
      <c r="W607">
        <v>5</v>
      </c>
      <c r="X607" t="s">
        <v>34</v>
      </c>
    </row>
    <row r="608" spans="1:24" x14ac:dyDescent="0.35">
      <c r="A608" t="s">
        <v>1253</v>
      </c>
      <c r="B608" t="s">
        <v>68</v>
      </c>
      <c r="C608" t="s">
        <v>479</v>
      </c>
      <c r="D608" t="s">
        <v>88</v>
      </c>
      <c r="E608">
        <v>1994</v>
      </c>
      <c r="F608">
        <v>55000</v>
      </c>
      <c r="G608" t="s">
        <v>38</v>
      </c>
      <c r="H608" t="s">
        <v>145</v>
      </c>
      <c r="I608" t="s">
        <v>29</v>
      </c>
      <c r="J608" s="14">
        <v>43195</v>
      </c>
      <c r="K608" t="s">
        <v>30</v>
      </c>
      <c r="L608">
        <v>62</v>
      </c>
      <c r="M608" t="s">
        <v>768</v>
      </c>
      <c r="N608" t="s">
        <v>43</v>
      </c>
      <c r="O608" t="s">
        <v>100</v>
      </c>
      <c r="Q608">
        <v>5</v>
      </c>
      <c r="R608">
        <v>10</v>
      </c>
      <c r="V608" t="s">
        <v>169</v>
      </c>
      <c r="W608">
        <v>2</v>
      </c>
      <c r="X608" t="s">
        <v>46</v>
      </c>
    </row>
    <row r="609" spans="1:24" x14ac:dyDescent="0.35">
      <c r="A609" t="s">
        <v>1254</v>
      </c>
      <c r="B609" t="s">
        <v>48</v>
      </c>
      <c r="C609" t="s">
        <v>534</v>
      </c>
      <c r="D609">
        <v>35</v>
      </c>
      <c r="E609">
        <v>1989</v>
      </c>
      <c r="F609">
        <v>58300</v>
      </c>
      <c r="G609" t="s">
        <v>38</v>
      </c>
      <c r="H609" t="s">
        <v>145</v>
      </c>
      <c r="I609" t="s">
        <v>89</v>
      </c>
      <c r="J609" s="14">
        <v>43845</v>
      </c>
      <c r="K609" t="s">
        <v>30</v>
      </c>
      <c r="L609">
        <v>61</v>
      </c>
      <c r="M609" t="s">
        <v>535</v>
      </c>
      <c r="N609" t="s">
        <v>61</v>
      </c>
      <c r="O609" t="s">
        <v>112</v>
      </c>
      <c r="Q609">
        <v>6</v>
      </c>
      <c r="R609">
        <v>11</v>
      </c>
      <c r="T609" s="14">
        <v>45516</v>
      </c>
      <c r="U609">
        <v>54</v>
      </c>
      <c r="V609" t="s">
        <v>33</v>
      </c>
      <c r="W609">
        <v>2</v>
      </c>
      <c r="X609" t="s">
        <v>46</v>
      </c>
    </row>
    <row r="610" spans="1:24" x14ac:dyDescent="0.35">
      <c r="A610" t="s">
        <v>1255</v>
      </c>
      <c r="B610" t="s">
        <v>107</v>
      </c>
      <c r="C610" t="s">
        <v>446</v>
      </c>
      <c r="D610" t="s">
        <v>88</v>
      </c>
      <c r="E610">
        <v>1994</v>
      </c>
      <c r="F610">
        <v>50000</v>
      </c>
      <c r="G610" t="s">
        <v>27</v>
      </c>
      <c r="H610" t="s">
        <v>82</v>
      </c>
      <c r="I610" t="s">
        <v>94</v>
      </c>
      <c r="J610" s="14">
        <v>43195</v>
      </c>
      <c r="K610" t="s">
        <v>52</v>
      </c>
      <c r="L610">
        <v>77</v>
      </c>
      <c r="M610" t="s">
        <v>447</v>
      </c>
      <c r="O610" t="s">
        <v>32</v>
      </c>
      <c r="P610" t="s">
        <v>119</v>
      </c>
      <c r="Q610">
        <v>4</v>
      </c>
      <c r="R610" t="s">
        <v>79</v>
      </c>
      <c r="U610">
        <v>42</v>
      </c>
      <c r="V610" t="s">
        <v>46</v>
      </c>
      <c r="W610">
        <v>1</v>
      </c>
      <c r="X610" t="s">
        <v>46</v>
      </c>
    </row>
    <row r="611" spans="1:24" x14ac:dyDescent="0.35">
      <c r="A611" t="s">
        <v>1256</v>
      </c>
      <c r="B611" t="s">
        <v>48</v>
      </c>
      <c r="C611" t="s">
        <v>219</v>
      </c>
      <c r="D611" t="s">
        <v>88</v>
      </c>
      <c r="E611">
        <v>1994</v>
      </c>
      <c r="F611">
        <v>65000</v>
      </c>
      <c r="G611" t="s">
        <v>38</v>
      </c>
      <c r="H611" t="s">
        <v>51</v>
      </c>
      <c r="I611" t="s">
        <v>77</v>
      </c>
      <c r="J611" s="14">
        <v>43845</v>
      </c>
      <c r="K611" t="s">
        <v>59</v>
      </c>
      <c r="L611">
        <v>94</v>
      </c>
      <c r="M611" t="s">
        <v>1257</v>
      </c>
      <c r="N611" t="s">
        <v>61</v>
      </c>
      <c r="O611" t="s">
        <v>174</v>
      </c>
      <c r="Q611">
        <v>1</v>
      </c>
      <c r="V611" t="s">
        <v>46</v>
      </c>
      <c r="W611">
        <v>2</v>
      </c>
      <c r="X611" t="s">
        <v>34</v>
      </c>
    </row>
    <row r="612" spans="1:24" x14ac:dyDescent="0.35">
      <c r="A612" t="s">
        <v>1258</v>
      </c>
      <c r="B612" t="s">
        <v>56</v>
      </c>
      <c r="C612" t="s">
        <v>164</v>
      </c>
      <c r="D612">
        <v>50</v>
      </c>
      <c r="E612">
        <v>1974</v>
      </c>
      <c r="F612">
        <v>50000</v>
      </c>
      <c r="G612" t="s">
        <v>38</v>
      </c>
      <c r="H612" t="s">
        <v>145</v>
      </c>
      <c r="I612" t="s">
        <v>77</v>
      </c>
      <c r="J612" s="14">
        <v>43845</v>
      </c>
      <c r="K612" t="s">
        <v>52</v>
      </c>
      <c r="L612">
        <v>78</v>
      </c>
      <c r="M612" t="s">
        <v>165</v>
      </c>
      <c r="N612" t="s">
        <v>43</v>
      </c>
      <c r="O612" t="s">
        <v>100</v>
      </c>
      <c r="Q612">
        <v>4</v>
      </c>
      <c r="S612">
        <v>17</v>
      </c>
      <c r="T612" s="14">
        <v>44990</v>
      </c>
      <c r="V612" t="s">
        <v>46</v>
      </c>
      <c r="W612">
        <v>5</v>
      </c>
      <c r="X612" t="s">
        <v>34</v>
      </c>
    </row>
    <row r="613" spans="1:24" x14ac:dyDescent="0.35">
      <c r="A613" t="s">
        <v>1259</v>
      </c>
      <c r="B613" t="s">
        <v>48</v>
      </c>
      <c r="C613" t="s">
        <v>262</v>
      </c>
      <c r="D613">
        <v>40</v>
      </c>
      <c r="E613">
        <v>1984</v>
      </c>
      <c r="F613">
        <v>55000</v>
      </c>
      <c r="G613" t="s">
        <v>38</v>
      </c>
      <c r="H613" t="s">
        <v>145</v>
      </c>
      <c r="I613" t="s">
        <v>29</v>
      </c>
      <c r="J613" s="14">
        <v>43800</v>
      </c>
      <c r="K613" t="s">
        <v>59</v>
      </c>
      <c r="L613">
        <v>96</v>
      </c>
      <c r="M613" t="s">
        <v>263</v>
      </c>
      <c r="N613" t="s">
        <v>43</v>
      </c>
      <c r="O613" t="s">
        <v>66</v>
      </c>
      <c r="Q613">
        <v>6</v>
      </c>
      <c r="T613" s="14">
        <v>44470</v>
      </c>
      <c r="U613">
        <v>10</v>
      </c>
      <c r="V613" t="s">
        <v>46</v>
      </c>
      <c r="W613">
        <v>4</v>
      </c>
      <c r="X613" t="s">
        <v>34</v>
      </c>
    </row>
    <row r="614" spans="1:24" x14ac:dyDescent="0.35">
      <c r="A614" t="s">
        <v>1260</v>
      </c>
      <c r="B614" t="s">
        <v>68</v>
      </c>
      <c r="C614" t="s">
        <v>132</v>
      </c>
      <c r="E614">
        <v>1993</v>
      </c>
      <c r="F614">
        <v>70000</v>
      </c>
      <c r="G614" t="s">
        <v>38</v>
      </c>
      <c r="H614" t="s">
        <v>122</v>
      </c>
      <c r="I614" t="s">
        <v>94</v>
      </c>
      <c r="J614" s="14">
        <v>43881</v>
      </c>
      <c r="K614" t="s">
        <v>78</v>
      </c>
      <c r="L614">
        <v>81</v>
      </c>
      <c r="M614" t="s">
        <v>1261</v>
      </c>
      <c r="N614" t="s">
        <v>43</v>
      </c>
      <c r="O614" t="s">
        <v>44</v>
      </c>
      <c r="Q614">
        <v>7</v>
      </c>
      <c r="S614">
        <v>12</v>
      </c>
      <c r="T614" s="14">
        <v>44990</v>
      </c>
      <c r="U614">
        <v>79</v>
      </c>
      <c r="V614" t="s">
        <v>46</v>
      </c>
      <c r="W614">
        <v>1</v>
      </c>
      <c r="X614" t="s">
        <v>46</v>
      </c>
    </row>
    <row r="615" spans="1:24" x14ac:dyDescent="0.35">
      <c r="A615" t="s">
        <v>1262</v>
      </c>
      <c r="B615" t="s">
        <v>36</v>
      </c>
      <c r="C615" t="s">
        <v>318</v>
      </c>
      <c r="E615">
        <v>1985</v>
      </c>
      <c r="F615">
        <v>70000</v>
      </c>
      <c r="G615" t="s">
        <v>38</v>
      </c>
      <c r="H615" t="s">
        <v>28</v>
      </c>
      <c r="I615" t="s">
        <v>94</v>
      </c>
      <c r="J615" s="14">
        <v>43881</v>
      </c>
      <c r="K615" t="s">
        <v>52</v>
      </c>
      <c r="L615">
        <v>70</v>
      </c>
      <c r="M615" t="s">
        <v>419</v>
      </c>
      <c r="N615" t="s">
        <v>43</v>
      </c>
      <c r="O615" t="s">
        <v>44</v>
      </c>
      <c r="Q615">
        <v>8</v>
      </c>
      <c r="T615" s="14">
        <v>45516</v>
      </c>
      <c r="V615" t="s">
        <v>46</v>
      </c>
      <c r="W615">
        <v>4</v>
      </c>
      <c r="X615" t="s">
        <v>46</v>
      </c>
    </row>
    <row r="616" spans="1:24" x14ac:dyDescent="0.35">
      <c r="A616" t="s">
        <v>1263</v>
      </c>
      <c r="B616" t="s">
        <v>68</v>
      </c>
      <c r="C616" t="s">
        <v>256</v>
      </c>
      <c r="D616">
        <v>35</v>
      </c>
      <c r="E616">
        <v>1989</v>
      </c>
      <c r="F616">
        <v>61500</v>
      </c>
      <c r="G616" t="s">
        <v>38</v>
      </c>
      <c r="H616" t="s">
        <v>145</v>
      </c>
      <c r="I616" t="s">
        <v>29</v>
      </c>
      <c r="J616" s="14">
        <v>43549</v>
      </c>
      <c r="K616" t="s">
        <v>59</v>
      </c>
      <c r="L616">
        <v>96</v>
      </c>
      <c r="M616" t="s">
        <v>257</v>
      </c>
      <c r="N616" t="s">
        <v>54</v>
      </c>
      <c r="O616" t="s">
        <v>66</v>
      </c>
      <c r="P616" t="s">
        <v>178</v>
      </c>
      <c r="Q616">
        <v>8</v>
      </c>
      <c r="T616" s="14">
        <v>44470</v>
      </c>
      <c r="V616" t="s">
        <v>46</v>
      </c>
      <c r="W616">
        <v>4</v>
      </c>
      <c r="X616" t="s">
        <v>34</v>
      </c>
    </row>
    <row r="617" spans="1:24" x14ac:dyDescent="0.35">
      <c r="A617" t="s">
        <v>1264</v>
      </c>
      <c r="B617" t="s">
        <v>48</v>
      </c>
      <c r="C617" t="s">
        <v>681</v>
      </c>
      <c r="D617">
        <v>35</v>
      </c>
      <c r="E617">
        <v>1989</v>
      </c>
      <c r="F617">
        <v>70000</v>
      </c>
      <c r="G617" t="s">
        <v>38</v>
      </c>
      <c r="H617" t="s">
        <v>145</v>
      </c>
      <c r="I617" t="s">
        <v>94</v>
      </c>
      <c r="J617" s="14">
        <v>43800</v>
      </c>
      <c r="K617" t="s">
        <v>78</v>
      </c>
      <c r="L617">
        <v>82</v>
      </c>
      <c r="M617" t="s">
        <v>682</v>
      </c>
      <c r="N617" t="s">
        <v>61</v>
      </c>
      <c r="O617" t="s">
        <v>72</v>
      </c>
      <c r="P617" t="s">
        <v>1265</v>
      </c>
      <c r="Q617">
        <v>1</v>
      </c>
      <c r="R617" t="s">
        <v>79</v>
      </c>
      <c r="S617">
        <v>10</v>
      </c>
      <c r="V617" t="s">
        <v>34</v>
      </c>
      <c r="W617">
        <v>5</v>
      </c>
      <c r="X617" t="s">
        <v>34</v>
      </c>
    </row>
    <row r="618" spans="1:24" x14ac:dyDescent="0.35">
      <c r="A618" t="s">
        <v>1266</v>
      </c>
      <c r="B618" t="s">
        <v>68</v>
      </c>
      <c r="C618" t="s">
        <v>193</v>
      </c>
      <c r="E618">
        <v>1990</v>
      </c>
      <c r="F618">
        <v>59800</v>
      </c>
      <c r="G618" t="s">
        <v>27</v>
      </c>
      <c r="H618" t="s">
        <v>122</v>
      </c>
      <c r="I618" t="s">
        <v>89</v>
      </c>
      <c r="J618" s="14">
        <v>43800</v>
      </c>
      <c r="K618" t="s">
        <v>52</v>
      </c>
      <c r="L618">
        <v>74</v>
      </c>
      <c r="M618" t="s">
        <v>194</v>
      </c>
      <c r="N618" t="s">
        <v>104</v>
      </c>
      <c r="O618" t="s">
        <v>100</v>
      </c>
      <c r="Q618">
        <v>1</v>
      </c>
      <c r="S618">
        <v>9</v>
      </c>
      <c r="V618" t="s">
        <v>46</v>
      </c>
      <c r="W618">
        <v>3</v>
      </c>
      <c r="X618" t="s">
        <v>34</v>
      </c>
    </row>
    <row r="619" spans="1:24" x14ac:dyDescent="0.35">
      <c r="A619" t="s">
        <v>1267</v>
      </c>
      <c r="B619" t="s">
        <v>114</v>
      </c>
      <c r="C619" t="s">
        <v>141</v>
      </c>
      <c r="D619">
        <v>40</v>
      </c>
      <c r="E619">
        <v>1984</v>
      </c>
      <c r="F619">
        <v>59000</v>
      </c>
      <c r="G619" t="s">
        <v>38</v>
      </c>
      <c r="H619" t="s">
        <v>28</v>
      </c>
      <c r="I619" t="s">
        <v>29</v>
      </c>
      <c r="J619" s="14">
        <v>43881</v>
      </c>
      <c r="K619" t="s">
        <v>30</v>
      </c>
      <c r="L619">
        <v>64</v>
      </c>
      <c r="M619" t="s">
        <v>1268</v>
      </c>
      <c r="O619" t="s">
        <v>66</v>
      </c>
      <c r="P619" t="s">
        <v>1269</v>
      </c>
      <c r="Q619">
        <v>6</v>
      </c>
      <c r="R619">
        <v>15</v>
      </c>
      <c r="T619" s="14">
        <v>45516</v>
      </c>
      <c r="V619" t="s">
        <v>169</v>
      </c>
      <c r="W619">
        <v>2</v>
      </c>
      <c r="X619" t="s">
        <v>34</v>
      </c>
    </row>
    <row r="620" spans="1:24" x14ac:dyDescent="0.35">
      <c r="A620" t="s">
        <v>1270</v>
      </c>
      <c r="B620" t="s">
        <v>56</v>
      </c>
      <c r="C620" t="s">
        <v>57</v>
      </c>
      <c r="E620">
        <v>1991</v>
      </c>
      <c r="F620">
        <v>58500</v>
      </c>
      <c r="G620" t="s">
        <v>27</v>
      </c>
      <c r="H620" t="s">
        <v>64</v>
      </c>
      <c r="I620" t="s">
        <v>89</v>
      </c>
      <c r="J620" s="14">
        <v>43800</v>
      </c>
      <c r="K620" t="s">
        <v>52</v>
      </c>
      <c r="L620">
        <v>71</v>
      </c>
      <c r="M620" t="s">
        <v>60</v>
      </c>
      <c r="N620" t="s">
        <v>43</v>
      </c>
      <c r="O620" t="s">
        <v>44</v>
      </c>
      <c r="Q620">
        <v>2</v>
      </c>
      <c r="R620" t="s">
        <v>79</v>
      </c>
      <c r="V620" t="s">
        <v>34</v>
      </c>
      <c r="W620">
        <v>2</v>
      </c>
      <c r="X620" t="s">
        <v>34</v>
      </c>
    </row>
    <row r="621" spans="1:24" x14ac:dyDescent="0.35">
      <c r="A621" t="s">
        <v>1271</v>
      </c>
      <c r="B621" t="s">
        <v>140</v>
      </c>
      <c r="C621" t="s">
        <v>281</v>
      </c>
      <c r="D621">
        <v>40</v>
      </c>
      <c r="E621">
        <v>1984</v>
      </c>
      <c r="F621">
        <v>65000</v>
      </c>
      <c r="G621" t="s">
        <v>38</v>
      </c>
      <c r="H621" t="s">
        <v>58</v>
      </c>
      <c r="I621" t="s">
        <v>94</v>
      </c>
      <c r="J621" s="14">
        <v>43881</v>
      </c>
      <c r="K621" t="s">
        <v>41</v>
      </c>
      <c r="L621">
        <v>12</v>
      </c>
      <c r="M621" t="s">
        <v>282</v>
      </c>
      <c r="N621" t="s">
        <v>61</v>
      </c>
      <c r="O621" t="s">
        <v>44</v>
      </c>
      <c r="P621" t="s">
        <v>944</v>
      </c>
      <c r="Q621">
        <v>5</v>
      </c>
      <c r="V621" t="s">
        <v>34</v>
      </c>
      <c r="W621">
        <v>3</v>
      </c>
      <c r="X621" t="s">
        <v>34</v>
      </c>
    </row>
    <row r="622" spans="1:24" x14ac:dyDescent="0.35">
      <c r="A622" t="s">
        <v>1272</v>
      </c>
      <c r="B622" t="s">
        <v>36</v>
      </c>
      <c r="C622" t="s">
        <v>156</v>
      </c>
      <c r="D622">
        <v>35</v>
      </c>
      <c r="E622">
        <v>1989</v>
      </c>
      <c r="F622" t="s">
        <v>50</v>
      </c>
      <c r="G622" t="s">
        <v>38</v>
      </c>
      <c r="H622" t="s">
        <v>82</v>
      </c>
      <c r="I622" t="s">
        <v>29</v>
      </c>
      <c r="J622" s="14">
        <v>43800</v>
      </c>
      <c r="K622" t="s">
        <v>52</v>
      </c>
      <c r="L622">
        <v>72</v>
      </c>
      <c r="M622" t="s">
        <v>184</v>
      </c>
      <c r="N622" t="s">
        <v>43</v>
      </c>
      <c r="O622" t="s">
        <v>100</v>
      </c>
      <c r="Q622">
        <v>5</v>
      </c>
      <c r="U622">
        <v>41</v>
      </c>
      <c r="V622" t="s">
        <v>73</v>
      </c>
      <c r="W622">
        <v>2</v>
      </c>
      <c r="X622" t="s">
        <v>34</v>
      </c>
    </row>
    <row r="623" spans="1:24" x14ac:dyDescent="0.35">
      <c r="A623" t="s">
        <v>1273</v>
      </c>
      <c r="B623" t="s">
        <v>107</v>
      </c>
      <c r="C623" t="s">
        <v>777</v>
      </c>
      <c r="D623">
        <v>25</v>
      </c>
      <c r="E623">
        <v>1999</v>
      </c>
      <c r="F623">
        <v>60000</v>
      </c>
      <c r="G623" t="s">
        <v>27</v>
      </c>
      <c r="H623" t="s">
        <v>51</v>
      </c>
      <c r="I623" t="s">
        <v>94</v>
      </c>
      <c r="J623" s="14">
        <v>43845</v>
      </c>
      <c r="K623" t="s">
        <v>41</v>
      </c>
      <c r="L623">
        <v>51</v>
      </c>
      <c r="M623" t="s">
        <v>778</v>
      </c>
      <c r="N623" t="s">
        <v>43</v>
      </c>
      <c r="O623" t="s">
        <v>112</v>
      </c>
      <c r="P623" t="s">
        <v>55</v>
      </c>
      <c r="Q623">
        <v>3</v>
      </c>
      <c r="R623" t="s">
        <v>79</v>
      </c>
      <c r="W623">
        <v>1</v>
      </c>
      <c r="X623" t="s">
        <v>46</v>
      </c>
    </row>
    <row r="624" spans="1:24" x14ac:dyDescent="0.35">
      <c r="A624" t="s">
        <v>1274</v>
      </c>
      <c r="B624" t="s">
        <v>131</v>
      </c>
      <c r="C624" t="s">
        <v>1275</v>
      </c>
      <c r="D624">
        <v>50</v>
      </c>
      <c r="E624">
        <v>1974</v>
      </c>
      <c r="F624">
        <v>59000</v>
      </c>
      <c r="G624" t="s">
        <v>38</v>
      </c>
      <c r="H624" t="s">
        <v>82</v>
      </c>
      <c r="I624" t="s">
        <v>29</v>
      </c>
      <c r="J624" s="14">
        <v>43881</v>
      </c>
      <c r="K624" t="s">
        <v>78</v>
      </c>
      <c r="L624">
        <v>87</v>
      </c>
      <c r="M624" t="s">
        <v>1276</v>
      </c>
      <c r="N624" t="s">
        <v>43</v>
      </c>
      <c r="O624" t="s">
        <v>66</v>
      </c>
      <c r="Q624">
        <v>7</v>
      </c>
      <c r="S624">
        <v>6</v>
      </c>
      <c r="T624" s="14">
        <v>44941</v>
      </c>
      <c r="U624">
        <v>10</v>
      </c>
      <c r="V624" t="s">
        <v>34</v>
      </c>
      <c r="W624">
        <v>3</v>
      </c>
      <c r="X624" t="s">
        <v>46</v>
      </c>
    </row>
    <row r="625" spans="1:24" x14ac:dyDescent="0.35">
      <c r="A625" t="s">
        <v>1277</v>
      </c>
      <c r="B625" t="s">
        <v>140</v>
      </c>
      <c r="C625" t="s">
        <v>199</v>
      </c>
      <c r="D625">
        <v>35</v>
      </c>
      <c r="E625">
        <v>1989</v>
      </c>
      <c r="F625" t="s">
        <v>50</v>
      </c>
      <c r="G625" t="s">
        <v>38</v>
      </c>
      <c r="H625" t="s">
        <v>82</v>
      </c>
      <c r="I625" t="s">
        <v>94</v>
      </c>
      <c r="J625" s="14">
        <v>43881</v>
      </c>
      <c r="K625" t="s">
        <v>52</v>
      </c>
      <c r="L625">
        <v>72</v>
      </c>
      <c r="M625" t="s">
        <v>1278</v>
      </c>
      <c r="N625" t="s">
        <v>43</v>
      </c>
      <c r="O625" t="s">
        <v>32</v>
      </c>
      <c r="Q625">
        <v>7</v>
      </c>
      <c r="R625">
        <v>2</v>
      </c>
      <c r="W625">
        <v>1</v>
      </c>
      <c r="X625" t="s">
        <v>34</v>
      </c>
    </row>
    <row r="626" spans="1:24" x14ac:dyDescent="0.35">
      <c r="A626" t="s">
        <v>1279</v>
      </c>
      <c r="B626" t="s">
        <v>131</v>
      </c>
      <c r="C626" t="s">
        <v>285</v>
      </c>
      <c r="D626">
        <v>35</v>
      </c>
      <c r="E626">
        <v>1989</v>
      </c>
      <c r="F626">
        <v>50000</v>
      </c>
      <c r="G626" t="s">
        <v>38</v>
      </c>
      <c r="H626" t="s">
        <v>28</v>
      </c>
      <c r="I626" t="s">
        <v>89</v>
      </c>
      <c r="J626" s="14">
        <v>43195</v>
      </c>
      <c r="K626" t="s">
        <v>78</v>
      </c>
      <c r="L626">
        <v>83</v>
      </c>
      <c r="M626" t="s">
        <v>286</v>
      </c>
      <c r="N626" t="s">
        <v>43</v>
      </c>
      <c r="O626" t="s">
        <v>174</v>
      </c>
      <c r="Q626">
        <v>6</v>
      </c>
      <c r="W626">
        <v>3</v>
      </c>
      <c r="X626" t="s">
        <v>34</v>
      </c>
    </row>
    <row r="627" spans="1:24" x14ac:dyDescent="0.35">
      <c r="A627" t="s">
        <v>1280</v>
      </c>
      <c r="B627" t="s">
        <v>56</v>
      </c>
      <c r="C627" t="s">
        <v>676</v>
      </c>
      <c r="D627" t="s">
        <v>88</v>
      </c>
      <c r="E627">
        <v>1994</v>
      </c>
      <c r="F627">
        <v>58500</v>
      </c>
      <c r="G627" t="s">
        <v>38</v>
      </c>
      <c r="H627" t="s">
        <v>64</v>
      </c>
      <c r="I627" t="s">
        <v>89</v>
      </c>
      <c r="J627" s="14">
        <v>43800</v>
      </c>
      <c r="K627" t="s">
        <v>78</v>
      </c>
      <c r="L627">
        <v>85</v>
      </c>
      <c r="M627" t="s">
        <v>677</v>
      </c>
      <c r="O627" t="s">
        <v>66</v>
      </c>
      <c r="Q627">
        <v>2</v>
      </c>
      <c r="R627">
        <v>6</v>
      </c>
      <c r="S627">
        <v>4</v>
      </c>
      <c r="T627" s="14">
        <v>44470</v>
      </c>
      <c r="V627" t="s">
        <v>46</v>
      </c>
      <c r="W627">
        <v>5</v>
      </c>
      <c r="X627" t="s">
        <v>46</v>
      </c>
    </row>
    <row r="628" spans="1:24" x14ac:dyDescent="0.35">
      <c r="A628" t="s">
        <v>1281</v>
      </c>
      <c r="B628" t="s">
        <v>36</v>
      </c>
      <c r="C628" t="s">
        <v>99</v>
      </c>
      <c r="D628" t="s">
        <v>88</v>
      </c>
      <c r="E628">
        <v>1994</v>
      </c>
      <c r="F628">
        <v>65000</v>
      </c>
      <c r="G628" t="s">
        <v>38</v>
      </c>
      <c r="H628" t="s">
        <v>82</v>
      </c>
      <c r="I628" t="s">
        <v>94</v>
      </c>
      <c r="J628" s="14">
        <v>43800</v>
      </c>
      <c r="K628" t="s">
        <v>59</v>
      </c>
      <c r="L628">
        <v>93</v>
      </c>
      <c r="M628" t="s">
        <v>1282</v>
      </c>
      <c r="N628" t="s">
        <v>61</v>
      </c>
      <c r="O628" t="s">
        <v>112</v>
      </c>
      <c r="Q628">
        <v>5</v>
      </c>
      <c r="R628" t="s">
        <v>79</v>
      </c>
      <c r="S628">
        <v>4</v>
      </c>
      <c r="T628" t="s">
        <v>79</v>
      </c>
      <c r="V628" t="s">
        <v>46</v>
      </c>
      <c r="W628">
        <v>1</v>
      </c>
      <c r="X628" t="s">
        <v>34</v>
      </c>
    </row>
    <row r="629" spans="1:24" x14ac:dyDescent="0.35">
      <c r="A629" t="s">
        <v>1283</v>
      </c>
      <c r="B629" t="s">
        <v>75</v>
      </c>
      <c r="C629" t="s">
        <v>462</v>
      </c>
      <c r="D629" t="s">
        <v>88</v>
      </c>
      <c r="E629">
        <v>1994</v>
      </c>
      <c r="F629">
        <v>70000</v>
      </c>
      <c r="G629" t="s">
        <v>38</v>
      </c>
      <c r="H629" t="s">
        <v>39</v>
      </c>
      <c r="I629" t="s">
        <v>29</v>
      </c>
      <c r="J629" s="14">
        <v>43881</v>
      </c>
      <c r="K629" t="s">
        <v>78</v>
      </c>
      <c r="L629">
        <v>85</v>
      </c>
      <c r="M629" t="s">
        <v>1284</v>
      </c>
      <c r="N629" t="s">
        <v>43</v>
      </c>
      <c r="O629" t="s">
        <v>100</v>
      </c>
      <c r="Q629">
        <v>7</v>
      </c>
      <c r="R629">
        <v>14</v>
      </c>
      <c r="S629">
        <v>6</v>
      </c>
      <c r="V629" t="s">
        <v>46</v>
      </c>
      <c r="W629">
        <v>3</v>
      </c>
      <c r="X629" t="s">
        <v>34</v>
      </c>
    </row>
    <row r="630" spans="1:24" x14ac:dyDescent="0.35">
      <c r="A630" t="s">
        <v>1285</v>
      </c>
      <c r="B630" t="s">
        <v>107</v>
      </c>
      <c r="C630" t="s">
        <v>244</v>
      </c>
      <c r="D630">
        <v>50</v>
      </c>
      <c r="E630">
        <v>1974</v>
      </c>
      <c r="F630">
        <v>70000</v>
      </c>
      <c r="G630" t="s">
        <v>27</v>
      </c>
      <c r="H630" t="s">
        <v>145</v>
      </c>
      <c r="I630" t="s">
        <v>77</v>
      </c>
      <c r="J630" s="14">
        <v>43845</v>
      </c>
      <c r="K630" t="s">
        <v>78</v>
      </c>
      <c r="L630">
        <v>88</v>
      </c>
      <c r="M630" t="s">
        <v>245</v>
      </c>
      <c r="N630" t="s">
        <v>43</v>
      </c>
      <c r="O630" t="s">
        <v>100</v>
      </c>
      <c r="Q630">
        <v>4</v>
      </c>
      <c r="R630">
        <v>2</v>
      </c>
      <c r="T630" s="14">
        <v>44941</v>
      </c>
      <c r="V630" t="s">
        <v>169</v>
      </c>
      <c r="W630">
        <v>2</v>
      </c>
      <c r="X630" t="s">
        <v>46</v>
      </c>
    </row>
    <row r="631" spans="1:24" x14ac:dyDescent="0.35">
      <c r="A631" t="s">
        <v>1286</v>
      </c>
      <c r="B631" t="s">
        <v>114</v>
      </c>
      <c r="C631" t="s">
        <v>125</v>
      </c>
      <c r="D631" t="s">
        <v>88</v>
      </c>
      <c r="E631">
        <v>1994</v>
      </c>
      <c r="F631">
        <v>55000</v>
      </c>
      <c r="G631" t="s">
        <v>27</v>
      </c>
      <c r="H631" t="s">
        <v>64</v>
      </c>
      <c r="I631" t="s">
        <v>89</v>
      </c>
      <c r="J631" s="14">
        <v>43845</v>
      </c>
      <c r="K631" t="s">
        <v>52</v>
      </c>
      <c r="L631">
        <v>77</v>
      </c>
      <c r="M631" t="s">
        <v>126</v>
      </c>
      <c r="N631" t="s">
        <v>43</v>
      </c>
      <c r="O631" t="s">
        <v>44</v>
      </c>
      <c r="Q631">
        <v>7</v>
      </c>
      <c r="S631">
        <v>13</v>
      </c>
      <c r="T631" t="s">
        <v>79</v>
      </c>
      <c r="U631">
        <v>8</v>
      </c>
      <c r="V631" t="s">
        <v>46</v>
      </c>
      <c r="W631">
        <v>3</v>
      </c>
      <c r="X631" t="s">
        <v>34</v>
      </c>
    </row>
    <row r="632" spans="1:24" x14ac:dyDescent="0.35">
      <c r="A632" t="s">
        <v>1287</v>
      </c>
      <c r="B632" t="s">
        <v>75</v>
      </c>
      <c r="C632" t="s">
        <v>496</v>
      </c>
      <c r="D632">
        <v>40</v>
      </c>
      <c r="E632">
        <v>1984</v>
      </c>
      <c r="F632">
        <v>55000</v>
      </c>
      <c r="G632" t="s">
        <v>38</v>
      </c>
      <c r="H632" t="s">
        <v>145</v>
      </c>
      <c r="I632" t="s">
        <v>89</v>
      </c>
      <c r="J632" s="14">
        <v>43845</v>
      </c>
      <c r="K632" t="s">
        <v>52</v>
      </c>
      <c r="L632">
        <v>77</v>
      </c>
      <c r="M632" t="s">
        <v>1288</v>
      </c>
      <c r="N632" t="s">
        <v>43</v>
      </c>
      <c r="O632" t="s">
        <v>112</v>
      </c>
      <c r="P632" t="s">
        <v>243</v>
      </c>
      <c r="Q632">
        <v>6</v>
      </c>
      <c r="R632" t="s">
        <v>79</v>
      </c>
      <c r="T632" t="s">
        <v>79</v>
      </c>
      <c r="V632" t="s">
        <v>46</v>
      </c>
      <c r="W632">
        <v>1</v>
      </c>
      <c r="X632" t="s">
        <v>46</v>
      </c>
    </row>
    <row r="633" spans="1:24" x14ac:dyDescent="0.35">
      <c r="A633" t="s">
        <v>1289</v>
      </c>
      <c r="B633" t="s">
        <v>56</v>
      </c>
      <c r="C633" t="s">
        <v>164</v>
      </c>
      <c r="E633">
        <v>1991</v>
      </c>
      <c r="F633">
        <v>70000</v>
      </c>
      <c r="G633" t="s">
        <v>38</v>
      </c>
      <c r="H633" t="s">
        <v>145</v>
      </c>
      <c r="I633" t="s">
        <v>77</v>
      </c>
      <c r="J633" s="14">
        <v>43800</v>
      </c>
      <c r="K633" t="s">
        <v>30</v>
      </c>
      <c r="L633">
        <v>62</v>
      </c>
      <c r="M633" t="s">
        <v>165</v>
      </c>
      <c r="N633" t="s">
        <v>54</v>
      </c>
      <c r="O633" t="s">
        <v>100</v>
      </c>
      <c r="Q633">
        <v>6</v>
      </c>
      <c r="R633" t="s">
        <v>79</v>
      </c>
      <c r="T633" s="14">
        <v>44732</v>
      </c>
      <c r="U633">
        <v>46</v>
      </c>
      <c r="V633" t="s">
        <v>34</v>
      </c>
      <c r="W633">
        <v>5</v>
      </c>
      <c r="X633" t="s">
        <v>34</v>
      </c>
    </row>
    <row r="634" spans="1:24" x14ac:dyDescent="0.35">
      <c r="A634" t="s">
        <v>1290</v>
      </c>
      <c r="B634" t="s">
        <v>140</v>
      </c>
      <c r="C634" t="s">
        <v>292</v>
      </c>
      <c r="D634">
        <v>25</v>
      </c>
      <c r="E634">
        <v>1999</v>
      </c>
      <c r="F634">
        <v>70000</v>
      </c>
      <c r="G634" t="s">
        <v>38</v>
      </c>
      <c r="H634" t="s">
        <v>39</v>
      </c>
      <c r="I634" t="s">
        <v>94</v>
      </c>
      <c r="J634" s="14">
        <v>43195</v>
      </c>
      <c r="K634" t="s">
        <v>59</v>
      </c>
      <c r="L634">
        <v>96</v>
      </c>
      <c r="M634" t="s">
        <v>293</v>
      </c>
      <c r="N634" t="s">
        <v>54</v>
      </c>
      <c r="O634" t="s">
        <v>72</v>
      </c>
      <c r="Q634">
        <v>8</v>
      </c>
      <c r="R634" t="s">
        <v>79</v>
      </c>
      <c r="S634">
        <v>7</v>
      </c>
      <c r="V634" t="s">
        <v>34</v>
      </c>
      <c r="W634">
        <v>1</v>
      </c>
      <c r="X634" t="s">
        <v>46</v>
      </c>
    </row>
    <row r="635" spans="1:24" x14ac:dyDescent="0.35">
      <c r="A635" t="s">
        <v>1291</v>
      </c>
      <c r="B635" t="s">
        <v>114</v>
      </c>
      <c r="C635" t="s">
        <v>125</v>
      </c>
      <c r="D635">
        <v>35</v>
      </c>
      <c r="E635">
        <v>1989</v>
      </c>
      <c r="F635">
        <v>65000</v>
      </c>
      <c r="G635" t="s">
        <v>27</v>
      </c>
      <c r="H635" t="s">
        <v>58</v>
      </c>
      <c r="I635" t="s">
        <v>29</v>
      </c>
      <c r="J635" s="14">
        <v>43881</v>
      </c>
      <c r="K635" t="s">
        <v>78</v>
      </c>
      <c r="L635">
        <v>89</v>
      </c>
      <c r="M635" t="s">
        <v>126</v>
      </c>
      <c r="N635" t="s">
        <v>104</v>
      </c>
      <c r="O635" t="s">
        <v>66</v>
      </c>
      <c r="Q635">
        <v>8</v>
      </c>
      <c r="U635">
        <v>67</v>
      </c>
      <c r="W635">
        <v>4</v>
      </c>
      <c r="X635" t="s">
        <v>34</v>
      </c>
    </row>
    <row r="636" spans="1:24" x14ac:dyDescent="0.35">
      <c r="A636" t="s">
        <v>1292</v>
      </c>
      <c r="B636" t="s">
        <v>68</v>
      </c>
      <c r="C636" t="s">
        <v>367</v>
      </c>
      <c r="D636">
        <v>40</v>
      </c>
      <c r="E636">
        <v>1984</v>
      </c>
      <c r="F636" t="s">
        <v>50</v>
      </c>
      <c r="G636" t="s">
        <v>27</v>
      </c>
      <c r="H636" t="s">
        <v>93</v>
      </c>
      <c r="I636" t="s">
        <v>94</v>
      </c>
      <c r="J636" s="14">
        <v>43549</v>
      </c>
      <c r="K636" t="s">
        <v>59</v>
      </c>
      <c r="L636">
        <v>96</v>
      </c>
      <c r="M636" t="s">
        <v>1293</v>
      </c>
      <c r="N636" t="s">
        <v>43</v>
      </c>
      <c r="O636" t="s">
        <v>44</v>
      </c>
      <c r="Q636">
        <v>1</v>
      </c>
      <c r="S636">
        <v>15</v>
      </c>
      <c r="U636">
        <v>41</v>
      </c>
      <c r="V636" t="s">
        <v>33</v>
      </c>
      <c r="W636">
        <v>2</v>
      </c>
      <c r="X636" t="s">
        <v>46</v>
      </c>
    </row>
    <row r="637" spans="1:24" x14ac:dyDescent="0.35">
      <c r="A637" t="s">
        <v>1294</v>
      </c>
      <c r="B637" t="s">
        <v>48</v>
      </c>
      <c r="C637" t="s">
        <v>225</v>
      </c>
      <c r="D637">
        <v>25</v>
      </c>
      <c r="E637">
        <v>1999</v>
      </c>
      <c r="F637">
        <v>55000</v>
      </c>
      <c r="G637" t="s">
        <v>27</v>
      </c>
      <c r="H637" t="s">
        <v>82</v>
      </c>
      <c r="I637" t="s">
        <v>40</v>
      </c>
      <c r="J637" s="14">
        <v>43195</v>
      </c>
      <c r="K637" t="s">
        <v>41</v>
      </c>
      <c r="L637">
        <v>49</v>
      </c>
      <c r="M637" t="s">
        <v>226</v>
      </c>
      <c r="N637" t="s">
        <v>104</v>
      </c>
      <c r="O637" t="s">
        <v>32</v>
      </c>
      <c r="Q637">
        <v>3</v>
      </c>
      <c r="R637">
        <v>9</v>
      </c>
      <c r="U637">
        <v>5</v>
      </c>
      <c r="V637" t="s">
        <v>33</v>
      </c>
      <c r="W637">
        <v>5</v>
      </c>
      <c r="X637" t="s">
        <v>46</v>
      </c>
    </row>
    <row r="638" spans="1:24" x14ac:dyDescent="0.35">
      <c r="A638" t="s">
        <v>1295</v>
      </c>
      <c r="B638" t="s">
        <v>114</v>
      </c>
      <c r="C638" t="s">
        <v>125</v>
      </c>
      <c r="D638">
        <v>40</v>
      </c>
      <c r="E638">
        <v>1984</v>
      </c>
      <c r="F638" t="s">
        <v>50</v>
      </c>
      <c r="G638" t="s">
        <v>27</v>
      </c>
      <c r="H638" t="s">
        <v>93</v>
      </c>
      <c r="I638" t="s">
        <v>89</v>
      </c>
      <c r="J638" s="14">
        <v>43549</v>
      </c>
      <c r="K638" t="s">
        <v>78</v>
      </c>
      <c r="L638">
        <v>85</v>
      </c>
      <c r="M638" t="s">
        <v>126</v>
      </c>
      <c r="O638" t="s">
        <v>112</v>
      </c>
      <c r="Q638">
        <v>8</v>
      </c>
      <c r="R638" t="s">
        <v>79</v>
      </c>
      <c r="S638">
        <v>3</v>
      </c>
      <c r="T638" s="14">
        <v>44990</v>
      </c>
      <c r="V638" t="s">
        <v>33</v>
      </c>
      <c r="W638">
        <v>5</v>
      </c>
      <c r="X638" t="s">
        <v>46</v>
      </c>
    </row>
    <row r="639" spans="1:24" x14ac:dyDescent="0.35">
      <c r="A639" t="s">
        <v>1296</v>
      </c>
      <c r="B639" t="s">
        <v>56</v>
      </c>
      <c r="C639" t="s">
        <v>338</v>
      </c>
      <c r="D639">
        <v>40</v>
      </c>
      <c r="E639">
        <v>1984</v>
      </c>
      <c r="F639">
        <v>65000</v>
      </c>
      <c r="G639" t="s">
        <v>38</v>
      </c>
      <c r="H639" t="s">
        <v>82</v>
      </c>
      <c r="I639" t="s">
        <v>40</v>
      </c>
      <c r="J639" s="14">
        <v>43195</v>
      </c>
      <c r="K639" t="s">
        <v>59</v>
      </c>
      <c r="L639">
        <v>99</v>
      </c>
      <c r="M639" t="s">
        <v>1297</v>
      </c>
      <c r="N639" t="s">
        <v>104</v>
      </c>
      <c r="O639" t="s">
        <v>44</v>
      </c>
      <c r="Q639">
        <v>3</v>
      </c>
      <c r="V639" t="s">
        <v>169</v>
      </c>
      <c r="W639">
        <v>3</v>
      </c>
      <c r="X639" t="s">
        <v>34</v>
      </c>
    </row>
    <row r="640" spans="1:24" x14ac:dyDescent="0.35">
      <c r="A640" t="s">
        <v>1298</v>
      </c>
      <c r="B640" t="s">
        <v>25</v>
      </c>
      <c r="C640" t="s">
        <v>403</v>
      </c>
      <c r="D640">
        <v>35</v>
      </c>
      <c r="E640">
        <v>1989</v>
      </c>
      <c r="F640">
        <v>70000</v>
      </c>
      <c r="G640" t="s">
        <v>27</v>
      </c>
      <c r="H640" t="s">
        <v>28</v>
      </c>
      <c r="I640" t="s">
        <v>89</v>
      </c>
      <c r="J640" s="14">
        <v>43845</v>
      </c>
      <c r="K640" t="s">
        <v>30</v>
      </c>
      <c r="L640">
        <v>63</v>
      </c>
      <c r="M640" t="s">
        <v>1299</v>
      </c>
      <c r="N640" t="s">
        <v>61</v>
      </c>
      <c r="O640" t="s">
        <v>100</v>
      </c>
      <c r="Q640">
        <v>4</v>
      </c>
      <c r="V640" t="s">
        <v>34</v>
      </c>
      <c r="W640">
        <v>3</v>
      </c>
      <c r="X640" t="s">
        <v>34</v>
      </c>
    </row>
    <row r="641" spans="1:24" x14ac:dyDescent="0.35">
      <c r="A641" t="s">
        <v>1300</v>
      </c>
      <c r="B641" t="s">
        <v>48</v>
      </c>
      <c r="C641" t="s">
        <v>413</v>
      </c>
      <c r="E641">
        <v>1998</v>
      </c>
      <c r="F641">
        <v>58300</v>
      </c>
      <c r="G641" t="s">
        <v>27</v>
      </c>
      <c r="H641" t="s">
        <v>51</v>
      </c>
      <c r="I641" t="s">
        <v>89</v>
      </c>
      <c r="J641" s="14">
        <v>43800</v>
      </c>
      <c r="K641" t="s">
        <v>30</v>
      </c>
      <c r="L641">
        <v>69</v>
      </c>
      <c r="M641" t="s">
        <v>1301</v>
      </c>
      <c r="N641" t="s">
        <v>54</v>
      </c>
      <c r="O641" t="s">
        <v>174</v>
      </c>
      <c r="Q641">
        <v>2</v>
      </c>
      <c r="S641">
        <v>6</v>
      </c>
      <c r="W641">
        <v>1</v>
      </c>
      <c r="X641" t="s">
        <v>46</v>
      </c>
    </row>
    <row r="642" spans="1:24" x14ac:dyDescent="0.35">
      <c r="A642" t="s">
        <v>1302</v>
      </c>
      <c r="B642" t="s">
        <v>131</v>
      </c>
      <c r="C642" t="s">
        <v>141</v>
      </c>
      <c r="D642" t="s">
        <v>88</v>
      </c>
      <c r="E642">
        <v>1994</v>
      </c>
      <c r="F642" t="s">
        <v>50</v>
      </c>
      <c r="G642" t="s">
        <v>27</v>
      </c>
      <c r="H642" t="s">
        <v>28</v>
      </c>
      <c r="I642" t="s">
        <v>40</v>
      </c>
      <c r="J642" s="14">
        <v>43549</v>
      </c>
      <c r="K642" t="s">
        <v>78</v>
      </c>
      <c r="L642">
        <v>85</v>
      </c>
      <c r="M642" t="s">
        <v>1303</v>
      </c>
      <c r="N642" t="s">
        <v>54</v>
      </c>
      <c r="O642" t="s">
        <v>100</v>
      </c>
      <c r="Q642">
        <v>5</v>
      </c>
      <c r="R642">
        <v>3</v>
      </c>
      <c r="S642">
        <v>3</v>
      </c>
      <c r="V642" t="s">
        <v>169</v>
      </c>
      <c r="W642">
        <v>2</v>
      </c>
      <c r="X642" t="s">
        <v>46</v>
      </c>
    </row>
    <row r="643" spans="1:24" x14ac:dyDescent="0.35">
      <c r="A643" t="s">
        <v>1304</v>
      </c>
      <c r="B643" t="s">
        <v>107</v>
      </c>
      <c r="C643" t="s">
        <v>161</v>
      </c>
      <c r="D643">
        <v>50</v>
      </c>
      <c r="E643">
        <v>1974</v>
      </c>
      <c r="F643">
        <v>70000</v>
      </c>
      <c r="G643" t="s">
        <v>27</v>
      </c>
      <c r="H643" t="s">
        <v>28</v>
      </c>
      <c r="I643" t="s">
        <v>40</v>
      </c>
      <c r="J643" s="14">
        <v>43195</v>
      </c>
      <c r="K643" t="s">
        <v>41</v>
      </c>
      <c r="L643">
        <v>22</v>
      </c>
      <c r="M643" t="s">
        <v>1305</v>
      </c>
      <c r="N643" t="s">
        <v>43</v>
      </c>
      <c r="O643" t="s">
        <v>32</v>
      </c>
      <c r="Q643">
        <v>4</v>
      </c>
      <c r="W643">
        <v>3</v>
      </c>
      <c r="X643" t="s">
        <v>34</v>
      </c>
    </row>
    <row r="644" spans="1:24" x14ac:dyDescent="0.35">
      <c r="A644" t="s">
        <v>1306</v>
      </c>
      <c r="B644" t="s">
        <v>131</v>
      </c>
      <c r="C644" t="s">
        <v>692</v>
      </c>
      <c r="E644">
        <v>1989</v>
      </c>
      <c r="F644">
        <v>70000</v>
      </c>
      <c r="G644" t="s">
        <v>38</v>
      </c>
      <c r="H644" t="s">
        <v>64</v>
      </c>
      <c r="I644" t="s">
        <v>94</v>
      </c>
      <c r="J644" s="14">
        <v>43800</v>
      </c>
      <c r="K644" t="s">
        <v>30</v>
      </c>
      <c r="L644">
        <v>64</v>
      </c>
      <c r="M644" t="s">
        <v>693</v>
      </c>
      <c r="N644" t="s">
        <v>43</v>
      </c>
      <c r="O644" t="s">
        <v>32</v>
      </c>
      <c r="P644" t="s">
        <v>202</v>
      </c>
      <c r="Q644">
        <v>3</v>
      </c>
      <c r="T644" t="s">
        <v>79</v>
      </c>
      <c r="W644">
        <v>1</v>
      </c>
      <c r="X644" t="s">
        <v>46</v>
      </c>
    </row>
    <row r="645" spans="1:24" x14ac:dyDescent="0.35">
      <c r="A645" t="s">
        <v>1307</v>
      </c>
      <c r="B645" t="s">
        <v>114</v>
      </c>
      <c r="C645" t="s">
        <v>49</v>
      </c>
      <c r="D645">
        <v>50</v>
      </c>
      <c r="E645">
        <v>1974</v>
      </c>
      <c r="F645">
        <v>50000</v>
      </c>
      <c r="G645" t="s">
        <v>27</v>
      </c>
      <c r="H645" t="s">
        <v>93</v>
      </c>
      <c r="I645" t="s">
        <v>40</v>
      </c>
      <c r="J645" s="14">
        <v>43549</v>
      </c>
      <c r="K645" t="s">
        <v>30</v>
      </c>
      <c r="L645">
        <v>65</v>
      </c>
      <c r="M645" t="s">
        <v>1308</v>
      </c>
      <c r="O645" t="s">
        <v>32</v>
      </c>
      <c r="Q645">
        <v>3</v>
      </c>
      <c r="R645">
        <v>6</v>
      </c>
      <c r="U645">
        <v>40</v>
      </c>
      <c r="V645" t="s">
        <v>33</v>
      </c>
      <c r="W645">
        <v>3</v>
      </c>
      <c r="X645" t="s">
        <v>34</v>
      </c>
    </row>
    <row r="646" spans="1:24" x14ac:dyDescent="0.35">
      <c r="A646" t="s">
        <v>1309</v>
      </c>
      <c r="B646" t="s">
        <v>131</v>
      </c>
      <c r="C646" t="s">
        <v>189</v>
      </c>
      <c r="D646">
        <v>35</v>
      </c>
      <c r="E646">
        <v>1989</v>
      </c>
      <c r="F646" t="s">
        <v>50</v>
      </c>
      <c r="G646" t="s">
        <v>38</v>
      </c>
      <c r="H646" t="s">
        <v>64</v>
      </c>
      <c r="I646" t="s">
        <v>94</v>
      </c>
      <c r="J646" s="14">
        <v>43881</v>
      </c>
      <c r="K646" t="s">
        <v>41</v>
      </c>
      <c r="L646">
        <v>30</v>
      </c>
      <c r="M646" t="s">
        <v>1310</v>
      </c>
      <c r="O646" t="s">
        <v>32</v>
      </c>
      <c r="Q646">
        <v>3</v>
      </c>
      <c r="T646" s="14">
        <v>44732</v>
      </c>
      <c r="W646">
        <v>3</v>
      </c>
      <c r="X646" t="s">
        <v>34</v>
      </c>
    </row>
    <row r="647" spans="1:24" x14ac:dyDescent="0.35">
      <c r="A647" t="s">
        <v>1311</v>
      </c>
      <c r="B647" t="s">
        <v>56</v>
      </c>
      <c r="C647" t="s">
        <v>413</v>
      </c>
      <c r="D647">
        <v>35</v>
      </c>
      <c r="E647">
        <v>1989</v>
      </c>
      <c r="F647">
        <v>60400</v>
      </c>
      <c r="G647" t="s">
        <v>38</v>
      </c>
      <c r="H647" t="s">
        <v>28</v>
      </c>
      <c r="I647" t="s">
        <v>94</v>
      </c>
      <c r="J647" s="14">
        <v>43195</v>
      </c>
      <c r="K647" t="s">
        <v>59</v>
      </c>
      <c r="L647">
        <v>95</v>
      </c>
      <c r="M647" t="s">
        <v>414</v>
      </c>
      <c r="N647" t="s">
        <v>61</v>
      </c>
      <c r="O647" t="s">
        <v>32</v>
      </c>
      <c r="Q647">
        <v>6</v>
      </c>
      <c r="U647">
        <v>63</v>
      </c>
      <c r="W647">
        <v>3</v>
      </c>
      <c r="X647" t="s">
        <v>34</v>
      </c>
    </row>
    <row r="648" spans="1:24" x14ac:dyDescent="0.35">
      <c r="A648" t="s">
        <v>1312</v>
      </c>
      <c r="B648" t="s">
        <v>68</v>
      </c>
      <c r="C648" t="s">
        <v>250</v>
      </c>
      <c r="D648">
        <v>35</v>
      </c>
      <c r="E648">
        <v>1989</v>
      </c>
      <c r="F648" t="s">
        <v>50</v>
      </c>
      <c r="G648" t="s">
        <v>27</v>
      </c>
      <c r="H648" t="s">
        <v>145</v>
      </c>
      <c r="I648" t="s">
        <v>94</v>
      </c>
      <c r="J648" s="14">
        <v>43881</v>
      </c>
      <c r="K648" t="s">
        <v>30</v>
      </c>
      <c r="L648">
        <v>64</v>
      </c>
      <c r="M648" t="s">
        <v>251</v>
      </c>
      <c r="N648" t="s">
        <v>43</v>
      </c>
      <c r="O648" t="s">
        <v>72</v>
      </c>
      <c r="Q648">
        <v>2</v>
      </c>
      <c r="R648" t="s">
        <v>79</v>
      </c>
      <c r="V648" t="s">
        <v>34</v>
      </c>
      <c r="W648">
        <v>3</v>
      </c>
      <c r="X648" t="s">
        <v>34</v>
      </c>
    </row>
    <row r="649" spans="1:24" x14ac:dyDescent="0.35">
      <c r="A649" t="s">
        <v>1313</v>
      </c>
      <c r="B649" t="s">
        <v>140</v>
      </c>
      <c r="C649" t="s">
        <v>436</v>
      </c>
      <c r="D649">
        <v>25</v>
      </c>
      <c r="E649">
        <v>1999</v>
      </c>
      <c r="F649">
        <v>70000</v>
      </c>
      <c r="G649" t="s">
        <v>38</v>
      </c>
      <c r="H649" t="s">
        <v>64</v>
      </c>
      <c r="I649" t="s">
        <v>89</v>
      </c>
      <c r="J649" s="14">
        <v>43845</v>
      </c>
      <c r="K649" t="s">
        <v>52</v>
      </c>
      <c r="L649">
        <v>75</v>
      </c>
      <c r="M649" t="s">
        <v>437</v>
      </c>
      <c r="N649" t="s">
        <v>43</v>
      </c>
      <c r="O649" t="s">
        <v>66</v>
      </c>
      <c r="P649" t="s">
        <v>105</v>
      </c>
      <c r="Q649">
        <v>4</v>
      </c>
      <c r="V649" t="s">
        <v>169</v>
      </c>
      <c r="W649">
        <v>5</v>
      </c>
      <c r="X649" t="s">
        <v>34</v>
      </c>
    </row>
    <row r="650" spans="1:24" x14ac:dyDescent="0.35">
      <c r="A650" t="s">
        <v>1314</v>
      </c>
      <c r="B650" t="s">
        <v>107</v>
      </c>
      <c r="C650" t="s">
        <v>380</v>
      </c>
      <c r="D650">
        <v>50</v>
      </c>
      <c r="E650">
        <v>1974</v>
      </c>
      <c r="F650">
        <v>58500</v>
      </c>
      <c r="G650" t="s">
        <v>27</v>
      </c>
      <c r="H650" t="s">
        <v>64</v>
      </c>
      <c r="I650" t="s">
        <v>89</v>
      </c>
      <c r="J650" s="14">
        <v>43881</v>
      </c>
      <c r="K650" t="s">
        <v>30</v>
      </c>
      <c r="L650">
        <v>62</v>
      </c>
      <c r="M650" t="s">
        <v>1315</v>
      </c>
      <c r="O650" t="s">
        <v>112</v>
      </c>
      <c r="Q650">
        <v>7</v>
      </c>
      <c r="S650">
        <v>11</v>
      </c>
      <c r="V650" t="s">
        <v>169</v>
      </c>
      <c r="W650">
        <v>3</v>
      </c>
      <c r="X650" t="s">
        <v>34</v>
      </c>
    </row>
    <row r="651" spans="1:24" x14ac:dyDescent="0.35">
      <c r="A651" t="s">
        <v>1316</v>
      </c>
      <c r="B651" t="s">
        <v>131</v>
      </c>
      <c r="C651" t="s">
        <v>395</v>
      </c>
      <c r="E651">
        <v>1966</v>
      </c>
      <c r="F651">
        <v>65000</v>
      </c>
      <c r="G651" t="s">
        <v>38</v>
      </c>
      <c r="H651" t="s">
        <v>122</v>
      </c>
      <c r="I651" t="s">
        <v>40</v>
      </c>
      <c r="J651" s="14">
        <v>43881</v>
      </c>
      <c r="K651" t="s">
        <v>59</v>
      </c>
      <c r="L651">
        <v>92</v>
      </c>
      <c r="M651" t="s">
        <v>1317</v>
      </c>
      <c r="O651" t="s">
        <v>44</v>
      </c>
      <c r="Q651">
        <v>6</v>
      </c>
      <c r="S651">
        <v>3</v>
      </c>
      <c r="U651">
        <v>65</v>
      </c>
      <c r="V651" t="s">
        <v>33</v>
      </c>
      <c r="W651">
        <v>4</v>
      </c>
      <c r="X651" t="s">
        <v>46</v>
      </c>
    </row>
    <row r="652" spans="1:24" x14ac:dyDescent="0.35">
      <c r="A652" t="s">
        <v>1318</v>
      </c>
      <c r="B652" t="s">
        <v>131</v>
      </c>
      <c r="C652" t="s">
        <v>740</v>
      </c>
      <c r="E652">
        <v>1986</v>
      </c>
      <c r="F652">
        <v>50000</v>
      </c>
      <c r="G652" t="s">
        <v>38</v>
      </c>
      <c r="H652" t="s">
        <v>82</v>
      </c>
      <c r="I652" t="s">
        <v>89</v>
      </c>
      <c r="J652" s="14">
        <v>43195</v>
      </c>
      <c r="K652" t="s">
        <v>59</v>
      </c>
      <c r="L652">
        <v>93</v>
      </c>
      <c r="M652" t="s">
        <v>741</v>
      </c>
      <c r="O652" t="s">
        <v>32</v>
      </c>
      <c r="Q652">
        <v>2</v>
      </c>
      <c r="S652">
        <v>16</v>
      </c>
      <c r="W652">
        <v>2</v>
      </c>
      <c r="X652" t="s">
        <v>34</v>
      </c>
    </row>
    <row r="653" spans="1:24" x14ac:dyDescent="0.35">
      <c r="A653" t="s">
        <v>1319</v>
      </c>
      <c r="B653" t="s">
        <v>114</v>
      </c>
      <c r="C653" t="s">
        <v>413</v>
      </c>
      <c r="D653">
        <v>40</v>
      </c>
      <c r="E653">
        <v>1984</v>
      </c>
      <c r="F653">
        <v>70000</v>
      </c>
      <c r="G653" t="s">
        <v>38</v>
      </c>
      <c r="H653" t="s">
        <v>51</v>
      </c>
      <c r="I653" t="s">
        <v>40</v>
      </c>
      <c r="J653" s="14">
        <v>43845</v>
      </c>
      <c r="K653" t="s">
        <v>78</v>
      </c>
      <c r="L653">
        <v>86</v>
      </c>
      <c r="M653" t="s">
        <v>1320</v>
      </c>
      <c r="N653" t="s">
        <v>54</v>
      </c>
      <c r="O653" t="s">
        <v>66</v>
      </c>
      <c r="Q653">
        <v>8</v>
      </c>
      <c r="T653" s="14">
        <v>44990</v>
      </c>
      <c r="U653">
        <v>77</v>
      </c>
      <c r="V653" t="s">
        <v>46</v>
      </c>
      <c r="W653">
        <v>5</v>
      </c>
      <c r="X653" t="s">
        <v>34</v>
      </c>
    </row>
    <row r="654" spans="1:24" x14ac:dyDescent="0.35">
      <c r="A654" t="s">
        <v>1321</v>
      </c>
      <c r="B654" t="s">
        <v>140</v>
      </c>
      <c r="C654" t="s">
        <v>295</v>
      </c>
      <c r="D654">
        <v>40</v>
      </c>
      <c r="E654">
        <v>1984</v>
      </c>
      <c r="F654">
        <v>55000</v>
      </c>
      <c r="G654" t="s">
        <v>38</v>
      </c>
      <c r="H654" t="s">
        <v>64</v>
      </c>
      <c r="I654" t="s">
        <v>89</v>
      </c>
      <c r="J654" s="14">
        <v>43881</v>
      </c>
      <c r="K654" t="s">
        <v>52</v>
      </c>
      <c r="L654">
        <v>77</v>
      </c>
      <c r="M654" t="s">
        <v>1322</v>
      </c>
      <c r="N654" t="s">
        <v>104</v>
      </c>
      <c r="O654" t="s">
        <v>100</v>
      </c>
      <c r="Q654">
        <v>8</v>
      </c>
      <c r="T654" s="14">
        <v>44470</v>
      </c>
      <c r="V654" t="s">
        <v>46</v>
      </c>
      <c r="W654">
        <v>2</v>
      </c>
      <c r="X654" t="s">
        <v>34</v>
      </c>
    </row>
    <row r="655" spans="1:24" x14ac:dyDescent="0.35">
      <c r="A655" t="s">
        <v>1323</v>
      </c>
      <c r="B655" t="s">
        <v>75</v>
      </c>
      <c r="C655" t="s">
        <v>76</v>
      </c>
      <c r="D655">
        <v>40</v>
      </c>
      <c r="E655">
        <v>1984</v>
      </c>
      <c r="F655">
        <v>55000</v>
      </c>
      <c r="G655" t="s">
        <v>27</v>
      </c>
      <c r="H655" t="s">
        <v>64</v>
      </c>
      <c r="I655" t="s">
        <v>29</v>
      </c>
      <c r="J655" s="14">
        <v>43800</v>
      </c>
      <c r="K655" t="s">
        <v>59</v>
      </c>
      <c r="L655">
        <v>96</v>
      </c>
      <c r="M655" t="s">
        <v>653</v>
      </c>
      <c r="N655" t="s">
        <v>104</v>
      </c>
      <c r="O655" t="s">
        <v>66</v>
      </c>
      <c r="Q655">
        <v>8</v>
      </c>
      <c r="S655">
        <v>12</v>
      </c>
      <c r="U655">
        <v>55</v>
      </c>
      <c r="V655" t="s">
        <v>34</v>
      </c>
      <c r="W655">
        <v>5</v>
      </c>
      <c r="X655" t="s">
        <v>46</v>
      </c>
    </row>
    <row r="656" spans="1:24" x14ac:dyDescent="0.35">
      <c r="A656" t="s">
        <v>1324</v>
      </c>
      <c r="B656" t="s">
        <v>131</v>
      </c>
      <c r="C656" t="s">
        <v>167</v>
      </c>
      <c r="D656">
        <v>35</v>
      </c>
      <c r="E656">
        <v>1989</v>
      </c>
      <c r="F656">
        <v>50000</v>
      </c>
      <c r="G656" t="s">
        <v>38</v>
      </c>
      <c r="H656" t="s">
        <v>145</v>
      </c>
      <c r="I656" t="s">
        <v>29</v>
      </c>
      <c r="J656" s="14">
        <v>43549</v>
      </c>
      <c r="K656" t="s">
        <v>41</v>
      </c>
      <c r="L656">
        <v>11</v>
      </c>
      <c r="M656" t="s">
        <v>1325</v>
      </c>
      <c r="N656" t="s">
        <v>43</v>
      </c>
      <c r="O656" t="s">
        <v>32</v>
      </c>
      <c r="P656" t="s">
        <v>1220</v>
      </c>
      <c r="Q656">
        <v>4</v>
      </c>
      <c r="S656">
        <v>12</v>
      </c>
      <c r="U656">
        <v>60</v>
      </c>
      <c r="W656">
        <v>3</v>
      </c>
      <c r="X656" t="s">
        <v>46</v>
      </c>
    </row>
    <row r="657" spans="1:24" x14ac:dyDescent="0.35">
      <c r="A657" t="s">
        <v>1326</v>
      </c>
      <c r="B657" t="s">
        <v>56</v>
      </c>
      <c r="C657" t="s">
        <v>1043</v>
      </c>
      <c r="E657">
        <v>1976</v>
      </c>
      <c r="F657">
        <v>65000</v>
      </c>
      <c r="G657" t="s">
        <v>38</v>
      </c>
      <c r="H657" t="s">
        <v>28</v>
      </c>
      <c r="I657" t="s">
        <v>40</v>
      </c>
      <c r="J657" s="14">
        <v>43881</v>
      </c>
      <c r="K657" t="s">
        <v>52</v>
      </c>
      <c r="L657">
        <v>73</v>
      </c>
      <c r="M657" t="s">
        <v>1044</v>
      </c>
      <c r="N657" t="s">
        <v>54</v>
      </c>
      <c r="O657" t="s">
        <v>174</v>
      </c>
      <c r="Q657">
        <v>3</v>
      </c>
      <c r="U657">
        <v>6</v>
      </c>
      <c r="V657" t="s">
        <v>46</v>
      </c>
      <c r="W657">
        <v>4</v>
      </c>
      <c r="X657" t="s">
        <v>34</v>
      </c>
    </row>
    <row r="658" spans="1:24" x14ac:dyDescent="0.35">
      <c r="A658" t="s">
        <v>1327</v>
      </c>
      <c r="B658" t="s">
        <v>25</v>
      </c>
      <c r="C658" t="s">
        <v>289</v>
      </c>
      <c r="D658">
        <v>50</v>
      </c>
      <c r="E658">
        <v>1974</v>
      </c>
      <c r="F658">
        <v>70000</v>
      </c>
      <c r="G658" t="s">
        <v>38</v>
      </c>
      <c r="H658" t="s">
        <v>58</v>
      </c>
      <c r="I658" t="s">
        <v>89</v>
      </c>
      <c r="J658" s="14">
        <v>43845</v>
      </c>
      <c r="K658" t="s">
        <v>52</v>
      </c>
      <c r="L658">
        <v>78</v>
      </c>
      <c r="M658" t="s">
        <v>290</v>
      </c>
      <c r="O658" t="s">
        <v>44</v>
      </c>
      <c r="Q658">
        <v>7</v>
      </c>
      <c r="R658" t="s">
        <v>79</v>
      </c>
      <c r="S658">
        <v>18</v>
      </c>
      <c r="T658" s="14">
        <v>44941</v>
      </c>
      <c r="W658">
        <v>3</v>
      </c>
      <c r="X658" t="s">
        <v>46</v>
      </c>
    </row>
    <row r="659" spans="1:24" x14ac:dyDescent="0.35">
      <c r="A659" t="s">
        <v>1328</v>
      </c>
      <c r="B659" t="s">
        <v>107</v>
      </c>
      <c r="C659" t="s">
        <v>543</v>
      </c>
      <c r="D659">
        <v>35</v>
      </c>
      <c r="E659">
        <v>1989</v>
      </c>
      <c r="F659" t="s">
        <v>50</v>
      </c>
      <c r="G659" t="s">
        <v>27</v>
      </c>
      <c r="H659" t="s">
        <v>64</v>
      </c>
      <c r="I659" t="s">
        <v>89</v>
      </c>
      <c r="J659" s="14">
        <v>43881</v>
      </c>
      <c r="K659" t="s">
        <v>41</v>
      </c>
      <c r="L659">
        <v>7</v>
      </c>
      <c r="M659" t="s">
        <v>544</v>
      </c>
      <c r="N659" t="s">
        <v>43</v>
      </c>
      <c r="O659" t="s">
        <v>32</v>
      </c>
      <c r="P659" t="s">
        <v>228</v>
      </c>
      <c r="Q659">
        <v>1</v>
      </c>
      <c r="V659" t="s">
        <v>34</v>
      </c>
      <c r="W659">
        <v>5</v>
      </c>
      <c r="X659" t="s">
        <v>34</v>
      </c>
    </row>
    <row r="660" spans="1:24" x14ac:dyDescent="0.35">
      <c r="A660" t="s">
        <v>1329</v>
      </c>
      <c r="B660" t="s">
        <v>131</v>
      </c>
      <c r="C660" t="s">
        <v>496</v>
      </c>
      <c r="D660">
        <v>25</v>
      </c>
      <c r="E660">
        <v>1999</v>
      </c>
      <c r="F660">
        <v>50000</v>
      </c>
      <c r="G660" t="s">
        <v>38</v>
      </c>
      <c r="H660" t="s">
        <v>58</v>
      </c>
      <c r="I660" t="s">
        <v>94</v>
      </c>
      <c r="J660" s="14">
        <v>43549</v>
      </c>
      <c r="K660" t="s">
        <v>30</v>
      </c>
      <c r="L660">
        <v>69</v>
      </c>
      <c r="M660" t="s">
        <v>1330</v>
      </c>
      <c r="N660" t="s">
        <v>54</v>
      </c>
      <c r="O660" t="s">
        <v>66</v>
      </c>
      <c r="Q660">
        <v>4</v>
      </c>
      <c r="W660">
        <v>5</v>
      </c>
      <c r="X660" t="s">
        <v>34</v>
      </c>
    </row>
    <row r="661" spans="1:24" x14ac:dyDescent="0.35">
      <c r="A661" t="s">
        <v>1331</v>
      </c>
      <c r="B661" t="s">
        <v>56</v>
      </c>
      <c r="C661" t="s">
        <v>1332</v>
      </c>
      <c r="D661">
        <v>40</v>
      </c>
      <c r="E661">
        <v>1984</v>
      </c>
      <c r="F661">
        <v>65000</v>
      </c>
      <c r="G661" t="s">
        <v>27</v>
      </c>
      <c r="H661" t="s">
        <v>93</v>
      </c>
      <c r="I661" t="s">
        <v>77</v>
      </c>
      <c r="J661" s="14">
        <v>43845</v>
      </c>
      <c r="K661" t="s">
        <v>41</v>
      </c>
      <c r="L661">
        <v>5</v>
      </c>
      <c r="M661" t="s">
        <v>1333</v>
      </c>
      <c r="N661" t="s">
        <v>61</v>
      </c>
      <c r="O661" t="s">
        <v>100</v>
      </c>
      <c r="Q661">
        <v>1</v>
      </c>
      <c r="R661" t="s">
        <v>79</v>
      </c>
      <c r="V661" t="s">
        <v>46</v>
      </c>
      <c r="W661">
        <v>2</v>
      </c>
      <c r="X661" t="s">
        <v>34</v>
      </c>
    </row>
    <row r="662" spans="1:24" x14ac:dyDescent="0.35">
      <c r="A662" t="s">
        <v>1334</v>
      </c>
      <c r="B662" t="s">
        <v>56</v>
      </c>
      <c r="C662" t="s">
        <v>732</v>
      </c>
      <c r="D662">
        <v>35</v>
      </c>
      <c r="E662">
        <v>1989</v>
      </c>
      <c r="F662" t="s">
        <v>50</v>
      </c>
      <c r="G662" t="s">
        <v>27</v>
      </c>
      <c r="H662" t="s">
        <v>28</v>
      </c>
      <c r="I662" t="s">
        <v>40</v>
      </c>
      <c r="J662" s="14">
        <v>43195</v>
      </c>
      <c r="K662" t="s">
        <v>41</v>
      </c>
      <c r="L662">
        <v>15</v>
      </c>
      <c r="M662" t="s">
        <v>1335</v>
      </c>
      <c r="N662" t="s">
        <v>54</v>
      </c>
      <c r="O662" t="s">
        <v>66</v>
      </c>
      <c r="Q662">
        <v>3</v>
      </c>
      <c r="R662">
        <v>10</v>
      </c>
      <c r="T662" s="14">
        <v>44941</v>
      </c>
      <c r="V662" t="s">
        <v>46</v>
      </c>
      <c r="W662">
        <v>1</v>
      </c>
      <c r="X662" t="s">
        <v>46</v>
      </c>
    </row>
    <row r="663" spans="1:24" x14ac:dyDescent="0.35">
      <c r="A663" t="s">
        <v>1336</v>
      </c>
      <c r="B663" t="s">
        <v>107</v>
      </c>
      <c r="C663" t="s">
        <v>203</v>
      </c>
      <c r="D663">
        <v>35</v>
      </c>
      <c r="E663">
        <v>1989</v>
      </c>
      <c r="F663">
        <v>55000</v>
      </c>
      <c r="G663" t="s">
        <v>38</v>
      </c>
      <c r="H663" t="s">
        <v>70</v>
      </c>
      <c r="I663" t="s">
        <v>77</v>
      </c>
      <c r="J663" s="14">
        <v>43845</v>
      </c>
      <c r="K663" t="s">
        <v>30</v>
      </c>
      <c r="L663">
        <v>65</v>
      </c>
      <c r="M663" t="s">
        <v>1337</v>
      </c>
      <c r="N663" t="s">
        <v>43</v>
      </c>
      <c r="O663" t="s">
        <v>32</v>
      </c>
      <c r="Q663">
        <v>3</v>
      </c>
      <c r="S663">
        <v>8</v>
      </c>
      <c r="V663" t="s">
        <v>46</v>
      </c>
      <c r="W663">
        <v>4</v>
      </c>
      <c r="X663" t="s">
        <v>46</v>
      </c>
    </row>
    <row r="664" spans="1:24" x14ac:dyDescent="0.35">
      <c r="A664" t="s">
        <v>1338</v>
      </c>
      <c r="B664" t="s">
        <v>75</v>
      </c>
      <c r="C664" t="s">
        <v>76</v>
      </c>
      <c r="D664">
        <v>25</v>
      </c>
      <c r="E664">
        <v>1999</v>
      </c>
      <c r="F664">
        <v>55000</v>
      </c>
      <c r="G664" t="s">
        <v>27</v>
      </c>
      <c r="H664" t="s">
        <v>70</v>
      </c>
      <c r="I664" t="s">
        <v>77</v>
      </c>
      <c r="J664" s="14">
        <v>43195</v>
      </c>
      <c r="K664" t="s">
        <v>30</v>
      </c>
      <c r="L664">
        <v>66</v>
      </c>
      <c r="M664" t="s">
        <v>653</v>
      </c>
      <c r="N664" t="s">
        <v>104</v>
      </c>
      <c r="O664" t="s">
        <v>112</v>
      </c>
      <c r="Q664">
        <v>3</v>
      </c>
      <c r="T664" s="14">
        <v>45516</v>
      </c>
      <c r="V664" t="s">
        <v>46</v>
      </c>
      <c r="W664">
        <v>3</v>
      </c>
      <c r="X664" t="s">
        <v>34</v>
      </c>
    </row>
    <row r="665" spans="1:24" x14ac:dyDescent="0.35">
      <c r="A665" t="s">
        <v>1339</v>
      </c>
      <c r="B665" t="s">
        <v>56</v>
      </c>
      <c r="C665" t="s">
        <v>57</v>
      </c>
      <c r="D665" t="s">
        <v>88</v>
      </c>
      <c r="E665">
        <v>1994</v>
      </c>
      <c r="F665" t="s">
        <v>50</v>
      </c>
      <c r="G665" t="s">
        <v>27</v>
      </c>
      <c r="H665" t="s">
        <v>93</v>
      </c>
      <c r="I665" t="s">
        <v>40</v>
      </c>
      <c r="J665" s="14">
        <v>43845</v>
      </c>
      <c r="K665" t="s">
        <v>30</v>
      </c>
      <c r="L665">
        <v>66</v>
      </c>
      <c r="M665" t="s">
        <v>60</v>
      </c>
      <c r="O665" t="s">
        <v>66</v>
      </c>
      <c r="P665" t="s">
        <v>91</v>
      </c>
      <c r="Q665">
        <v>1</v>
      </c>
      <c r="U665">
        <v>62</v>
      </c>
      <c r="V665" t="s">
        <v>33</v>
      </c>
      <c r="W665">
        <v>4</v>
      </c>
      <c r="X665" t="s">
        <v>46</v>
      </c>
    </row>
    <row r="666" spans="1:24" x14ac:dyDescent="0.35">
      <c r="A666" t="s">
        <v>1340</v>
      </c>
      <c r="B666" t="s">
        <v>25</v>
      </c>
      <c r="C666" t="s">
        <v>338</v>
      </c>
      <c r="E666">
        <v>1996</v>
      </c>
      <c r="F666">
        <v>50000</v>
      </c>
      <c r="G666" t="s">
        <v>38</v>
      </c>
      <c r="H666" t="s">
        <v>28</v>
      </c>
      <c r="I666" t="s">
        <v>89</v>
      </c>
      <c r="J666" s="14">
        <v>43549</v>
      </c>
      <c r="K666" t="s">
        <v>30</v>
      </c>
      <c r="L666">
        <v>68</v>
      </c>
      <c r="M666" t="s">
        <v>1341</v>
      </c>
      <c r="N666" t="s">
        <v>61</v>
      </c>
      <c r="O666" t="s">
        <v>112</v>
      </c>
      <c r="Q666">
        <v>3</v>
      </c>
      <c r="R666" t="s">
        <v>79</v>
      </c>
      <c r="T666" s="14">
        <v>45516</v>
      </c>
      <c r="V666" t="s">
        <v>73</v>
      </c>
      <c r="W666">
        <v>1</v>
      </c>
      <c r="X666" t="s">
        <v>34</v>
      </c>
    </row>
    <row r="667" spans="1:24" x14ac:dyDescent="0.35">
      <c r="A667" t="s">
        <v>1342</v>
      </c>
      <c r="B667" t="s">
        <v>56</v>
      </c>
      <c r="C667" t="s">
        <v>108</v>
      </c>
      <c r="D667">
        <v>50</v>
      </c>
      <c r="E667">
        <v>1974</v>
      </c>
      <c r="F667">
        <v>55000</v>
      </c>
      <c r="G667" t="s">
        <v>38</v>
      </c>
      <c r="H667" t="s">
        <v>28</v>
      </c>
      <c r="I667" t="s">
        <v>40</v>
      </c>
      <c r="J667" s="14">
        <v>43549</v>
      </c>
      <c r="K667" t="s">
        <v>30</v>
      </c>
      <c r="L667">
        <v>62</v>
      </c>
      <c r="M667" t="s">
        <v>1343</v>
      </c>
      <c r="N667" t="s">
        <v>54</v>
      </c>
      <c r="O667" t="s">
        <v>32</v>
      </c>
      <c r="Q667">
        <v>1</v>
      </c>
      <c r="R667" t="s">
        <v>79</v>
      </c>
      <c r="T667" s="14">
        <v>44941</v>
      </c>
      <c r="V667" t="s">
        <v>34</v>
      </c>
      <c r="W667">
        <v>4</v>
      </c>
      <c r="X667" t="s">
        <v>34</v>
      </c>
    </row>
    <row r="668" spans="1:24" x14ac:dyDescent="0.35">
      <c r="A668" t="s">
        <v>1344</v>
      </c>
      <c r="B668" t="s">
        <v>56</v>
      </c>
      <c r="C668" t="s">
        <v>57</v>
      </c>
      <c r="D668" t="s">
        <v>88</v>
      </c>
      <c r="E668">
        <v>1994</v>
      </c>
      <c r="F668">
        <v>70000</v>
      </c>
      <c r="G668" t="s">
        <v>38</v>
      </c>
      <c r="H668" t="s">
        <v>145</v>
      </c>
      <c r="I668" t="s">
        <v>77</v>
      </c>
      <c r="J668" s="14">
        <v>43845</v>
      </c>
      <c r="K668" t="s">
        <v>41</v>
      </c>
      <c r="L668">
        <v>0</v>
      </c>
      <c r="M668" t="s">
        <v>60</v>
      </c>
      <c r="N668" t="s">
        <v>43</v>
      </c>
      <c r="O668" t="s">
        <v>66</v>
      </c>
      <c r="Q668">
        <v>3</v>
      </c>
      <c r="R668">
        <v>10</v>
      </c>
      <c r="U668">
        <v>67</v>
      </c>
      <c r="V668" t="s">
        <v>46</v>
      </c>
      <c r="W668">
        <v>5</v>
      </c>
      <c r="X668" t="s">
        <v>34</v>
      </c>
    </row>
    <row r="669" spans="1:24" x14ac:dyDescent="0.35">
      <c r="A669" t="s">
        <v>1345</v>
      </c>
      <c r="B669" t="s">
        <v>56</v>
      </c>
      <c r="C669" t="s">
        <v>1043</v>
      </c>
      <c r="D669">
        <v>40</v>
      </c>
      <c r="E669">
        <v>1984</v>
      </c>
      <c r="F669">
        <v>59800</v>
      </c>
      <c r="G669" t="s">
        <v>38</v>
      </c>
      <c r="H669" t="s">
        <v>58</v>
      </c>
      <c r="I669" t="s">
        <v>89</v>
      </c>
      <c r="J669" s="14">
        <v>43881</v>
      </c>
      <c r="K669" t="s">
        <v>78</v>
      </c>
      <c r="L669">
        <v>82</v>
      </c>
      <c r="M669" t="s">
        <v>1044</v>
      </c>
      <c r="N669" t="s">
        <v>43</v>
      </c>
      <c r="O669" t="s">
        <v>100</v>
      </c>
      <c r="P669" t="s">
        <v>1346</v>
      </c>
      <c r="Q669">
        <v>5</v>
      </c>
      <c r="U669">
        <v>52</v>
      </c>
      <c r="V669" t="s">
        <v>46</v>
      </c>
      <c r="W669">
        <v>2</v>
      </c>
      <c r="X669" t="s">
        <v>46</v>
      </c>
    </row>
    <row r="670" spans="1:24" x14ac:dyDescent="0.35">
      <c r="A670" t="s">
        <v>1347</v>
      </c>
      <c r="B670" t="s">
        <v>68</v>
      </c>
      <c r="C670" t="s">
        <v>250</v>
      </c>
      <c r="D670">
        <v>35</v>
      </c>
      <c r="E670">
        <v>1989</v>
      </c>
      <c r="F670" t="s">
        <v>50</v>
      </c>
      <c r="G670" t="s">
        <v>27</v>
      </c>
      <c r="H670" t="s">
        <v>122</v>
      </c>
      <c r="I670" t="s">
        <v>29</v>
      </c>
      <c r="J670" s="14">
        <v>43549</v>
      </c>
      <c r="K670" t="s">
        <v>78</v>
      </c>
      <c r="L670">
        <v>87</v>
      </c>
      <c r="M670" t="s">
        <v>251</v>
      </c>
      <c r="O670" t="s">
        <v>72</v>
      </c>
      <c r="P670" t="s">
        <v>978</v>
      </c>
      <c r="Q670">
        <v>3</v>
      </c>
      <c r="R670" t="s">
        <v>79</v>
      </c>
      <c r="S670">
        <v>11</v>
      </c>
      <c r="V670" t="s">
        <v>34</v>
      </c>
      <c r="W670">
        <v>4</v>
      </c>
      <c r="X670" t="s">
        <v>34</v>
      </c>
    </row>
    <row r="671" spans="1:24" x14ac:dyDescent="0.35">
      <c r="A671" t="s">
        <v>1348</v>
      </c>
      <c r="B671" t="s">
        <v>68</v>
      </c>
      <c r="C671" t="s">
        <v>403</v>
      </c>
      <c r="D671">
        <v>25</v>
      </c>
      <c r="E671">
        <v>1999</v>
      </c>
      <c r="F671" t="s">
        <v>50</v>
      </c>
      <c r="G671" t="s">
        <v>27</v>
      </c>
      <c r="H671" t="s">
        <v>145</v>
      </c>
      <c r="I671" t="s">
        <v>40</v>
      </c>
      <c r="J671" s="14">
        <v>43195</v>
      </c>
      <c r="K671" t="s">
        <v>59</v>
      </c>
      <c r="L671">
        <v>97</v>
      </c>
      <c r="M671" t="s">
        <v>1349</v>
      </c>
      <c r="N671" t="s">
        <v>43</v>
      </c>
      <c r="O671" t="s">
        <v>72</v>
      </c>
      <c r="Q671">
        <v>7</v>
      </c>
      <c r="R671">
        <v>11</v>
      </c>
      <c r="V671" t="s">
        <v>46</v>
      </c>
      <c r="W671">
        <v>1</v>
      </c>
      <c r="X671" t="s">
        <v>34</v>
      </c>
    </row>
    <row r="672" spans="1:24" x14ac:dyDescent="0.35">
      <c r="A672" t="s">
        <v>1350</v>
      </c>
      <c r="B672" t="s">
        <v>75</v>
      </c>
      <c r="C672" t="s">
        <v>819</v>
      </c>
      <c r="D672">
        <v>25</v>
      </c>
      <c r="E672">
        <v>1999</v>
      </c>
      <c r="F672">
        <v>55000</v>
      </c>
      <c r="G672" t="s">
        <v>38</v>
      </c>
      <c r="H672" t="s">
        <v>145</v>
      </c>
      <c r="I672" t="s">
        <v>40</v>
      </c>
      <c r="J672" s="14">
        <v>43195</v>
      </c>
      <c r="K672" t="s">
        <v>78</v>
      </c>
      <c r="L672">
        <v>83</v>
      </c>
      <c r="M672" t="s">
        <v>820</v>
      </c>
      <c r="N672" t="s">
        <v>43</v>
      </c>
      <c r="O672" t="s">
        <v>112</v>
      </c>
      <c r="Q672">
        <v>1</v>
      </c>
      <c r="W672">
        <v>2</v>
      </c>
      <c r="X672" t="s">
        <v>46</v>
      </c>
    </row>
    <row r="673" spans="1:24" x14ac:dyDescent="0.35">
      <c r="A673" t="s">
        <v>1351</v>
      </c>
      <c r="B673" t="s">
        <v>131</v>
      </c>
      <c r="C673" t="s">
        <v>546</v>
      </c>
      <c r="E673">
        <v>1997</v>
      </c>
      <c r="F673">
        <v>50000</v>
      </c>
      <c r="G673" t="s">
        <v>38</v>
      </c>
      <c r="H673" t="s">
        <v>70</v>
      </c>
      <c r="I673" t="s">
        <v>89</v>
      </c>
      <c r="J673" s="14">
        <v>43800</v>
      </c>
      <c r="K673" t="s">
        <v>78</v>
      </c>
      <c r="L673">
        <v>88</v>
      </c>
      <c r="M673" t="s">
        <v>1352</v>
      </c>
      <c r="O673" t="s">
        <v>32</v>
      </c>
      <c r="Q673">
        <v>5</v>
      </c>
      <c r="V673" t="s">
        <v>33</v>
      </c>
      <c r="W673">
        <v>5</v>
      </c>
      <c r="X673" t="s">
        <v>34</v>
      </c>
    </row>
    <row r="674" spans="1:24" x14ac:dyDescent="0.35">
      <c r="A674" t="s">
        <v>1353</v>
      </c>
      <c r="B674" t="s">
        <v>56</v>
      </c>
      <c r="C674" t="s">
        <v>148</v>
      </c>
      <c r="D674" t="s">
        <v>88</v>
      </c>
      <c r="E674">
        <v>1994</v>
      </c>
      <c r="F674">
        <v>70000</v>
      </c>
      <c r="G674" t="s">
        <v>38</v>
      </c>
      <c r="H674" t="s">
        <v>145</v>
      </c>
      <c r="I674" t="s">
        <v>29</v>
      </c>
      <c r="J674" s="14">
        <v>43195</v>
      </c>
      <c r="K674" t="s">
        <v>41</v>
      </c>
      <c r="L674">
        <v>32</v>
      </c>
      <c r="M674" t="s">
        <v>1354</v>
      </c>
      <c r="N674" t="s">
        <v>61</v>
      </c>
      <c r="O674" t="s">
        <v>112</v>
      </c>
      <c r="Q674">
        <v>2</v>
      </c>
      <c r="S674">
        <v>1</v>
      </c>
      <c r="T674" t="s">
        <v>79</v>
      </c>
      <c r="W674">
        <v>4</v>
      </c>
      <c r="X674" t="s">
        <v>46</v>
      </c>
    </row>
    <row r="675" spans="1:24" x14ac:dyDescent="0.35">
      <c r="A675" t="s">
        <v>1355</v>
      </c>
      <c r="B675" t="s">
        <v>140</v>
      </c>
      <c r="C675" t="s">
        <v>240</v>
      </c>
      <c r="E675">
        <v>1976</v>
      </c>
      <c r="F675">
        <v>50000</v>
      </c>
      <c r="G675" t="s">
        <v>38</v>
      </c>
      <c r="H675" t="s">
        <v>64</v>
      </c>
      <c r="I675" t="s">
        <v>29</v>
      </c>
      <c r="J675" s="14">
        <v>43800</v>
      </c>
      <c r="K675" t="s">
        <v>30</v>
      </c>
      <c r="L675">
        <v>64</v>
      </c>
      <c r="M675" t="s">
        <v>1078</v>
      </c>
      <c r="N675" t="s">
        <v>104</v>
      </c>
      <c r="O675" t="s">
        <v>32</v>
      </c>
      <c r="Q675">
        <v>4</v>
      </c>
      <c r="R675" t="s">
        <v>79</v>
      </c>
      <c r="U675">
        <v>74</v>
      </c>
      <c r="V675" t="s">
        <v>169</v>
      </c>
      <c r="W675">
        <v>2</v>
      </c>
      <c r="X675" t="s">
        <v>34</v>
      </c>
    </row>
    <row r="676" spans="1:24" x14ac:dyDescent="0.35">
      <c r="A676" t="s">
        <v>1356</v>
      </c>
      <c r="B676" t="s">
        <v>131</v>
      </c>
      <c r="C676" t="s">
        <v>692</v>
      </c>
      <c r="D676">
        <v>35</v>
      </c>
      <c r="E676">
        <v>1989</v>
      </c>
      <c r="F676">
        <v>65000</v>
      </c>
      <c r="G676" t="s">
        <v>38</v>
      </c>
      <c r="H676" t="s">
        <v>122</v>
      </c>
      <c r="I676" t="s">
        <v>89</v>
      </c>
      <c r="J676" s="14">
        <v>43845</v>
      </c>
      <c r="K676" t="s">
        <v>30</v>
      </c>
      <c r="L676">
        <v>60</v>
      </c>
      <c r="M676" t="s">
        <v>693</v>
      </c>
      <c r="N676" t="s">
        <v>104</v>
      </c>
      <c r="O676" t="s">
        <v>32</v>
      </c>
      <c r="Q676">
        <v>8</v>
      </c>
      <c r="V676" t="s">
        <v>34</v>
      </c>
      <c r="W676">
        <v>4</v>
      </c>
      <c r="X676" t="s">
        <v>34</v>
      </c>
    </row>
    <row r="677" spans="1:24" x14ac:dyDescent="0.35">
      <c r="A677" t="s">
        <v>1357</v>
      </c>
      <c r="B677" t="s">
        <v>75</v>
      </c>
      <c r="C677" t="s">
        <v>380</v>
      </c>
      <c r="E677">
        <v>1984</v>
      </c>
      <c r="F677">
        <v>65000</v>
      </c>
      <c r="G677" t="s">
        <v>38</v>
      </c>
      <c r="H677" t="s">
        <v>145</v>
      </c>
      <c r="I677" t="s">
        <v>94</v>
      </c>
      <c r="J677" s="14">
        <v>43845</v>
      </c>
      <c r="K677" t="s">
        <v>41</v>
      </c>
      <c r="L677">
        <v>6</v>
      </c>
      <c r="M677" t="s">
        <v>1358</v>
      </c>
      <c r="N677" t="s">
        <v>54</v>
      </c>
      <c r="O677" t="s">
        <v>72</v>
      </c>
      <c r="Q677">
        <v>8</v>
      </c>
      <c r="R677" t="s">
        <v>79</v>
      </c>
      <c r="T677" s="14">
        <v>44732</v>
      </c>
      <c r="V677" t="s">
        <v>34</v>
      </c>
      <c r="W677">
        <v>4</v>
      </c>
      <c r="X677" t="s">
        <v>34</v>
      </c>
    </row>
    <row r="678" spans="1:24" x14ac:dyDescent="0.35">
      <c r="A678" t="s">
        <v>1359</v>
      </c>
      <c r="B678" t="s">
        <v>36</v>
      </c>
      <c r="C678" t="s">
        <v>479</v>
      </c>
      <c r="D678">
        <v>50</v>
      </c>
      <c r="E678">
        <v>1974</v>
      </c>
      <c r="F678">
        <v>60300</v>
      </c>
      <c r="G678" t="s">
        <v>27</v>
      </c>
      <c r="H678" t="s">
        <v>64</v>
      </c>
      <c r="I678" t="s">
        <v>40</v>
      </c>
      <c r="J678" s="14">
        <v>43845</v>
      </c>
      <c r="K678" t="s">
        <v>78</v>
      </c>
      <c r="L678">
        <v>83</v>
      </c>
      <c r="M678" t="s">
        <v>480</v>
      </c>
      <c r="N678" t="s">
        <v>61</v>
      </c>
      <c r="O678" t="s">
        <v>100</v>
      </c>
      <c r="P678" t="s">
        <v>208</v>
      </c>
      <c r="Q678">
        <v>8</v>
      </c>
      <c r="S678">
        <v>3</v>
      </c>
      <c r="T678" s="14">
        <v>44941</v>
      </c>
      <c r="U678">
        <v>64</v>
      </c>
      <c r="V678" t="s">
        <v>34</v>
      </c>
      <c r="W678">
        <v>4</v>
      </c>
      <c r="X678" t="s">
        <v>46</v>
      </c>
    </row>
    <row r="679" spans="1:24" x14ac:dyDescent="0.35">
      <c r="A679" t="s">
        <v>1360</v>
      </c>
      <c r="B679" t="s">
        <v>131</v>
      </c>
      <c r="C679" t="s">
        <v>216</v>
      </c>
      <c r="D679">
        <v>25</v>
      </c>
      <c r="E679">
        <v>1999</v>
      </c>
      <c r="F679">
        <v>55000</v>
      </c>
      <c r="G679" t="s">
        <v>38</v>
      </c>
      <c r="H679" t="s">
        <v>64</v>
      </c>
      <c r="I679" t="s">
        <v>40</v>
      </c>
      <c r="J679" s="14">
        <v>43881</v>
      </c>
      <c r="K679" t="s">
        <v>41</v>
      </c>
      <c r="L679">
        <v>55</v>
      </c>
      <c r="M679" t="s">
        <v>217</v>
      </c>
      <c r="N679" t="s">
        <v>54</v>
      </c>
      <c r="O679" t="s">
        <v>100</v>
      </c>
      <c r="Q679">
        <v>3</v>
      </c>
      <c r="V679" t="s">
        <v>73</v>
      </c>
      <c r="W679">
        <v>2</v>
      </c>
      <c r="X679" t="s">
        <v>34</v>
      </c>
    </row>
    <row r="680" spans="1:24" x14ac:dyDescent="0.35">
      <c r="A680" t="s">
        <v>1361</v>
      </c>
      <c r="B680" t="s">
        <v>131</v>
      </c>
      <c r="C680" t="s">
        <v>148</v>
      </c>
      <c r="D680">
        <v>25</v>
      </c>
      <c r="E680">
        <v>1999</v>
      </c>
      <c r="F680">
        <v>55000</v>
      </c>
      <c r="G680" t="s">
        <v>38</v>
      </c>
      <c r="H680" t="s">
        <v>39</v>
      </c>
      <c r="I680" t="s">
        <v>77</v>
      </c>
      <c r="J680" s="14">
        <v>43881</v>
      </c>
      <c r="K680" t="s">
        <v>59</v>
      </c>
      <c r="L680">
        <v>91</v>
      </c>
      <c r="M680" t="s">
        <v>1362</v>
      </c>
      <c r="N680" t="s">
        <v>104</v>
      </c>
      <c r="O680" t="s">
        <v>66</v>
      </c>
      <c r="P680" t="s">
        <v>842</v>
      </c>
      <c r="Q680">
        <v>4</v>
      </c>
      <c r="R680">
        <v>12</v>
      </c>
      <c r="V680" t="s">
        <v>34</v>
      </c>
      <c r="W680">
        <v>2</v>
      </c>
      <c r="X680" t="s">
        <v>46</v>
      </c>
    </row>
    <row r="681" spans="1:24" x14ac:dyDescent="0.35">
      <c r="A681" t="s">
        <v>1363</v>
      </c>
      <c r="B681" t="s">
        <v>48</v>
      </c>
      <c r="C681" t="s">
        <v>225</v>
      </c>
      <c r="D681">
        <v>40</v>
      </c>
      <c r="E681">
        <v>1984</v>
      </c>
      <c r="F681">
        <v>55000</v>
      </c>
      <c r="G681" t="s">
        <v>38</v>
      </c>
      <c r="H681" t="s">
        <v>39</v>
      </c>
      <c r="I681" t="s">
        <v>89</v>
      </c>
      <c r="J681" s="14">
        <v>43800</v>
      </c>
      <c r="K681" t="s">
        <v>30</v>
      </c>
      <c r="L681">
        <v>62</v>
      </c>
      <c r="M681" t="s">
        <v>226</v>
      </c>
      <c r="O681" t="s">
        <v>112</v>
      </c>
      <c r="Q681">
        <v>7</v>
      </c>
      <c r="R681" t="s">
        <v>79</v>
      </c>
      <c r="V681" t="s">
        <v>169</v>
      </c>
      <c r="W681">
        <v>2</v>
      </c>
      <c r="X681" t="s">
        <v>34</v>
      </c>
    </row>
    <row r="682" spans="1:24" x14ac:dyDescent="0.35">
      <c r="A682" t="s">
        <v>1364</v>
      </c>
      <c r="B682" t="s">
        <v>114</v>
      </c>
      <c r="C682" t="s">
        <v>229</v>
      </c>
      <c r="D682">
        <v>40</v>
      </c>
      <c r="E682">
        <v>1984</v>
      </c>
      <c r="F682">
        <v>58600</v>
      </c>
      <c r="G682" t="s">
        <v>27</v>
      </c>
      <c r="H682" t="s">
        <v>70</v>
      </c>
      <c r="I682" t="s">
        <v>77</v>
      </c>
      <c r="J682" s="14">
        <v>43195</v>
      </c>
      <c r="K682" t="s">
        <v>52</v>
      </c>
      <c r="L682">
        <v>73</v>
      </c>
      <c r="M682" t="s">
        <v>1365</v>
      </c>
      <c r="N682" t="s">
        <v>43</v>
      </c>
      <c r="O682" t="s">
        <v>100</v>
      </c>
      <c r="Q682">
        <v>3</v>
      </c>
      <c r="S682">
        <v>6</v>
      </c>
      <c r="T682" s="14">
        <v>44470</v>
      </c>
      <c r="V682" t="s">
        <v>33</v>
      </c>
      <c r="W682">
        <v>2</v>
      </c>
      <c r="X682" t="s">
        <v>46</v>
      </c>
    </row>
    <row r="683" spans="1:24" x14ac:dyDescent="0.35">
      <c r="A683" t="s">
        <v>1366</v>
      </c>
      <c r="B683" t="s">
        <v>48</v>
      </c>
      <c r="C683" t="s">
        <v>161</v>
      </c>
      <c r="D683">
        <v>35</v>
      </c>
      <c r="E683">
        <v>1989</v>
      </c>
      <c r="F683">
        <v>65000</v>
      </c>
      <c r="G683" t="s">
        <v>38</v>
      </c>
      <c r="H683" t="s">
        <v>39</v>
      </c>
      <c r="I683" t="s">
        <v>77</v>
      </c>
      <c r="J683" s="14">
        <v>43195</v>
      </c>
      <c r="K683" t="s">
        <v>59</v>
      </c>
      <c r="L683">
        <v>95</v>
      </c>
      <c r="M683" t="s">
        <v>1367</v>
      </c>
      <c r="N683" t="s">
        <v>104</v>
      </c>
      <c r="O683" t="s">
        <v>174</v>
      </c>
      <c r="Q683">
        <v>3</v>
      </c>
      <c r="T683" s="14">
        <v>44732</v>
      </c>
      <c r="W683">
        <v>4</v>
      </c>
      <c r="X683" t="s">
        <v>34</v>
      </c>
    </row>
    <row r="684" spans="1:24" x14ac:dyDescent="0.35">
      <c r="A684" t="s">
        <v>1368</v>
      </c>
      <c r="B684" t="s">
        <v>25</v>
      </c>
      <c r="C684" t="s">
        <v>99</v>
      </c>
      <c r="D684">
        <v>50</v>
      </c>
      <c r="E684">
        <v>1974</v>
      </c>
      <c r="F684">
        <v>50000</v>
      </c>
      <c r="G684" t="s">
        <v>38</v>
      </c>
      <c r="H684" t="s">
        <v>93</v>
      </c>
      <c r="I684" t="s">
        <v>29</v>
      </c>
      <c r="J684" s="14">
        <v>43845</v>
      </c>
      <c r="K684" t="s">
        <v>59</v>
      </c>
      <c r="L684">
        <v>92</v>
      </c>
      <c r="M684" t="s">
        <v>1369</v>
      </c>
      <c r="N684" t="s">
        <v>61</v>
      </c>
      <c r="O684" t="s">
        <v>44</v>
      </c>
      <c r="Q684">
        <v>5</v>
      </c>
      <c r="S684">
        <v>2</v>
      </c>
      <c r="T684" s="14">
        <v>44941</v>
      </c>
      <c r="V684" t="s">
        <v>73</v>
      </c>
      <c r="W684">
        <v>4</v>
      </c>
      <c r="X684" t="s">
        <v>34</v>
      </c>
    </row>
    <row r="685" spans="1:24" x14ac:dyDescent="0.35">
      <c r="A685" t="s">
        <v>1370</v>
      </c>
      <c r="B685" t="s">
        <v>68</v>
      </c>
      <c r="C685" t="s">
        <v>108</v>
      </c>
      <c r="D685" t="s">
        <v>88</v>
      </c>
      <c r="E685">
        <v>1994</v>
      </c>
      <c r="F685">
        <v>60500</v>
      </c>
      <c r="G685" t="s">
        <v>38</v>
      </c>
      <c r="H685" t="s">
        <v>93</v>
      </c>
      <c r="I685" t="s">
        <v>40</v>
      </c>
      <c r="J685" s="14">
        <v>43549</v>
      </c>
      <c r="K685" t="s">
        <v>41</v>
      </c>
      <c r="L685">
        <v>48</v>
      </c>
      <c r="M685" t="s">
        <v>1371</v>
      </c>
      <c r="N685" t="s">
        <v>104</v>
      </c>
      <c r="O685" t="s">
        <v>66</v>
      </c>
      <c r="Q685">
        <v>3</v>
      </c>
      <c r="T685" s="14">
        <v>45516</v>
      </c>
      <c r="V685" t="s">
        <v>46</v>
      </c>
      <c r="W685">
        <v>5</v>
      </c>
      <c r="X685" t="s">
        <v>34</v>
      </c>
    </row>
    <row r="686" spans="1:24" x14ac:dyDescent="0.35">
      <c r="A686" t="s">
        <v>1372</v>
      </c>
      <c r="B686" t="s">
        <v>68</v>
      </c>
      <c r="C686" t="s">
        <v>189</v>
      </c>
      <c r="E686">
        <v>1999</v>
      </c>
      <c r="F686">
        <v>61300</v>
      </c>
      <c r="G686" t="s">
        <v>38</v>
      </c>
      <c r="H686" t="s">
        <v>39</v>
      </c>
      <c r="I686" t="s">
        <v>77</v>
      </c>
      <c r="J686" s="14">
        <v>43881</v>
      </c>
      <c r="K686" t="s">
        <v>78</v>
      </c>
      <c r="L686">
        <v>80</v>
      </c>
      <c r="M686" t="s">
        <v>1373</v>
      </c>
      <c r="N686" t="s">
        <v>61</v>
      </c>
      <c r="O686" t="s">
        <v>66</v>
      </c>
      <c r="Q686">
        <v>6</v>
      </c>
      <c r="U686">
        <v>58</v>
      </c>
      <c r="V686" t="s">
        <v>46</v>
      </c>
      <c r="W686">
        <v>1</v>
      </c>
      <c r="X686" t="s">
        <v>34</v>
      </c>
    </row>
    <row r="687" spans="1:24" x14ac:dyDescent="0.35">
      <c r="A687" t="s">
        <v>1374</v>
      </c>
      <c r="B687" t="s">
        <v>114</v>
      </c>
      <c r="C687" t="s">
        <v>115</v>
      </c>
      <c r="D687">
        <v>35</v>
      </c>
      <c r="E687">
        <v>1989</v>
      </c>
      <c r="F687">
        <v>50000</v>
      </c>
      <c r="G687" t="s">
        <v>27</v>
      </c>
      <c r="H687" t="s">
        <v>122</v>
      </c>
      <c r="I687" t="s">
        <v>29</v>
      </c>
      <c r="J687" s="14">
        <v>43881</v>
      </c>
      <c r="K687" t="s">
        <v>30</v>
      </c>
      <c r="L687">
        <v>65</v>
      </c>
      <c r="M687" t="s">
        <v>182</v>
      </c>
      <c r="N687" t="s">
        <v>61</v>
      </c>
      <c r="O687" t="s">
        <v>72</v>
      </c>
      <c r="Q687">
        <v>8</v>
      </c>
      <c r="S687">
        <v>5</v>
      </c>
      <c r="T687" s="14">
        <v>44941</v>
      </c>
      <c r="V687" t="s">
        <v>46</v>
      </c>
      <c r="W687">
        <v>5</v>
      </c>
      <c r="X687" t="s">
        <v>34</v>
      </c>
    </row>
    <row r="688" spans="1:24" x14ac:dyDescent="0.35">
      <c r="A688" t="s">
        <v>1375</v>
      </c>
      <c r="B688" t="s">
        <v>107</v>
      </c>
      <c r="C688" t="s">
        <v>403</v>
      </c>
      <c r="D688">
        <v>40</v>
      </c>
      <c r="E688">
        <v>1984</v>
      </c>
      <c r="F688">
        <v>55000</v>
      </c>
      <c r="G688" t="s">
        <v>27</v>
      </c>
      <c r="H688" t="s">
        <v>64</v>
      </c>
      <c r="I688" t="s">
        <v>89</v>
      </c>
      <c r="J688" s="14">
        <v>43845</v>
      </c>
      <c r="K688" t="s">
        <v>52</v>
      </c>
      <c r="L688">
        <v>77</v>
      </c>
      <c r="M688" t="s">
        <v>1376</v>
      </c>
      <c r="N688" t="s">
        <v>61</v>
      </c>
      <c r="O688" t="s">
        <v>112</v>
      </c>
      <c r="Q688">
        <v>2</v>
      </c>
      <c r="R688">
        <v>15</v>
      </c>
      <c r="V688" t="s">
        <v>46</v>
      </c>
      <c r="W688">
        <v>1</v>
      </c>
      <c r="X688" t="s">
        <v>46</v>
      </c>
    </row>
    <row r="689" spans="1:24" x14ac:dyDescent="0.35">
      <c r="A689" t="s">
        <v>1377</v>
      </c>
      <c r="B689" t="s">
        <v>107</v>
      </c>
      <c r="C689" t="s">
        <v>121</v>
      </c>
      <c r="E689">
        <v>1993</v>
      </c>
      <c r="F689">
        <v>70000</v>
      </c>
      <c r="G689" t="s">
        <v>38</v>
      </c>
      <c r="H689" t="s">
        <v>39</v>
      </c>
      <c r="I689" t="s">
        <v>77</v>
      </c>
      <c r="J689" s="14">
        <v>43881</v>
      </c>
      <c r="K689" t="s">
        <v>59</v>
      </c>
      <c r="L689">
        <v>100</v>
      </c>
      <c r="M689" t="s">
        <v>123</v>
      </c>
      <c r="N689" t="s">
        <v>54</v>
      </c>
      <c r="O689" t="s">
        <v>174</v>
      </c>
      <c r="P689" t="s">
        <v>106</v>
      </c>
      <c r="Q689">
        <v>4</v>
      </c>
      <c r="R689" t="s">
        <v>79</v>
      </c>
      <c r="S689">
        <v>14</v>
      </c>
      <c r="V689" t="s">
        <v>33</v>
      </c>
      <c r="W689">
        <v>3</v>
      </c>
      <c r="X689" t="s">
        <v>46</v>
      </c>
    </row>
    <row r="690" spans="1:24" x14ac:dyDescent="0.35">
      <c r="A690" t="s">
        <v>1378</v>
      </c>
      <c r="B690" t="s">
        <v>75</v>
      </c>
      <c r="C690" t="s">
        <v>199</v>
      </c>
      <c r="D690">
        <v>40</v>
      </c>
      <c r="E690">
        <v>1984</v>
      </c>
      <c r="F690">
        <v>50000</v>
      </c>
      <c r="G690" t="s">
        <v>27</v>
      </c>
      <c r="H690" t="s">
        <v>39</v>
      </c>
      <c r="I690" t="s">
        <v>40</v>
      </c>
      <c r="J690" s="14">
        <v>43845</v>
      </c>
      <c r="K690" t="s">
        <v>52</v>
      </c>
      <c r="L690">
        <v>76</v>
      </c>
      <c r="M690" t="s">
        <v>1379</v>
      </c>
      <c r="O690" t="s">
        <v>100</v>
      </c>
      <c r="Q690">
        <v>7</v>
      </c>
      <c r="R690">
        <v>7</v>
      </c>
      <c r="S690">
        <v>16</v>
      </c>
      <c r="U690">
        <v>47</v>
      </c>
      <c r="V690" t="s">
        <v>169</v>
      </c>
      <c r="W690">
        <v>3</v>
      </c>
      <c r="X690" t="s">
        <v>34</v>
      </c>
    </row>
    <row r="691" spans="1:24" x14ac:dyDescent="0.35">
      <c r="A691" t="s">
        <v>1380</v>
      </c>
      <c r="B691" t="s">
        <v>114</v>
      </c>
      <c r="C691" t="s">
        <v>710</v>
      </c>
      <c r="E691">
        <v>2000</v>
      </c>
      <c r="F691">
        <v>65000</v>
      </c>
      <c r="G691" t="s">
        <v>27</v>
      </c>
      <c r="H691" t="s">
        <v>122</v>
      </c>
      <c r="I691" t="s">
        <v>77</v>
      </c>
      <c r="J691" s="14">
        <v>43800</v>
      </c>
      <c r="K691" t="s">
        <v>78</v>
      </c>
      <c r="L691">
        <v>85</v>
      </c>
      <c r="M691" t="s">
        <v>711</v>
      </c>
      <c r="N691" t="s">
        <v>104</v>
      </c>
      <c r="O691" t="s">
        <v>100</v>
      </c>
      <c r="Q691">
        <v>7</v>
      </c>
      <c r="R691" t="s">
        <v>79</v>
      </c>
      <c r="S691">
        <v>12</v>
      </c>
      <c r="U691">
        <v>75</v>
      </c>
      <c r="V691" t="s">
        <v>34</v>
      </c>
      <c r="W691">
        <v>4</v>
      </c>
      <c r="X691" t="s">
        <v>46</v>
      </c>
    </row>
    <row r="692" spans="1:24" x14ac:dyDescent="0.35">
      <c r="A692" t="s">
        <v>1381</v>
      </c>
      <c r="B692" t="s">
        <v>131</v>
      </c>
      <c r="C692" t="s">
        <v>840</v>
      </c>
      <c r="D692" t="s">
        <v>88</v>
      </c>
      <c r="E692">
        <v>1994</v>
      </c>
      <c r="F692" t="s">
        <v>50</v>
      </c>
      <c r="G692" t="s">
        <v>27</v>
      </c>
      <c r="H692" t="s">
        <v>28</v>
      </c>
      <c r="I692" t="s">
        <v>89</v>
      </c>
      <c r="J692" s="14">
        <v>43195</v>
      </c>
      <c r="K692" t="s">
        <v>78</v>
      </c>
      <c r="L692">
        <v>80</v>
      </c>
      <c r="M692" t="s">
        <v>1382</v>
      </c>
      <c r="O692" t="s">
        <v>32</v>
      </c>
      <c r="Q692">
        <v>3</v>
      </c>
      <c r="S692">
        <v>0</v>
      </c>
      <c r="T692" s="14">
        <v>44941</v>
      </c>
      <c r="V692" t="s">
        <v>46</v>
      </c>
      <c r="W692">
        <v>2</v>
      </c>
      <c r="X692" t="s">
        <v>34</v>
      </c>
    </row>
    <row r="693" spans="1:24" x14ac:dyDescent="0.35">
      <c r="A693" t="s">
        <v>1383</v>
      </c>
      <c r="B693" t="s">
        <v>107</v>
      </c>
      <c r="C693" t="s">
        <v>355</v>
      </c>
      <c r="D693">
        <v>35</v>
      </c>
      <c r="E693">
        <v>1989</v>
      </c>
      <c r="F693" t="s">
        <v>50</v>
      </c>
      <c r="G693" t="s">
        <v>27</v>
      </c>
      <c r="H693" t="s">
        <v>28</v>
      </c>
      <c r="I693" t="s">
        <v>77</v>
      </c>
      <c r="J693" s="14">
        <v>43549</v>
      </c>
      <c r="K693" t="s">
        <v>52</v>
      </c>
      <c r="L693">
        <v>71</v>
      </c>
      <c r="M693" t="s">
        <v>356</v>
      </c>
      <c r="N693" t="s">
        <v>43</v>
      </c>
      <c r="O693" t="s">
        <v>66</v>
      </c>
      <c r="Q693">
        <v>2</v>
      </c>
      <c r="R693" t="s">
        <v>79</v>
      </c>
      <c r="T693" s="14">
        <v>44470</v>
      </c>
      <c r="W693">
        <v>2</v>
      </c>
      <c r="X693" t="s">
        <v>46</v>
      </c>
    </row>
    <row r="694" spans="1:24" x14ac:dyDescent="0.35">
      <c r="A694" t="s">
        <v>1384</v>
      </c>
      <c r="B694" t="s">
        <v>56</v>
      </c>
      <c r="C694" t="s">
        <v>676</v>
      </c>
      <c r="E694">
        <v>1970</v>
      </c>
      <c r="F694">
        <v>60500</v>
      </c>
      <c r="G694" t="s">
        <v>27</v>
      </c>
      <c r="H694" t="s">
        <v>70</v>
      </c>
      <c r="I694" t="s">
        <v>40</v>
      </c>
      <c r="J694" s="14">
        <v>43195</v>
      </c>
      <c r="K694" t="s">
        <v>30</v>
      </c>
      <c r="L694">
        <v>67</v>
      </c>
      <c r="M694" t="s">
        <v>677</v>
      </c>
      <c r="N694" t="s">
        <v>104</v>
      </c>
      <c r="O694" t="s">
        <v>112</v>
      </c>
      <c r="P694" t="s">
        <v>791</v>
      </c>
      <c r="Q694">
        <v>1</v>
      </c>
      <c r="R694" t="s">
        <v>79</v>
      </c>
      <c r="V694" t="s">
        <v>46</v>
      </c>
      <c r="W694">
        <v>5</v>
      </c>
      <c r="X694" t="s">
        <v>34</v>
      </c>
    </row>
    <row r="695" spans="1:24" x14ac:dyDescent="0.35">
      <c r="A695" t="s">
        <v>1385</v>
      </c>
      <c r="B695" t="s">
        <v>140</v>
      </c>
      <c r="C695" t="s">
        <v>436</v>
      </c>
      <c r="D695">
        <v>50</v>
      </c>
      <c r="E695">
        <v>1974</v>
      </c>
      <c r="F695" t="s">
        <v>50</v>
      </c>
      <c r="G695" t="s">
        <v>27</v>
      </c>
      <c r="H695" t="s">
        <v>70</v>
      </c>
      <c r="I695" t="s">
        <v>29</v>
      </c>
      <c r="J695" s="14">
        <v>43195</v>
      </c>
      <c r="K695" t="s">
        <v>78</v>
      </c>
      <c r="L695">
        <v>84</v>
      </c>
      <c r="M695" t="s">
        <v>437</v>
      </c>
      <c r="O695" t="s">
        <v>112</v>
      </c>
      <c r="P695" t="s">
        <v>287</v>
      </c>
      <c r="Q695">
        <v>4</v>
      </c>
      <c r="T695" t="s">
        <v>79</v>
      </c>
      <c r="W695">
        <v>4</v>
      </c>
      <c r="X695" t="s">
        <v>46</v>
      </c>
    </row>
    <row r="696" spans="1:24" x14ac:dyDescent="0.35">
      <c r="A696" t="s">
        <v>1386</v>
      </c>
      <c r="B696" t="s">
        <v>131</v>
      </c>
      <c r="C696" t="s">
        <v>692</v>
      </c>
      <c r="D696">
        <v>25</v>
      </c>
      <c r="E696">
        <v>1999</v>
      </c>
      <c r="F696">
        <v>70000</v>
      </c>
      <c r="G696" t="s">
        <v>27</v>
      </c>
      <c r="H696" t="s">
        <v>122</v>
      </c>
      <c r="I696" t="s">
        <v>40</v>
      </c>
      <c r="J696" s="14">
        <v>43800</v>
      </c>
      <c r="K696" t="s">
        <v>52</v>
      </c>
      <c r="L696">
        <v>77</v>
      </c>
      <c r="M696" t="s">
        <v>693</v>
      </c>
      <c r="O696" t="s">
        <v>112</v>
      </c>
      <c r="Q696">
        <v>7</v>
      </c>
      <c r="T696" s="14">
        <v>44990</v>
      </c>
      <c r="V696" t="s">
        <v>46</v>
      </c>
      <c r="W696">
        <v>1</v>
      </c>
      <c r="X696" t="s">
        <v>46</v>
      </c>
    </row>
    <row r="697" spans="1:24" x14ac:dyDescent="0.35">
      <c r="A697" t="s">
        <v>1387</v>
      </c>
      <c r="B697" t="s">
        <v>25</v>
      </c>
      <c r="C697" t="s">
        <v>499</v>
      </c>
      <c r="D697">
        <v>50</v>
      </c>
      <c r="E697">
        <v>1974</v>
      </c>
      <c r="F697">
        <v>55000</v>
      </c>
      <c r="G697" t="s">
        <v>38</v>
      </c>
      <c r="H697" t="s">
        <v>145</v>
      </c>
      <c r="I697" t="s">
        <v>29</v>
      </c>
      <c r="J697" s="14">
        <v>43881</v>
      </c>
      <c r="K697" t="s">
        <v>59</v>
      </c>
      <c r="L697">
        <v>100</v>
      </c>
      <c r="M697" t="s">
        <v>1388</v>
      </c>
      <c r="N697" t="s">
        <v>43</v>
      </c>
      <c r="O697" t="s">
        <v>32</v>
      </c>
      <c r="Q697">
        <v>3</v>
      </c>
      <c r="S697">
        <v>15</v>
      </c>
      <c r="V697" t="s">
        <v>34</v>
      </c>
      <c r="W697">
        <v>2</v>
      </c>
      <c r="X697" t="s">
        <v>46</v>
      </c>
    </row>
    <row r="698" spans="1:24" x14ac:dyDescent="0.35">
      <c r="A698" t="s">
        <v>1389</v>
      </c>
      <c r="B698" t="s">
        <v>56</v>
      </c>
      <c r="C698" t="s">
        <v>676</v>
      </c>
      <c r="D698">
        <v>50</v>
      </c>
      <c r="E698">
        <v>1974</v>
      </c>
      <c r="F698">
        <v>65000</v>
      </c>
      <c r="G698" t="s">
        <v>27</v>
      </c>
      <c r="H698" t="s">
        <v>28</v>
      </c>
      <c r="I698" t="s">
        <v>94</v>
      </c>
      <c r="J698" s="14">
        <v>43549</v>
      </c>
      <c r="K698" t="s">
        <v>52</v>
      </c>
      <c r="L698">
        <v>71</v>
      </c>
      <c r="M698" t="s">
        <v>677</v>
      </c>
      <c r="N698" t="s">
        <v>61</v>
      </c>
      <c r="O698" t="s">
        <v>72</v>
      </c>
      <c r="Q698">
        <v>2</v>
      </c>
      <c r="T698" s="14">
        <v>44941</v>
      </c>
      <c r="V698" t="s">
        <v>73</v>
      </c>
      <c r="W698">
        <v>4</v>
      </c>
      <c r="X698" t="s">
        <v>34</v>
      </c>
    </row>
    <row r="699" spans="1:24" x14ac:dyDescent="0.35">
      <c r="A699" t="s">
        <v>1390</v>
      </c>
      <c r="B699" t="s">
        <v>56</v>
      </c>
      <c r="C699" t="s">
        <v>189</v>
      </c>
      <c r="D699">
        <v>25</v>
      </c>
      <c r="E699">
        <v>1999</v>
      </c>
      <c r="F699">
        <v>70000</v>
      </c>
      <c r="G699" t="s">
        <v>27</v>
      </c>
      <c r="H699" t="s">
        <v>70</v>
      </c>
      <c r="I699" t="s">
        <v>40</v>
      </c>
      <c r="J699" s="14">
        <v>43881</v>
      </c>
      <c r="K699" t="s">
        <v>52</v>
      </c>
      <c r="L699">
        <v>76</v>
      </c>
      <c r="M699" t="s">
        <v>1391</v>
      </c>
      <c r="N699" t="s">
        <v>104</v>
      </c>
      <c r="O699" t="s">
        <v>100</v>
      </c>
      <c r="Q699">
        <v>3</v>
      </c>
      <c r="V699" t="s">
        <v>73</v>
      </c>
      <c r="W699">
        <v>2</v>
      </c>
      <c r="X699" t="s">
        <v>46</v>
      </c>
    </row>
    <row r="700" spans="1:24" x14ac:dyDescent="0.35">
      <c r="A700" t="s">
        <v>1392</v>
      </c>
      <c r="B700" t="s">
        <v>114</v>
      </c>
      <c r="C700" t="s">
        <v>299</v>
      </c>
      <c r="D700">
        <v>50</v>
      </c>
      <c r="E700">
        <v>1974</v>
      </c>
      <c r="F700">
        <v>65000</v>
      </c>
      <c r="G700" t="s">
        <v>27</v>
      </c>
      <c r="H700" t="s">
        <v>28</v>
      </c>
      <c r="I700" t="s">
        <v>40</v>
      </c>
      <c r="J700" s="14">
        <v>43195</v>
      </c>
      <c r="K700" t="s">
        <v>41</v>
      </c>
      <c r="L700">
        <v>5</v>
      </c>
      <c r="M700" t="s">
        <v>1393</v>
      </c>
      <c r="N700" t="s">
        <v>104</v>
      </c>
      <c r="O700" t="s">
        <v>112</v>
      </c>
      <c r="Q700">
        <v>8</v>
      </c>
      <c r="S700">
        <v>8</v>
      </c>
      <c r="T700" t="s">
        <v>79</v>
      </c>
      <c r="V700" t="s">
        <v>34</v>
      </c>
      <c r="W700">
        <v>5</v>
      </c>
      <c r="X700" t="s">
        <v>34</v>
      </c>
    </row>
    <row r="701" spans="1:24" x14ac:dyDescent="0.35">
      <c r="A701" t="s">
        <v>1394</v>
      </c>
      <c r="B701" t="s">
        <v>75</v>
      </c>
      <c r="C701" t="s">
        <v>395</v>
      </c>
      <c r="E701">
        <v>1989</v>
      </c>
      <c r="F701">
        <v>65000</v>
      </c>
      <c r="G701" t="s">
        <v>27</v>
      </c>
      <c r="H701" t="s">
        <v>122</v>
      </c>
      <c r="I701" t="s">
        <v>89</v>
      </c>
      <c r="J701" s="14">
        <v>43845</v>
      </c>
      <c r="K701" t="s">
        <v>78</v>
      </c>
      <c r="L701">
        <v>85</v>
      </c>
      <c r="M701" t="s">
        <v>1395</v>
      </c>
      <c r="N701" t="s">
        <v>43</v>
      </c>
      <c r="O701" t="s">
        <v>174</v>
      </c>
      <c r="P701" t="s">
        <v>1396</v>
      </c>
      <c r="Q701">
        <v>1</v>
      </c>
      <c r="R701">
        <v>11</v>
      </c>
      <c r="T701" s="14">
        <v>44732</v>
      </c>
      <c r="W701">
        <v>1</v>
      </c>
      <c r="X701" t="s">
        <v>46</v>
      </c>
    </row>
    <row r="702" spans="1:24" x14ac:dyDescent="0.35">
      <c r="A702" t="s">
        <v>1397</v>
      </c>
      <c r="B702" t="s">
        <v>25</v>
      </c>
      <c r="C702" t="s">
        <v>110</v>
      </c>
      <c r="E702">
        <v>1991</v>
      </c>
      <c r="F702">
        <v>55000</v>
      </c>
      <c r="G702" t="s">
        <v>27</v>
      </c>
      <c r="H702" t="s">
        <v>122</v>
      </c>
      <c r="I702" t="s">
        <v>77</v>
      </c>
      <c r="J702" s="14">
        <v>43195</v>
      </c>
      <c r="K702" t="s">
        <v>30</v>
      </c>
      <c r="L702">
        <v>66</v>
      </c>
      <c r="M702" t="s">
        <v>1398</v>
      </c>
      <c r="N702" t="s">
        <v>61</v>
      </c>
      <c r="O702" t="s">
        <v>174</v>
      </c>
      <c r="Q702">
        <v>2</v>
      </c>
      <c r="S702">
        <v>13</v>
      </c>
      <c r="T702" t="s">
        <v>79</v>
      </c>
      <c r="W702">
        <v>5</v>
      </c>
      <c r="X702" t="s">
        <v>46</v>
      </c>
    </row>
    <row r="703" spans="1:24" x14ac:dyDescent="0.35">
      <c r="A703" t="s">
        <v>1399</v>
      </c>
      <c r="B703" t="s">
        <v>107</v>
      </c>
      <c r="C703" t="s">
        <v>777</v>
      </c>
      <c r="E703">
        <v>1987</v>
      </c>
      <c r="F703">
        <v>61500</v>
      </c>
      <c r="G703" t="s">
        <v>27</v>
      </c>
      <c r="H703" t="s">
        <v>145</v>
      </c>
      <c r="I703" t="s">
        <v>29</v>
      </c>
      <c r="J703" s="14">
        <v>43881</v>
      </c>
      <c r="K703" t="s">
        <v>30</v>
      </c>
      <c r="L703">
        <v>61</v>
      </c>
      <c r="M703" t="s">
        <v>778</v>
      </c>
      <c r="N703" t="s">
        <v>104</v>
      </c>
      <c r="O703" t="s">
        <v>32</v>
      </c>
      <c r="Q703">
        <v>2</v>
      </c>
      <c r="T703" s="14">
        <v>44732</v>
      </c>
      <c r="U703">
        <v>31</v>
      </c>
      <c r="V703" t="s">
        <v>46</v>
      </c>
      <c r="W703">
        <v>1</v>
      </c>
      <c r="X703" t="s">
        <v>34</v>
      </c>
    </row>
    <row r="704" spans="1:24" x14ac:dyDescent="0.35">
      <c r="A704" t="s">
        <v>1400</v>
      </c>
      <c r="B704" t="s">
        <v>114</v>
      </c>
      <c r="C704" t="s">
        <v>125</v>
      </c>
      <c r="D704">
        <v>25</v>
      </c>
      <c r="E704">
        <v>1999</v>
      </c>
      <c r="F704" t="s">
        <v>50</v>
      </c>
      <c r="G704" t="s">
        <v>27</v>
      </c>
      <c r="H704" t="s">
        <v>145</v>
      </c>
      <c r="I704" t="s">
        <v>29</v>
      </c>
      <c r="J704" s="14">
        <v>43195</v>
      </c>
      <c r="K704" t="s">
        <v>41</v>
      </c>
      <c r="L704">
        <v>4</v>
      </c>
      <c r="M704" t="s">
        <v>126</v>
      </c>
      <c r="N704" t="s">
        <v>104</v>
      </c>
      <c r="O704" t="s">
        <v>72</v>
      </c>
      <c r="Q704">
        <v>8</v>
      </c>
      <c r="T704" s="14">
        <v>44732</v>
      </c>
      <c r="V704" t="s">
        <v>46</v>
      </c>
      <c r="W704">
        <v>4</v>
      </c>
      <c r="X704" t="s">
        <v>34</v>
      </c>
    </row>
    <row r="705" spans="1:24" x14ac:dyDescent="0.35">
      <c r="A705" t="s">
        <v>1401</v>
      </c>
      <c r="B705" t="s">
        <v>107</v>
      </c>
      <c r="C705" t="s">
        <v>777</v>
      </c>
      <c r="D705">
        <v>50</v>
      </c>
      <c r="E705">
        <v>1974</v>
      </c>
      <c r="F705">
        <v>55000</v>
      </c>
      <c r="G705" t="s">
        <v>27</v>
      </c>
      <c r="H705" t="s">
        <v>58</v>
      </c>
      <c r="I705" t="s">
        <v>89</v>
      </c>
      <c r="J705" s="14">
        <v>43845</v>
      </c>
      <c r="K705" t="s">
        <v>30</v>
      </c>
      <c r="L705">
        <v>68</v>
      </c>
      <c r="M705" t="s">
        <v>778</v>
      </c>
      <c r="N705" t="s">
        <v>104</v>
      </c>
      <c r="O705" t="s">
        <v>32</v>
      </c>
      <c r="Q705">
        <v>3</v>
      </c>
      <c r="S705">
        <v>7</v>
      </c>
      <c r="T705" s="14">
        <v>44941</v>
      </c>
      <c r="W705">
        <v>2</v>
      </c>
      <c r="X705" t="s">
        <v>34</v>
      </c>
    </row>
    <row r="706" spans="1:24" x14ac:dyDescent="0.35">
      <c r="A706" t="s">
        <v>1402</v>
      </c>
      <c r="B706" t="s">
        <v>114</v>
      </c>
      <c r="C706" t="s">
        <v>161</v>
      </c>
      <c r="D706">
        <v>25</v>
      </c>
      <c r="E706">
        <v>1999</v>
      </c>
      <c r="F706">
        <v>70000</v>
      </c>
      <c r="G706" t="s">
        <v>38</v>
      </c>
      <c r="H706" t="s">
        <v>93</v>
      </c>
      <c r="I706" t="s">
        <v>89</v>
      </c>
      <c r="J706" s="14">
        <v>43800</v>
      </c>
      <c r="K706" t="s">
        <v>52</v>
      </c>
      <c r="L706">
        <v>70</v>
      </c>
      <c r="M706" t="s">
        <v>1403</v>
      </c>
      <c r="N706" t="s">
        <v>61</v>
      </c>
      <c r="O706" t="s">
        <v>44</v>
      </c>
      <c r="P706" t="s">
        <v>267</v>
      </c>
      <c r="Q706">
        <v>1</v>
      </c>
      <c r="R706">
        <v>11</v>
      </c>
      <c r="U706">
        <v>28</v>
      </c>
      <c r="V706" t="s">
        <v>169</v>
      </c>
      <c r="W706">
        <v>5</v>
      </c>
      <c r="X706" t="s">
        <v>46</v>
      </c>
    </row>
    <row r="707" spans="1:24" x14ac:dyDescent="0.35">
      <c r="A707" t="s">
        <v>1404</v>
      </c>
      <c r="B707" t="s">
        <v>114</v>
      </c>
      <c r="C707" t="s">
        <v>84</v>
      </c>
      <c r="E707">
        <v>1990</v>
      </c>
      <c r="F707">
        <v>58800</v>
      </c>
      <c r="G707" t="s">
        <v>27</v>
      </c>
      <c r="H707" t="s">
        <v>28</v>
      </c>
      <c r="I707" t="s">
        <v>77</v>
      </c>
      <c r="J707" s="14">
        <v>43881</v>
      </c>
      <c r="K707" t="s">
        <v>41</v>
      </c>
      <c r="L707">
        <v>4</v>
      </c>
      <c r="M707" t="s">
        <v>1405</v>
      </c>
      <c r="N707" t="s">
        <v>43</v>
      </c>
      <c r="O707" t="s">
        <v>66</v>
      </c>
      <c r="P707" t="s">
        <v>267</v>
      </c>
      <c r="Q707">
        <v>7</v>
      </c>
      <c r="V707" t="s">
        <v>169</v>
      </c>
      <c r="W707">
        <v>4</v>
      </c>
      <c r="X707" t="s">
        <v>34</v>
      </c>
    </row>
    <row r="708" spans="1:24" x14ac:dyDescent="0.35">
      <c r="A708" t="s">
        <v>1406</v>
      </c>
      <c r="B708" t="s">
        <v>114</v>
      </c>
      <c r="C708" t="s">
        <v>662</v>
      </c>
      <c r="D708">
        <v>50</v>
      </c>
      <c r="E708">
        <v>1974</v>
      </c>
      <c r="F708">
        <v>70000</v>
      </c>
      <c r="G708" t="s">
        <v>27</v>
      </c>
      <c r="H708" t="s">
        <v>64</v>
      </c>
      <c r="I708" t="s">
        <v>77</v>
      </c>
      <c r="J708" s="14">
        <v>43195</v>
      </c>
      <c r="K708" t="s">
        <v>59</v>
      </c>
      <c r="L708">
        <v>93</v>
      </c>
      <c r="M708" t="s">
        <v>663</v>
      </c>
      <c r="N708" t="s">
        <v>104</v>
      </c>
      <c r="O708" t="s">
        <v>100</v>
      </c>
      <c r="Q708">
        <v>7</v>
      </c>
      <c r="S708">
        <v>9</v>
      </c>
      <c r="V708" t="s">
        <v>34</v>
      </c>
      <c r="W708">
        <v>3</v>
      </c>
      <c r="X708" t="s">
        <v>34</v>
      </c>
    </row>
    <row r="709" spans="1:24" x14ac:dyDescent="0.35">
      <c r="A709" t="s">
        <v>1407</v>
      </c>
      <c r="B709" t="s">
        <v>75</v>
      </c>
      <c r="C709" t="s">
        <v>819</v>
      </c>
      <c r="D709">
        <v>50</v>
      </c>
      <c r="E709">
        <v>1974</v>
      </c>
      <c r="F709">
        <v>63000</v>
      </c>
      <c r="G709" t="s">
        <v>27</v>
      </c>
      <c r="H709" t="s">
        <v>145</v>
      </c>
      <c r="I709" t="s">
        <v>40</v>
      </c>
      <c r="J709" s="14">
        <v>43881</v>
      </c>
      <c r="K709" t="s">
        <v>78</v>
      </c>
      <c r="L709">
        <v>85</v>
      </c>
      <c r="M709" t="s">
        <v>820</v>
      </c>
      <c r="O709" t="s">
        <v>32</v>
      </c>
      <c r="P709" t="s">
        <v>1408</v>
      </c>
      <c r="Q709">
        <v>6</v>
      </c>
      <c r="S709">
        <v>3</v>
      </c>
      <c r="T709" s="14">
        <v>44990</v>
      </c>
      <c r="U709">
        <v>48</v>
      </c>
      <c r="V709" t="s">
        <v>46</v>
      </c>
      <c r="W709">
        <v>3</v>
      </c>
      <c r="X709" t="s">
        <v>34</v>
      </c>
    </row>
    <row r="710" spans="1:24" x14ac:dyDescent="0.35">
      <c r="A710" t="s">
        <v>1409</v>
      </c>
      <c r="B710" t="s">
        <v>114</v>
      </c>
      <c r="C710" t="s">
        <v>259</v>
      </c>
      <c r="D710">
        <v>40</v>
      </c>
      <c r="E710">
        <v>1984</v>
      </c>
      <c r="F710">
        <v>70000</v>
      </c>
      <c r="G710" t="s">
        <v>27</v>
      </c>
      <c r="H710" t="s">
        <v>39</v>
      </c>
      <c r="I710" t="s">
        <v>94</v>
      </c>
      <c r="J710" s="14">
        <v>43800</v>
      </c>
      <c r="K710" t="s">
        <v>78</v>
      </c>
      <c r="L710">
        <v>82</v>
      </c>
      <c r="M710" t="s">
        <v>1410</v>
      </c>
      <c r="N710" t="s">
        <v>61</v>
      </c>
      <c r="O710" t="s">
        <v>32</v>
      </c>
      <c r="Q710">
        <v>1</v>
      </c>
      <c r="R710">
        <v>5</v>
      </c>
      <c r="T710" s="14">
        <v>44990</v>
      </c>
      <c r="U710">
        <v>59</v>
      </c>
      <c r="V710" t="s">
        <v>33</v>
      </c>
      <c r="W710">
        <v>3</v>
      </c>
      <c r="X710" t="s">
        <v>46</v>
      </c>
    </row>
    <row r="711" spans="1:24" x14ac:dyDescent="0.35">
      <c r="A711" t="s">
        <v>1411</v>
      </c>
      <c r="B711" t="s">
        <v>36</v>
      </c>
      <c r="C711" t="s">
        <v>219</v>
      </c>
      <c r="D711">
        <v>40</v>
      </c>
      <c r="E711">
        <v>1984</v>
      </c>
      <c r="F711">
        <v>55000</v>
      </c>
      <c r="G711" t="s">
        <v>38</v>
      </c>
      <c r="H711" t="s">
        <v>93</v>
      </c>
      <c r="I711" t="s">
        <v>77</v>
      </c>
      <c r="J711" s="14">
        <v>43195</v>
      </c>
      <c r="K711" t="s">
        <v>78</v>
      </c>
      <c r="L711">
        <v>89</v>
      </c>
      <c r="M711" t="s">
        <v>220</v>
      </c>
      <c r="N711" t="s">
        <v>54</v>
      </c>
      <c r="O711" t="s">
        <v>100</v>
      </c>
      <c r="P711" t="s">
        <v>330</v>
      </c>
      <c r="Q711">
        <v>7</v>
      </c>
      <c r="U711">
        <v>10</v>
      </c>
      <c r="V711" t="s">
        <v>46</v>
      </c>
      <c r="W711">
        <v>3</v>
      </c>
      <c r="X711" t="s">
        <v>34</v>
      </c>
    </row>
    <row r="712" spans="1:24" x14ac:dyDescent="0.35">
      <c r="A712" t="s">
        <v>1412</v>
      </c>
      <c r="B712" t="s">
        <v>140</v>
      </c>
      <c r="C712" t="s">
        <v>196</v>
      </c>
      <c r="D712" t="s">
        <v>88</v>
      </c>
      <c r="E712">
        <v>1994</v>
      </c>
      <c r="F712">
        <v>58300</v>
      </c>
      <c r="G712" t="s">
        <v>38</v>
      </c>
      <c r="H712" t="s">
        <v>145</v>
      </c>
      <c r="I712" t="s">
        <v>89</v>
      </c>
      <c r="J712" s="14">
        <v>43195</v>
      </c>
      <c r="K712" t="s">
        <v>52</v>
      </c>
      <c r="L712">
        <v>76</v>
      </c>
      <c r="M712" t="s">
        <v>197</v>
      </c>
      <c r="N712" t="s">
        <v>43</v>
      </c>
      <c r="O712" t="s">
        <v>66</v>
      </c>
      <c r="Q712">
        <v>4</v>
      </c>
      <c r="V712" t="s">
        <v>34</v>
      </c>
      <c r="W712">
        <v>3</v>
      </c>
      <c r="X712" t="s">
        <v>34</v>
      </c>
    </row>
    <row r="713" spans="1:24" x14ac:dyDescent="0.35">
      <c r="A713" t="s">
        <v>1413</v>
      </c>
      <c r="B713" t="s">
        <v>107</v>
      </c>
      <c r="C713" t="s">
        <v>121</v>
      </c>
      <c r="D713">
        <v>35</v>
      </c>
      <c r="E713">
        <v>1989</v>
      </c>
      <c r="F713">
        <v>61300</v>
      </c>
      <c r="G713" t="s">
        <v>38</v>
      </c>
      <c r="H713" t="s">
        <v>64</v>
      </c>
      <c r="I713" t="s">
        <v>77</v>
      </c>
      <c r="J713" s="14">
        <v>43881</v>
      </c>
      <c r="K713" t="s">
        <v>59</v>
      </c>
      <c r="L713">
        <v>97</v>
      </c>
      <c r="M713" t="s">
        <v>123</v>
      </c>
      <c r="O713" t="s">
        <v>44</v>
      </c>
      <c r="Q713">
        <v>8</v>
      </c>
      <c r="R713" t="s">
        <v>79</v>
      </c>
      <c r="S713">
        <v>9</v>
      </c>
      <c r="V713" t="s">
        <v>34</v>
      </c>
      <c r="W713">
        <v>5</v>
      </c>
      <c r="X713" t="s">
        <v>34</v>
      </c>
    </row>
    <row r="714" spans="1:24" x14ac:dyDescent="0.35">
      <c r="A714" t="s">
        <v>1414</v>
      </c>
      <c r="B714" t="s">
        <v>131</v>
      </c>
      <c r="C714" t="s">
        <v>216</v>
      </c>
      <c r="D714">
        <v>40</v>
      </c>
      <c r="E714">
        <v>1984</v>
      </c>
      <c r="F714">
        <v>65000</v>
      </c>
      <c r="G714" t="s">
        <v>38</v>
      </c>
      <c r="H714" t="s">
        <v>70</v>
      </c>
      <c r="I714" t="s">
        <v>29</v>
      </c>
      <c r="J714" s="14">
        <v>43881</v>
      </c>
      <c r="K714" t="s">
        <v>41</v>
      </c>
      <c r="L714">
        <v>27</v>
      </c>
      <c r="M714" t="s">
        <v>217</v>
      </c>
      <c r="N714" t="s">
        <v>104</v>
      </c>
      <c r="O714" t="s">
        <v>174</v>
      </c>
      <c r="P714" t="s">
        <v>284</v>
      </c>
      <c r="Q714">
        <v>7</v>
      </c>
      <c r="R714">
        <v>2</v>
      </c>
      <c r="V714" t="s">
        <v>33</v>
      </c>
      <c r="W714">
        <v>5</v>
      </c>
      <c r="X714" t="s">
        <v>46</v>
      </c>
    </row>
    <row r="715" spans="1:24" x14ac:dyDescent="0.35">
      <c r="A715" t="s">
        <v>1415</v>
      </c>
      <c r="B715" t="s">
        <v>48</v>
      </c>
      <c r="C715" t="s">
        <v>343</v>
      </c>
      <c r="D715">
        <v>25</v>
      </c>
      <c r="E715">
        <v>1999</v>
      </c>
      <c r="F715">
        <v>65000</v>
      </c>
      <c r="G715" t="s">
        <v>38</v>
      </c>
      <c r="H715" t="s">
        <v>28</v>
      </c>
      <c r="I715" t="s">
        <v>94</v>
      </c>
      <c r="J715" s="14">
        <v>43845</v>
      </c>
      <c r="K715" t="s">
        <v>41</v>
      </c>
      <c r="L715">
        <v>41</v>
      </c>
      <c r="M715" t="s">
        <v>1416</v>
      </c>
      <c r="N715" t="s">
        <v>54</v>
      </c>
      <c r="O715" t="s">
        <v>174</v>
      </c>
      <c r="Q715">
        <v>6</v>
      </c>
      <c r="T715" s="14">
        <v>44470</v>
      </c>
      <c r="W715">
        <v>5</v>
      </c>
      <c r="X715" t="s">
        <v>34</v>
      </c>
    </row>
    <row r="716" spans="1:24" x14ac:dyDescent="0.35">
      <c r="A716" t="s">
        <v>1417</v>
      </c>
      <c r="B716" t="s">
        <v>25</v>
      </c>
      <c r="C716" t="s">
        <v>141</v>
      </c>
      <c r="D716">
        <v>40</v>
      </c>
      <c r="E716">
        <v>1984</v>
      </c>
      <c r="F716">
        <v>50000</v>
      </c>
      <c r="G716" t="s">
        <v>38</v>
      </c>
      <c r="H716" t="s">
        <v>70</v>
      </c>
      <c r="I716" t="s">
        <v>40</v>
      </c>
      <c r="J716" s="14">
        <v>43800</v>
      </c>
      <c r="K716" t="s">
        <v>78</v>
      </c>
      <c r="L716">
        <v>83</v>
      </c>
      <c r="M716" t="s">
        <v>1418</v>
      </c>
      <c r="N716" t="s">
        <v>43</v>
      </c>
      <c r="O716" t="s">
        <v>72</v>
      </c>
      <c r="Q716">
        <v>2</v>
      </c>
      <c r="U716">
        <v>17</v>
      </c>
      <c r="V716" t="s">
        <v>34</v>
      </c>
      <c r="W716">
        <v>1</v>
      </c>
      <c r="X716" t="s">
        <v>46</v>
      </c>
    </row>
    <row r="717" spans="1:24" x14ac:dyDescent="0.35">
      <c r="A717" t="s">
        <v>1419</v>
      </c>
      <c r="B717" t="s">
        <v>68</v>
      </c>
      <c r="C717" t="s">
        <v>161</v>
      </c>
      <c r="D717" t="s">
        <v>88</v>
      </c>
      <c r="E717">
        <v>1994</v>
      </c>
      <c r="F717">
        <v>70000</v>
      </c>
      <c r="G717" t="s">
        <v>38</v>
      </c>
      <c r="H717" t="s">
        <v>51</v>
      </c>
      <c r="I717" t="s">
        <v>29</v>
      </c>
      <c r="J717" s="14">
        <v>43845</v>
      </c>
      <c r="K717" t="s">
        <v>59</v>
      </c>
      <c r="L717">
        <v>99</v>
      </c>
      <c r="M717" t="s">
        <v>1420</v>
      </c>
      <c r="N717" t="s">
        <v>61</v>
      </c>
      <c r="O717" t="s">
        <v>32</v>
      </c>
      <c r="Q717">
        <v>7</v>
      </c>
      <c r="T717" s="14">
        <v>44990</v>
      </c>
      <c r="W717">
        <v>2</v>
      </c>
      <c r="X717" t="s">
        <v>46</v>
      </c>
    </row>
    <row r="718" spans="1:24" x14ac:dyDescent="0.35">
      <c r="A718" t="s">
        <v>1421</v>
      </c>
      <c r="B718" t="s">
        <v>75</v>
      </c>
      <c r="C718" t="s">
        <v>984</v>
      </c>
      <c r="D718">
        <v>50</v>
      </c>
      <c r="E718">
        <v>1974</v>
      </c>
      <c r="F718">
        <v>65000</v>
      </c>
      <c r="G718" t="s">
        <v>38</v>
      </c>
      <c r="H718" t="s">
        <v>58</v>
      </c>
      <c r="I718" t="s">
        <v>29</v>
      </c>
      <c r="J718" s="14">
        <v>43195</v>
      </c>
      <c r="K718" t="s">
        <v>59</v>
      </c>
      <c r="L718">
        <v>98</v>
      </c>
      <c r="M718" t="s">
        <v>1422</v>
      </c>
      <c r="N718" t="s">
        <v>54</v>
      </c>
      <c r="O718" t="s">
        <v>66</v>
      </c>
      <c r="P718" t="s">
        <v>303</v>
      </c>
      <c r="Q718">
        <v>3</v>
      </c>
      <c r="S718">
        <v>12</v>
      </c>
      <c r="T718" s="14">
        <v>44990</v>
      </c>
      <c r="U718">
        <v>49</v>
      </c>
      <c r="W718">
        <v>4</v>
      </c>
      <c r="X718" t="s">
        <v>46</v>
      </c>
    </row>
    <row r="719" spans="1:24" x14ac:dyDescent="0.35">
      <c r="A719" t="s">
        <v>1423</v>
      </c>
      <c r="B719" t="s">
        <v>131</v>
      </c>
      <c r="C719" t="s">
        <v>692</v>
      </c>
      <c r="D719" t="s">
        <v>88</v>
      </c>
      <c r="E719">
        <v>1994</v>
      </c>
      <c r="F719">
        <v>50000</v>
      </c>
      <c r="G719" t="s">
        <v>27</v>
      </c>
      <c r="H719" t="s">
        <v>28</v>
      </c>
      <c r="I719" t="s">
        <v>94</v>
      </c>
      <c r="J719" s="14">
        <v>43881</v>
      </c>
      <c r="K719" t="s">
        <v>59</v>
      </c>
      <c r="L719">
        <v>96</v>
      </c>
      <c r="M719" t="s">
        <v>693</v>
      </c>
      <c r="N719" t="s">
        <v>54</v>
      </c>
      <c r="O719" t="s">
        <v>72</v>
      </c>
      <c r="Q719">
        <v>5</v>
      </c>
      <c r="R719">
        <v>9</v>
      </c>
      <c r="S719">
        <v>15</v>
      </c>
      <c r="T719" s="14">
        <v>45516</v>
      </c>
      <c r="U719">
        <v>16</v>
      </c>
      <c r="V719" t="s">
        <v>46</v>
      </c>
      <c r="W719">
        <v>4</v>
      </c>
      <c r="X719" t="s">
        <v>34</v>
      </c>
    </row>
    <row r="720" spans="1:24" x14ac:dyDescent="0.35">
      <c r="A720" t="s">
        <v>1424</v>
      </c>
      <c r="B720" t="s">
        <v>56</v>
      </c>
      <c r="C720" t="s">
        <v>99</v>
      </c>
      <c r="D720">
        <v>50</v>
      </c>
      <c r="E720">
        <v>1974</v>
      </c>
      <c r="F720">
        <v>65000</v>
      </c>
      <c r="G720" t="s">
        <v>38</v>
      </c>
      <c r="H720" t="s">
        <v>64</v>
      </c>
      <c r="I720" t="s">
        <v>40</v>
      </c>
      <c r="J720" s="14">
        <v>43195</v>
      </c>
      <c r="K720" t="s">
        <v>30</v>
      </c>
      <c r="L720">
        <v>67</v>
      </c>
      <c r="M720" t="s">
        <v>1425</v>
      </c>
      <c r="O720" t="s">
        <v>174</v>
      </c>
      <c r="Q720">
        <v>8</v>
      </c>
      <c r="S720">
        <v>8</v>
      </c>
      <c r="T720" t="s">
        <v>79</v>
      </c>
      <c r="V720" t="s">
        <v>33</v>
      </c>
      <c r="W720">
        <v>5</v>
      </c>
      <c r="X720" t="s">
        <v>34</v>
      </c>
    </row>
    <row r="721" spans="1:24" x14ac:dyDescent="0.35">
      <c r="A721" t="s">
        <v>1426</v>
      </c>
      <c r="B721" t="s">
        <v>36</v>
      </c>
      <c r="C721" t="s">
        <v>158</v>
      </c>
      <c r="D721">
        <v>50</v>
      </c>
      <c r="E721">
        <v>1974</v>
      </c>
      <c r="F721">
        <v>70000</v>
      </c>
      <c r="G721" t="s">
        <v>38</v>
      </c>
      <c r="H721" t="s">
        <v>51</v>
      </c>
      <c r="I721" t="s">
        <v>89</v>
      </c>
      <c r="J721" s="14">
        <v>43195</v>
      </c>
      <c r="K721" t="s">
        <v>30</v>
      </c>
      <c r="L721">
        <v>60</v>
      </c>
      <c r="M721" t="s">
        <v>1427</v>
      </c>
      <c r="N721" t="s">
        <v>43</v>
      </c>
      <c r="O721" t="s">
        <v>72</v>
      </c>
      <c r="P721" t="s">
        <v>1428</v>
      </c>
      <c r="Q721">
        <v>4</v>
      </c>
      <c r="R721">
        <v>4</v>
      </c>
      <c r="S721">
        <v>5</v>
      </c>
      <c r="T721" t="s">
        <v>79</v>
      </c>
      <c r="V721" t="s">
        <v>33</v>
      </c>
      <c r="W721">
        <v>4</v>
      </c>
      <c r="X721" t="s">
        <v>46</v>
      </c>
    </row>
    <row r="722" spans="1:24" x14ac:dyDescent="0.35">
      <c r="A722" t="s">
        <v>1429</v>
      </c>
      <c r="B722" t="s">
        <v>68</v>
      </c>
      <c r="C722" t="s">
        <v>380</v>
      </c>
      <c r="D722">
        <v>35</v>
      </c>
      <c r="E722">
        <v>1989</v>
      </c>
      <c r="F722">
        <v>60100</v>
      </c>
      <c r="G722" t="s">
        <v>38</v>
      </c>
      <c r="H722" t="s">
        <v>58</v>
      </c>
      <c r="I722" t="s">
        <v>40</v>
      </c>
      <c r="J722" s="14">
        <v>43549</v>
      </c>
      <c r="K722" t="s">
        <v>78</v>
      </c>
      <c r="L722">
        <v>82</v>
      </c>
      <c r="M722" t="s">
        <v>1430</v>
      </c>
      <c r="O722" t="s">
        <v>72</v>
      </c>
      <c r="Q722">
        <v>2</v>
      </c>
      <c r="S722">
        <v>13</v>
      </c>
      <c r="V722" t="s">
        <v>169</v>
      </c>
      <c r="W722">
        <v>2</v>
      </c>
      <c r="X722" t="s">
        <v>46</v>
      </c>
    </row>
    <row r="723" spans="1:24" x14ac:dyDescent="0.35">
      <c r="A723" t="s">
        <v>1431</v>
      </c>
      <c r="B723" t="s">
        <v>48</v>
      </c>
      <c r="C723" t="s">
        <v>681</v>
      </c>
      <c r="D723">
        <v>40</v>
      </c>
      <c r="E723">
        <v>1984</v>
      </c>
      <c r="F723" t="s">
        <v>50</v>
      </c>
      <c r="G723" t="s">
        <v>38</v>
      </c>
      <c r="H723" t="s">
        <v>70</v>
      </c>
      <c r="I723" t="s">
        <v>77</v>
      </c>
      <c r="J723" s="14">
        <v>43549</v>
      </c>
      <c r="K723" t="s">
        <v>59</v>
      </c>
      <c r="L723">
        <v>95</v>
      </c>
      <c r="M723" t="s">
        <v>682</v>
      </c>
      <c r="O723" t="s">
        <v>44</v>
      </c>
      <c r="Q723">
        <v>5</v>
      </c>
      <c r="R723" t="s">
        <v>79</v>
      </c>
      <c r="T723" t="s">
        <v>79</v>
      </c>
      <c r="W723">
        <v>5</v>
      </c>
      <c r="X723" t="s">
        <v>46</v>
      </c>
    </row>
    <row r="724" spans="1:24" x14ac:dyDescent="0.35">
      <c r="A724" t="s">
        <v>1432</v>
      </c>
      <c r="B724" t="s">
        <v>131</v>
      </c>
      <c r="C724" t="s">
        <v>740</v>
      </c>
      <c r="D724">
        <v>25</v>
      </c>
      <c r="E724">
        <v>1999</v>
      </c>
      <c r="F724">
        <v>70000</v>
      </c>
      <c r="G724" t="s">
        <v>27</v>
      </c>
      <c r="H724" t="s">
        <v>122</v>
      </c>
      <c r="I724" t="s">
        <v>29</v>
      </c>
      <c r="J724" s="14">
        <v>43195</v>
      </c>
      <c r="K724" t="s">
        <v>59</v>
      </c>
      <c r="L724">
        <v>91</v>
      </c>
      <c r="M724" t="s">
        <v>741</v>
      </c>
      <c r="N724" t="s">
        <v>104</v>
      </c>
      <c r="O724" t="s">
        <v>44</v>
      </c>
      <c r="Q724">
        <v>7</v>
      </c>
      <c r="R724">
        <v>3</v>
      </c>
      <c r="S724">
        <v>7</v>
      </c>
      <c r="U724">
        <v>35</v>
      </c>
      <c r="W724">
        <v>3</v>
      </c>
      <c r="X724" t="s">
        <v>34</v>
      </c>
    </row>
    <row r="725" spans="1:24" x14ac:dyDescent="0.35">
      <c r="A725" t="s">
        <v>1433</v>
      </c>
      <c r="B725" t="s">
        <v>68</v>
      </c>
      <c r="C725" t="s">
        <v>984</v>
      </c>
      <c r="D725">
        <v>25</v>
      </c>
      <c r="E725">
        <v>1999</v>
      </c>
      <c r="F725">
        <v>55000</v>
      </c>
      <c r="G725" t="s">
        <v>27</v>
      </c>
      <c r="H725" t="s">
        <v>145</v>
      </c>
      <c r="I725" t="s">
        <v>77</v>
      </c>
      <c r="J725" s="14">
        <v>43881</v>
      </c>
      <c r="K725" t="s">
        <v>41</v>
      </c>
      <c r="L725">
        <v>50</v>
      </c>
      <c r="M725" t="s">
        <v>1434</v>
      </c>
      <c r="N725" t="s">
        <v>61</v>
      </c>
      <c r="O725" t="s">
        <v>72</v>
      </c>
      <c r="Q725">
        <v>5</v>
      </c>
      <c r="R725" t="s">
        <v>79</v>
      </c>
      <c r="S725">
        <v>17</v>
      </c>
      <c r="U725">
        <v>75</v>
      </c>
      <c r="W725">
        <v>4</v>
      </c>
      <c r="X725" t="s">
        <v>34</v>
      </c>
    </row>
    <row r="726" spans="1:24" x14ac:dyDescent="0.35">
      <c r="A726" t="s">
        <v>1435</v>
      </c>
      <c r="B726" t="s">
        <v>131</v>
      </c>
      <c r="C726" t="s">
        <v>732</v>
      </c>
      <c r="E726">
        <v>1997</v>
      </c>
      <c r="F726">
        <v>65000</v>
      </c>
      <c r="G726" t="s">
        <v>38</v>
      </c>
      <c r="H726" t="s">
        <v>145</v>
      </c>
      <c r="I726" t="s">
        <v>89</v>
      </c>
      <c r="J726" s="14">
        <v>43195</v>
      </c>
      <c r="K726" t="s">
        <v>41</v>
      </c>
      <c r="L726">
        <v>49</v>
      </c>
      <c r="M726" t="s">
        <v>1436</v>
      </c>
      <c r="N726" t="s">
        <v>54</v>
      </c>
      <c r="O726" t="s">
        <v>112</v>
      </c>
      <c r="Q726">
        <v>4</v>
      </c>
      <c r="R726">
        <v>3</v>
      </c>
      <c r="S726">
        <v>7</v>
      </c>
      <c r="U726">
        <v>57</v>
      </c>
      <c r="V726" t="s">
        <v>73</v>
      </c>
      <c r="W726">
        <v>5</v>
      </c>
      <c r="X726" t="s">
        <v>46</v>
      </c>
    </row>
    <row r="727" spans="1:24" x14ac:dyDescent="0.35">
      <c r="A727" t="s">
        <v>1437</v>
      </c>
      <c r="B727" t="s">
        <v>36</v>
      </c>
      <c r="C727" t="s">
        <v>209</v>
      </c>
      <c r="D727">
        <v>50</v>
      </c>
      <c r="E727">
        <v>1974</v>
      </c>
      <c r="F727">
        <v>65000</v>
      </c>
      <c r="G727" t="s">
        <v>38</v>
      </c>
      <c r="H727" t="s">
        <v>122</v>
      </c>
      <c r="I727" t="s">
        <v>77</v>
      </c>
      <c r="J727" s="14">
        <v>43549</v>
      </c>
      <c r="K727" t="s">
        <v>78</v>
      </c>
      <c r="L727">
        <v>86</v>
      </c>
      <c r="M727" t="s">
        <v>1438</v>
      </c>
      <c r="N727" t="s">
        <v>43</v>
      </c>
      <c r="O727" t="s">
        <v>100</v>
      </c>
      <c r="Q727">
        <v>1</v>
      </c>
      <c r="T727" s="14">
        <v>44990</v>
      </c>
      <c r="W727">
        <v>2</v>
      </c>
      <c r="X727" t="s">
        <v>34</v>
      </c>
    </row>
    <row r="728" spans="1:24" x14ac:dyDescent="0.35">
      <c r="A728" t="s">
        <v>1439</v>
      </c>
      <c r="B728" t="s">
        <v>48</v>
      </c>
      <c r="C728" t="s">
        <v>203</v>
      </c>
      <c r="D728">
        <v>25</v>
      </c>
      <c r="E728">
        <v>1999</v>
      </c>
      <c r="F728">
        <v>60500</v>
      </c>
      <c r="G728" t="s">
        <v>38</v>
      </c>
      <c r="H728" t="s">
        <v>70</v>
      </c>
      <c r="I728" t="s">
        <v>40</v>
      </c>
      <c r="J728" s="14">
        <v>43881</v>
      </c>
      <c r="K728" t="s">
        <v>59</v>
      </c>
      <c r="L728">
        <v>98</v>
      </c>
      <c r="M728" t="s">
        <v>1440</v>
      </c>
      <c r="N728" t="s">
        <v>61</v>
      </c>
      <c r="O728" t="s">
        <v>174</v>
      </c>
      <c r="Q728">
        <v>1</v>
      </c>
      <c r="R728" t="s">
        <v>79</v>
      </c>
      <c r="S728">
        <v>7</v>
      </c>
      <c r="U728">
        <v>69</v>
      </c>
      <c r="V728" t="s">
        <v>73</v>
      </c>
      <c r="W728">
        <v>3</v>
      </c>
      <c r="X728" t="s">
        <v>34</v>
      </c>
    </row>
    <row r="729" spans="1:24" x14ac:dyDescent="0.35">
      <c r="A729" t="s">
        <v>1441</v>
      </c>
      <c r="B729" t="s">
        <v>56</v>
      </c>
      <c r="C729" t="s">
        <v>299</v>
      </c>
      <c r="D729">
        <v>35</v>
      </c>
      <c r="E729">
        <v>1989</v>
      </c>
      <c r="F729">
        <v>55000</v>
      </c>
      <c r="G729" t="s">
        <v>38</v>
      </c>
      <c r="H729" t="s">
        <v>58</v>
      </c>
      <c r="I729" t="s">
        <v>77</v>
      </c>
      <c r="J729" s="14">
        <v>43195</v>
      </c>
      <c r="K729" t="s">
        <v>78</v>
      </c>
      <c r="L729">
        <v>84</v>
      </c>
      <c r="M729" t="s">
        <v>1442</v>
      </c>
      <c r="N729" t="s">
        <v>61</v>
      </c>
      <c r="O729" t="s">
        <v>174</v>
      </c>
      <c r="Q729">
        <v>2</v>
      </c>
      <c r="R729">
        <v>8</v>
      </c>
      <c r="S729">
        <v>11</v>
      </c>
      <c r="T729" s="14">
        <v>45516</v>
      </c>
      <c r="V729" t="s">
        <v>34</v>
      </c>
      <c r="W729">
        <v>4</v>
      </c>
      <c r="X729" t="s">
        <v>46</v>
      </c>
    </row>
    <row r="730" spans="1:24" x14ac:dyDescent="0.35">
      <c r="A730" t="s">
        <v>1443</v>
      </c>
      <c r="B730" t="s">
        <v>114</v>
      </c>
      <c r="C730" t="s">
        <v>662</v>
      </c>
      <c r="D730">
        <v>50</v>
      </c>
      <c r="E730">
        <v>1974</v>
      </c>
      <c r="F730">
        <v>58300</v>
      </c>
      <c r="G730" t="s">
        <v>38</v>
      </c>
      <c r="H730" t="s">
        <v>51</v>
      </c>
      <c r="I730" t="s">
        <v>89</v>
      </c>
      <c r="J730" s="14">
        <v>43800</v>
      </c>
      <c r="K730" t="s">
        <v>41</v>
      </c>
      <c r="L730">
        <v>25</v>
      </c>
      <c r="M730" t="s">
        <v>663</v>
      </c>
      <c r="N730" t="s">
        <v>43</v>
      </c>
      <c r="O730" t="s">
        <v>44</v>
      </c>
      <c r="Q730">
        <v>1</v>
      </c>
      <c r="R730">
        <v>0</v>
      </c>
      <c r="T730" s="14">
        <v>45516</v>
      </c>
      <c r="V730" t="s">
        <v>73</v>
      </c>
      <c r="W730">
        <v>3</v>
      </c>
      <c r="X730" t="s">
        <v>34</v>
      </c>
    </row>
    <row r="731" spans="1:24" x14ac:dyDescent="0.35">
      <c r="A731" t="s">
        <v>1444</v>
      </c>
      <c r="B731" t="s">
        <v>107</v>
      </c>
      <c r="C731" t="s">
        <v>121</v>
      </c>
      <c r="D731">
        <v>35</v>
      </c>
      <c r="E731">
        <v>1989</v>
      </c>
      <c r="F731">
        <v>55000</v>
      </c>
      <c r="G731" t="s">
        <v>38</v>
      </c>
      <c r="H731" t="s">
        <v>145</v>
      </c>
      <c r="I731" t="s">
        <v>89</v>
      </c>
      <c r="J731" s="14">
        <v>43800</v>
      </c>
      <c r="K731" t="s">
        <v>41</v>
      </c>
      <c r="L731">
        <v>46</v>
      </c>
      <c r="M731" t="s">
        <v>123</v>
      </c>
      <c r="N731" t="s">
        <v>61</v>
      </c>
      <c r="O731" t="s">
        <v>112</v>
      </c>
      <c r="Q731">
        <v>7</v>
      </c>
      <c r="T731" s="14">
        <v>44990</v>
      </c>
      <c r="W731">
        <v>1</v>
      </c>
      <c r="X731" t="s">
        <v>46</v>
      </c>
    </row>
    <row r="732" spans="1:24" x14ac:dyDescent="0.35">
      <c r="A732" t="s">
        <v>1445</v>
      </c>
      <c r="B732" t="s">
        <v>56</v>
      </c>
      <c r="C732" t="s">
        <v>403</v>
      </c>
      <c r="D732">
        <v>25</v>
      </c>
      <c r="E732">
        <v>1999</v>
      </c>
      <c r="F732" t="s">
        <v>50</v>
      </c>
      <c r="G732" t="s">
        <v>38</v>
      </c>
      <c r="H732" t="s">
        <v>64</v>
      </c>
      <c r="I732" t="s">
        <v>89</v>
      </c>
      <c r="J732" s="14">
        <v>43195</v>
      </c>
      <c r="K732" t="s">
        <v>30</v>
      </c>
      <c r="L732">
        <v>61</v>
      </c>
      <c r="M732" t="s">
        <v>1446</v>
      </c>
      <c r="N732" t="s">
        <v>104</v>
      </c>
      <c r="O732" t="s">
        <v>112</v>
      </c>
      <c r="Q732">
        <v>4</v>
      </c>
      <c r="T732" t="s">
        <v>79</v>
      </c>
      <c r="V732" t="s">
        <v>34</v>
      </c>
      <c r="W732">
        <v>1</v>
      </c>
      <c r="X732" t="s">
        <v>46</v>
      </c>
    </row>
    <row r="733" spans="1:24" x14ac:dyDescent="0.35">
      <c r="A733" t="s">
        <v>1447</v>
      </c>
      <c r="B733" t="s">
        <v>114</v>
      </c>
      <c r="C733" t="s">
        <v>125</v>
      </c>
      <c r="D733">
        <v>25</v>
      </c>
      <c r="E733">
        <v>1999</v>
      </c>
      <c r="F733">
        <v>65000</v>
      </c>
      <c r="G733" t="s">
        <v>38</v>
      </c>
      <c r="H733" t="s">
        <v>64</v>
      </c>
      <c r="I733" t="s">
        <v>40</v>
      </c>
      <c r="J733" s="14">
        <v>43881</v>
      </c>
      <c r="K733" t="s">
        <v>78</v>
      </c>
      <c r="L733">
        <v>81</v>
      </c>
      <c r="M733" t="s">
        <v>126</v>
      </c>
      <c r="N733" t="s">
        <v>61</v>
      </c>
      <c r="O733" t="s">
        <v>32</v>
      </c>
      <c r="Q733">
        <v>6</v>
      </c>
      <c r="S733">
        <v>17</v>
      </c>
      <c r="T733" s="14">
        <v>44732</v>
      </c>
      <c r="V733" t="s">
        <v>34</v>
      </c>
      <c r="W733">
        <v>4</v>
      </c>
      <c r="X733" t="s">
        <v>34</v>
      </c>
    </row>
    <row r="734" spans="1:24" x14ac:dyDescent="0.35">
      <c r="A734" t="s">
        <v>1448</v>
      </c>
      <c r="B734" t="s">
        <v>75</v>
      </c>
      <c r="C734" t="s">
        <v>310</v>
      </c>
      <c r="E734">
        <v>1990</v>
      </c>
      <c r="F734">
        <v>65000</v>
      </c>
      <c r="G734" t="s">
        <v>27</v>
      </c>
      <c r="H734" t="s">
        <v>28</v>
      </c>
      <c r="I734" t="s">
        <v>89</v>
      </c>
      <c r="J734" s="14">
        <v>43195</v>
      </c>
      <c r="K734" t="s">
        <v>78</v>
      </c>
      <c r="L734">
        <v>84</v>
      </c>
      <c r="M734" t="s">
        <v>311</v>
      </c>
      <c r="N734" t="s">
        <v>104</v>
      </c>
      <c r="O734" t="s">
        <v>100</v>
      </c>
      <c r="Q734">
        <v>7</v>
      </c>
      <c r="R734">
        <v>0</v>
      </c>
      <c r="T734" s="14">
        <v>44470</v>
      </c>
      <c r="V734" t="s">
        <v>33</v>
      </c>
      <c r="W734">
        <v>4</v>
      </c>
      <c r="X734" t="s">
        <v>46</v>
      </c>
    </row>
    <row r="735" spans="1:24" x14ac:dyDescent="0.35">
      <c r="A735" t="s">
        <v>1449</v>
      </c>
      <c r="B735" t="s">
        <v>140</v>
      </c>
      <c r="C735" t="s">
        <v>620</v>
      </c>
      <c r="D735">
        <v>25</v>
      </c>
      <c r="E735">
        <v>1999</v>
      </c>
      <c r="F735" t="s">
        <v>50</v>
      </c>
      <c r="G735" t="s">
        <v>38</v>
      </c>
      <c r="H735" t="s">
        <v>51</v>
      </c>
      <c r="I735" t="s">
        <v>29</v>
      </c>
      <c r="J735" s="14">
        <v>43195</v>
      </c>
      <c r="K735" t="s">
        <v>59</v>
      </c>
      <c r="L735">
        <v>92</v>
      </c>
      <c r="M735" t="s">
        <v>621</v>
      </c>
      <c r="N735" t="s">
        <v>54</v>
      </c>
      <c r="O735" t="s">
        <v>72</v>
      </c>
      <c r="Q735">
        <v>6</v>
      </c>
      <c r="S735">
        <v>4</v>
      </c>
      <c r="T735" t="s">
        <v>79</v>
      </c>
      <c r="V735" t="s">
        <v>73</v>
      </c>
      <c r="W735">
        <v>5</v>
      </c>
      <c r="X735" t="s">
        <v>34</v>
      </c>
    </row>
    <row r="736" spans="1:24" x14ac:dyDescent="0.35">
      <c r="A736" t="s">
        <v>1450</v>
      </c>
      <c r="B736" t="s">
        <v>25</v>
      </c>
      <c r="C736" t="s">
        <v>289</v>
      </c>
      <c r="D736">
        <v>50</v>
      </c>
      <c r="E736">
        <v>1974</v>
      </c>
      <c r="F736">
        <v>50000</v>
      </c>
      <c r="G736" t="s">
        <v>27</v>
      </c>
      <c r="H736" t="s">
        <v>64</v>
      </c>
      <c r="I736" t="s">
        <v>89</v>
      </c>
      <c r="J736" s="14">
        <v>43549</v>
      </c>
      <c r="K736" t="s">
        <v>59</v>
      </c>
      <c r="L736">
        <v>98</v>
      </c>
      <c r="M736" t="s">
        <v>290</v>
      </c>
      <c r="N736" t="s">
        <v>54</v>
      </c>
      <c r="O736" t="s">
        <v>32</v>
      </c>
      <c r="P736" t="s">
        <v>101</v>
      </c>
      <c r="Q736">
        <v>2</v>
      </c>
      <c r="R736">
        <v>7</v>
      </c>
      <c r="S736">
        <v>13</v>
      </c>
      <c r="V736" t="s">
        <v>169</v>
      </c>
      <c r="W736">
        <v>5</v>
      </c>
      <c r="X736" t="s">
        <v>34</v>
      </c>
    </row>
    <row r="737" spans="1:24" x14ac:dyDescent="0.35">
      <c r="A737" t="s">
        <v>1451</v>
      </c>
      <c r="B737" t="s">
        <v>25</v>
      </c>
      <c r="C737" t="s">
        <v>299</v>
      </c>
      <c r="D737">
        <v>50</v>
      </c>
      <c r="E737">
        <v>1974</v>
      </c>
      <c r="F737">
        <v>58600</v>
      </c>
      <c r="G737" t="s">
        <v>27</v>
      </c>
      <c r="H737" t="s">
        <v>122</v>
      </c>
      <c r="I737" t="s">
        <v>77</v>
      </c>
      <c r="J737" s="14">
        <v>43800</v>
      </c>
      <c r="K737" t="s">
        <v>30</v>
      </c>
      <c r="L737">
        <v>60</v>
      </c>
      <c r="M737" t="s">
        <v>1452</v>
      </c>
      <c r="O737" t="s">
        <v>32</v>
      </c>
      <c r="Q737">
        <v>3</v>
      </c>
      <c r="S737">
        <v>2</v>
      </c>
      <c r="T737" s="14">
        <v>44941</v>
      </c>
      <c r="V737" t="s">
        <v>34</v>
      </c>
      <c r="W737">
        <v>1</v>
      </c>
      <c r="X737" t="s">
        <v>46</v>
      </c>
    </row>
    <row r="738" spans="1:24" x14ac:dyDescent="0.35">
      <c r="A738" t="s">
        <v>1453</v>
      </c>
      <c r="B738" t="s">
        <v>107</v>
      </c>
      <c r="C738" t="s">
        <v>132</v>
      </c>
      <c r="D738">
        <v>50</v>
      </c>
      <c r="E738">
        <v>1974</v>
      </c>
      <c r="F738" t="s">
        <v>50</v>
      </c>
      <c r="G738" t="s">
        <v>27</v>
      </c>
      <c r="H738" t="s">
        <v>70</v>
      </c>
      <c r="I738" t="s">
        <v>77</v>
      </c>
      <c r="J738" s="14">
        <v>43549</v>
      </c>
      <c r="K738" t="s">
        <v>52</v>
      </c>
      <c r="L738">
        <v>78</v>
      </c>
      <c r="M738" t="s">
        <v>1454</v>
      </c>
      <c r="N738" t="s">
        <v>104</v>
      </c>
      <c r="O738" t="s">
        <v>112</v>
      </c>
      <c r="Q738">
        <v>7</v>
      </c>
      <c r="T738" s="14">
        <v>44732</v>
      </c>
      <c r="U738">
        <v>27</v>
      </c>
      <c r="V738" t="s">
        <v>169</v>
      </c>
      <c r="W738">
        <v>4</v>
      </c>
      <c r="X738" t="s">
        <v>34</v>
      </c>
    </row>
    <row r="739" spans="1:24" x14ac:dyDescent="0.35">
      <c r="A739" t="s">
        <v>1455</v>
      </c>
      <c r="B739" t="s">
        <v>48</v>
      </c>
      <c r="C739" t="s">
        <v>262</v>
      </c>
      <c r="E739">
        <v>1989</v>
      </c>
      <c r="F739">
        <v>58600</v>
      </c>
      <c r="G739" t="s">
        <v>27</v>
      </c>
      <c r="H739" t="s">
        <v>58</v>
      </c>
      <c r="I739" t="s">
        <v>77</v>
      </c>
      <c r="J739" s="14">
        <v>43549</v>
      </c>
      <c r="K739" t="s">
        <v>52</v>
      </c>
      <c r="L739">
        <v>77</v>
      </c>
      <c r="M739" t="s">
        <v>263</v>
      </c>
      <c r="N739" t="s">
        <v>54</v>
      </c>
      <c r="O739" t="s">
        <v>112</v>
      </c>
      <c r="Q739">
        <v>5</v>
      </c>
      <c r="U739">
        <v>48</v>
      </c>
      <c r="V739" t="s">
        <v>34</v>
      </c>
      <c r="W739">
        <v>4</v>
      </c>
      <c r="X739" t="s">
        <v>34</v>
      </c>
    </row>
    <row r="740" spans="1:24" x14ac:dyDescent="0.35">
      <c r="A740" t="s">
        <v>1456</v>
      </c>
      <c r="B740" t="s">
        <v>36</v>
      </c>
      <c r="C740" t="s">
        <v>496</v>
      </c>
      <c r="E740">
        <v>1977</v>
      </c>
      <c r="F740">
        <v>70000</v>
      </c>
      <c r="G740" t="s">
        <v>27</v>
      </c>
      <c r="H740" t="s">
        <v>70</v>
      </c>
      <c r="I740" t="s">
        <v>40</v>
      </c>
      <c r="J740" s="14">
        <v>43195</v>
      </c>
      <c r="K740" t="s">
        <v>52</v>
      </c>
      <c r="L740">
        <v>77</v>
      </c>
      <c r="M740" t="s">
        <v>1457</v>
      </c>
      <c r="N740" t="s">
        <v>61</v>
      </c>
      <c r="O740" t="s">
        <v>112</v>
      </c>
      <c r="Q740">
        <v>5</v>
      </c>
      <c r="R740">
        <v>0</v>
      </c>
      <c r="S740">
        <v>11</v>
      </c>
      <c r="U740">
        <v>61</v>
      </c>
      <c r="V740" t="s">
        <v>33</v>
      </c>
      <c r="W740">
        <v>3</v>
      </c>
      <c r="X740" t="s">
        <v>46</v>
      </c>
    </row>
    <row r="741" spans="1:24" x14ac:dyDescent="0.35">
      <c r="A741" t="s">
        <v>1458</v>
      </c>
      <c r="B741" t="s">
        <v>48</v>
      </c>
      <c r="C741" t="s">
        <v>176</v>
      </c>
      <c r="D741">
        <v>25</v>
      </c>
      <c r="E741">
        <v>1999</v>
      </c>
      <c r="F741">
        <v>65000</v>
      </c>
      <c r="G741" t="s">
        <v>27</v>
      </c>
      <c r="H741" t="s">
        <v>64</v>
      </c>
      <c r="I741" t="s">
        <v>77</v>
      </c>
      <c r="J741" s="14">
        <v>43549</v>
      </c>
      <c r="K741" t="s">
        <v>78</v>
      </c>
      <c r="L741">
        <v>82</v>
      </c>
      <c r="M741" t="s">
        <v>1459</v>
      </c>
      <c r="N741" t="s">
        <v>43</v>
      </c>
      <c r="O741" t="s">
        <v>72</v>
      </c>
      <c r="Q741">
        <v>7</v>
      </c>
      <c r="S741">
        <v>18</v>
      </c>
      <c r="U741">
        <v>21</v>
      </c>
      <c r="V741" t="s">
        <v>169</v>
      </c>
      <c r="W741">
        <v>1</v>
      </c>
      <c r="X741" t="s">
        <v>34</v>
      </c>
    </row>
    <row r="742" spans="1:24" x14ac:dyDescent="0.35">
      <c r="A742" t="s">
        <v>1460</v>
      </c>
      <c r="B742" t="s">
        <v>36</v>
      </c>
      <c r="C742" t="s">
        <v>256</v>
      </c>
      <c r="D742" t="s">
        <v>88</v>
      </c>
      <c r="E742">
        <v>1994</v>
      </c>
      <c r="F742">
        <v>60900</v>
      </c>
      <c r="G742" t="s">
        <v>38</v>
      </c>
      <c r="H742" t="s">
        <v>28</v>
      </c>
      <c r="I742" t="s">
        <v>40</v>
      </c>
      <c r="J742" s="14">
        <v>43800</v>
      </c>
      <c r="K742" t="s">
        <v>78</v>
      </c>
      <c r="L742">
        <v>81</v>
      </c>
      <c r="M742" t="s">
        <v>669</v>
      </c>
      <c r="N742" t="s">
        <v>43</v>
      </c>
      <c r="O742" t="s">
        <v>72</v>
      </c>
      <c r="Q742">
        <v>6</v>
      </c>
      <c r="U742">
        <v>51</v>
      </c>
      <c r="W742">
        <v>3</v>
      </c>
      <c r="X742" t="s">
        <v>34</v>
      </c>
    </row>
    <row r="743" spans="1:24" x14ac:dyDescent="0.35">
      <c r="A743" t="s">
        <v>1461</v>
      </c>
      <c r="B743" t="s">
        <v>48</v>
      </c>
      <c r="C743" t="s">
        <v>96</v>
      </c>
      <c r="D743" t="s">
        <v>88</v>
      </c>
      <c r="E743">
        <v>1994</v>
      </c>
      <c r="F743">
        <v>55000</v>
      </c>
      <c r="G743" t="s">
        <v>27</v>
      </c>
      <c r="H743" t="s">
        <v>122</v>
      </c>
      <c r="I743" t="s">
        <v>40</v>
      </c>
      <c r="J743" s="14">
        <v>43549</v>
      </c>
      <c r="K743" t="s">
        <v>41</v>
      </c>
      <c r="L743">
        <v>30</v>
      </c>
      <c r="M743" t="s">
        <v>97</v>
      </c>
      <c r="N743" t="s">
        <v>104</v>
      </c>
      <c r="O743" t="s">
        <v>32</v>
      </c>
      <c r="Q743">
        <v>5</v>
      </c>
      <c r="S743">
        <v>15</v>
      </c>
      <c r="V743" t="s">
        <v>33</v>
      </c>
      <c r="W743">
        <v>4</v>
      </c>
      <c r="X743" t="s">
        <v>34</v>
      </c>
    </row>
    <row r="744" spans="1:24" x14ac:dyDescent="0.35">
      <c r="A744" t="s">
        <v>1462</v>
      </c>
      <c r="B744" t="s">
        <v>140</v>
      </c>
      <c r="C744" t="s">
        <v>277</v>
      </c>
      <c r="E744">
        <v>1984</v>
      </c>
      <c r="F744">
        <v>59800</v>
      </c>
      <c r="G744" t="s">
        <v>38</v>
      </c>
      <c r="H744" t="s">
        <v>122</v>
      </c>
      <c r="I744" t="s">
        <v>89</v>
      </c>
      <c r="J744" s="14">
        <v>43800</v>
      </c>
      <c r="K744" t="s">
        <v>78</v>
      </c>
      <c r="L744">
        <v>86</v>
      </c>
      <c r="M744" t="s">
        <v>1463</v>
      </c>
      <c r="O744" t="s">
        <v>32</v>
      </c>
      <c r="Q744">
        <v>7</v>
      </c>
      <c r="R744" t="s">
        <v>79</v>
      </c>
      <c r="S744">
        <v>14</v>
      </c>
      <c r="V744" t="s">
        <v>34</v>
      </c>
      <c r="W744">
        <v>1</v>
      </c>
      <c r="X744" t="s">
        <v>46</v>
      </c>
    </row>
    <row r="745" spans="1:24" x14ac:dyDescent="0.35">
      <c r="A745" t="s">
        <v>1464</v>
      </c>
      <c r="B745" t="s">
        <v>75</v>
      </c>
      <c r="C745" t="s">
        <v>151</v>
      </c>
      <c r="D745">
        <v>25</v>
      </c>
      <c r="E745">
        <v>1999</v>
      </c>
      <c r="F745">
        <v>70000</v>
      </c>
      <c r="G745" t="s">
        <v>38</v>
      </c>
      <c r="H745" t="s">
        <v>122</v>
      </c>
      <c r="I745" t="s">
        <v>29</v>
      </c>
      <c r="J745" s="14">
        <v>43549</v>
      </c>
      <c r="K745" t="s">
        <v>78</v>
      </c>
      <c r="L745">
        <v>88</v>
      </c>
      <c r="M745" t="s">
        <v>152</v>
      </c>
      <c r="N745" t="s">
        <v>61</v>
      </c>
      <c r="O745" t="s">
        <v>44</v>
      </c>
      <c r="P745" t="s">
        <v>24</v>
      </c>
      <c r="Q745">
        <v>4</v>
      </c>
      <c r="S745">
        <v>4</v>
      </c>
      <c r="T745" t="s">
        <v>79</v>
      </c>
      <c r="U745">
        <v>18</v>
      </c>
      <c r="V745" t="s">
        <v>33</v>
      </c>
      <c r="W745">
        <v>2</v>
      </c>
      <c r="X745" t="s">
        <v>46</v>
      </c>
    </row>
    <row r="746" spans="1:24" x14ac:dyDescent="0.35">
      <c r="A746" t="s">
        <v>1465</v>
      </c>
      <c r="B746" t="s">
        <v>75</v>
      </c>
      <c r="C746" t="s">
        <v>179</v>
      </c>
      <c r="D746" t="s">
        <v>88</v>
      </c>
      <c r="E746">
        <v>1994</v>
      </c>
      <c r="F746">
        <v>65000</v>
      </c>
      <c r="G746" t="s">
        <v>38</v>
      </c>
      <c r="H746" t="s">
        <v>93</v>
      </c>
      <c r="I746" t="s">
        <v>89</v>
      </c>
      <c r="J746" s="14">
        <v>43800</v>
      </c>
      <c r="K746" t="s">
        <v>78</v>
      </c>
      <c r="L746">
        <v>86</v>
      </c>
      <c r="M746" t="s">
        <v>1466</v>
      </c>
      <c r="N746" t="s">
        <v>104</v>
      </c>
      <c r="O746" t="s">
        <v>174</v>
      </c>
      <c r="P746" t="s">
        <v>280</v>
      </c>
      <c r="Q746">
        <v>7</v>
      </c>
      <c r="T746" s="14">
        <v>44941</v>
      </c>
      <c r="U746">
        <v>60</v>
      </c>
      <c r="V746" t="s">
        <v>169</v>
      </c>
      <c r="W746">
        <v>4</v>
      </c>
      <c r="X746" t="s">
        <v>46</v>
      </c>
    </row>
    <row r="747" spans="1:24" x14ac:dyDescent="0.35">
      <c r="A747" t="s">
        <v>1467</v>
      </c>
      <c r="B747" t="s">
        <v>114</v>
      </c>
      <c r="C747" t="s">
        <v>540</v>
      </c>
      <c r="D747">
        <v>25</v>
      </c>
      <c r="E747">
        <v>1999</v>
      </c>
      <c r="F747" t="s">
        <v>50</v>
      </c>
      <c r="G747" t="s">
        <v>38</v>
      </c>
      <c r="H747" t="s">
        <v>64</v>
      </c>
      <c r="I747" t="s">
        <v>89</v>
      </c>
      <c r="J747" s="14">
        <v>43549</v>
      </c>
      <c r="K747" t="s">
        <v>30</v>
      </c>
      <c r="L747">
        <v>61</v>
      </c>
      <c r="M747" t="s">
        <v>541</v>
      </c>
      <c r="N747" t="s">
        <v>43</v>
      </c>
      <c r="O747" t="s">
        <v>174</v>
      </c>
      <c r="P747" t="s">
        <v>1468</v>
      </c>
      <c r="Q747">
        <v>8</v>
      </c>
      <c r="T747" t="s">
        <v>79</v>
      </c>
      <c r="V747" t="s">
        <v>46</v>
      </c>
      <c r="W747">
        <v>2</v>
      </c>
      <c r="X747" t="s">
        <v>46</v>
      </c>
    </row>
    <row r="748" spans="1:24" x14ac:dyDescent="0.35">
      <c r="A748" t="s">
        <v>1469</v>
      </c>
      <c r="B748" t="s">
        <v>68</v>
      </c>
      <c r="C748" t="s">
        <v>256</v>
      </c>
      <c r="D748">
        <v>25</v>
      </c>
      <c r="E748">
        <v>1999</v>
      </c>
      <c r="F748">
        <v>70000</v>
      </c>
      <c r="G748" t="s">
        <v>27</v>
      </c>
      <c r="H748" t="s">
        <v>122</v>
      </c>
      <c r="I748" t="s">
        <v>40</v>
      </c>
      <c r="J748" s="14">
        <v>43549</v>
      </c>
      <c r="K748" t="s">
        <v>78</v>
      </c>
      <c r="L748">
        <v>80</v>
      </c>
      <c r="M748" t="s">
        <v>257</v>
      </c>
      <c r="N748" t="s">
        <v>104</v>
      </c>
      <c r="O748" t="s">
        <v>174</v>
      </c>
      <c r="Q748">
        <v>3</v>
      </c>
      <c r="R748" t="s">
        <v>79</v>
      </c>
      <c r="V748" t="s">
        <v>73</v>
      </c>
      <c r="W748">
        <v>1</v>
      </c>
      <c r="X748" t="s">
        <v>46</v>
      </c>
    </row>
    <row r="749" spans="1:24" x14ac:dyDescent="0.35">
      <c r="A749" t="s">
        <v>1470</v>
      </c>
      <c r="B749" t="s">
        <v>75</v>
      </c>
      <c r="C749" t="s">
        <v>213</v>
      </c>
      <c r="D749">
        <v>25</v>
      </c>
      <c r="E749">
        <v>1999</v>
      </c>
      <c r="F749">
        <v>65000</v>
      </c>
      <c r="G749" t="s">
        <v>27</v>
      </c>
      <c r="H749" t="s">
        <v>122</v>
      </c>
      <c r="I749" t="s">
        <v>40</v>
      </c>
      <c r="J749" s="14">
        <v>43881</v>
      </c>
      <c r="K749" t="s">
        <v>59</v>
      </c>
      <c r="L749">
        <v>98</v>
      </c>
      <c r="M749" t="s">
        <v>214</v>
      </c>
      <c r="N749" t="s">
        <v>61</v>
      </c>
      <c r="O749" t="s">
        <v>44</v>
      </c>
      <c r="Q749">
        <v>6</v>
      </c>
      <c r="R749">
        <v>10</v>
      </c>
      <c r="V749" t="s">
        <v>34</v>
      </c>
      <c r="W749">
        <v>5</v>
      </c>
      <c r="X749" t="s">
        <v>34</v>
      </c>
    </row>
    <row r="750" spans="1:24" x14ac:dyDescent="0.35">
      <c r="A750" t="s">
        <v>1471</v>
      </c>
      <c r="B750" t="s">
        <v>75</v>
      </c>
      <c r="C750" t="s">
        <v>840</v>
      </c>
      <c r="D750">
        <v>40</v>
      </c>
      <c r="E750">
        <v>1984</v>
      </c>
      <c r="F750">
        <v>58800</v>
      </c>
      <c r="G750" t="s">
        <v>38</v>
      </c>
      <c r="H750" t="s">
        <v>28</v>
      </c>
      <c r="I750" t="s">
        <v>77</v>
      </c>
      <c r="J750" s="14">
        <v>43800</v>
      </c>
      <c r="K750" t="s">
        <v>59</v>
      </c>
      <c r="L750">
        <v>97</v>
      </c>
      <c r="M750" t="s">
        <v>1472</v>
      </c>
      <c r="N750" t="s">
        <v>54</v>
      </c>
      <c r="O750" t="s">
        <v>174</v>
      </c>
      <c r="Q750">
        <v>8</v>
      </c>
      <c r="R750" t="s">
        <v>79</v>
      </c>
      <c r="S750">
        <v>16</v>
      </c>
      <c r="T750" s="14">
        <v>44990</v>
      </c>
      <c r="V750" t="s">
        <v>169</v>
      </c>
      <c r="W750">
        <v>3</v>
      </c>
      <c r="X750" t="s">
        <v>46</v>
      </c>
    </row>
    <row r="751" spans="1:24" x14ac:dyDescent="0.35">
      <c r="A751" t="s">
        <v>1473</v>
      </c>
      <c r="B751" t="s">
        <v>56</v>
      </c>
      <c r="C751" t="s">
        <v>413</v>
      </c>
      <c r="D751">
        <v>50</v>
      </c>
      <c r="E751">
        <v>1974</v>
      </c>
      <c r="F751">
        <v>50000</v>
      </c>
      <c r="G751" t="s">
        <v>27</v>
      </c>
      <c r="H751" t="s">
        <v>28</v>
      </c>
      <c r="I751" t="s">
        <v>77</v>
      </c>
      <c r="J751" s="14">
        <v>43800</v>
      </c>
      <c r="K751" t="s">
        <v>41</v>
      </c>
      <c r="L751">
        <v>12</v>
      </c>
      <c r="M751" t="s">
        <v>414</v>
      </c>
      <c r="N751" t="s">
        <v>61</v>
      </c>
      <c r="O751" t="s">
        <v>112</v>
      </c>
      <c r="Q751">
        <v>5</v>
      </c>
      <c r="V751" t="s">
        <v>46</v>
      </c>
      <c r="W751">
        <v>2</v>
      </c>
      <c r="X751" t="s">
        <v>34</v>
      </c>
    </row>
    <row r="752" spans="1:24" x14ac:dyDescent="0.35">
      <c r="A752" t="s">
        <v>1474</v>
      </c>
      <c r="B752" t="s">
        <v>56</v>
      </c>
      <c r="C752" t="s">
        <v>612</v>
      </c>
      <c r="D752">
        <v>25</v>
      </c>
      <c r="E752">
        <v>1999</v>
      </c>
      <c r="F752">
        <v>50000</v>
      </c>
      <c r="G752" t="s">
        <v>38</v>
      </c>
      <c r="H752" t="s">
        <v>64</v>
      </c>
      <c r="I752" t="s">
        <v>89</v>
      </c>
      <c r="J752" s="14">
        <v>43800</v>
      </c>
      <c r="K752" t="s">
        <v>30</v>
      </c>
      <c r="L752">
        <v>69</v>
      </c>
      <c r="M752" t="s">
        <v>613</v>
      </c>
      <c r="N752" t="s">
        <v>54</v>
      </c>
      <c r="O752" t="s">
        <v>72</v>
      </c>
      <c r="Q752">
        <v>5</v>
      </c>
      <c r="S752">
        <v>6</v>
      </c>
      <c r="U752">
        <v>79</v>
      </c>
      <c r="W752">
        <v>3</v>
      </c>
      <c r="X752" t="s">
        <v>46</v>
      </c>
    </row>
    <row r="753" spans="1:24" x14ac:dyDescent="0.35">
      <c r="A753" t="s">
        <v>1475</v>
      </c>
      <c r="B753" t="s">
        <v>114</v>
      </c>
      <c r="C753" t="s">
        <v>199</v>
      </c>
      <c r="D753">
        <v>40</v>
      </c>
      <c r="E753">
        <v>1984</v>
      </c>
      <c r="F753">
        <v>55000</v>
      </c>
      <c r="G753" t="s">
        <v>27</v>
      </c>
      <c r="H753" t="s">
        <v>64</v>
      </c>
      <c r="I753" t="s">
        <v>94</v>
      </c>
      <c r="J753" s="14">
        <v>43845</v>
      </c>
      <c r="K753" t="s">
        <v>59</v>
      </c>
      <c r="L753">
        <v>97</v>
      </c>
      <c r="M753" t="s">
        <v>1476</v>
      </c>
      <c r="N753" t="s">
        <v>54</v>
      </c>
      <c r="O753" t="s">
        <v>72</v>
      </c>
      <c r="P753" t="s">
        <v>274</v>
      </c>
      <c r="Q753">
        <v>6</v>
      </c>
      <c r="R753">
        <v>1</v>
      </c>
      <c r="S753">
        <v>5</v>
      </c>
      <c r="V753" t="s">
        <v>34</v>
      </c>
      <c r="W753">
        <v>3</v>
      </c>
      <c r="X753" t="s">
        <v>46</v>
      </c>
    </row>
    <row r="754" spans="1:24" x14ac:dyDescent="0.35">
      <c r="A754" t="s">
        <v>1477</v>
      </c>
      <c r="B754" t="s">
        <v>68</v>
      </c>
      <c r="C754" t="s">
        <v>338</v>
      </c>
      <c r="E754">
        <v>1985</v>
      </c>
      <c r="F754">
        <v>65000</v>
      </c>
      <c r="G754" t="s">
        <v>27</v>
      </c>
      <c r="H754" t="s">
        <v>145</v>
      </c>
      <c r="I754" t="s">
        <v>94</v>
      </c>
      <c r="J754" s="14">
        <v>43549</v>
      </c>
      <c r="K754" t="s">
        <v>30</v>
      </c>
      <c r="L754">
        <v>62</v>
      </c>
      <c r="M754" t="s">
        <v>1478</v>
      </c>
      <c r="N754" t="s">
        <v>54</v>
      </c>
      <c r="O754" t="s">
        <v>174</v>
      </c>
      <c r="Q754">
        <v>7</v>
      </c>
      <c r="R754" t="s">
        <v>79</v>
      </c>
      <c r="T754" s="14">
        <v>44990</v>
      </c>
      <c r="U754">
        <v>22</v>
      </c>
      <c r="V754" t="s">
        <v>73</v>
      </c>
      <c r="W754">
        <v>4</v>
      </c>
      <c r="X754" t="s">
        <v>34</v>
      </c>
    </row>
    <row r="755" spans="1:24" x14ac:dyDescent="0.35">
      <c r="A755" t="s">
        <v>1479</v>
      </c>
      <c r="B755" t="s">
        <v>107</v>
      </c>
      <c r="C755" t="s">
        <v>446</v>
      </c>
      <c r="D755" t="s">
        <v>88</v>
      </c>
      <c r="E755">
        <v>1994</v>
      </c>
      <c r="F755">
        <v>50000</v>
      </c>
      <c r="G755" t="s">
        <v>27</v>
      </c>
      <c r="H755" t="s">
        <v>28</v>
      </c>
      <c r="I755" t="s">
        <v>77</v>
      </c>
      <c r="J755" s="14">
        <v>43800</v>
      </c>
      <c r="K755" t="s">
        <v>30</v>
      </c>
      <c r="L755">
        <v>68</v>
      </c>
      <c r="N755" t="s">
        <v>104</v>
      </c>
      <c r="O755" t="s">
        <v>32</v>
      </c>
      <c r="P755" t="s">
        <v>323</v>
      </c>
      <c r="Q755">
        <v>3</v>
      </c>
      <c r="R755" t="s">
        <v>79</v>
      </c>
      <c r="S755">
        <v>20</v>
      </c>
      <c r="U755">
        <v>70</v>
      </c>
      <c r="V755" t="s">
        <v>34</v>
      </c>
      <c r="W755">
        <v>4</v>
      </c>
      <c r="X755" t="s">
        <v>46</v>
      </c>
    </row>
    <row r="756" spans="1:24" x14ac:dyDescent="0.35">
      <c r="A756" t="s">
        <v>1480</v>
      </c>
      <c r="B756" t="s">
        <v>56</v>
      </c>
      <c r="C756" t="s">
        <v>612</v>
      </c>
      <c r="D756">
        <v>50</v>
      </c>
      <c r="E756">
        <v>1974</v>
      </c>
      <c r="F756" t="s">
        <v>50</v>
      </c>
      <c r="G756" t="s">
        <v>38</v>
      </c>
      <c r="H756" t="s">
        <v>145</v>
      </c>
      <c r="I756" t="s">
        <v>94</v>
      </c>
      <c r="J756" s="14">
        <v>43845</v>
      </c>
      <c r="K756" t="s">
        <v>41</v>
      </c>
      <c r="L756">
        <v>48</v>
      </c>
      <c r="M756" t="s">
        <v>613</v>
      </c>
      <c r="N756" t="s">
        <v>43</v>
      </c>
      <c r="O756" t="s">
        <v>100</v>
      </c>
      <c r="Q756">
        <v>2</v>
      </c>
      <c r="U756">
        <v>39</v>
      </c>
      <c r="V756" t="s">
        <v>33</v>
      </c>
      <c r="W756">
        <v>5</v>
      </c>
      <c r="X756" t="s">
        <v>34</v>
      </c>
    </row>
    <row r="757" spans="1:24" x14ac:dyDescent="0.35">
      <c r="A757" t="s">
        <v>1481</v>
      </c>
      <c r="B757" t="s">
        <v>107</v>
      </c>
      <c r="C757" t="s">
        <v>729</v>
      </c>
      <c r="D757" t="s">
        <v>88</v>
      </c>
      <c r="E757">
        <v>1994</v>
      </c>
      <c r="F757">
        <v>65000</v>
      </c>
      <c r="G757" t="s">
        <v>27</v>
      </c>
      <c r="H757" t="s">
        <v>70</v>
      </c>
      <c r="I757" t="s">
        <v>77</v>
      </c>
      <c r="J757" s="14">
        <v>43881</v>
      </c>
      <c r="K757" t="s">
        <v>30</v>
      </c>
      <c r="L757">
        <v>61</v>
      </c>
      <c r="M757" t="s">
        <v>730</v>
      </c>
      <c r="N757" t="s">
        <v>104</v>
      </c>
      <c r="O757" t="s">
        <v>112</v>
      </c>
      <c r="P757" t="s">
        <v>150</v>
      </c>
      <c r="Q757">
        <v>4</v>
      </c>
      <c r="S757">
        <v>20</v>
      </c>
      <c r="V757" t="s">
        <v>33</v>
      </c>
      <c r="W757">
        <v>2</v>
      </c>
      <c r="X757" t="s">
        <v>46</v>
      </c>
    </row>
    <row r="758" spans="1:24" x14ac:dyDescent="0.35">
      <c r="A758" t="s">
        <v>1482</v>
      </c>
      <c r="B758" t="s">
        <v>131</v>
      </c>
      <c r="C758" t="s">
        <v>740</v>
      </c>
      <c r="D758">
        <v>50</v>
      </c>
      <c r="E758">
        <v>1974</v>
      </c>
      <c r="F758" t="s">
        <v>50</v>
      </c>
      <c r="G758" t="s">
        <v>27</v>
      </c>
      <c r="H758" t="s">
        <v>145</v>
      </c>
      <c r="I758" t="s">
        <v>40</v>
      </c>
      <c r="J758" s="14">
        <v>43800</v>
      </c>
      <c r="K758" t="s">
        <v>78</v>
      </c>
      <c r="L758">
        <v>83</v>
      </c>
      <c r="M758" t="s">
        <v>741</v>
      </c>
      <c r="N758" t="s">
        <v>43</v>
      </c>
      <c r="O758" t="s">
        <v>44</v>
      </c>
      <c r="Q758">
        <v>8</v>
      </c>
      <c r="R758" t="s">
        <v>79</v>
      </c>
      <c r="S758">
        <v>3</v>
      </c>
      <c r="T758" s="14">
        <v>45516</v>
      </c>
      <c r="V758" t="s">
        <v>34</v>
      </c>
      <c r="W758">
        <v>5</v>
      </c>
      <c r="X758" t="s">
        <v>34</v>
      </c>
    </row>
    <row r="759" spans="1:24" x14ac:dyDescent="0.35">
      <c r="A759" t="s">
        <v>1483</v>
      </c>
      <c r="B759" t="s">
        <v>56</v>
      </c>
      <c r="C759" t="s">
        <v>395</v>
      </c>
      <c r="D759" t="s">
        <v>88</v>
      </c>
      <c r="E759">
        <v>1994</v>
      </c>
      <c r="F759" t="s">
        <v>50</v>
      </c>
      <c r="G759" t="s">
        <v>38</v>
      </c>
      <c r="H759" t="s">
        <v>122</v>
      </c>
      <c r="I759" t="s">
        <v>89</v>
      </c>
      <c r="J759" s="14">
        <v>43800</v>
      </c>
      <c r="K759" t="s">
        <v>30</v>
      </c>
      <c r="L759">
        <v>60</v>
      </c>
      <c r="M759" t="s">
        <v>1484</v>
      </c>
      <c r="N759" t="s">
        <v>61</v>
      </c>
      <c r="O759" t="s">
        <v>100</v>
      </c>
      <c r="Q759">
        <v>3</v>
      </c>
      <c r="W759">
        <v>3</v>
      </c>
      <c r="X759" t="s">
        <v>46</v>
      </c>
    </row>
    <row r="760" spans="1:24" x14ac:dyDescent="0.35">
      <c r="A760" t="s">
        <v>1485</v>
      </c>
      <c r="B760" t="s">
        <v>140</v>
      </c>
      <c r="C760" t="s">
        <v>620</v>
      </c>
      <c r="D760">
        <v>50</v>
      </c>
      <c r="E760">
        <v>1974</v>
      </c>
      <c r="F760">
        <v>50000</v>
      </c>
      <c r="G760" t="s">
        <v>38</v>
      </c>
      <c r="H760" t="s">
        <v>51</v>
      </c>
      <c r="I760" t="s">
        <v>29</v>
      </c>
      <c r="J760" s="14">
        <v>43845</v>
      </c>
      <c r="K760" t="s">
        <v>41</v>
      </c>
      <c r="L760">
        <v>29</v>
      </c>
      <c r="M760" t="s">
        <v>621</v>
      </c>
      <c r="O760" t="s">
        <v>72</v>
      </c>
      <c r="P760" t="s">
        <v>1346</v>
      </c>
      <c r="Q760">
        <v>2</v>
      </c>
      <c r="R760" t="s">
        <v>79</v>
      </c>
      <c r="S760">
        <v>17</v>
      </c>
      <c r="T760" s="14">
        <v>44941</v>
      </c>
      <c r="U760">
        <v>66</v>
      </c>
      <c r="V760" t="s">
        <v>46</v>
      </c>
      <c r="W760">
        <v>2</v>
      </c>
      <c r="X760" t="s">
        <v>34</v>
      </c>
    </row>
    <row r="761" spans="1:24" x14ac:dyDescent="0.35">
      <c r="A761" t="s">
        <v>1486</v>
      </c>
      <c r="B761" t="s">
        <v>68</v>
      </c>
      <c r="C761" t="s">
        <v>318</v>
      </c>
      <c r="D761" t="s">
        <v>88</v>
      </c>
      <c r="E761">
        <v>1994</v>
      </c>
      <c r="F761">
        <v>65000</v>
      </c>
      <c r="G761" t="s">
        <v>27</v>
      </c>
      <c r="H761" t="s">
        <v>64</v>
      </c>
      <c r="I761" t="s">
        <v>89</v>
      </c>
      <c r="J761" s="14">
        <v>43549</v>
      </c>
      <c r="K761" t="s">
        <v>41</v>
      </c>
      <c r="L761">
        <v>8</v>
      </c>
      <c r="M761" t="s">
        <v>319</v>
      </c>
      <c r="N761" t="s">
        <v>61</v>
      </c>
      <c r="O761" t="s">
        <v>174</v>
      </c>
      <c r="P761" t="s">
        <v>1487</v>
      </c>
      <c r="Q761">
        <v>4</v>
      </c>
      <c r="R761" t="s">
        <v>79</v>
      </c>
      <c r="T761" s="14">
        <v>44470</v>
      </c>
      <c r="U761">
        <v>27</v>
      </c>
      <c r="V761" t="s">
        <v>34</v>
      </c>
      <c r="W761">
        <v>1</v>
      </c>
      <c r="X761" t="s">
        <v>34</v>
      </c>
    </row>
    <row r="762" spans="1:24" x14ac:dyDescent="0.35">
      <c r="A762" t="s">
        <v>1488</v>
      </c>
      <c r="B762" t="s">
        <v>114</v>
      </c>
      <c r="C762" t="s">
        <v>591</v>
      </c>
      <c r="D762" t="s">
        <v>88</v>
      </c>
      <c r="E762">
        <v>1994</v>
      </c>
      <c r="F762">
        <v>58600</v>
      </c>
      <c r="G762" t="s">
        <v>27</v>
      </c>
      <c r="H762" t="s">
        <v>70</v>
      </c>
      <c r="I762" t="s">
        <v>77</v>
      </c>
      <c r="J762" s="14">
        <v>43881</v>
      </c>
      <c r="K762" t="s">
        <v>41</v>
      </c>
      <c r="L762">
        <v>36</v>
      </c>
      <c r="M762" t="s">
        <v>592</v>
      </c>
      <c r="N762" t="s">
        <v>104</v>
      </c>
      <c r="O762" t="s">
        <v>44</v>
      </c>
      <c r="Q762">
        <v>7</v>
      </c>
      <c r="R762">
        <v>2</v>
      </c>
      <c r="V762" t="s">
        <v>33</v>
      </c>
      <c r="W762">
        <v>4</v>
      </c>
      <c r="X762" t="s">
        <v>34</v>
      </c>
    </row>
    <row r="763" spans="1:24" x14ac:dyDescent="0.35">
      <c r="A763" t="s">
        <v>1489</v>
      </c>
      <c r="B763" t="s">
        <v>131</v>
      </c>
      <c r="C763" t="s">
        <v>635</v>
      </c>
      <c r="D763" t="s">
        <v>88</v>
      </c>
      <c r="E763">
        <v>1994</v>
      </c>
      <c r="F763">
        <v>70000</v>
      </c>
      <c r="G763" t="s">
        <v>38</v>
      </c>
      <c r="H763" t="s">
        <v>122</v>
      </c>
      <c r="I763" t="s">
        <v>77</v>
      </c>
      <c r="J763" s="14">
        <v>43800</v>
      </c>
      <c r="K763" t="s">
        <v>59</v>
      </c>
      <c r="L763">
        <v>90</v>
      </c>
      <c r="M763" t="s">
        <v>636</v>
      </c>
      <c r="N763" t="s">
        <v>104</v>
      </c>
      <c r="O763" t="s">
        <v>112</v>
      </c>
      <c r="Q763">
        <v>6</v>
      </c>
      <c r="R763">
        <v>12</v>
      </c>
      <c r="S763">
        <v>18</v>
      </c>
      <c r="V763" t="s">
        <v>34</v>
      </c>
      <c r="W763">
        <v>3</v>
      </c>
      <c r="X763" t="s">
        <v>34</v>
      </c>
    </row>
    <row r="764" spans="1:24" x14ac:dyDescent="0.35">
      <c r="A764" t="s">
        <v>1490</v>
      </c>
      <c r="B764" t="s">
        <v>68</v>
      </c>
      <c r="C764" t="s">
        <v>219</v>
      </c>
      <c r="D764" t="s">
        <v>88</v>
      </c>
      <c r="E764">
        <v>1994</v>
      </c>
      <c r="F764">
        <v>50000</v>
      </c>
      <c r="G764" t="s">
        <v>38</v>
      </c>
      <c r="H764" t="s">
        <v>145</v>
      </c>
      <c r="I764" t="s">
        <v>89</v>
      </c>
      <c r="J764" s="14">
        <v>43549</v>
      </c>
      <c r="K764" t="s">
        <v>78</v>
      </c>
      <c r="L764">
        <v>85</v>
      </c>
      <c r="M764" t="s">
        <v>1491</v>
      </c>
      <c r="N764" t="s">
        <v>43</v>
      </c>
      <c r="O764" t="s">
        <v>72</v>
      </c>
      <c r="Q764">
        <v>1</v>
      </c>
      <c r="S764">
        <v>15</v>
      </c>
      <c r="V764" t="s">
        <v>169</v>
      </c>
      <c r="W764">
        <v>4</v>
      </c>
      <c r="X764" t="s">
        <v>46</v>
      </c>
    </row>
    <row r="765" spans="1:24" x14ac:dyDescent="0.35">
      <c r="A765" t="s">
        <v>1492</v>
      </c>
      <c r="B765" t="s">
        <v>140</v>
      </c>
      <c r="C765" t="s">
        <v>436</v>
      </c>
      <c r="E765">
        <v>1994</v>
      </c>
      <c r="F765">
        <v>50000</v>
      </c>
      <c r="G765" t="s">
        <v>38</v>
      </c>
      <c r="H765" t="s">
        <v>93</v>
      </c>
      <c r="I765" t="s">
        <v>77</v>
      </c>
      <c r="J765" s="14">
        <v>43881</v>
      </c>
      <c r="K765" t="s">
        <v>59</v>
      </c>
      <c r="L765">
        <v>97</v>
      </c>
      <c r="M765" t="s">
        <v>437</v>
      </c>
      <c r="N765" t="s">
        <v>104</v>
      </c>
      <c r="O765" t="s">
        <v>174</v>
      </c>
      <c r="P765" t="s">
        <v>950</v>
      </c>
      <c r="Q765">
        <v>3</v>
      </c>
      <c r="V765" t="s">
        <v>46</v>
      </c>
      <c r="W765">
        <v>3</v>
      </c>
      <c r="X765" t="s">
        <v>34</v>
      </c>
    </row>
    <row r="766" spans="1:24" x14ac:dyDescent="0.35">
      <c r="A766" t="s">
        <v>1493</v>
      </c>
      <c r="B766" t="s">
        <v>68</v>
      </c>
      <c r="C766" t="s">
        <v>203</v>
      </c>
      <c r="D766">
        <v>25</v>
      </c>
      <c r="E766">
        <v>1999</v>
      </c>
      <c r="F766">
        <v>60300</v>
      </c>
      <c r="G766" t="s">
        <v>27</v>
      </c>
      <c r="H766" t="s">
        <v>70</v>
      </c>
      <c r="I766" t="s">
        <v>94</v>
      </c>
      <c r="J766" s="14">
        <v>43195</v>
      </c>
      <c r="K766" t="s">
        <v>52</v>
      </c>
      <c r="L766">
        <v>71</v>
      </c>
      <c r="M766" t="s">
        <v>1494</v>
      </c>
      <c r="N766" t="s">
        <v>54</v>
      </c>
      <c r="O766" t="s">
        <v>112</v>
      </c>
      <c r="P766" t="s">
        <v>793</v>
      </c>
      <c r="Q766">
        <v>7</v>
      </c>
      <c r="T766" s="14">
        <v>44470</v>
      </c>
      <c r="V766" t="s">
        <v>46</v>
      </c>
      <c r="W766">
        <v>3</v>
      </c>
      <c r="X766" t="s">
        <v>34</v>
      </c>
    </row>
    <row r="767" spans="1:24" x14ac:dyDescent="0.35">
      <c r="A767" t="s">
        <v>1495</v>
      </c>
      <c r="B767" t="s">
        <v>140</v>
      </c>
      <c r="C767" t="s">
        <v>338</v>
      </c>
      <c r="D767">
        <v>35</v>
      </c>
      <c r="E767">
        <v>1989</v>
      </c>
      <c r="F767">
        <v>65000</v>
      </c>
      <c r="G767" t="s">
        <v>27</v>
      </c>
      <c r="H767" t="s">
        <v>122</v>
      </c>
      <c r="I767" t="s">
        <v>94</v>
      </c>
      <c r="J767" s="14">
        <v>43195</v>
      </c>
      <c r="K767" t="s">
        <v>78</v>
      </c>
      <c r="L767">
        <v>87</v>
      </c>
      <c r="M767" t="s">
        <v>1496</v>
      </c>
      <c r="N767" t="s">
        <v>104</v>
      </c>
      <c r="O767" t="s">
        <v>32</v>
      </c>
      <c r="Q767">
        <v>1</v>
      </c>
      <c r="R767">
        <v>12</v>
      </c>
      <c r="V767" t="s">
        <v>33</v>
      </c>
      <c r="W767">
        <v>3</v>
      </c>
      <c r="X767" t="s">
        <v>34</v>
      </c>
    </row>
    <row r="768" spans="1:24" x14ac:dyDescent="0.35">
      <c r="A768" t="s">
        <v>1497</v>
      </c>
      <c r="B768" t="s">
        <v>140</v>
      </c>
      <c r="C768" t="s">
        <v>588</v>
      </c>
      <c r="D768">
        <v>40</v>
      </c>
      <c r="E768">
        <v>1984</v>
      </c>
      <c r="F768">
        <v>65000</v>
      </c>
      <c r="G768" t="s">
        <v>38</v>
      </c>
      <c r="H768" t="s">
        <v>145</v>
      </c>
      <c r="I768" t="s">
        <v>77</v>
      </c>
      <c r="J768" s="14">
        <v>43881</v>
      </c>
      <c r="K768" t="s">
        <v>30</v>
      </c>
      <c r="L768">
        <v>63</v>
      </c>
      <c r="M768" t="s">
        <v>589</v>
      </c>
      <c r="N768" t="s">
        <v>43</v>
      </c>
      <c r="O768" t="s">
        <v>100</v>
      </c>
      <c r="Q768">
        <v>2</v>
      </c>
      <c r="R768" t="s">
        <v>79</v>
      </c>
      <c r="V768" t="s">
        <v>46</v>
      </c>
      <c r="W768">
        <v>1</v>
      </c>
      <c r="X768" t="s">
        <v>34</v>
      </c>
    </row>
    <row r="769" spans="1:24" x14ac:dyDescent="0.35">
      <c r="A769" t="s">
        <v>1498</v>
      </c>
      <c r="B769" t="s">
        <v>107</v>
      </c>
      <c r="C769" t="s">
        <v>49</v>
      </c>
      <c r="D769">
        <v>35</v>
      </c>
      <c r="E769">
        <v>1989</v>
      </c>
      <c r="F769" t="s">
        <v>50</v>
      </c>
      <c r="G769" t="s">
        <v>27</v>
      </c>
      <c r="H769" t="s">
        <v>70</v>
      </c>
      <c r="I769" t="s">
        <v>77</v>
      </c>
      <c r="J769" s="14">
        <v>43845</v>
      </c>
      <c r="K769" t="s">
        <v>41</v>
      </c>
      <c r="L769">
        <v>5</v>
      </c>
      <c r="M769" t="s">
        <v>1499</v>
      </c>
      <c r="N769" t="s">
        <v>43</v>
      </c>
      <c r="O769" t="s">
        <v>100</v>
      </c>
      <c r="Q769">
        <v>3</v>
      </c>
      <c r="R769" t="s">
        <v>79</v>
      </c>
      <c r="T769" s="14">
        <v>44732</v>
      </c>
      <c r="U769">
        <v>55</v>
      </c>
      <c r="V769" t="s">
        <v>169</v>
      </c>
      <c r="W769">
        <v>4</v>
      </c>
      <c r="X769" t="s">
        <v>46</v>
      </c>
    </row>
    <row r="770" spans="1:24" x14ac:dyDescent="0.35">
      <c r="A770" t="s">
        <v>1500</v>
      </c>
      <c r="B770" t="s">
        <v>48</v>
      </c>
      <c r="C770" t="s">
        <v>681</v>
      </c>
      <c r="D770">
        <v>35</v>
      </c>
      <c r="E770">
        <v>1989</v>
      </c>
      <c r="F770">
        <v>60300</v>
      </c>
      <c r="G770" t="s">
        <v>38</v>
      </c>
      <c r="H770" t="s">
        <v>93</v>
      </c>
      <c r="I770" t="s">
        <v>94</v>
      </c>
      <c r="J770" s="14">
        <v>43881</v>
      </c>
      <c r="K770" t="s">
        <v>52</v>
      </c>
      <c r="L770">
        <v>79</v>
      </c>
      <c r="M770" t="s">
        <v>682</v>
      </c>
      <c r="N770" t="s">
        <v>54</v>
      </c>
      <c r="O770" t="s">
        <v>100</v>
      </c>
      <c r="Q770">
        <v>8</v>
      </c>
      <c r="R770" t="s">
        <v>79</v>
      </c>
      <c r="S770">
        <v>10</v>
      </c>
      <c r="T770" s="14">
        <v>44470</v>
      </c>
      <c r="U770">
        <v>21</v>
      </c>
      <c r="V770" t="s">
        <v>34</v>
      </c>
      <c r="W770">
        <v>4</v>
      </c>
      <c r="X770" t="s">
        <v>34</v>
      </c>
    </row>
    <row r="771" spans="1:24" x14ac:dyDescent="0.35">
      <c r="A771" t="s">
        <v>1501</v>
      </c>
      <c r="B771" t="s">
        <v>131</v>
      </c>
      <c r="C771" t="s">
        <v>285</v>
      </c>
      <c r="D771">
        <v>50</v>
      </c>
      <c r="E771">
        <v>1974</v>
      </c>
      <c r="F771">
        <v>58800</v>
      </c>
      <c r="G771" t="s">
        <v>38</v>
      </c>
      <c r="H771" t="s">
        <v>28</v>
      </c>
      <c r="I771" t="s">
        <v>77</v>
      </c>
      <c r="J771" s="14">
        <v>43881</v>
      </c>
      <c r="K771" t="s">
        <v>78</v>
      </c>
      <c r="L771">
        <v>82</v>
      </c>
      <c r="M771" t="s">
        <v>286</v>
      </c>
      <c r="N771" t="s">
        <v>43</v>
      </c>
      <c r="O771" t="s">
        <v>66</v>
      </c>
      <c r="Q771">
        <v>7</v>
      </c>
      <c r="R771" t="s">
        <v>79</v>
      </c>
      <c r="V771" t="s">
        <v>73</v>
      </c>
      <c r="W771">
        <v>3</v>
      </c>
      <c r="X771" t="s">
        <v>34</v>
      </c>
    </row>
    <row r="772" spans="1:24" x14ac:dyDescent="0.35">
      <c r="A772" t="s">
        <v>1502</v>
      </c>
      <c r="B772" t="s">
        <v>68</v>
      </c>
      <c r="C772" t="s">
        <v>250</v>
      </c>
      <c r="D772">
        <v>25</v>
      </c>
      <c r="E772">
        <v>1999</v>
      </c>
      <c r="F772">
        <v>65000</v>
      </c>
      <c r="G772" t="s">
        <v>27</v>
      </c>
      <c r="H772" t="s">
        <v>70</v>
      </c>
      <c r="I772" t="s">
        <v>77</v>
      </c>
      <c r="J772" s="14">
        <v>43845</v>
      </c>
      <c r="K772" t="s">
        <v>59</v>
      </c>
      <c r="L772">
        <v>96</v>
      </c>
      <c r="M772" t="s">
        <v>251</v>
      </c>
      <c r="O772" t="s">
        <v>174</v>
      </c>
      <c r="Q772">
        <v>2</v>
      </c>
      <c r="R772" t="s">
        <v>79</v>
      </c>
      <c r="S772">
        <v>16</v>
      </c>
      <c r="T772" s="14">
        <v>44470</v>
      </c>
      <c r="U772">
        <v>41</v>
      </c>
      <c r="V772" t="s">
        <v>46</v>
      </c>
      <c r="W772">
        <v>2</v>
      </c>
      <c r="X772" t="s">
        <v>46</v>
      </c>
    </row>
    <row r="773" spans="1:24" x14ac:dyDescent="0.35">
      <c r="A773" t="s">
        <v>1503</v>
      </c>
      <c r="B773" t="s">
        <v>36</v>
      </c>
      <c r="C773" t="s">
        <v>156</v>
      </c>
      <c r="D773">
        <v>50</v>
      </c>
      <c r="E773">
        <v>1974</v>
      </c>
      <c r="F773" t="s">
        <v>50</v>
      </c>
      <c r="G773" t="s">
        <v>27</v>
      </c>
      <c r="H773" t="s">
        <v>82</v>
      </c>
      <c r="I773" t="s">
        <v>89</v>
      </c>
      <c r="J773" s="14">
        <v>43845</v>
      </c>
      <c r="K773" t="s">
        <v>41</v>
      </c>
      <c r="L773">
        <v>35</v>
      </c>
      <c r="M773" t="s">
        <v>184</v>
      </c>
      <c r="N773" t="s">
        <v>61</v>
      </c>
      <c r="O773" t="s">
        <v>112</v>
      </c>
      <c r="P773" t="s">
        <v>280</v>
      </c>
      <c r="Q773">
        <v>2</v>
      </c>
      <c r="R773">
        <v>4</v>
      </c>
      <c r="S773">
        <v>12</v>
      </c>
      <c r="T773" s="14">
        <v>44470</v>
      </c>
      <c r="V773" t="s">
        <v>46</v>
      </c>
      <c r="W773">
        <v>2</v>
      </c>
      <c r="X773" t="s">
        <v>46</v>
      </c>
    </row>
    <row r="774" spans="1:24" x14ac:dyDescent="0.35">
      <c r="A774" t="s">
        <v>1504</v>
      </c>
      <c r="B774" t="s">
        <v>131</v>
      </c>
      <c r="C774" t="s">
        <v>740</v>
      </c>
      <c r="D774">
        <v>25</v>
      </c>
      <c r="E774">
        <v>1999</v>
      </c>
      <c r="F774">
        <v>50000</v>
      </c>
      <c r="G774" t="s">
        <v>38</v>
      </c>
      <c r="H774" t="s">
        <v>51</v>
      </c>
      <c r="I774" t="s">
        <v>29</v>
      </c>
      <c r="J774" s="14">
        <v>43549</v>
      </c>
      <c r="K774" t="s">
        <v>59</v>
      </c>
      <c r="L774">
        <v>98</v>
      </c>
      <c r="M774" t="s">
        <v>741</v>
      </c>
      <c r="N774" t="s">
        <v>104</v>
      </c>
      <c r="O774" t="s">
        <v>100</v>
      </c>
      <c r="P774" t="s">
        <v>670</v>
      </c>
      <c r="Q774">
        <v>5</v>
      </c>
      <c r="R774">
        <v>1</v>
      </c>
      <c r="S774">
        <v>4</v>
      </c>
      <c r="T774" s="14">
        <v>44470</v>
      </c>
      <c r="U774">
        <v>8</v>
      </c>
      <c r="W774">
        <v>5</v>
      </c>
      <c r="X774" t="s">
        <v>34</v>
      </c>
    </row>
    <row r="775" spans="1:24" x14ac:dyDescent="0.35">
      <c r="A775" t="s">
        <v>1505</v>
      </c>
      <c r="B775" t="s">
        <v>48</v>
      </c>
      <c r="C775" t="s">
        <v>459</v>
      </c>
      <c r="D775">
        <v>25</v>
      </c>
      <c r="E775">
        <v>1999</v>
      </c>
      <c r="F775">
        <v>55000</v>
      </c>
      <c r="G775" t="s">
        <v>38</v>
      </c>
      <c r="H775" t="s">
        <v>145</v>
      </c>
      <c r="I775" t="s">
        <v>94</v>
      </c>
      <c r="J775" s="14">
        <v>43549</v>
      </c>
      <c r="K775" t="s">
        <v>78</v>
      </c>
      <c r="L775">
        <v>81</v>
      </c>
      <c r="M775" t="s">
        <v>460</v>
      </c>
      <c r="O775" t="s">
        <v>174</v>
      </c>
      <c r="Q775">
        <v>4</v>
      </c>
      <c r="T775" s="14">
        <v>44732</v>
      </c>
      <c r="V775" t="s">
        <v>169</v>
      </c>
      <c r="W775">
        <v>4</v>
      </c>
      <c r="X775" t="s">
        <v>34</v>
      </c>
    </row>
    <row r="776" spans="1:24" x14ac:dyDescent="0.35">
      <c r="A776" t="s">
        <v>1506</v>
      </c>
      <c r="B776" t="s">
        <v>131</v>
      </c>
      <c r="C776" t="s">
        <v>144</v>
      </c>
      <c r="D776" t="s">
        <v>88</v>
      </c>
      <c r="E776">
        <v>1994</v>
      </c>
      <c r="F776">
        <v>70000</v>
      </c>
      <c r="G776" t="s">
        <v>38</v>
      </c>
      <c r="H776" t="s">
        <v>145</v>
      </c>
      <c r="I776" t="s">
        <v>89</v>
      </c>
      <c r="J776" s="14">
        <v>43845</v>
      </c>
      <c r="K776" t="s">
        <v>78</v>
      </c>
      <c r="L776">
        <v>82</v>
      </c>
      <c r="M776" t="s">
        <v>146</v>
      </c>
      <c r="N776" t="s">
        <v>104</v>
      </c>
      <c r="O776" t="s">
        <v>32</v>
      </c>
      <c r="Q776">
        <v>6</v>
      </c>
      <c r="T776" s="14">
        <v>44990</v>
      </c>
      <c r="V776" t="s">
        <v>33</v>
      </c>
      <c r="W776">
        <v>4</v>
      </c>
      <c r="X776" t="s">
        <v>46</v>
      </c>
    </row>
    <row r="777" spans="1:24" x14ac:dyDescent="0.35">
      <c r="A777" t="s">
        <v>1507</v>
      </c>
      <c r="B777" t="s">
        <v>75</v>
      </c>
      <c r="C777" t="s">
        <v>176</v>
      </c>
      <c r="E777">
        <v>1978</v>
      </c>
      <c r="F777">
        <v>50000</v>
      </c>
      <c r="G777" t="s">
        <v>27</v>
      </c>
      <c r="H777" t="s">
        <v>39</v>
      </c>
      <c r="I777" t="s">
        <v>29</v>
      </c>
      <c r="J777" s="14">
        <v>43195</v>
      </c>
      <c r="K777" t="s">
        <v>52</v>
      </c>
      <c r="L777">
        <v>79</v>
      </c>
      <c r="O777" t="s">
        <v>100</v>
      </c>
      <c r="Q777">
        <v>2</v>
      </c>
      <c r="R777">
        <v>3</v>
      </c>
      <c r="T777" s="14">
        <v>44990</v>
      </c>
      <c r="V777" t="s">
        <v>73</v>
      </c>
      <c r="W777">
        <v>1</v>
      </c>
      <c r="X777" t="s">
        <v>34</v>
      </c>
    </row>
    <row r="778" spans="1:24" x14ac:dyDescent="0.35">
      <c r="A778" t="s">
        <v>1508</v>
      </c>
      <c r="B778" t="s">
        <v>36</v>
      </c>
      <c r="C778" t="s">
        <v>37</v>
      </c>
      <c r="D778" t="s">
        <v>88</v>
      </c>
      <c r="E778">
        <v>1994</v>
      </c>
      <c r="F778">
        <v>65000</v>
      </c>
      <c r="G778" t="s">
        <v>27</v>
      </c>
      <c r="H778" t="s">
        <v>145</v>
      </c>
      <c r="I778" t="s">
        <v>77</v>
      </c>
      <c r="J778" s="14">
        <v>43195</v>
      </c>
      <c r="K778" t="s">
        <v>30</v>
      </c>
      <c r="L778">
        <v>63</v>
      </c>
      <c r="M778" t="s">
        <v>42</v>
      </c>
      <c r="N778" t="s">
        <v>104</v>
      </c>
      <c r="O778" t="s">
        <v>112</v>
      </c>
      <c r="Q778">
        <v>1</v>
      </c>
      <c r="R778" t="s">
        <v>79</v>
      </c>
      <c r="V778" t="s">
        <v>46</v>
      </c>
      <c r="W778">
        <v>1</v>
      </c>
      <c r="X778" t="s">
        <v>34</v>
      </c>
    </row>
    <row r="779" spans="1:24" x14ac:dyDescent="0.35">
      <c r="A779" t="s">
        <v>1509</v>
      </c>
      <c r="B779" t="s">
        <v>48</v>
      </c>
      <c r="C779" t="s">
        <v>334</v>
      </c>
      <c r="E779">
        <v>1988</v>
      </c>
      <c r="F779">
        <v>70000</v>
      </c>
      <c r="G779" t="s">
        <v>38</v>
      </c>
      <c r="H779" t="s">
        <v>70</v>
      </c>
      <c r="I779" t="s">
        <v>77</v>
      </c>
      <c r="J779" s="14">
        <v>43881</v>
      </c>
      <c r="K779" t="s">
        <v>59</v>
      </c>
      <c r="L779">
        <v>100</v>
      </c>
      <c r="M779" t="s">
        <v>335</v>
      </c>
      <c r="N779" t="s">
        <v>54</v>
      </c>
      <c r="O779" t="s">
        <v>174</v>
      </c>
      <c r="Q779">
        <v>7</v>
      </c>
      <c r="R779" t="s">
        <v>79</v>
      </c>
      <c r="T779" s="14">
        <v>44470</v>
      </c>
      <c r="V779" t="s">
        <v>34</v>
      </c>
      <c r="W779">
        <v>5</v>
      </c>
      <c r="X779" t="s">
        <v>34</v>
      </c>
    </row>
    <row r="780" spans="1:24" x14ac:dyDescent="0.35">
      <c r="A780" t="s">
        <v>1510</v>
      </c>
      <c r="B780" t="s">
        <v>107</v>
      </c>
      <c r="C780" t="s">
        <v>247</v>
      </c>
      <c r="D780">
        <v>50</v>
      </c>
      <c r="E780">
        <v>1974</v>
      </c>
      <c r="F780">
        <v>55000</v>
      </c>
      <c r="G780" t="s">
        <v>27</v>
      </c>
      <c r="H780" t="s">
        <v>122</v>
      </c>
      <c r="I780" t="s">
        <v>89</v>
      </c>
      <c r="J780" s="14">
        <v>43800</v>
      </c>
      <c r="K780" t="s">
        <v>52</v>
      </c>
      <c r="L780">
        <v>70</v>
      </c>
      <c r="M780" t="s">
        <v>1511</v>
      </c>
      <c r="N780" t="s">
        <v>43</v>
      </c>
      <c r="O780" t="s">
        <v>100</v>
      </c>
      <c r="Q780">
        <v>7</v>
      </c>
      <c r="R780">
        <v>10</v>
      </c>
      <c r="S780">
        <v>1</v>
      </c>
      <c r="T780" t="s">
        <v>79</v>
      </c>
      <c r="W780">
        <v>4</v>
      </c>
      <c r="X780" t="s">
        <v>34</v>
      </c>
    </row>
    <row r="781" spans="1:24" x14ac:dyDescent="0.35">
      <c r="A781" t="s">
        <v>1512</v>
      </c>
      <c r="B781" t="s">
        <v>68</v>
      </c>
      <c r="C781" t="s">
        <v>295</v>
      </c>
      <c r="E781">
        <v>1994</v>
      </c>
      <c r="F781">
        <v>55000</v>
      </c>
      <c r="G781" t="s">
        <v>27</v>
      </c>
      <c r="H781" t="s">
        <v>82</v>
      </c>
      <c r="I781" t="s">
        <v>77</v>
      </c>
      <c r="J781" s="14">
        <v>43881</v>
      </c>
      <c r="K781" t="s">
        <v>41</v>
      </c>
      <c r="L781">
        <v>31</v>
      </c>
      <c r="M781" t="s">
        <v>1513</v>
      </c>
      <c r="N781" t="s">
        <v>43</v>
      </c>
      <c r="O781" t="s">
        <v>112</v>
      </c>
      <c r="Q781">
        <v>5</v>
      </c>
      <c r="R781">
        <v>5</v>
      </c>
      <c r="S781">
        <v>19</v>
      </c>
      <c r="V781" t="s">
        <v>34</v>
      </c>
      <c r="W781">
        <v>1</v>
      </c>
      <c r="X781" t="s">
        <v>46</v>
      </c>
    </row>
    <row r="782" spans="1:24" x14ac:dyDescent="0.35">
      <c r="A782" t="s">
        <v>1514</v>
      </c>
      <c r="B782" t="s">
        <v>25</v>
      </c>
      <c r="C782" t="s">
        <v>413</v>
      </c>
      <c r="D782">
        <v>50</v>
      </c>
      <c r="E782">
        <v>1974</v>
      </c>
      <c r="F782" t="s">
        <v>50</v>
      </c>
      <c r="G782" t="s">
        <v>38</v>
      </c>
      <c r="H782" t="s">
        <v>64</v>
      </c>
      <c r="I782" t="s">
        <v>40</v>
      </c>
      <c r="J782" s="14">
        <v>43881</v>
      </c>
      <c r="K782" t="s">
        <v>30</v>
      </c>
      <c r="L782">
        <v>62</v>
      </c>
      <c r="M782" t="s">
        <v>1515</v>
      </c>
      <c r="N782" t="s">
        <v>54</v>
      </c>
      <c r="O782" t="s">
        <v>72</v>
      </c>
      <c r="Q782">
        <v>1</v>
      </c>
      <c r="R782">
        <v>13</v>
      </c>
      <c r="V782" t="s">
        <v>33</v>
      </c>
      <c r="W782">
        <v>2</v>
      </c>
      <c r="X782" t="s">
        <v>46</v>
      </c>
    </row>
    <row r="783" spans="1:24" x14ac:dyDescent="0.35">
      <c r="A783" t="s">
        <v>1516</v>
      </c>
      <c r="B783" t="s">
        <v>48</v>
      </c>
      <c r="C783" t="s">
        <v>158</v>
      </c>
      <c r="D783">
        <v>35</v>
      </c>
      <c r="E783">
        <v>1989</v>
      </c>
      <c r="F783">
        <v>70000</v>
      </c>
      <c r="G783" t="s">
        <v>38</v>
      </c>
      <c r="H783" t="s">
        <v>145</v>
      </c>
      <c r="I783" t="s">
        <v>89</v>
      </c>
      <c r="J783" s="14">
        <v>43800</v>
      </c>
      <c r="K783" t="s">
        <v>52</v>
      </c>
      <c r="L783">
        <v>74</v>
      </c>
      <c r="M783" t="s">
        <v>1517</v>
      </c>
      <c r="O783" t="s">
        <v>32</v>
      </c>
      <c r="P783" t="s">
        <v>211</v>
      </c>
      <c r="Q783">
        <v>3</v>
      </c>
      <c r="R783" t="s">
        <v>79</v>
      </c>
      <c r="S783">
        <v>15</v>
      </c>
      <c r="V783" t="s">
        <v>34</v>
      </c>
      <c r="W783">
        <v>2</v>
      </c>
      <c r="X783" t="s">
        <v>34</v>
      </c>
    </row>
    <row r="784" spans="1:24" x14ac:dyDescent="0.35">
      <c r="A784" t="s">
        <v>1518</v>
      </c>
      <c r="B784" t="s">
        <v>114</v>
      </c>
      <c r="C784" t="s">
        <v>608</v>
      </c>
      <c r="D784">
        <v>35</v>
      </c>
      <c r="E784">
        <v>1989</v>
      </c>
      <c r="F784" t="s">
        <v>50</v>
      </c>
      <c r="G784" t="s">
        <v>27</v>
      </c>
      <c r="H784" t="s">
        <v>145</v>
      </c>
      <c r="I784" t="s">
        <v>29</v>
      </c>
      <c r="J784" s="14">
        <v>43845</v>
      </c>
      <c r="K784" t="s">
        <v>59</v>
      </c>
      <c r="L784">
        <v>92</v>
      </c>
      <c r="M784" t="s">
        <v>609</v>
      </c>
      <c r="N784" t="s">
        <v>61</v>
      </c>
      <c r="O784" t="s">
        <v>174</v>
      </c>
      <c r="Q784">
        <v>8</v>
      </c>
      <c r="R784">
        <v>1</v>
      </c>
      <c r="S784">
        <v>9</v>
      </c>
      <c r="V784" t="s">
        <v>33</v>
      </c>
      <c r="W784">
        <v>5</v>
      </c>
      <c r="X784" t="s">
        <v>34</v>
      </c>
    </row>
    <row r="785" spans="1:24" x14ac:dyDescent="0.35">
      <c r="A785" t="s">
        <v>1519</v>
      </c>
      <c r="B785" t="s">
        <v>68</v>
      </c>
      <c r="C785" t="s">
        <v>324</v>
      </c>
      <c r="E785">
        <v>1991</v>
      </c>
      <c r="F785">
        <v>50000</v>
      </c>
      <c r="G785" t="s">
        <v>27</v>
      </c>
      <c r="H785" t="s">
        <v>122</v>
      </c>
      <c r="I785" t="s">
        <v>89</v>
      </c>
      <c r="J785" s="14">
        <v>43195</v>
      </c>
      <c r="K785" t="s">
        <v>78</v>
      </c>
      <c r="L785">
        <v>84</v>
      </c>
      <c r="M785" t="s">
        <v>325</v>
      </c>
      <c r="O785" t="s">
        <v>112</v>
      </c>
      <c r="Q785">
        <v>8</v>
      </c>
      <c r="V785" t="s">
        <v>33</v>
      </c>
      <c r="W785">
        <v>1</v>
      </c>
      <c r="X785" t="s">
        <v>46</v>
      </c>
    </row>
    <row r="786" spans="1:24" x14ac:dyDescent="0.35">
      <c r="A786" t="s">
        <v>1520</v>
      </c>
      <c r="B786" t="s">
        <v>48</v>
      </c>
      <c r="C786" t="s">
        <v>534</v>
      </c>
      <c r="E786">
        <v>1997</v>
      </c>
      <c r="F786">
        <v>59300</v>
      </c>
      <c r="G786" t="s">
        <v>27</v>
      </c>
      <c r="H786" t="s">
        <v>58</v>
      </c>
      <c r="I786" t="s">
        <v>94</v>
      </c>
      <c r="J786" s="14">
        <v>43881</v>
      </c>
      <c r="K786" t="s">
        <v>41</v>
      </c>
      <c r="L786">
        <v>17</v>
      </c>
      <c r="M786" t="s">
        <v>535</v>
      </c>
      <c r="N786" t="s">
        <v>43</v>
      </c>
      <c r="O786" t="s">
        <v>112</v>
      </c>
      <c r="P786" t="s">
        <v>1521</v>
      </c>
      <c r="Q786">
        <v>1</v>
      </c>
      <c r="W786">
        <v>2</v>
      </c>
      <c r="X786" t="s">
        <v>34</v>
      </c>
    </row>
    <row r="787" spans="1:24" x14ac:dyDescent="0.35">
      <c r="A787" t="s">
        <v>1522</v>
      </c>
      <c r="B787" t="s">
        <v>75</v>
      </c>
      <c r="C787" t="s">
        <v>295</v>
      </c>
      <c r="D787">
        <v>50</v>
      </c>
      <c r="E787">
        <v>1974</v>
      </c>
      <c r="F787">
        <v>58500</v>
      </c>
      <c r="G787" t="s">
        <v>27</v>
      </c>
      <c r="H787" t="s">
        <v>64</v>
      </c>
      <c r="I787" t="s">
        <v>89</v>
      </c>
      <c r="J787" s="14">
        <v>43800</v>
      </c>
      <c r="K787" t="s">
        <v>59</v>
      </c>
      <c r="L787">
        <v>96</v>
      </c>
      <c r="M787" t="s">
        <v>1523</v>
      </c>
      <c r="N787" t="s">
        <v>61</v>
      </c>
      <c r="O787" t="s">
        <v>66</v>
      </c>
      <c r="P787" t="s">
        <v>1524</v>
      </c>
      <c r="Q787">
        <v>4</v>
      </c>
      <c r="W787">
        <v>2</v>
      </c>
      <c r="X787" t="s">
        <v>34</v>
      </c>
    </row>
    <row r="788" spans="1:24" x14ac:dyDescent="0.35">
      <c r="A788" t="s">
        <v>1525</v>
      </c>
      <c r="B788" t="s">
        <v>25</v>
      </c>
      <c r="C788" t="s">
        <v>171</v>
      </c>
      <c r="D788" t="s">
        <v>88</v>
      </c>
      <c r="E788">
        <v>1994</v>
      </c>
      <c r="F788">
        <v>58800</v>
      </c>
      <c r="G788" t="s">
        <v>27</v>
      </c>
      <c r="H788" t="s">
        <v>28</v>
      </c>
      <c r="I788" t="s">
        <v>77</v>
      </c>
      <c r="J788" s="14">
        <v>43549</v>
      </c>
      <c r="K788" t="s">
        <v>30</v>
      </c>
      <c r="L788">
        <v>60</v>
      </c>
      <c r="M788" t="s">
        <v>172</v>
      </c>
      <c r="N788" t="s">
        <v>104</v>
      </c>
      <c r="O788" t="s">
        <v>174</v>
      </c>
      <c r="Q788">
        <v>5</v>
      </c>
      <c r="R788" t="s">
        <v>79</v>
      </c>
      <c r="S788">
        <v>5</v>
      </c>
      <c r="T788" s="14">
        <v>44470</v>
      </c>
      <c r="W788">
        <v>4</v>
      </c>
      <c r="X788" t="s">
        <v>34</v>
      </c>
    </row>
    <row r="789" spans="1:24" x14ac:dyDescent="0.35">
      <c r="A789" t="s">
        <v>1526</v>
      </c>
      <c r="B789" t="s">
        <v>75</v>
      </c>
      <c r="C789" t="s">
        <v>99</v>
      </c>
      <c r="D789">
        <v>50</v>
      </c>
      <c r="E789">
        <v>1974</v>
      </c>
      <c r="F789">
        <v>70000</v>
      </c>
      <c r="G789" t="s">
        <v>27</v>
      </c>
      <c r="H789" t="s">
        <v>51</v>
      </c>
      <c r="I789" t="s">
        <v>77</v>
      </c>
      <c r="J789" s="14">
        <v>43881</v>
      </c>
      <c r="K789" t="s">
        <v>30</v>
      </c>
      <c r="L789">
        <v>67</v>
      </c>
      <c r="M789" t="s">
        <v>1527</v>
      </c>
      <c r="N789" t="s">
        <v>61</v>
      </c>
      <c r="O789" t="s">
        <v>72</v>
      </c>
      <c r="P789" t="s">
        <v>1528</v>
      </c>
      <c r="Q789">
        <v>4</v>
      </c>
      <c r="R789" t="s">
        <v>79</v>
      </c>
      <c r="S789">
        <v>8</v>
      </c>
      <c r="T789" s="14">
        <v>44470</v>
      </c>
      <c r="V789" t="s">
        <v>46</v>
      </c>
      <c r="W789">
        <v>1</v>
      </c>
      <c r="X789" t="s">
        <v>34</v>
      </c>
    </row>
    <row r="790" spans="1:24" x14ac:dyDescent="0.35">
      <c r="A790" t="s">
        <v>1529</v>
      </c>
      <c r="B790" t="s">
        <v>25</v>
      </c>
      <c r="C790" t="s">
        <v>380</v>
      </c>
      <c r="D790" t="s">
        <v>88</v>
      </c>
      <c r="E790">
        <v>1994</v>
      </c>
      <c r="F790">
        <v>60300</v>
      </c>
      <c r="G790" t="s">
        <v>27</v>
      </c>
      <c r="H790" t="s">
        <v>64</v>
      </c>
      <c r="I790" t="s">
        <v>40</v>
      </c>
      <c r="J790" s="14">
        <v>43195</v>
      </c>
      <c r="K790" t="s">
        <v>78</v>
      </c>
      <c r="L790">
        <v>88</v>
      </c>
      <c r="M790" t="s">
        <v>1530</v>
      </c>
      <c r="O790" t="s">
        <v>174</v>
      </c>
      <c r="Q790">
        <v>1</v>
      </c>
      <c r="R790">
        <v>5</v>
      </c>
      <c r="S790">
        <v>3</v>
      </c>
      <c r="V790" t="s">
        <v>73</v>
      </c>
      <c r="W790">
        <v>5</v>
      </c>
      <c r="X790" t="s">
        <v>34</v>
      </c>
    </row>
    <row r="791" spans="1:24" x14ac:dyDescent="0.35">
      <c r="A791" t="s">
        <v>1531</v>
      </c>
      <c r="B791" t="s">
        <v>114</v>
      </c>
      <c r="C791" t="s">
        <v>540</v>
      </c>
      <c r="D791">
        <v>35</v>
      </c>
      <c r="E791">
        <v>1989</v>
      </c>
      <c r="F791">
        <v>50000</v>
      </c>
      <c r="G791" t="s">
        <v>27</v>
      </c>
      <c r="H791" t="s">
        <v>70</v>
      </c>
      <c r="I791" t="s">
        <v>40</v>
      </c>
      <c r="J791" s="14">
        <v>43845</v>
      </c>
      <c r="K791" t="s">
        <v>78</v>
      </c>
      <c r="L791">
        <v>80</v>
      </c>
      <c r="M791" t="s">
        <v>541</v>
      </c>
      <c r="N791" t="s">
        <v>54</v>
      </c>
      <c r="O791" t="s">
        <v>32</v>
      </c>
      <c r="P791" t="s">
        <v>331</v>
      </c>
      <c r="Q791">
        <v>4</v>
      </c>
      <c r="R791" t="s">
        <v>79</v>
      </c>
      <c r="S791">
        <v>12</v>
      </c>
      <c r="V791" t="s">
        <v>34</v>
      </c>
      <c r="W791">
        <v>2</v>
      </c>
      <c r="X791" t="s">
        <v>46</v>
      </c>
    </row>
    <row r="792" spans="1:24" x14ac:dyDescent="0.35">
      <c r="A792" t="s">
        <v>1532</v>
      </c>
      <c r="B792" t="s">
        <v>68</v>
      </c>
      <c r="C792" t="s">
        <v>499</v>
      </c>
      <c r="D792">
        <v>25</v>
      </c>
      <c r="E792">
        <v>1999</v>
      </c>
      <c r="F792" t="s">
        <v>50</v>
      </c>
      <c r="G792" t="s">
        <v>27</v>
      </c>
      <c r="H792" t="s">
        <v>70</v>
      </c>
      <c r="I792" t="s">
        <v>40</v>
      </c>
      <c r="J792" s="14">
        <v>43881</v>
      </c>
      <c r="K792" t="s">
        <v>41</v>
      </c>
      <c r="L792">
        <v>33</v>
      </c>
      <c r="M792" t="s">
        <v>1533</v>
      </c>
      <c r="N792" t="s">
        <v>104</v>
      </c>
      <c r="O792" t="s">
        <v>66</v>
      </c>
      <c r="Q792">
        <v>3</v>
      </c>
      <c r="V792" t="s">
        <v>46</v>
      </c>
      <c r="W792">
        <v>5</v>
      </c>
      <c r="X792" t="s">
        <v>34</v>
      </c>
    </row>
    <row r="793" spans="1:24" x14ac:dyDescent="0.35">
      <c r="A793" t="s">
        <v>1534</v>
      </c>
      <c r="B793" t="s">
        <v>107</v>
      </c>
      <c r="C793" t="s">
        <v>121</v>
      </c>
      <c r="E793">
        <v>1988</v>
      </c>
      <c r="F793">
        <v>70000</v>
      </c>
      <c r="G793" t="s">
        <v>27</v>
      </c>
      <c r="H793" t="s">
        <v>64</v>
      </c>
      <c r="I793" t="s">
        <v>29</v>
      </c>
      <c r="J793" s="14">
        <v>43881</v>
      </c>
      <c r="K793" t="s">
        <v>41</v>
      </c>
      <c r="L793">
        <v>6</v>
      </c>
      <c r="M793" t="s">
        <v>123</v>
      </c>
      <c r="O793" t="s">
        <v>174</v>
      </c>
      <c r="Q793">
        <v>1</v>
      </c>
      <c r="R793">
        <v>0</v>
      </c>
      <c r="U793">
        <v>28</v>
      </c>
      <c r="V793" t="s">
        <v>73</v>
      </c>
      <c r="W793">
        <v>1</v>
      </c>
      <c r="X793" t="s">
        <v>46</v>
      </c>
    </row>
    <row r="794" spans="1:24" x14ac:dyDescent="0.35">
      <c r="A794" t="s">
        <v>1535</v>
      </c>
      <c r="B794" t="s">
        <v>75</v>
      </c>
      <c r="C794" t="s">
        <v>546</v>
      </c>
      <c r="D794" t="s">
        <v>88</v>
      </c>
      <c r="E794">
        <v>1994</v>
      </c>
      <c r="F794" t="s">
        <v>50</v>
      </c>
      <c r="G794" t="s">
        <v>27</v>
      </c>
      <c r="H794" t="s">
        <v>145</v>
      </c>
      <c r="I794" t="s">
        <v>40</v>
      </c>
      <c r="J794" s="14">
        <v>43800</v>
      </c>
      <c r="K794" t="s">
        <v>78</v>
      </c>
      <c r="L794">
        <v>83</v>
      </c>
      <c r="M794" t="s">
        <v>1536</v>
      </c>
      <c r="N794" t="s">
        <v>104</v>
      </c>
      <c r="O794" t="s">
        <v>174</v>
      </c>
      <c r="Q794">
        <v>6</v>
      </c>
      <c r="W794">
        <v>2</v>
      </c>
      <c r="X794" t="s">
        <v>34</v>
      </c>
    </row>
    <row r="795" spans="1:24" x14ac:dyDescent="0.35">
      <c r="A795" t="s">
        <v>1537</v>
      </c>
      <c r="B795" t="s">
        <v>75</v>
      </c>
      <c r="C795" t="s">
        <v>299</v>
      </c>
      <c r="D795">
        <v>50</v>
      </c>
      <c r="E795">
        <v>1974</v>
      </c>
      <c r="F795">
        <v>70000</v>
      </c>
      <c r="G795" t="s">
        <v>38</v>
      </c>
      <c r="H795" t="s">
        <v>64</v>
      </c>
      <c r="I795" t="s">
        <v>29</v>
      </c>
      <c r="J795" s="14">
        <v>43549</v>
      </c>
      <c r="K795" t="s">
        <v>78</v>
      </c>
      <c r="L795">
        <v>83</v>
      </c>
      <c r="M795" t="s">
        <v>1538</v>
      </c>
      <c r="N795" t="s">
        <v>61</v>
      </c>
      <c r="O795" t="s">
        <v>100</v>
      </c>
      <c r="Q795">
        <v>4</v>
      </c>
      <c r="S795">
        <v>16</v>
      </c>
      <c r="W795">
        <v>4</v>
      </c>
      <c r="X795" t="s">
        <v>34</v>
      </c>
    </row>
    <row r="796" spans="1:24" x14ac:dyDescent="0.35">
      <c r="A796" t="s">
        <v>1539</v>
      </c>
      <c r="B796" t="s">
        <v>140</v>
      </c>
      <c r="C796" t="s">
        <v>268</v>
      </c>
      <c r="D796">
        <v>35</v>
      </c>
      <c r="E796">
        <v>1989</v>
      </c>
      <c r="F796" t="s">
        <v>50</v>
      </c>
      <c r="G796" t="s">
        <v>27</v>
      </c>
      <c r="H796" t="s">
        <v>51</v>
      </c>
      <c r="I796" t="s">
        <v>40</v>
      </c>
      <c r="J796" s="14">
        <v>43549</v>
      </c>
      <c r="K796" t="s">
        <v>30</v>
      </c>
      <c r="L796">
        <v>69</v>
      </c>
      <c r="M796" t="s">
        <v>269</v>
      </c>
      <c r="N796" t="s">
        <v>43</v>
      </c>
      <c r="O796" t="s">
        <v>112</v>
      </c>
      <c r="Q796">
        <v>1</v>
      </c>
      <c r="R796" t="s">
        <v>79</v>
      </c>
      <c r="S796">
        <v>1</v>
      </c>
      <c r="T796" s="14">
        <v>44941</v>
      </c>
      <c r="W796">
        <v>2</v>
      </c>
      <c r="X796" t="s">
        <v>46</v>
      </c>
    </row>
    <row r="797" spans="1:24" x14ac:dyDescent="0.35">
      <c r="A797" t="s">
        <v>1540</v>
      </c>
      <c r="B797" t="s">
        <v>25</v>
      </c>
      <c r="C797" t="s">
        <v>92</v>
      </c>
      <c r="D797" t="s">
        <v>88</v>
      </c>
      <c r="E797">
        <v>1994</v>
      </c>
      <c r="F797">
        <v>55000</v>
      </c>
      <c r="G797" t="s">
        <v>27</v>
      </c>
      <c r="H797" t="s">
        <v>122</v>
      </c>
      <c r="I797" t="s">
        <v>29</v>
      </c>
      <c r="J797" s="14">
        <v>43845</v>
      </c>
      <c r="K797" t="s">
        <v>78</v>
      </c>
      <c r="L797">
        <v>89</v>
      </c>
      <c r="M797" t="s">
        <v>1541</v>
      </c>
      <c r="O797" t="s">
        <v>32</v>
      </c>
      <c r="Q797">
        <v>3</v>
      </c>
      <c r="S797">
        <v>7</v>
      </c>
      <c r="T797" s="14">
        <v>44470</v>
      </c>
      <c r="U797">
        <v>20</v>
      </c>
      <c r="V797" t="s">
        <v>169</v>
      </c>
      <c r="W797">
        <v>3</v>
      </c>
      <c r="X797" t="s">
        <v>34</v>
      </c>
    </row>
    <row r="798" spans="1:24" x14ac:dyDescent="0.35">
      <c r="A798" t="s">
        <v>1542</v>
      </c>
      <c r="B798" t="s">
        <v>56</v>
      </c>
      <c r="C798" t="s">
        <v>612</v>
      </c>
      <c r="D798">
        <v>50</v>
      </c>
      <c r="E798">
        <v>1974</v>
      </c>
      <c r="F798" t="s">
        <v>50</v>
      </c>
      <c r="G798" t="s">
        <v>38</v>
      </c>
      <c r="H798" t="s">
        <v>64</v>
      </c>
      <c r="I798" t="s">
        <v>89</v>
      </c>
      <c r="J798" s="14">
        <v>43195</v>
      </c>
      <c r="K798" t="s">
        <v>52</v>
      </c>
      <c r="L798">
        <v>79</v>
      </c>
      <c r="M798" t="s">
        <v>613</v>
      </c>
      <c r="N798" t="s">
        <v>54</v>
      </c>
      <c r="O798" t="s">
        <v>72</v>
      </c>
      <c r="P798" t="s">
        <v>1428</v>
      </c>
      <c r="Q798">
        <v>2</v>
      </c>
      <c r="S798">
        <v>9</v>
      </c>
      <c r="V798" t="s">
        <v>33</v>
      </c>
      <c r="W798">
        <v>3</v>
      </c>
      <c r="X798" t="s">
        <v>34</v>
      </c>
    </row>
    <row r="799" spans="1:24" x14ac:dyDescent="0.35">
      <c r="A799" t="s">
        <v>1543</v>
      </c>
      <c r="B799" t="s">
        <v>68</v>
      </c>
      <c r="C799" t="s">
        <v>256</v>
      </c>
      <c r="E799">
        <v>1992</v>
      </c>
      <c r="F799">
        <v>58300</v>
      </c>
      <c r="G799" t="s">
        <v>27</v>
      </c>
      <c r="H799" t="s">
        <v>145</v>
      </c>
      <c r="I799" t="s">
        <v>89</v>
      </c>
      <c r="J799" s="14">
        <v>43845</v>
      </c>
      <c r="K799" t="s">
        <v>59</v>
      </c>
      <c r="L799">
        <v>97</v>
      </c>
      <c r="M799" t="s">
        <v>257</v>
      </c>
      <c r="N799" t="s">
        <v>61</v>
      </c>
      <c r="O799" t="s">
        <v>66</v>
      </c>
      <c r="P799" t="s">
        <v>124</v>
      </c>
      <c r="Q799">
        <v>5</v>
      </c>
      <c r="R799">
        <v>9</v>
      </c>
      <c r="V799" t="s">
        <v>46</v>
      </c>
      <c r="W799">
        <v>4</v>
      </c>
      <c r="X799" t="s">
        <v>34</v>
      </c>
    </row>
    <row r="800" spans="1:24" x14ac:dyDescent="0.35">
      <c r="A800" t="s">
        <v>1544</v>
      </c>
      <c r="B800" t="s">
        <v>25</v>
      </c>
      <c r="C800" t="s">
        <v>203</v>
      </c>
      <c r="E800">
        <v>1991</v>
      </c>
      <c r="F800">
        <v>55000</v>
      </c>
      <c r="G800" t="s">
        <v>27</v>
      </c>
      <c r="H800" t="s">
        <v>64</v>
      </c>
      <c r="I800" t="s">
        <v>77</v>
      </c>
      <c r="J800" s="14">
        <v>43881</v>
      </c>
      <c r="K800" t="s">
        <v>78</v>
      </c>
      <c r="L800">
        <v>81</v>
      </c>
      <c r="M800" t="s">
        <v>1545</v>
      </c>
      <c r="O800" t="s">
        <v>112</v>
      </c>
      <c r="Q800">
        <v>7</v>
      </c>
      <c r="T800" s="14">
        <v>44941</v>
      </c>
      <c r="U800">
        <v>37</v>
      </c>
      <c r="V800" t="s">
        <v>169</v>
      </c>
      <c r="W800">
        <v>2</v>
      </c>
      <c r="X800" t="s">
        <v>46</v>
      </c>
    </row>
    <row r="801" spans="1:24" x14ac:dyDescent="0.35">
      <c r="A801" t="s">
        <v>1546</v>
      </c>
      <c r="B801" t="s">
        <v>140</v>
      </c>
      <c r="C801" t="s">
        <v>281</v>
      </c>
      <c r="D801">
        <v>40</v>
      </c>
      <c r="E801">
        <v>1984</v>
      </c>
      <c r="F801" t="s">
        <v>50</v>
      </c>
      <c r="G801" t="s">
        <v>38</v>
      </c>
      <c r="H801" t="s">
        <v>64</v>
      </c>
      <c r="I801" t="s">
        <v>29</v>
      </c>
      <c r="J801" s="14">
        <v>43881</v>
      </c>
      <c r="K801" t="s">
        <v>41</v>
      </c>
      <c r="L801">
        <v>0</v>
      </c>
      <c r="N801" t="s">
        <v>54</v>
      </c>
      <c r="O801" t="s">
        <v>44</v>
      </c>
      <c r="Q801">
        <v>6</v>
      </c>
      <c r="R801">
        <v>9</v>
      </c>
      <c r="S801">
        <v>17</v>
      </c>
      <c r="W801">
        <v>2</v>
      </c>
      <c r="X801" t="s">
        <v>46</v>
      </c>
    </row>
    <row r="802" spans="1:24" x14ac:dyDescent="0.35">
      <c r="A802" t="s">
        <v>1547</v>
      </c>
      <c r="B802" t="s">
        <v>131</v>
      </c>
      <c r="C802" t="s">
        <v>110</v>
      </c>
      <c r="D802">
        <v>25</v>
      </c>
      <c r="E802">
        <v>1999</v>
      </c>
      <c r="F802">
        <v>70000</v>
      </c>
      <c r="G802" t="s">
        <v>27</v>
      </c>
      <c r="H802" t="s">
        <v>51</v>
      </c>
      <c r="I802" t="s">
        <v>94</v>
      </c>
      <c r="J802" s="14">
        <v>43549</v>
      </c>
      <c r="K802" t="s">
        <v>52</v>
      </c>
      <c r="L802">
        <v>73</v>
      </c>
      <c r="M802" t="s">
        <v>1548</v>
      </c>
      <c r="O802" t="s">
        <v>32</v>
      </c>
      <c r="Q802">
        <v>7</v>
      </c>
      <c r="R802">
        <v>3</v>
      </c>
      <c r="S802">
        <v>3</v>
      </c>
      <c r="V802" t="s">
        <v>46</v>
      </c>
      <c r="W802">
        <v>1</v>
      </c>
      <c r="X802" t="s">
        <v>34</v>
      </c>
    </row>
    <row r="803" spans="1:24" x14ac:dyDescent="0.35">
      <c r="A803" t="s">
        <v>1549</v>
      </c>
      <c r="B803" t="s">
        <v>25</v>
      </c>
      <c r="C803" t="s">
        <v>462</v>
      </c>
      <c r="D803">
        <v>40</v>
      </c>
      <c r="E803">
        <v>1984</v>
      </c>
      <c r="F803">
        <v>70000</v>
      </c>
      <c r="G803" t="s">
        <v>27</v>
      </c>
      <c r="H803" t="s">
        <v>51</v>
      </c>
      <c r="I803" t="s">
        <v>77</v>
      </c>
      <c r="J803" s="14">
        <v>43195</v>
      </c>
      <c r="K803" t="s">
        <v>41</v>
      </c>
      <c r="L803">
        <v>9</v>
      </c>
      <c r="M803" t="s">
        <v>1550</v>
      </c>
      <c r="N803" t="s">
        <v>61</v>
      </c>
      <c r="O803" t="s">
        <v>66</v>
      </c>
      <c r="Q803">
        <v>7</v>
      </c>
      <c r="R803" t="s">
        <v>79</v>
      </c>
      <c r="U803">
        <v>59</v>
      </c>
      <c r="V803" t="s">
        <v>46</v>
      </c>
      <c r="W803">
        <v>4</v>
      </c>
      <c r="X803" t="s">
        <v>34</v>
      </c>
    </row>
    <row r="804" spans="1:24" x14ac:dyDescent="0.35">
      <c r="A804" t="s">
        <v>1551</v>
      </c>
      <c r="B804" t="s">
        <v>107</v>
      </c>
      <c r="C804" t="s">
        <v>355</v>
      </c>
      <c r="D804">
        <v>35</v>
      </c>
      <c r="E804">
        <v>1989</v>
      </c>
      <c r="F804">
        <v>70000</v>
      </c>
      <c r="G804" t="s">
        <v>38</v>
      </c>
      <c r="H804" t="s">
        <v>28</v>
      </c>
      <c r="I804" t="s">
        <v>89</v>
      </c>
      <c r="J804" s="14">
        <v>43800</v>
      </c>
      <c r="K804" t="s">
        <v>52</v>
      </c>
      <c r="L804">
        <v>71</v>
      </c>
      <c r="M804" t="s">
        <v>356</v>
      </c>
      <c r="O804" t="s">
        <v>72</v>
      </c>
      <c r="Q804">
        <v>4</v>
      </c>
      <c r="R804">
        <v>15</v>
      </c>
      <c r="U804">
        <v>54</v>
      </c>
      <c r="V804" t="s">
        <v>46</v>
      </c>
      <c r="W804">
        <v>4</v>
      </c>
      <c r="X804" t="s">
        <v>34</v>
      </c>
    </row>
    <row r="805" spans="1:24" x14ac:dyDescent="0.35">
      <c r="A805" t="s">
        <v>1552</v>
      </c>
      <c r="B805" t="s">
        <v>68</v>
      </c>
      <c r="C805" t="s">
        <v>256</v>
      </c>
      <c r="D805" t="s">
        <v>88</v>
      </c>
      <c r="E805">
        <v>1994</v>
      </c>
      <c r="F805">
        <v>65000</v>
      </c>
      <c r="G805" t="s">
        <v>27</v>
      </c>
      <c r="H805" t="s">
        <v>64</v>
      </c>
      <c r="I805" t="s">
        <v>29</v>
      </c>
      <c r="J805" s="14">
        <v>43195</v>
      </c>
      <c r="K805" t="s">
        <v>78</v>
      </c>
      <c r="L805">
        <v>81</v>
      </c>
      <c r="M805" t="s">
        <v>257</v>
      </c>
      <c r="N805" t="s">
        <v>104</v>
      </c>
      <c r="O805" t="s">
        <v>66</v>
      </c>
      <c r="Q805">
        <v>1</v>
      </c>
      <c r="T805" s="14">
        <v>44990</v>
      </c>
      <c r="U805">
        <v>20</v>
      </c>
      <c r="V805" t="s">
        <v>33</v>
      </c>
      <c r="W805">
        <v>1</v>
      </c>
      <c r="X805" t="s">
        <v>46</v>
      </c>
    </row>
    <row r="806" spans="1:24" x14ac:dyDescent="0.35">
      <c r="A806" t="s">
        <v>1553</v>
      </c>
      <c r="B806" t="s">
        <v>140</v>
      </c>
      <c r="C806" t="s">
        <v>436</v>
      </c>
      <c r="D806">
        <v>35</v>
      </c>
      <c r="E806">
        <v>1989</v>
      </c>
      <c r="F806">
        <v>50000</v>
      </c>
      <c r="G806" t="s">
        <v>27</v>
      </c>
      <c r="H806" t="s">
        <v>70</v>
      </c>
      <c r="I806" t="s">
        <v>40</v>
      </c>
      <c r="J806" s="14">
        <v>43881</v>
      </c>
      <c r="K806" t="s">
        <v>59</v>
      </c>
      <c r="L806">
        <v>91</v>
      </c>
      <c r="M806" t="s">
        <v>437</v>
      </c>
      <c r="N806" t="s">
        <v>61</v>
      </c>
      <c r="O806" t="s">
        <v>66</v>
      </c>
      <c r="P806" t="s">
        <v>1128</v>
      </c>
      <c r="Q806">
        <v>2</v>
      </c>
      <c r="T806" s="14">
        <v>45516</v>
      </c>
      <c r="U806">
        <v>13</v>
      </c>
      <c r="V806" t="s">
        <v>46</v>
      </c>
      <c r="W806">
        <v>5</v>
      </c>
      <c r="X806" t="s">
        <v>34</v>
      </c>
    </row>
    <row r="807" spans="1:24" x14ac:dyDescent="0.35">
      <c r="A807" t="s">
        <v>1554</v>
      </c>
      <c r="B807" t="s">
        <v>131</v>
      </c>
      <c r="C807" t="s">
        <v>161</v>
      </c>
      <c r="D807">
        <v>50</v>
      </c>
      <c r="E807">
        <v>1974</v>
      </c>
      <c r="F807">
        <v>70000</v>
      </c>
      <c r="G807" t="s">
        <v>38</v>
      </c>
      <c r="H807" t="s">
        <v>39</v>
      </c>
      <c r="I807" t="s">
        <v>94</v>
      </c>
      <c r="J807" s="14">
        <v>43800</v>
      </c>
      <c r="K807" t="s">
        <v>41</v>
      </c>
      <c r="L807">
        <v>11</v>
      </c>
      <c r="M807" t="s">
        <v>1555</v>
      </c>
      <c r="O807" t="s">
        <v>66</v>
      </c>
      <c r="Q807">
        <v>2</v>
      </c>
      <c r="R807">
        <v>15</v>
      </c>
      <c r="S807">
        <v>4</v>
      </c>
      <c r="U807">
        <v>39</v>
      </c>
      <c r="V807" t="s">
        <v>33</v>
      </c>
      <c r="W807">
        <v>5</v>
      </c>
      <c r="X807" t="s">
        <v>34</v>
      </c>
    </row>
    <row r="808" spans="1:24" x14ac:dyDescent="0.35">
      <c r="A808" t="s">
        <v>1556</v>
      </c>
      <c r="B808" t="s">
        <v>36</v>
      </c>
      <c r="C808" t="s">
        <v>219</v>
      </c>
      <c r="E808">
        <v>1984</v>
      </c>
      <c r="F808">
        <v>55000</v>
      </c>
      <c r="G808" t="s">
        <v>27</v>
      </c>
      <c r="H808" t="s">
        <v>64</v>
      </c>
      <c r="I808" t="s">
        <v>89</v>
      </c>
      <c r="J808" s="14">
        <v>43195</v>
      </c>
      <c r="K808" t="s">
        <v>52</v>
      </c>
      <c r="L808">
        <v>75</v>
      </c>
      <c r="M808" t="s">
        <v>220</v>
      </c>
      <c r="N808" t="s">
        <v>43</v>
      </c>
      <c r="O808" t="s">
        <v>100</v>
      </c>
      <c r="Q808">
        <v>5</v>
      </c>
      <c r="S808">
        <v>6</v>
      </c>
      <c r="T808" s="14">
        <v>44470</v>
      </c>
      <c r="V808" t="s">
        <v>73</v>
      </c>
      <c r="W808">
        <v>4</v>
      </c>
      <c r="X808" t="s">
        <v>34</v>
      </c>
    </row>
    <row r="809" spans="1:24" x14ac:dyDescent="0.35">
      <c r="A809" t="s">
        <v>1557</v>
      </c>
      <c r="B809" t="s">
        <v>140</v>
      </c>
      <c r="C809" t="s">
        <v>524</v>
      </c>
      <c r="D809">
        <v>40</v>
      </c>
      <c r="E809">
        <v>1984</v>
      </c>
      <c r="F809">
        <v>70000</v>
      </c>
      <c r="G809" t="s">
        <v>38</v>
      </c>
      <c r="H809" t="s">
        <v>145</v>
      </c>
      <c r="I809" t="s">
        <v>77</v>
      </c>
      <c r="J809" s="14">
        <v>43195</v>
      </c>
      <c r="K809" t="s">
        <v>30</v>
      </c>
      <c r="L809">
        <v>64</v>
      </c>
      <c r="M809" t="s">
        <v>1558</v>
      </c>
      <c r="O809" t="s">
        <v>44</v>
      </c>
      <c r="P809" t="s">
        <v>766</v>
      </c>
      <c r="Q809">
        <v>6</v>
      </c>
      <c r="T809" s="14">
        <v>45516</v>
      </c>
      <c r="V809" t="s">
        <v>73</v>
      </c>
      <c r="W809">
        <v>2</v>
      </c>
      <c r="X809" t="s">
        <v>46</v>
      </c>
    </row>
    <row r="810" spans="1:24" x14ac:dyDescent="0.35">
      <c r="A810" t="s">
        <v>1559</v>
      </c>
      <c r="B810" t="s">
        <v>36</v>
      </c>
      <c r="C810" t="s">
        <v>253</v>
      </c>
      <c r="D810">
        <v>40</v>
      </c>
      <c r="E810">
        <v>1984</v>
      </c>
      <c r="F810">
        <v>65000</v>
      </c>
      <c r="G810" t="s">
        <v>38</v>
      </c>
      <c r="H810" t="s">
        <v>64</v>
      </c>
      <c r="I810" t="s">
        <v>29</v>
      </c>
      <c r="J810" s="14">
        <v>43800</v>
      </c>
      <c r="K810" t="s">
        <v>78</v>
      </c>
      <c r="L810">
        <v>82</v>
      </c>
      <c r="M810" t="s">
        <v>1560</v>
      </c>
      <c r="N810" t="s">
        <v>104</v>
      </c>
      <c r="O810" t="s">
        <v>72</v>
      </c>
      <c r="Q810">
        <v>6</v>
      </c>
      <c r="R810" t="s">
        <v>79</v>
      </c>
      <c r="T810" t="s">
        <v>79</v>
      </c>
      <c r="U810">
        <v>77</v>
      </c>
      <c r="V810" t="s">
        <v>73</v>
      </c>
      <c r="W810">
        <v>2</v>
      </c>
      <c r="X810" t="s">
        <v>46</v>
      </c>
    </row>
    <row r="811" spans="1:24" x14ac:dyDescent="0.35">
      <c r="A811" t="s">
        <v>1561</v>
      </c>
      <c r="B811" t="s">
        <v>68</v>
      </c>
      <c r="C811" t="s">
        <v>229</v>
      </c>
      <c r="D811">
        <v>40</v>
      </c>
      <c r="E811">
        <v>1984</v>
      </c>
      <c r="F811">
        <v>60800</v>
      </c>
      <c r="G811" t="s">
        <v>27</v>
      </c>
      <c r="H811" t="s">
        <v>64</v>
      </c>
      <c r="I811" t="s">
        <v>94</v>
      </c>
      <c r="J811" s="14">
        <v>43881</v>
      </c>
      <c r="K811" t="s">
        <v>59</v>
      </c>
      <c r="L811">
        <v>99</v>
      </c>
      <c r="M811" t="s">
        <v>1562</v>
      </c>
      <c r="N811" t="s">
        <v>54</v>
      </c>
      <c r="O811" t="s">
        <v>72</v>
      </c>
      <c r="Q811">
        <v>5</v>
      </c>
      <c r="S811">
        <v>13</v>
      </c>
      <c r="U811">
        <v>41</v>
      </c>
      <c r="V811" t="s">
        <v>73</v>
      </c>
      <c r="W811">
        <v>2</v>
      </c>
      <c r="X811" t="s">
        <v>46</v>
      </c>
    </row>
    <row r="812" spans="1:24" x14ac:dyDescent="0.35">
      <c r="A812" t="s">
        <v>1563</v>
      </c>
      <c r="B812" t="s">
        <v>75</v>
      </c>
      <c r="C812" t="s">
        <v>213</v>
      </c>
      <c r="D812">
        <v>35</v>
      </c>
      <c r="E812">
        <v>1989</v>
      </c>
      <c r="F812">
        <v>55000</v>
      </c>
      <c r="G812" t="s">
        <v>27</v>
      </c>
      <c r="H812" t="s">
        <v>70</v>
      </c>
      <c r="I812" t="s">
        <v>29</v>
      </c>
      <c r="J812" s="14">
        <v>43195</v>
      </c>
      <c r="K812" t="s">
        <v>78</v>
      </c>
      <c r="L812">
        <v>85</v>
      </c>
      <c r="M812" t="s">
        <v>214</v>
      </c>
      <c r="N812" t="s">
        <v>54</v>
      </c>
      <c r="O812" t="s">
        <v>72</v>
      </c>
      <c r="P812" t="s">
        <v>1564</v>
      </c>
      <c r="Q812">
        <v>4</v>
      </c>
      <c r="S812">
        <v>0</v>
      </c>
      <c r="V812" t="s">
        <v>46</v>
      </c>
      <c r="W812">
        <v>5</v>
      </c>
      <c r="X812" t="s">
        <v>34</v>
      </c>
    </row>
    <row r="813" spans="1:24" x14ac:dyDescent="0.35">
      <c r="A813" t="s">
        <v>1565</v>
      </c>
      <c r="B813" t="s">
        <v>140</v>
      </c>
      <c r="C813" t="s">
        <v>436</v>
      </c>
      <c r="E813">
        <v>1973</v>
      </c>
      <c r="F813">
        <v>65000</v>
      </c>
      <c r="G813" t="s">
        <v>38</v>
      </c>
      <c r="H813" t="s">
        <v>145</v>
      </c>
      <c r="I813" t="s">
        <v>40</v>
      </c>
      <c r="J813" s="14">
        <v>43800</v>
      </c>
      <c r="K813" t="s">
        <v>30</v>
      </c>
      <c r="L813">
        <v>62</v>
      </c>
      <c r="M813" t="s">
        <v>437</v>
      </c>
      <c r="N813" t="s">
        <v>54</v>
      </c>
      <c r="O813" t="s">
        <v>112</v>
      </c>
      <c r="P813" t="s">
        <v>1566</v>
      </c>
      <c r="Q813">
        <v>4</v>
      </c>
      <c r="R813">
        <v>1</v>
      </c>
      <c r="S813">
        <v>20</v>
      </c>
      <c r="V813" t="s">
        <v>73</v>
      </c>
      <c r="W813">
        <v>3</v>
      </c>
      <c r="X813" t="s">
        <v>34</v>
      </c>
    </row>
    <row r="814" spans="1:24" x14ac:dyDescent="0.35">
      <c r="A814" t="s">
        <v>1567</v>
      </c>
      <c r="B814" t="s">
        <v>114</v>
      </c>
      <c r="C814" t="s">
        <v>367</v>
      </c>
      <c r="D814" t="s">
        <v>88</v>
      </c>
      <c r="E814">
        <v>1994</v>
      </c>
      <c r="F814">
        <v>61300</v>
      </c>
      <c r="G814" t="s">
        <v>27</v>
      </c>
      <c r="H814" t="s">
        <v>39</v>
      </c>
      <c r="I814" t="s">
        <v>77</v>
      </c>
      <c r="J814" s="14">
        <v>43881</v>
      </c>
      <c r="K814" t="s">
        <v>59</v>
      </c>
      <c r="L814">
        <v>91</v>
      </c>
      <c r="M814" t="s">
        <v>1568</v>
      </c>
      <c r="N814" t="s">
        <v>43</v>
      </c>
      <c r="O814" t="s">
        <v>32</v>
      </c>
      <c r="P814" t="s">
        <v>1569</v>
      </c>
      <c r="Q814">
        <v>8</v>
      </c>
      <c r="R814">
        <v>7</v>
      </c>
      <c r="S814">
        <v>8</v>
      </c>
      <c r="U814">
        <v>35</v>
      </c>
      <c r="W814">
        <v>5</v>
      </c>
      <c r="X814" t="s">
        <v>34</v>
      </c>
    </row>
    <row r="815" spans="1:24" x14ac:dyDescent="0.35">
      <c r="A815" t="s">
        <v>1570</v>
      </c>
      <c r="B815" t="s">
        <v>36</v>
      </c>
      <c r="C815" t="s">
        <v>367</v>
      </c>
      <c r="D815">
        <v>50</v>
      </c>
      <c r="E815">
        <v>1974</v>
      </c>
      <c r="F815">
        <v>55000</v>
      </c>
      <c r="G815" t="s">
        <v>27</v>
      </c>
      <c r="H815" t="s">
        <v>122</v>
      </c>
      <c r="I815" t="s">
        <v>29</v>
      </c>
      <c r="J815" s="14">
        <v>43800</v>
      </c>
      <c r="K815" t="s">
        <v>30</v>
      </c>
      <c r="L815">
        <v>67</v>
      </c>
      <c r="M815" t="s">
        <v>1571</v>
      </c>
      <c r="N815" t="s">
        <v>104</v>
      </c>
      <c r="O815" t="s">
        <v>72</v>
      </c>
      <c r="P815" t="s">
        <v>1572</v>
      </c>
      <c r="Q815">
        <v>7</v>
      </c>
      <c r="T815" s="14">
        <v>44732</v>
      </c>
      <c r="V815" t="s">
        <v>33</v>
      </c>
      <c r="W815">
        <v>2</v>
      </c>
      <c r="X815" t="s">
        <v>46</v>
      </c>
    </row>
    <row r="816" spans="1:24" x14ac:dyDescent="0.35">
      <c r="A816" t="s">
        <v>1573</v>
      </c>
      <c r="B816" t="s">
        <v>107</v>
      </c>
      <c r="C816" t="s">
        <v>244</v>
      </c>
      <c r="D816" t="s">
        <v>88</v>
      </c>
      <c r="E816">
        <v>1994</v>
      </c>
      <c r="F816" t="s">
        <v>50</v>
      </c>
      <c r="G816" t="s">
        <v>38</v>
      </c>
      <c r="H816" t="s">
        <v>28</v>
      </c>
      <c r="I816" t="s">
        <v>89</v>
      </c>
      <c r="J816" s="14">
        <v>43800</v>
      </c>
      <c r="K816" t="s">
        <v>78</v>
      </c>
      <c r="L816">
        <v>83</v>
      </c>
      <c r="M816" t="s">
        <v>245</v>
      </c>
      <c r="N816" t="s">
        <v>61</v>
      </c>
      <c r="O816" t="s">
        <v>32</v>
      </c>
      <c r="Q816">
        <v>1</v>
      </c>
      <c r="S816">
        <v>8</v>
      </c>
      <c r="T816" s="14">
        <v>44732</v>
      </c>
      <c r="V816" t="s">
        <v>46</v>
      </c>
      <c r="W816">
        <v>3</v>
      </c>
      <c r="X816" t="s">
        <v>34</v>
      </c>
    </row>
    <row r="817" spans="1:24" x14ac:dyDescent="0.35">
      <c r="A817" t="s">
        <v>1574</v>
      </c>
      <c r="B817" t="s">
        <v>114</v>
      </c>
      <c r="C817" t="s">
        <v>115</v>
      </c>
      <c r="D817">
        <v>35</v>
      </c>
      <c r="E817">
        <v>1989</v>
      </c>
      <c r="F817">
        <v>50000</v>
      </c>
      <c r="G817" t="s">
        <v>27</v>
      </c>
      <c r="H817" t="s">
        <v>93</v>
      </c>
      <c r="I817" t="s">
        <v>77</v>
      </c>
      <c r="J817" s="14">
        <v>43195</v>
      </c>
      <c r="K817" t="s">
        <v>52</v>
      </c>
      <c r="L817">
        <v>70</v>
      </c>
      <c r="M817" t="s">
        <v>182</v>
      </c>
      <c r="N817" t="s">
        <v>54</v>
      </c>
      <c r="O817" t="s">
        <v>72</v>
      </c>
      <c r="Q817">
        <v>5</v>
      </c>
      <c r="R817" t="s">
        <v>79</v>
      </c>
      <c r="V817" t="s">
        <v>34</v>
      </c>
      <c r="W817">
        <v>1</v>
      </c>
      <c r="X817" t="s">
        <v>46</v>
      </c>
    </row>
    <row r="818" spans="1:24" x14ac:dyDescent="0.35">
      <c r="A818" t="s">
        <v>1575</v>
      </c>
      <c r="B818" t="s">
        <v>48</v>
      </c>
      <c r="C818" t="s">
        <v>305</v>
      </c>
      <c r="D818">
        <v>50</v>
      </c>
      <c r="E818">
        <v>1974</v>
      </c>
      <c r="F818">
        <v>50000</v>
      </c>
      <c r="G818" t="s">
        <v>27</v>
      </c>
      <c r="H818" t="s">
        <v>64</v>
      </c>
      <c r="I818" t="s">
        <v>89</v>
      </c>
      <c r="J818" s="14">
        <v>43881</v>
      </c>
      <c r="K818" t="s">
        <v>78</v>
      </c>
      <c r="L818">
        <v>86</v>
      </c>
      <c r="M818" t="s">
        <v>1576</v>
      </c>
      <c r="N818" t="s">
        <v>104</v>
      </c>
      <c r="O818" t="s">
        <v>44</v>
      </c>
      <c r="Q818">
        <v>3</v>
      </c>
      <c r="S818">
        <v>13</v>
      </c>
      <c r="T818" s="14">
        <v>44941</v>
      </c>
      <c r="U818">
        <v>7</v>
      </c>
      <c r="V818" t="s">
        <v>34</v>
      </c>
      <c r="W818">
        <v>2</v>
      </c>
      <c r="X818" t="s">
        <v>46</v>
      </c>
    </row>
    <row r="819" spans="1:24" x14ac:dyDescent="0.35">
      <c r="A819" t="s">
        <v>1577</v>
      </c>
      <c r="B819" t="s">
        <v>48</v>
      </c>
      <c r="C819" t="s">
        <v>499</v>
      </c>
      <c r="D819">
        <v>40</v>
      </c>
      <c r="E819">
        <v>1984</v>
      </c>
      <c r="F819">
        <v>65000</v>
      </c>
      <c r="G819" t="s">
        <v>38</v>
      </c>
      <c r="H819" t="s">
        <v>58</v>
      </c>
      <c r="I819" t="s">
        <v>29</v>
      </c>
      <c r="J819" s="14">
        <v>43195</v>
      </c>
      <c r="K819" t="s">
        <v>78</v>
      </c>
      <c r="L819">
        <v>85</v>
      </c>
      <c r="M819" t="s">
        <v>1578</v>
      </c>
      <c r="O819" t="s">
        <v>112</v>
      </c>
      <c r="Q819">
        <v>7</v>
      </c>
      <c r="R819" t="s">
        <v>79</v>
      </c>
      <c r="T819" s="14">
        <v>44470</v>
      </c>
      <c r="U819">
        <v>39</v>
      </c>
      <c r="V819" t="s">
        <v>73</v>
      </c>
      <c r="W819">
        <v>4</v>
      </c>
      <c r="X819" t="s">
        <v>46</v>
      </c>
    </row>
    <row r="820" spans="1:24" x14ac:dyDescent="0.35">
      <c r="A820" t="s">
        <v>1579</v>
      </c>
      <c r="B820" t="s">
        <v>131</v>
      </c>
      <c r="C820" t="s">
        <v>277</v>
      </c>
      <c r="D820">
        <v>25</v>
      </c>
      <c r="E820">
        <v>1999</v>
      </c>
      <c r="F820">
        <v>61300</v>
      </c>
      <c r="G820" t="s">
        <v>38</v>
      </c>
      <c r="H820" t="s">
        <v>64</v>
      </c>
      <c r="I820" t="s">
        <v>77</v>
      </c>
      <c r="J820" s="14">
        <v>43845</v>
      </c>
      <c r="K820" t="s">
        <v>78</v>
      </c>
      <c r="L820">
        <v>89</v>
      </c>
      <c r="M820" t="s">
        <v>1580</v>
      </c>
      <c r="N820" t="s">
        <v>43</v>
      </c>
      <c r="O820" t="s">
        <v>112</v>
      </c>
      <c r="Q820">
        <v>2</v>
      </c>
      <c r="V820" t="s">
        <v>169</v>
      </c>
      <c r="W820">
        <v>4</v>
      </c>
      <c r="X820" t="s">
        <v>46</v>
      </c>
    </row>
    <row r="821" spans="1:24" x14ac:dyDescent="0.35">
      <c r="A821" t="s">
        <v>1581</v>
      </c>
      <c r="B821" t="s">
        <v>75</v>
      </c>
      <c r="C821" t="s">
        <v>271</v>
      </c>
      <c r="D821">
        <v>35</v>
      </c>
      <c r="E821">
        <v>1989</v>
      </c>
      <c r="F821">
        <v>50000</v>
      </c>
      <c r="G821" t="s">
        <v>27</v>
      </c>
      <c r="H821" t="s">
        <v>64</v>
      </c>
      <c r="I821" t="s">
        <v>89</v>
      </c>
      <c r="J821" s="14">
        <v>43845</v>
      </c>
      <c r="K821" t="s">
        <v>41</v>
      </c>
      <c r="L821">
        <v>20</v>
      </c>
      <c r="M821" t="s">
        <v>1582</v>
      </c>
      <c r="N821" t="s">
        <v>104</v>
      </c>
      <c r="O821" t="s">
        <v>66</v>
      </c>
      <c r="Q821">
        <v>2</v>
      </c>
      <c r="R821" t="s">
        <v>79</v>
      </c>
      <c r="V821" t="s">
        <v>34</v>
      </c>
      <c r="W821">
        <v>4</v>
      </c>
      <c r="X821" t="s">
        <v>34</v>
      </c>
    </row>
    <row r="822" spans="1:24" x14ac:dyDescent="0.35">
      <c r="A822" t="s">
        <v>1583</v>
      </c>
      <c r="B822" t="s">
        <v>68</v>
      </c>
      <c r="C822" t="s">
        <v>250</v>
      </c>
      <c r="D822">
        <v>35</v>
      </c>
      <c r="E822">
        <v>1989</v>
      </c>
      <c r="F822">
        <v>63000</v>
      </c>
      <c r="G822" t="s">
        <v>27</v>
      </c>
      <c r="H822" t="s">
        <v>145</v>
      </c>
      <c r="I822" t="s">
        <v>40</v>
      </c>
      <c r="J822" s="14">
        <v>43881</v>
      </c>
      <c r="K822" t="s">
        <v>30</v>
      </c>
      <c r="L822">
        <v>65</v>
      </c>
      <c r="M822" t="s">
        <v>251</v>
      </c>
      <c r="N822" t="s">
        <v>104</v>
      </c>
      <c r="O822" t="s">
        <v>100</v>
      </c>
      <c r="Q822">
        <v>5</v>
      </c>
      <c r="R822">
        <v>5</v>
      </c>
      <c r="V822" t="s">
        <v>34</v>
      </c>
      <c r="W822">
        <v>4</v>
      </c>
      <c r="X822" t="s">
        <v>34</v>
      </c>
    </row>
    <row r="823" spans="1:24" x14ac:dyDescent="0.35">
      <c r="A823" t="s">
        <v>1584</v>
      </c>
      <c r="B823" t="s">
        <v>140</v>
      </c>
      <c r="C823" t="s">
        <v>620</v>
      </c>
      <c r="E823">
        <v>1981</v>
      </c>
      <c r="F823">
        <v>63000</v>
      </c>
      <c r="G823" t="s">
        <v>38</v>
      </c>
      <c r="H823" t="s">
        <v>145</v>
      </c>
      <c r="I823" t="s">
        <v>40</v>
      </c>
      <c r="J823" s="14">
        <v>43800</v>
      </c>
      <c r="K823" t="s">
        <v>30</v>
      </c>
      <c r="L823">
        <v>68</v>
      </c>
      <c r="M823" t="s">
        <v>621</v>
      </c>
      <c r="N823" t="s">
        <v>61</v>
      </c>
      <c r="O823" t="s">
        <v>112</v>
      </c>
      <c r="P823" t="s">
        <v>252</v>
      </c>
      <c r="Q823">
        <v>6</v>
      </c>
      <c r="R823" t="s">
        <v>79</v>
      </c>
      <c r="T823" s="14">
        <v>44941</v>
      </c>
      <c r="V823" t="s">
        <v>34</v>
      </c>
      <c r="W823">
        <v>2</v>
      </c>
      <c r="X823" t="s">
        <v>34</v>
      </c>
    </row>
    <row r="824" spans="1:24" x14ac:dyDescent="0.35">
      <c r="A824" t="s">
        <v>1585</v>
      </c>
      <c r="B824" t="s">
        <v>56</v>
      </c>
      <c r="C824" t="s">
        <v>747</v>
      </c>
      <c r="D824" t="s">
        <v>88</v>
      </c>
      <c r="E824">
        <v>1994</v>
      </c>
      <c r="F824">
        <v>65000</v>
      </c>
      <c r="G824" t="s">
        <v>38</v>
      </c>
      <c r="H824" t="s">
        <v>145</v>
      </c>
      <c r="I824" t="s">
        <v>29</v>
      </c>
      <c r="J824" s="14">
        <v>43195</v>
      </c>
      <c r="K824" t="s">
        <v>30</v>
      </c>
      <c r="L824">
        <v>69</v>
      </c>
      <c r="M824" t="s">
        <v>1586</v>
      </c>
      <c r="N824" t="s">
        <v>104</v>
      </c>
      <c r="O824" t="s">
        <v>112</v>
      </c>
      <c r="Q824">
        <v>2</v>
      </c>
      <c r="T824" s="14">
        <v>45516</v>
      </c>
      <c r="U824">
        <v>57</v>
      </c>
      <c r="W824">
        <v>4</v>
      </c>
      <c r="X824" t="s">
        <v>34</v>
      </c>
    </row>
    <row r="825" spans="1:24" x14ac:dyDescent="0.35">
      <c r="A825" t="s">
        <v>1587</v>
      </c>
      <c r="B825" t="s">
        <v>107</v>
      </c>
      <c r="C825" t="s">
        <v>524</v>
      </c>
      <c r="D825">
        <v>35</v>
      </c>
      <c r="E825">
        <v>1989</v>
      </c>
      <c r="F825">
        <v>65000</v>
      </c>
      <c r="G825" t="s">
        <v>38</v>
      </c>
      <c r="H825" t="s">
        <v>122</v>
      </c>
      <c r="I825" t="s">
        <v>77</v>
      </c>
      <c r="J825" s="14">
        <v>43195</v>
      </c>
      <c r="K825" t="s">
        <v>41</v>
      </c>
      <c r="L825">
        <v>38</v>
      </c>
      <c r="M825" t="s">
        <v>1588</v>
      </c>
      <c r="N825" t="s">
        <v>61</v>
      </c>
      <c r="O825" t="s">
        <v>44</v>
      </c>
      <c r="P825" t="s">
        <v>1589</v>
      </c>
      <c r="Q825">
        <v>5</v>
      </c>
      <c r="U825">
        <v>54</v>
      </c>
      <c r="W825">
        <v>5</v>
      </c>
      <c r="X825" t="s">
        <v>46</v>
      </c>
    </row>
    <row r="826" spans="1:24" x14ac:dyDescent="0.35">
      <c r="A826" t="s">
        <v>1590</v>
      </c>
      <c r="B826" t="s">
        <v>36</v>
      </c>
      <c r="C826" t="s">
        <v>219</v>
      </c>
      <c r="D826">
        <v>35</v>
      </c>
      <c r="E826">
        <v>1989</v>
      </c>
      <c r="F826">
        <v>65000</v>
      </c>
      <c r="G826" t="s">
        <v>38</v>
      </c>
      <c r="H826" t="s">
        <v>64</v>
      </c>
      <c r="I826" t="s">
        <v>94</v>
      </c>
      <c r="J826" s="14">
        <v>43881</v>
      </c>
      <c r="K826" t="s">
        <v>52</v>
      </c>
      <c r="L826">
        <v>70</v>
      </c>
      <c r="M826" t="s">
        <v>220</v>
      </c>
      <c r="N826" t="s">
        <v>43</v>
      </c>
      <c r="O826" t="s">
        <v>72</v>
      </c>
      <c r="Q826">
        <v>5</v>
      </c>
      <c r="R826">
        <v>13</v>
      </c>
      <c r="S826">
        <v>3</v>
      </c>
      <c r="T826" t="s">
        <v>79</v>
      </c>
      <c r="U826">
        <v>31</v>
      </c>
      <c r="W826">
        <v>3</v>
      </c>
      <c r="X826" t="s">
        <v>34</v>
      </c>
    </row>
    <row r="827" spans="1:24" x14ac:dyDescent="0.35">
      <c r="A827" t="s">
        <v>1591</v>
      </c>
      <c r="B827" t="s">
        <v>68</v>
      </c>
      <c r="C827" t="s">
        <v>318</v>
      </c>
      <c r="D827">
        <v>40</v>
      </c>
      <c r="E827">
        <v>1984</v>
      </c>
      <c r="F827">
        <v>50000</v>
      </c>
      <c r="G827" t="s">
        <v>27</v>
      </c>
      <c r="H827" t="s">
        <v>28</v>
      </c>
      <c r="I827" t="s">
        <v>77</v>
      </c>
      <c r="J827" s="14">
        <v>43881</v>
      </c>
      <c r="K827" t="s">
        <v>78</v>
      </c>
      <c r="L827">
        <v>83</v>
      </c>
      <c r="M827" t="s">
        <v>319</v>
      </c>
      <c r="N827" t="s">
        <v>43</v>
      </c>
      <c r="O827" t="s">
        <v>174</v>
      </c>
      <c r="Q827">
        <v>8</v>
      </c>
      <c r="R827" t="s">
        <v>79</v>
      </c>
      <c r="T827" t="s">
        <v>79</v>
      </c>
      <c r="V827" t="s">
        <v>34</v>
      </c>
      <c r="W827">
        <v>1</v>
      </c>
      <c r="X827" t="s">
        <v>34</v>
      </c>
    </row>
    <row r="828" spans="1:24" x14ac:dyDescent="0.35">
      <c r="A828" t="s">
        <v>1592</v>
      </c>
      <c r="B828" t="s">
        <v>114</v>
      </c>
      <c r="C828" t="s">
        <v>662</v>
      </c>
      <c r="D828">
        <v>40</v>
      </c>
      <c r="E828">
        <v>1984</v>
      </c>
      <c r="F828">
        <v>65000</v>
      </c>
      <c r="G828" t="s">
        <v>27</v>
      </c>
      <c r="H828" t="s">
        <v>93</v>
      </c>
      <c r="I828" t="s">
        <v>40</v>
      </c>
      <c r="J828" s="14">
        <v>43845</v>
      </c>
      <c r="K828" t="s">
        <v>52</v>
      </c>
      <c r="L828">
        <v>74</v>
      </c>
      <c r="M828" t="s">
        <v>663</v>
      </c>
      <c r="O828" t="s">
        <v>112</v>
      </c>
      <c r="P828" t="s">
        <v>1593</v>
      </c>
      <c r="Q828">
        <v>7</v>
      </c>
      <c r="S828">
        <v>20</v>
      </c>
      <c r="U828">
        <v>54</v>
      </c>
      <c r="W828">
        <v>1</v>
      </c>
      <c r="X828" t="s">
        <v>46</v>
      </c>
    </row>
    <row r="829" spans="1:24" x14ac:dyDescent="0.35">
      <c r="A829" t="s">
        <v>1594</v>
      </c>
      <c r="B829" t="s">
        <v>48</v>
      </c>
      <c r="C829" t="s">
        <v>259</v>
      </c>
      <c r="D829">
        <v>50</v>
      </c>
      <c r="E829">
        <v>1974</v>
      </c>
      <c r="F829">
        <v>50000</v>
      </c>
      <c r="G829" t="s">
        <v>38</v>
      </c>
      <c r="H829" t="s">
        <v>145</v>
      </c>
      <c r="I829" t="s">
        <v>89</v>
      </c>
      <c r="J829" s="14">
        <v>43549</v>
      </c>
      <c r="K829" t="s">
        <v>41</v>
      </c>
      <c r="L829">
        <v>35</v>
      </c>
      <c r="M829" t="s">
        <v>1595</v>
      </c>
      <c r="N829" t="s">
        <v>61</v>
      </c>
      <c r="O829" t="s">
        <v>112</v>
      </c>
      <c r="P829" t="s">
        <v>102</v>
      </c>
      <c r="Q829">
        <v>8</v>
      </c>
      <c r="U829">
        <v>52</v>
      </c>
      <c r="V829" t="s">
        <v>46</v>
      </c>
      <c r="W829">
        <v>4</v>
      </c>
      <c r="X829" t="s">
        <v>34</v>
      </c>
    </row>
    <row r="830" spans="1:24" x14ac:dyDescent="0.35">
      <c r="A830" t="s">
        <v>1596</v>
      </c>
      <c r="B830" t="s">
        <v>107</v>
      </c>
      <c r="C830" t="s">
        <v>219</v>
      </c>
      <c r="D830">
        <v>25</v>
      </c>
      <c r="E830">
        <v>1999</v>
      </c>
      <c r="F830">
        <v>65000</v>
      </c>
      <c r="G830" t="s">
        <v>27</v>
      </c>
      <c r="H830" t="s">
        <v>145</v>
      </c>
      <c r="I830" t="s">
        <v>94</v>
      </c>
      <c r="J830" s="14">
        <v>43881</v>
      </c>
      <c r="K830" t="s">
        <v>30</v>
      </c>
      <c r="L830">
        <v>65</v>
      </c>
      <c r="M830" t="s">
        <v>1597</v>
      </c>
      <c r="N830" t="s">
        <v>61</v>
      </c>
      <c r="O830" t="s">
        <v>174</v>
      </c>
      <c r="Q830">
        <v>4</v>
      </c>
      <c r="U830">
        <v>26</v>
      </c>
      <c r="V830" t="s">
        <v>73</v>
      </c>
      <c r="W830">
        <v>5</v>
      </c>
      <c r="X830" t="s">
        <v>34</v>
      </c>
    </row>
    <row r="831" spans="1:24" x14ac:dyDescent="0.35">
      <c r="A831" t="s">
        <v>1598</v>
      </c>
      <c r="B831" t="s">
        <v>56</v>
      </c>
      <c r="C831" t="s">
        <v>141</v>
      </c>
      <c r="E831">
        <v>1978</v>
      </c>
      <c r="F831">
        <v>70000</v>
      </c>
      <c r="G831" t="s">
        <v>27</v>
      </c>
      <c r="H831" t="s">
        <v>64</v>
      </c>
      <c r="I831" t="s">
        <v>29</v>
      </c>
      <c r="J831" s="14">
        <v>43549</v>
      </c>
      <c r="K831" t="s">
        <v>78</v>
      </c>
      <c r="L831">
        <v>81</v>
      </c>
      <c r="M831" t="s">
        <v>1599</v>
      </c>
      <c r="N831" t="s">
        <v>54</v>
      </c>
      <c r="O831" t="s">
        <v>100</v>
      </c>
      <c r="P831" t="s">
        <v>481</v>
      </c>
      <c r="Q831">
        <v>6</v>
      </c>
      <c r="T831" s="14">
        <v>44470</v>
      </c>
      <c r="U831">
        <v>50</v>
      </c>
      <c r="V831" t="s">
        <v>73</v>
      </c>
      <c r="W831">
        <v>2</v>
      </c>
      <c r="X831" t="s">
        <v>34</v>
      </c>
    </row>
    <row r="832" spans="1:24" x14ac:dyDescent="0.35">
      <c r="A832" t="s">
        <v>1600</v>
      </c>
      <c r="B832" t="s">
        <v>140</v>
      </c>
      <c r="C832" t="s">
        <v>196</v>
      </c>
      <c r="D832">
        <v>25</v>
      </c>
      <c r="E832">
        <v>1999</v>
      </c>
      <c r="F832">
        <v>60800</v>
      </c>
      <c r="G832" t="s">
        <v>38</v>
      </c>
      <c r="H832" t="s">
        <v>64</v>
      </c>
      <c r="I832" t="s">
        <v>94</v>
      </c>
      <c r="J832" s="14">
        <v>43881</v>
      </c>
      <c r="K832" t="s">
        <v>59</v>
      </c>
      <c r="L832">
        <v>93</v>
      </c>
      <c r="M832" t="s">
        <v>197</v>
      </c>
      <c r="N832" t="s">
        <v>54</v>
      </c>
      <c r="O832" t="s">
        <v>32</v>
      </c>
      <c r="P832" t="s">
        <v>1601</v>
      </c>
      <c r="Q832">
        <v>8</v>
      </c>
      <c r="U832">
        <v>34</v>
      </c>
      <c r="V832" t="s">
        <v>34</v>
      </c>
      <c r="W832">
        <v>3</v>
      </c>
      <c r="X832" t="s">
        <v>34</v>
      </c>
    </row>
    <row r="833" spans="1:24" x14ac:dyDescent="0.35">
      <c r="A833" t="s">
        <v>1602</v>
      </c>
      <c r="B833" t="s">
        <v>131</v>
      </c>
      <c r="C833" t="s">
        <v>179</v>
      </c>
      <c r="D833">
        <v>50</v>
      </c>
      <c r="E833">
        <v>1974</v>
      </c>
      <c r="F833">
        <v>65000</v>
      </c>
      <c r="G833" t="s">
        <v>27</v>
      </c>
      <c r="H833" t="s">
        <v>122</v>
      </c>
      <c r="I833" t="s">
        <v>29</v>
      </c>
      <c r="J833" s="14">
        <v>43800</v>
      </c>
      <c r="K833" t="s">
        <v>59</v>
      </c>
      <c r="L833">
        <v>100</v>
      </c>
      <c r="M833" t="s">
        <v>1603</v>
      </c>
      <c r="O833" t="s">
        <v>44</v>
      </c>
      <c r="Q833">
        <v>8</v>
      </c>
      <c r="R833" t="s">
        <v>79</v>
      </c>
      <c r="V833" t="s">
        <v>73</v>
      </c>
      <c r="W833">
        <v>5</v>
      </c>
      <c r="X833" t="s">
        <v>34</v>
      </c>
    </row>
    <row r="834" spans="1:24" x14ac:dyDescent="0.35">
      <c r="A834" t="s">
        <v>1604</v>
      </c>
      <c r="B834" t="s">
        <v>56</v>
      </c>
      <c r="C834" t="s">
        <v>117</v>
      </c>
      <c r="D834">
        <v>40</v>
      </c>
      <c r="E834">
        <v>1984</v>
      </c>
      <c r="F834">
        <v>55000</v>
      </c>
      <c r="G834" t="s">
        <v>38</v>
      </c>
      <c r="H834" t="s">
        <v>122</v>
      </c>
      <c r="I834" t="s">
        <v>94</v>
      </c>
      <c r="J834" s="14">
        <v>43800</v>
      </c>
      <c r="K834" t="s">
        <v>52</v>
      </c>
      <c r="L834">
        <v>76</v>
      </c>
      <c r="M834" t="s">
        <v>1605</v>
      </c>
      <c r="N834" t="s">
        <v>43</v>
      </c>
      <c r="O834" t="s">
        <v>174</v>
      </c>
      <c r="Q834">
        <v>1</v>
      </c>
      <c r="R834">
        <v>3</v>
      </c>
      <c r="S834">
        <v>9</v>
      </c>
      <c r="U834">
        <v>13</v>
      </c>
      <c r="W834">
        <v>4</v>
      </c>
      <c r="X834" t="s">
        <v>46</v>
      </c>
    </row>
    <row r="835" spans="1:24" x14ac:dyDescent="0.35">
      <c r="A835" t="s">
        <v>1606</v>
      </c>
      <c r="B835" t="s">
        <v>107</v>
      </c>
      <c r="C835" t="s">
        <v>84</v>
      </c>
      <c r="D835" t="s">
        <v>88</v>
      </c>
      <c r="E835">
        <v>1994</v>
      </c>
      <c r="F835">
        <v>61500</v>
      </c>
      <c r="G835" t="s">
        <v>38</v>
      </c>
      <c r="H835" t="s">
        <v>145</v>
      </c>
      <c r="I835" t="s">
        <v>29</v>
      </c>
      <c r="J835" s="14">
        <v>43845</v>
      </c>
      <c r="K835" t="s">
        <v>30</v>
      </c>
      <c r="L835">
        <v>68</v>
      </c>
      <c r="M835" t="s">
        <v>1607</v>
      </c>
      <c r="N835" t="s">
        <v>54</v>
      </c>
      <c r="O835" t="s">
        <v>174</v>
      </c>
      <c r="Q835">
        <v>8</v>
      </c>
      <c r="R835" t="s">
        <v>79</v>
      </c>
      <c r="S835">
        <v>14</v>
      </c>
      <c r="T835" s="14">
        <v>44941</v>
      </c>
      <c r="U835">
        <v>51</v>
      </c>
      <c r="V835" t="s">
        <v>73</v>
      </c>
      <c r="W835">
        <v>1</v>
      </c>
      <c r="X835" t="s">
        <v>46</v>
      </c>
    </row>
    <row r="836" spans="1:24" x14ac:dyDescent="0.35">
      <c r="A836" t="s">
        <v>1608</v>
      </c>
      <c r="B836" t="s">
        <v>56</v>
      </c>
      <c r="C836" t="s">
        <v>1043</v>
      </c>
      <c r="D836">
        <v>40</v>
      </c>
      <c r="E836">
        <v>1984</v>
      </c>
      <c r="F836">
        <v>59500</v>
      </c>
      <c r="G836" t="s">
        <v>38</v>
      </c>
      <c r="H836" t="s">
        <v>64</v>
      </c>
      <c r="I836" t="s">
        <v>29</v>
      </c>
      <c r="J836" s="14">
        <v>43845</v>
      </c>
      <c r="K836" t="s">
        <v>59</v>
      </c>
      <c r="L836">
        <v>92</v>
      </c>
      <c r="M836" t="s">
        <v>1044</v>
      </c>
      <c r="N836" t="s">
        <v>104</v>
      </c>
      <c r="O836" t="s">
        <v>100</v>
      </c>
      <c r="Q836">
        <v>2</v>
      </c>
      <c r="R836" t="s">
        <v>79</v>
      </c>
      <c r="S836">
        <v>17</v>
      </c>
      <c r="T836" s="14">
        <v>45516</v>
      </c>
      <c r="U836">
        <v>62</v>
      </c>
      <c r="V836" t="s">
        <v>169</v>
      </c>
      <c r="W836">
        <v>5</v>
      </c>
      <c r="X836" t="s">
        <v>34</v>
      </c>
    </row>
    <row r="837" spans="1:24" x14ac:dyDescent="0.35">
      <c r="A837" t="s">
        <v>1609</v>
      </c>
      <c r="B837" t="s">
        <v>107</v>
      </c>
      <c r="C837" t="s">
        <v>777</v>
      </c>
      <c r="E837">
        <v>1985</v>
      </c>
      <c r="F837">
        <v>65000</v>
      </c>
      <c r="G837" t="s">
        <v>38</v>
      </c>
      <c r="H837" t="s">
        <v>28</v>
      </c>
      <c r="I837" t="s">
        <v>94</v>
      </c>
      <c r="J837" s="14">
        <v>43549</v>
      </c>
      <c r="K837" t="s">
        <v>52</v>
      </c>
      <c r="L837">
        <v>74</v>
      </c>
      <c r="M837" t="s">
        <v>778</v>
      </c>
      <c r="N837" t="s">
        <v>43</v>
      </c>
      <c r="O837" t="s">
        <v>112</v>
      </c>
      <c r="Q837">
        <v>5</v>
      </c>
      <c r="T837" t="s">
        <v>79</v>
      </c>
      <c r="V837" t="s">
        <v>34</v>
      </c>
      <c r="W837">
        <v>3</v>
      </c>
      <c r="X837" t="s">
        <v>34</v>
      </c>
    </row>
    <row r="838" spans="1:24" x14ac:dyDescent="0.35">
      <c r="A838" t="s">
        <v>1610</v>
      </c>
      <c r="B838" t="s">
        <v>107</v>
      </c>
      <c r="C838" t="s">
        <v>465</v>
      </c>
      <c r="D838">
        <v>40</v>
      </c>
      <c r="E838">
        <v>1984</v>
      </c>
      <c r="F838" t="s">
        <v>50</v>
      </c>
      <c r="G838" t="s">
        <v>27</v>
      </c>
      <c r="H838" t="s">
        <v>70</v>
      </c>
      <c r="I838" t="s">
        <v>94</v>
      </c>
      <c r="J838" s="14">
        <v>43881</v>
      </c>
      <c r="K838" t="s">
        <v>41</v>
      </c>
      <c r="L838">
        <v>3</v>
      </c>
      <c r="M838" t="s">
        <v>1611</v>
      </c>
      <c r="N838" t="s">
        <v>104</v>
      </c>
      <c r="O838" t="s">
        <v>112</v>
      </c>
      <c r="Q838">
        <v>2</v>
      </c>
      <c r="R838">
        <v>4</v>
      </c>
      <c r="T838" t="s">
        <v>79</v>
      </c>
      <c r="V838" t="s">
        <v>46</v>
      </c>
      <c r="W838">
        <v>1</v>
      </c>
      <c r="X838" t="s">
        <v>34</v>
      </c>
    </row>
    <row r="839" spans="1:24" x14ac:dyDescent="0.35">
      <c r="A839" t="s">
        <v>1612</v>
      </c>
      <c r="B839" t="s">
        <v>25</v>
      </c>
      <c r="C839" t="s">
        <v>158</v>
      </c>
      <c r="E839">
        <v>1978</v>
      </c>
      <c r="F839">
        <v>65000</v>
      </c>
      <c r="G839" t="s">
        <v>38</v>
      </c>
      <c r="H839" t="s">
        <v>39</v>
      </c>
      <c r="I839" t="s">
        <v>29</v>
      </c>
      <c r="J839" s="14">
        <v>43195</v>
      </c>
      <c r="K839" t="s">
        <v>52</v>
      </c>
      <c r="L839">
        <v>71</v>
      </c>
      <c r="N839" t="s">
        <v>61</v>
      </c>
      <c r="O839" t="s">
        <v>44</v>
      </c>
      <c r="P839" t="s">
        <v>975</v>
      </c>
      <c r="Q839">
        <v>7</v>
      </c>
      <c r="S839">
        <v>9</v>
      </c>
      <c r="T839" s="14">
        <v>44732</v>
      </c>
      <c r="V839" t="s">
        <v>73</v>
      </c>
      <c r="W839">
        <v>4</v>
      </c>
      <c r="X839" t="s">
        <v>34</v>
      </c>
    </row>
    <row r="840" spans="1:24" x14ac:dyDescent="0.35">
      <c r="A840" t="s">
        <v>1613</v>
      </c>
      <c r="B840" t="s">
        <v>36</v>
      </c>
      <c r="C840" t="s">
        <v>318</v>
      </c>
      <c r="E840">
        <v>1965</v>
      </c>
      <c r="F840">
        <v>60300</v>
      </c>
      <c r="G840" t="s">
        <v>38</v>
      </c>
      <c r="H840" t="s">
        <v>64</v>
      </c>
      <c r="I840" t="s">
        <v>40</v>
      </c>
      <c r="J840" s="14">
        <v>43845</v>
      </c>
      <c r="K840" t="s">
        <v>52</v>
      </c>
      <c r="L840">
        <v>79</v>
      </c>
      <c r="M840" t="s">
        <v>419</v>
      </c>
      <c r="N840" t="s">
        <v>43</v>
      </c>
      <c r="O840" t="s">
        <v>66</v>
      </c>
      <c r="P840" t="s">
        <v>109</v>
      </c>
      <c r="Q840">
        <v>4</v>
      </c>
      <c r="R840" t="s">
        <v>79</v>
      </c>
      <c r="S840">
        <v>19</v>
      </c>
      <c r="V840" t="s">
        <v>46</v>
      </c>
      <c r="W840">
        <v>3</v>
      </c>
      <c r="X840" t="s">
        <v>34</v>
      </c>
    </row>
    <row r="841" spans="1:24" x14ac:dyDescent="0.35">
      <c r="A841" t="s">
        <v>1614</v>
      </c>
      <c r="B841" t="s">
        <v>48</v>
      </c>
      <c r="C841" t="s">
        <v>262</v>
      </c>
      <c r="E841">
        <v>1985</v>
      </c>
      <c r="F841">
        <v>55000</v>
      </c>
      <c r="G841" t="s">
        <v>27</v>
      </c>
      <c r="H841" t="s">
        <v>122</v>
      </c>
      <c r="I841" t="s">
        <v>94</v>
      </c>
      <c r="J841" s="14">
        <v>43195</v>
      </c>
      <c r="K841" t="s">
        <v>52</v>
      </c>
      <c r="L841">
        <v>78</v>
      </c>
      <c r="M841" t="s">
        <v>263</v>
      </c>
      <c r="O841" t="s">
        <v>66</v>
      </c>
      <c r="P841" t="s">
        <v>944</v>
      </c>
      <c r="Q841">
        <v>4</v>
      </c>
      <c r="T841" s="14">
        <v>44941</v>
      </c>
      <c r="V841" t="s">
        <v>34</v>
      </c>
      <c r="W841">
        <v>3</v>
      </c>
      <c r="X841" t="s">
        <v>46</v>
      </c>
    </row>
    <row r="842" spans="1:24" x14ac:dyDescent="0.35">
      <c r="A842" t="s">
        <v>1615</v>
      </c>
      <c r="B842" t="s">
        <v>25</v>
      </c>
      <c r="C842" t="s">
        <v>328</v>
      </c>
      <c r="D842">
        <v>50</v>
      </c>
      <c r="E842">
        <v>1974</v>
      </c>
      <c r="F842">
        <v>58600</v>
      </c>
      <c r="G842" t="s">
        <v>27</v>
      </c>
      <c r="H842" t="s">
        <v>70</v>
      </c>
      <c r="I842" t="s">
        <v>77</v>
      </c>
      <c r="J842" s="14">
        <v>43195</v>
      </c>
      <c r="K842" t="s">
        <v>78</v>
      </c>
      <c r="L842">
        <v>87</v>
      </c>
      <c r="M842" t="s">
        <v>329</v>
      </c>
      <c r="N842" t="s">
        <v>61</v>
      </c>
      <c r="O842" t="s">
        <v>174</v>
      </c>
      <c r="Q842">
        <v>6</v>
      </c>
      <c r="S842">
        <v>0</v>
      </c>
      <c r="V842" t="s">
        <v>46</v>
      </c>
      <c r="W842">
        <v>2</v>
      </c>
      <c r="X842" t="s">
        <v>46</v>
      </c>
    </row>
    <row r="843" spans="1:24" x14ac:dyDescent="0.35">
      <c r="A843" t="s">
        <v>1616</v>
      </c>
      <c r="B843" t="s">
        <v>140</v>
      </c>
      <c r="C843" t="s">
        <v>219</v>
      </c>
      <c r="E843">
        <v>1990</v>
      </c>
      <c r="F843">
        <v>55000</v>
      </c>
      <c r="G843" t="s">
        <v>38</v>
      </c>
      <c r="H843" t="s">
        <v>145</v>
      </c>
      <c r="I843" t="s">
        <v>89</v>
      </c>
      <c r="J843" s="14">
        <v>43881</v>
      </c>
      <c r="K843" t="s">
        <v>52</v>
      </c>
      <c r="L843">
        <v>76</v>
      </c>
      <c r="M843" t="s">
        <v>1617</v>
      </c>
      <c r="N843" t="s">
        <v>61</v>
      </c>
      <c r="O843" t="s">
        <v>112</v>
      </c>
      <c r="Q843">
        <v>7</v>
      </c>
      <c r="R843" t="s">
        <v>79</v>
      </c>
      <c r="S843">
        <v>19</v>
      </c>
      <c r="V843" t="s">
        <v>34</v>
      </c>
      <c r="W843">
        <v>3</v>
      </c>
      <c r="X843" t="s">
        <v>34</v>
      </c>
    </row>
    <row r="844" spans="1:24" x14ac:dyDescent="0.35">
      <c r="A844" t="s">
        <v>1618</v>
      </c>
      <c r="B844" t="s">
        <v>25</v>
      </c>
      <c r="C844" t="s">
        <v>914</v>
      </c>
      <c r="E844">
        <v>1985</v>
      </c>
      <c r="F844">
        <v>50000</v>
      </c>
      <c r="G844" t="s">
        <v>38</v>
      </c>
      <c r="H844" t="s">
        <v>64</v>
      </c>
      <c r="I844" t="s">
        <v>29</v>
      </c>
      <c r="J844" s="14">
        <v>43549</v>
      </c>
      <c r="K844" t="s">
        <v>52</v>
      </c>
      <c r="L844">
        <v>79</v>
      </c>
      <c r="M844" t="s">
        <v>915</v>
      </c>
      <c r="N844" t="s">
        <v>104</v>
      </c>
      <c r="O844" t="s">
        <v>174</v>
      </c>
      <c r="P844" t="s">
        <v>1528</v>
      </c>
      <c r="Q844">
        <v>6</v>
      </c>
      <c r="R844">
        <v>1</v>
      </c>
      <c r="S844">
        <v>16</v>
      </c>
      <c r="V844" t="s">
        <v>34</v>
      </c>
      <c r="W844">
        <v>1</v>
      </c>
      <c r="X844" t="s">
        <v>46</v>
      </c>
    </row>
    <row r="845" spans="1:24" x14ac:dyDescent="0.35">
      <c r="A845" t="s">
        <v>1619</v>
      </c>
      <c r="B845" t="s">
        <v>75</v>
      </c>
      <c r="C845" t="s">
        <v>213</v>
      </c>
      <c r="D845" t="s">
        <v>88</v>
      </c>
      <c r="E845">
        <v>1994</v>
      </c>
      <c r="F845">
        <v>70000</v>
      </c>
      <c r="G845" t="s">
        <v>27</v>
      </c>
      <c r="H845" t="s">
        <v>145</v>
      </c>
      <c r="I845" t="s">
        <v>29</v>
      </c>
      <c r="J845" s="14">
        <v>43881</v>
      </c>
      <c r="K845" t="s">
        <v>78</v>
      </c>
      <c r="L845">
        <v>87</v>
      </c>
      <c r="M845" t="s">
        <v>214</v>
      </c>
      <c r="N845" t="s">
        <v>61</v>
      </c>
      <c r="O845" t="s">
        <v>174</v>
      </c>
      <c r="Q845">
        <v>1</v>
      </c>
      <c r="R845" t="s">
        <v>79</v>
      </c>
      <c r="W845">
        <v>2</v>
      </c>
      <c r="X845" t="s">
        <v>34</v>
      </c>
    </row>
    <row r="846" spans="1:24" x14ac:dyDescent="0.35">
      <c r="A846" t="s">
        <v>1620</v>
      </c>
      <c r="B846" t="s">
        <v>75</v>
      </c>
      <c r="C846" t="s">
        <v>151</v>
      </c>
      <c r="D846">
        <v>25</v>
      </c>
      <c r="E846">
        <v>1999</v>
      </c>
      <c r="F846">
        <v>58500</v>
      </c>
      <c r="G846" t="s">
        <v>27</v>
      </c>
      <c r="H846" t="s">
        <v>64</v>
      </c>
      <c r="I846" t="s">
        <v>89</v>
      </c>
      <c r="J846" s="14">
        <v>43845</v>
      </c>
      <c r="K846" t="s">
        <v>78</v>
      </c>
      <c r="L846">
        <v>82</v>
      </c>
      <c r="M846" t="s">
        <v>152</v>
      </c>
      <c r="N846" t="s">
        <v>54</v>
      </c>
      <c r="O846" t="s">
        <v>112</v>
      </c>
      <c r="Q846">
        <v>5</v>
      </c>
      <c r="U846">
        <v>44</v>
      </c>
      <c r="W846">
        <v>5</v>
      </c>
      <c r="X846" t="s">
        <v>34</v>
      </c>
    </row>
    <row r="847" spans="1:24" x14ac:dyDescent="0.35">
      <c r="A847" t="s">
        <v>1621</v>
      </c>
      <c r="B847" t="s">
        <v>48</v>
      </c>
      <c r="C847" t="s">
        <v>229</v>
      </c>
      <c r="D847">
        <v>35</v>
      </c>
      <c r="E847">
        <v>1989</v>
      </c>
      <c r="F847">
        <v>65000</v>
      </c>
      <c r="G847" t="s">
        <v>27</v>
      </c>
      <c r="H847" t="s">
        <v>145</v>
      </c>
      <c r="I847" t="s">
        <v>40</v>
      </c>
      <c r="J847" s="14">
        <v>43195</v>
      </c>
      <c r="K847" t="s">
        <v>41</v>
      </c>
      <c r="L847">
        <v>53</v>
      </c>
      <c r="M847" t="s">
        <v>1622</v>
      </c>
      <c r="N847" t="s">
        <v>43</v>
      </c>
      <c r="O847" t="s">
        <v>100</v>
      </c>
      <c r="P847" t="s">
        <v>74</v>
      </c>
      <c r="Q847">
        <v>4</v>
      </c>
      <c r="S847">
        <v>6</v>
      </c>
      <c r="T847" s="14">
        <v>45516</v>
      </c>
      <c r="V847" t="s">
        <v>46</v>
      </c>
      <c r="W847">
        <v>5</v>
      </c>
      <c r="X847" t="s">
        <v>34</v>
      </c>
    </row>
    <row r="848" spans="1:24" x14ac:dyDescent="0.35">
      <c r="A848" t="s">
        <v>1623</v>
      </c>
      <c r="B848" t="s">
        <v>56</v>
      </c>
      <c r="C848" t="s">
        <v>87</v>
      </c>
      <c r="D848">
        <v>25</v>
      </c>
      <c r="E848">
        <v>1999</v>
      </c>
      <c r="F848">
        <v>50000</v>
      </c>
      <c r="G848" t="s">
        <v>38</v>
      </c>
      <c r="H848" t="s">
        <v>70</v>
      </c>
      <c r="I848" t="s">
        <v>89</v>
      </c>
      <c r="J848" s="14">
        <v>43881</v>
      </c>
      <c r="K848" t="s">
        <v>30</v>
      </c>
      <c r="L848">
        <v>61</v>
      </c>
      <c r="M848" t="s">
        <v>129</v>
      </c>
      <c r="N848" t="s">
        <v>54</v>
      </c>
      <c r="O848" t="s">
        <v>32</v>
      </c>
      <c r="Q848">
        <v>5</v>
      </c>
      <c r="R848">
        <v>3</v>
      </c>
      <c r="V848" t="s">
        <v>34</v>
      </c>
      <c r="W848">
        <v>2</v>
      </c>
      <c r="X848" t="s">
        <v>46</v>
      </c>
    </row>
    <row r="849" spans="1:24" x14ac:dyDescent="0.35">
      <c r="A849" t="s">
        <v>1624</v>
      </c>
      <c r="B849" t="s">
        <v>36</v>
      </c>
      <c r="C849" t="s">
        <v>156</v>
      </c>
      <c r="E849">
        <v>1990</v>
      </c>
      <c r="F849">
        <v>70000</v>
      </c>
      <c r="G849" t="s">
        <v>38</v>
      </c>
      <c r="H849" t="s">
        <v>122</v>
      </c>
      <c r="I849" t="s">
        <v>94</v>
      </c>
      <c r="J849" s="14">
        <v>43881</v>
      </c>
      <c r="K849" t="s">
        <v>59</v>
      </c>
      <c r="L849">
        <v>96</v>
      </c>
      <c r="M849" t="s">
        <v>184</v>
      </c>
      <c r="N849" t="s">
        <v>104</v>
      </c>
      <c r="O849" t="s">
        <v>32</v>
      </c>
      <c r="Q849">
        <v>2</v>
      </c>
      <c r="R849" t="s">
        <v>79</v>
      </c>
      <c r="S849">
        <v>13</v>
      </c>
      <c r="T849" t="s">
        <v>79</v>
      </c>
      <c r="U849">
        <v>30</v>
      </c>
      <c r="V849" t="s">
        <v>34</v>
      </c>
      <c r="W849">
        <v>2</v>
      </c>
      <c r="X849" t="s">
        <v>34</v>
      </c>
    </row>
    <row r="850" spans="1:24" x14ac:dyDescent="0.35">
      <c r="A850" t="s">
        <v>1625</v>
      </c>
      <c r="B850" t="s">
        <v>48</v>
      </c>
      <c r="C850" t="s">
        <v>459</v>
      </c>
      <c r="D850" t="s">
        <v>88</v>
      </c>
      <c r="E850">
        <v>1994</v>
      </c>
      <c r="F850">
        <v>65000</v>
      </c>
      <c r="G850" t="s">
        <v>38</v>
      </c>
      <c r="H850" t="s">
        <v>70</v>
      </c>
      <c r="I850" t="s">
        <v>89</v>
      </c>
      <c r="J850" s="14">
        <v>43881</v>
      </c>
      <c r="K850" t="s">
        <v>59</v>
      </c>
      <c r="L850">
        <v>94</v>
      </c>
      <c r="M850" t="s">
        <v>460</v>
      </c>
      <c r="N850" t="s">
        <v>104</v>
      </c>
      <c r="O850" t="s">
        <v>100</v>
      </c>
      <c r="P850" t="s">
        <v>1626</v>
      </c>
      <c r="Q850">
        <v>7</v>
      </c>
      <c r="T850" s="14">
        <v>44941</v>
      </c>
      <c r="W850">
        <v>4</v>
      </c>
      <c r="X850" t="s">
        <v>34</v>
      </c>
    </row>
    <row r="851" spans="1:24" x14ac:dyDescent="0.35">
      <c r="A851" t="s">
        <v>1627</v>
      </c>
      <c r="B851" t="s">
        <v>107</v>
      </c>
      <c r="C851" t="s">
        <v>259</v>
      </c>
      <c r="D851">
        <v>40</v>
      </c>
      <c r="E851">
        <v>1984</v>
      </c>
      <c r="F851" t="s">
        <v>50</v>
      </c>
      <c r="G851" t="s">
        <v>27</v>
      </c>
      <c r="H851" t="s">
        <v>28</v>
      </c>
      <c r="I851" t="s">
        <v>29</v>
      </c>
      <c r="J851" s="14">
        <v>43845</v>
      </c>
      <c r="K851" t="s">
        <v>52</v>
      </c>
      <c r="L851">
        <v>78</v>
      </c>
      <c r="M851" t="s">
        <v>1628</v>
      </c>
      <c r="N851" t="s">
        <v>43</v>
      </c>
      <c r="O851" t="s">
        <v>174</v>
      </c>
      <c r="Q851">
        <v>6</v>
      </c>
      <c r="S851">
        <v>9</v>
      </c>
      <c r="U851">
        <v>27</v>
      </c>
      <c r="W851">
        <v>2</v>
      </c>
      <c r="X851" t="s">
        <v>46</v>
      </c>
    </row>
    <row r="852" spans="1:24" x14ac:dyDescent="0.35">
      <c r="A852" t="s">
        <v>1629</v>
      </c>
      <c r="B852" t="s">
        <v>114</v>
      </c>
      <c r="C852" t="s">
        <v>395</v>
      </c>
      <c r="D852" t="s">
        <v>88</v>
      </c>
      <c r="E852">
        <v>1994</v>
      </c>
      <c r="F852">
        <v>65000</v>
      </c>
      <c r="G852" t="s">
        <v>27</v>
      </c>
      <c r="H852" t="s">
        <v>122</v>
      </c>
      <c r="I852" t="s">
        <v>89</v>
      </c>
      <c r="J852" s="14">
        <v>43549</v>
      </c>
      <c r="K852" t="s">
        <v>41</v>
      </c>
      <c r="L852">
        <v>37</v>
      </c>
      <c r="M852" t="s">
        <v>1630</v>
      </c>
      <c r="N852" t="s">
        <v>61</v>
      </c>
      <c r="O852" t="s">
        <v>100</v>
      </c>
      <c r="Q852">
        <v>2</v>
      </c>
      <c r="S852">
        <v>0</v>
      </c>
      <c r="V852" t="s">
        <v>34</v>
      </c>
      <c r="W852">
        <v>2</v>
      </c>
      <c r="X852" t="s">
        <v>46</v>
      </c>
    </row>
    <row r="853" spans="1:24" x14ac:dyDescent="0.35">
      <c r="A853" t="s">
        <v>1631</v>
      </c>
      <c r="B853" t="s">
        <v>36</v>
      </c>
      <c r="C853" t="s">
        <v>295</v>
      </c>
      <c r="E853">
        <v>1994</v>
      </c>
      <c r="F853">
        <v>55000</v>
      </c>
      <c r="G853" t="s">
        <v>27</v>
      </c>
      <c r="H853" t="s">
        <v>93</v>
      </c>
      <c r="I853" t="s">
        <v>77</v>
      </c>
      <c r="J853" s="14">
        <v>43881</v>
      </c>
      <c r="K853" t="s">
        <v>52</v>
      </c>
      <c r="L853">
        <v>71</v>
      </c>
      <c r="M853" t="s">
        <v>1632</v>
      </c>
      <c r="O853" t="s">
        <v>72</v>
      </c>
      <c r="Q853">
        <v>3</v>
      </c>
      <c r="W853">
        <v>3</v>
      </c>
      <c r="X853" t="s">
        <v>46</v>
      </c>
    </row>
    <row r="854" spans="1:24" x14ac:dyDescent="0.35">
      <c r="A854" t="s">
        <v>1633</v>
      </c>
      <c r="B854" t="s">
        <v>36</v>
      </c>
      <c r="C854" t="s">
        <v>556</v>
      </c>
      <c r="D854" t="s">
        <v>88</v>
      </c>
      <c r="E854">
        <v>1994</v>
      </c>
      <c r="F854">
        <v>55000</v>
      </c>
      <c r="G854" t="s">
        <v>38</v>
      </c>
      <c r="H854" t="s">
        <v>82</v>
      </c>
      <c r="I854" t="s">
        <v>94</v>
      </c>
      <c r="J854" s="14">
        <v>43845</v>
      </c>
      <c r="K854" t="s">
        <v>59</v>
      </c>
      <c r="L854">
        <v>91</v>
      </c>
      <c r="M854" t="s">
        <v>557</v>
      </c>
      <c r="N854" t="s">
        <v>104</v>
      </c>
      <c r="O854" t="s">
        <v>112</v>
      </c>
      <c r="P854" t="s">
        <v>970</v>
      </c>
      <c r="Q854">
        <v>8</v>
      </c>
      <c r="T854" s="14">
        <v>44732</v>
      </c>
      <c r="U854">
        <v>28</v>
      </c>
      <c r="W854">
        <v>4</v>
      </c>
      <c r="X854" t="s">
        <v>34</v>
      </c>
    </row>
    <row r="855" spans="1:24" x14ac:dyDescent="0.35">
      <c r="A855" t="s">
        <v>1634</v>
      </c>
      <c r="B855" t="s">
        <v>107</v>
      </c>
      <c r="C855" t="s">
        <v>543</v>
      </c>
      <c r="D855" t="s">
        <v>88</v>
      </c>
      <c r="E855">
        <v>1994</v>
      </c>
      <c r="F855" t="s">
        <v>50</v>
      </c>
      <c r="G855" t="s">
        <v>38</v>
      </c>
      <c r="H855" t="s">
        <v>64</v>
      </c>
      <c r="I855" t="s">
        <v>89</v>
      </c>
      <c r="J855" s="14">
        <v>43195</v>
      </c>
      <c r="K855" t="s">
        <v>78</v>
      </c>
      <c r="L855">
        <v>84</v>
      </c>
      <c r="M855" t="s">
        <v>544</v>
      </c>
      <c r="N855" t="s">
        <v>43</v>
      </c>
      <c r="O855" t="s">
        <v>72</v>
      </c>
      <c r="Q855">
        <v>6</v>
      </c>
      <c r="R855" t="s">
        <v>79</v>
      </c>
      <c r="S855">
        <v>6</v>
      </c>
      <c r="T855" s="14">
        <v>44470</v>
      </c>
      <c r="U855">
        <v>26</v>
      </c>
      <c r="V855" t="s">
        <v>46</v>
      </c>
      <c r="W855">
        <v>1</v>
      </c>
      <c r="X855" t="s">
        <v>46</v>
      </c>
    </row>
    <row r="856" spans="1:24" x14ac:dyDescent="0.35">
      <c r="A856" t="s">
        <v>1635</v>
      </c>
      <c r="B856" t="s">
        <v>107</v>
      </c>
      <c r="C856" t="s">
        <v>141</v>
      </c>
      <c r="E856">
        <v>1979</v>
      </c>
      <c r="F856">
        <v>50000</v>
      </c>
      <c r="G856" t="s">
        <v>27</v>
      </c>
      <c r="H856" t="s">
        <v>64</v>
      </c>
      <c r="I856" t="s">
        <v>29</v>
      </c>
      <c r="J856" s="14">
        <v>43800</v>
      </c>
      <c r="K856" t="s">
        <v>30</v>
      </c>
      <c r="L856">
        <v>62</v>
      </c>
      <c r="M856" t="s">
        <v>1636</v>
      </c>
      <c r="O856" t="s">
        <v>66</v>
      </c>
      <c r="Q856">
        <v>6</v>
      </c>
      <c r="R856" t="s">
        <v>79</v>
      </c>
      <c r="V856" t="s">
        <v>46</v>
      </c>
      <c r="W856">
        <v>3</v>
      </c>
      <c r="X856" t="s">
        <v>46</v>
      </c>
    </row>
    <row r="857" spans="1:24" x14ac:dyDescent="0.35">
      <c r="A857" t="s">
        <v>1637</v>
      </c>
      <c r="B857" t="s">
        <v>131</v>
      </c>
      <c r="C857" t="s">
        <v>285</v>
      </c>
      <c r="D857">
        <v>50</v>
      </c>
      <c r="E857">
        <v>1974</v>
      </c>
      <c r="F857">
        <v>70000</v>
      </c>
      <c r="G857" t="s">
        <v>27</v>
      </c>
      <c r="H857" t="s">
        <v>145</v>
      </c>
      <c r="I857" t="s">
        <v>94</v>
      </c>
      <c r="J857" s="14">
        <v>43845</v>
      </c>
      <c r="K857" t="s">
        <v>41</v>
      </c>
      <c r="L857">
        <v>43</v>
      </c>
      <c r="M857" t="s">
        <v>286</v>
      </c>
      <c r="N857" t="s">
        <v>61</v>
      </c>
      <c r="O857" t="s">
        <v>112</v>
      </c>
      <c r="Q857">
        <v>4</v>
      </c>
      <c r="V857" t="s">
        <v>169</v>
      </c>
      <c r="W857">
        <v>5</v>
      </c>
      <c r="X857" t="s">
        <v>34</v>
      </c>
    </row>
    <row r="858" spans="1:24" x14ac:dyDescent="0.35">
      <c r="A858" t="s">
        <v>1638</v>
      </c>
      <c r="B858" t="s">
        <v>48</v>
      </c>
      <c r="C858" t="s">
        <v>403</v>
      </c>
      <c r="D858" t="s">
        <v>88</v>
      </c>
      <c r="E858">
        <v>1994</v>
      </c>
      <c r="F858">
        <v>65000</v>
      </c>
      <c r="G858" t="s">
        <v>38</v>
      </c>
      <c r="H858" t="s">
        <v>122</v>
      </c>
      <c r="I858" t="s">
        <v>29</v>
      </c>
      <c r="J858" s="14">
        <v>43800</v>
      </c>
      <c r="K858" t="s">
        <v>78</v>
      </c>
      <c r="L858">
        <v>80</v>
      </c>
      <c r="M858" t="s">
        <v>1639</v>
      </c>
      <c r="N858" t="s">
        <v>104</v>
      </c>
      <c r="O858" t="s">
        <v>112</v>
      </c>
      <c r="Q858">
        <v>5</v>
      </c>
      <c r="S858">
        <v>20</v>
      </c>
      <c r="T858" s="14">
        <v>45516</v>
      </c>
      <c r="V858" t="s">
        <v>73</v>
      </c>
      <c r="W858">
        <v>4</v>
      </c>
      <c r="X858" t="s">
        <v>46</v>
      </c>
    </row>
    <row r="859" spans="1:24" x14ac:dyDescent="0.35">
      <c r="A859" t="s">
        <v>1640</v>
      </c>
      <c r="B859" t="s">
        <v>107</v>
      </c>
      <c r="C859" t="s">
        <v>295</v>
      </c>
      <c r="D859">
        <v>35</v>
      </c>
      <c r="E859">
        <v>1989</v>
      </c>
      <c r="F859">
        <v>55000</v>
      </c>
      <c r="G859" t="s">
        <v>38</v>
      </c>
      <c r="H859" t="s">
        <v>64</v>
      </c>
      <c r="I859" t="s">
        <v>40</v>
      </c>
      <c r="J859" s="14">
        <v>43881</v>
      </c>
      <c r="K859" t="s">
        <v>30</v>
      </c>
      <c r="L859">
        <v>64</v>
      </c>
      <c r="M859" t="s">
        <v>1641</v>
      </c>
      <c r="N859" t="s">
        <v>43</v>
      </c>
      <c r="O859" t="s">
        <v>44</v>
      </c>
      <c r="Q859">
        <v>3</v>
      </c>
      <c r="T859" t="s">
        <v>79</v>
      </c>
      <c r="U859">
        <v>63</v>
      </c>
      <c r="V859" t="s">
        <v>46</v>
      </c>
      <c r="W859">
        <v>2</v>
      </c>
      <c r="X859" t="s">
        <v>34</v>
      </c>
    </row>
    <row r="860" spans="1:24" x14ac:dyDescent="0.35">
      <c r="A860" t="s">
        <v>1642</v>
      </c>
      <c r="B860" t="s">
        <v>75</v>
      </c>
      <c r="C860" t="s">
        <v>747</v>
      </c>
      <c r="D860">
        <v>35</v>
      </c>
      <c r="E860">
        <v>1989</v>
      </c>
      <c r="F860">
        <v>50000</v>
      </c>
      <c r="G860" t="s">
        <v>38</v>
      </c>
      <c r="H860" t="s">
        <v>58</v>
      </c>
      <c r="I860" t="s">
        <v>77</v>
      </c>
      <c r="J860" s="14">
        <v>43881</v>
      </c>
      <c r="K860" t="s">
        <v>41</v>
      </c>
      <c r="L860">
        <v>19</v>
      </c>
      <c r="M860" t="s">
        <v>1643</v>
      </c>
      <c r="N860" t="s">
        <v>43</v>
      </c>
      <c r="O860" t="s">
        <v>112</v>
      </c>
      <c r="Q860">
        <v>4</v>
      </c>
      <c r="V860" t="s">
        <v>46</v>
      </c>
      <c r="W860">
        <v>1</v>
      </c>
      <c r="X860" t="s">
        <v>46</v>
      </c>
    </row>
    <row r="861" spans="1:24" x14ac:dyDescent="0.35">
      <c r="A861" t="s">
        <v>1644</v>
      </c>
      <c r="B861" t="s">
        <v>140</v>
      </c>
      <c r="C861" t="s">
        <v>240</v>
      </c>
      <c r="D861" t="s">
        <v>88</v>
      </c>
      <c r="E861">
        <v>1994</v>
      </c>
      <c r="F861" t="s">
        <v>50</v>
      </c>
      <c r="G861" t="s">
        <v>27</v>
      </c>
      <c r="H861" t="s">
        <v>64</v>
      </c>
      <c r="I861" t="s">
        <v>40</v>
      </c>
      <c r="J861" s="14">
        <v>43845</v>
      </c>
      <c r="K861" t="s">
        <v>41</v>
      </c>
      <c r="L861">
        <v>8</v>
      </c>
      <c r="M861" t="s">
        <v>1078</v>
      </c>
      <c r="N861" t="s">
        <v>43</v>
      </c>
      <c r="O861" t="s">
        <v>66</v>
      </c>
      <c r="P861" t="s">
        <v>1645</v>
      </c>
      <c r="Q861">
        <v>8</v>
      </c>
      <c r="S861">
        <v>3</v>
      </c>
      <c r="T861" t="s">
        <v>79</v>
      </c>
      <c r="U861">
        <v>13</v>
      </c>
      <c r="V861" t="s">
        <v>34</v>
      </c>
      <c r="W861">
        <v>4</v>
      </c>
      <c r="X861" t="s">
        <v>34</v>
      </c>
    </row>
    <row r="862" spans="1:24" x14ac:dyDescent="0.35">
      <c r="A862" t="s">
        <v>1646</v>
      </c>
      <c r="B862" t="s">
        <v>114</v>
      </c>
      <c r="C862" t="s">
        <v>222</v>
      </c>
      <c r="D862">
        <v>50</v>
      </c>
      <c r="E862">
        <v>1974</v>
      </c>
      <c r="F862">
        <v>63000</v>
      </c>
      <c r="G862" t="s">
        <v>38</v>
      </c>
      <c r="H862" t="s">
        <v>145</v>
      </c>
      <c r="I862" t="s">
        <v>77</v>
      </c>
      <c r="J862" s="14">
        <v>43800</v>
      </c>
      <c r="K862" t="s">
        <v>59</v>
      </c>
      <c r="L862">
        <v>94</v>
      </c>
      <c r="M862" t="s">
        <v>223</v>
      </c>
      <c r="N862" t="s">
        <v>104</v>
      </c>
      <c r="O862" t="s">
        <v>32</v>
      </c>
      <c r="P862" t="s">
        <v>153</v>
      </c>
      <c r="Q862">
        <v>4</v>
      </c>
      <c r="U862">
        <v>63</v>
      </c>
      <c r="V862" t="s">
        <v>46</v>
      </c>
      <c r="W862">
        <v>1</v>
      </c>
      <c r="X862" t="s">
        <v>46</v>
      </c>
    </row>
    <row r="863" spans="1:24" x14ac:dyDescent="0.35">
      <c r="A863" t="s">
        <v>1647</v>
      </c>
      <c r="B863" t="s">
        <v>48</v>
      </c>
      <c r="C863" t="s">
        <v>108</v>
      </c>
      <c r="D863">
        <v>40</v>
      </c>
      <c r="E863">
        <v>1984</v>
      </c>
      <c r="F863">
        <v>55000</v>
      </c>
      <c r="G863" t="s">
        <v>38</v>
      </c>
      <c r="H863" t="s">
        <v>70</v>
      </c>
      <c r="I863" t="s">
        <v>89</v>
      </c>
      <c r="J863" s="14">
        <v>43881</v>
      </c>
      <c r="K863" t="s">
        <v>78</v>
      </c>
      <c r="L863">
        <v>89</v>
      </c>
      <c r="M863" t="s">
        <v>1648</v>
      </c>
      <c r="O863" t="s">
        <v>32</v>
      </c>
      <c r="Q863">
        <v>4</v>
      </c>
      <c r="R863">
        <v>1</v>
      </c>
      <c r="T863" s="14">
        <v>44470</v>
      </c>
      <c r="V863" t="s">
        <v>34</v>
      </c>
      <c r="W863">
        <v>3</v>
      </c>
      <c r="X863" t="s">
        <v>46</v>
      </c>
    </row>
    <row r="864" spans="1:24" x14ac:dyDescent="0.35">
      <c r="A864" t="s">
        <v>1649</v>
      </c>
      <c r="B864" t="s">
        <v>68</v>
      </c>
      <c r="C864" t="s">
        <v>137</v>
      </c>
      <c r="E864">
        <v>1991</v>
      </c>
      <c r="F864" t="s">
        <v>50</v>
      </c>
      <c r="G864" t="s">
        <v>27</v>
      </c>
      <c r="H864" t="s">
        <v>145</v>
      </c>
      <c r="I864" t="s">
        <v>94</v>
      </c>
      <c r="J864" s="14">
        <v>43195</v>
      </c>
      <c r="K864" t="s">
        <v>41</v>
      </c>
      <c r="L864">
        <v>55</v>
      </c>
      <c r="M864" t="s">
        <v>1650</v>
      </c>
      <c r="N864" t="s">
        <v>43</v>
      </c>
      <c r="O864" t="s">
        <v>174</v>
      </c>
      <c r="Q864">
        <v>4</v>
      </c>
      <c r="S864">
        <v>10</v>
      </c>
      <c r="U864">
        <v>56</v>
      </c>
      <c r="V864" t="s">
        <v>34</v>
      </c>
      <c r="W864">
        <v>2</v>
      </c>
      <c r="X864" t="s">
        <v>46</v>
      </c>
    </row>
    <row r="865" spans="1:24" x14ac:dyDescent="0.35">
      <c r="A865" t="s">
        <v>1651</v>
      </c>
      <c r="B865" t="s">
        <v>75</v>
      </c>
      <c r="C865" t="s">
        <v>49</v>
      </c>
      <c r="D865">
        <v>35</v>
      </c>
      <c r="E865">
        <v>1989</v>
      </c>
      <c r="F865">
        <v>65000</v>
      </c>
      <c r="G865" t="s">
        <v>27</v>
      </c>
      <c r="H865" t="s">
        <v>28</v>
      </c>
      <c r="I865" t="s">
        <v>89</v>
      </c>
      <c r="J865" s="14">
        <v>43549</v>
      </c>
      <c r="K865" t="s">
        <v>41</v>
      </c>
      <c r="L865">
        <v>4</v>
      </c>
      <c r="M865" t="s">
        <v>1652</v>
      </c>
      <c r="N865" t="s">
        <v>61</v>
      </c>
      <c r="O865" t="s">
        <v>112</v>
      </c>
      <c r="P865" t="s">
        <v>1653</v>
      </c>
      <c r="Q865">
        <v>5</v>
      </c>
      <c r="W865">
        <v>1</v>
      </c>
      <c r="X865" t="s">
        <v>46</v>
      </c>
    </row>
    <row r="866" spans="1:24" x14ac:dyDescent="0.35">
      <c r="A866" t="s">
        <v>1654</v>
      </c>
      <c r="B866" t="s">
        <v>56</v>
      </c>
      <c r="C866" t="s">
        <v>277</v>
      </c>
      <c r="D866">
        <v>40</v>
      </c>
      <c r="E866">
        <v>1984</v>
      </c>
      <c r="F866">
        <v>70000</v>
      </c>
      <c r="G866" t="s">
        <v>38</v>
      </c>
      <c r="H866" t="s">
        <v>39</v>
      </c>
      <c r="I866" t="s">
        <v>77</v>
      </c>
      <c r="J866" s="14">
        <v>43549</v>
      </c>
      <c r="K866" t="s">
        <v>30</v>
      </c>
      <c r="L866">
        <v>62</v>
      </c>
      <c r="M866" t="s">
        <v>1655</v>
      </c>
      <c r="N866" t="s">
        <v>43</v>
      </c>
      <c r="O866" t="s">
        <v>32</v>
      </c>
      <c r="Q866">
        <v>4</v>
      </c>
      <c r="S866">
        <v>2</v>
      </c>
      <c r="V866" t="s">
        <v>169</v>
      </c>
      <c r="W866">
        <v>4</v>
      </c>
      <c r="X866" t="s">
        <v>34</v>
      </c>
    </row>
    <row r="867" spans="1:24" x14ac:dyDescent="0.35">
      <c r="A867" t="s">
        <v>1656</v>
      </c>
      <c r="B867" t="s">
        <v>107</v>
      </c>
      <c r="C867" t="s">
        <v>496</v>
      </c>
      <c r="D867" t="s">
        <v>88</v>
      </c>
      <c r="E867">
        <v>1994</v>
      </c>
      <c r="F867">
        <v>55000</v>
      </c>
      <c r="G867" t="s">
        <v>27</v>
      </c>
      <c r="H867" t="s">
        <v>28</v>
      </c>
      <c r="I867" t="s">
        <v>77</v>
      </c>
      <c r="J867" s="14">
        <v>43881</v>
      </c>
      <c r="K867" t="s">
        <v>59</v>
      </c>
      <c r="L867">
        <v>98</v>
      </c>
      <c r="M867" t="s">
        <v>1657</v>
      </c>
      <c r="O867" t="s">
        <v>72</v>
      </c>
      <c r="P867" t="s">
        <v>907</v>
      </c>
      <c r="Q867">
        <v>4</v>
      </c>
      <c r="R867" t="s">
        <v>79</v>
      </c>
      <c r="T867" s="14">
        <v>44732</v>
      </c>
      <c r="W867">
        <v>4</v>
      </c>
      <c r="X867" t="s">
        <v>46</v>
      </c>
    </row>
    <row r="868" spans="1:24" x14ac:dyDescent="0.35">
      <c r="A868" t="s">
        <v>1658</v>
      </c>
      <c r="B868" t="s">
        <v>68</v>
      </c>
      <c r="C868" t="s">
        <v>324</v>
      </c>
      <c r="D868">
        <v>40</v>
      </c>
      <c r="E868">
        <v>1984</v>
      </c>
      <c r="F868">
        <v>55000</v>
      </c>
      <c r="G868" t="s">
        <v>38</v>
      </c>
      <c r="H868" t="s">
        <v>82</v>
      </c>
      <c r="I868" t="s">
        <v>77</v>
      </c>
      <c r="J868" s="14">
        <v>43800</v>
      </c>
      <c r="K868" t="s">
        <v>52</v>
      </c>
      <c r="L868">
        <v>73</v>
      </c>
      <c r="M868" t="s">
        <v>325</v>
      </c>
      <c r="N868" t="s">
        <v>104</v>
      </c>
      <c r="O868" t="s">
        <v>174</v>
      </c>
      <c r="P868" t="s">
        <v>201</v>
      </c>
      <c r="Q868">
        <v>4</v>
      </c>
      <c r="T868" s="14">
        <v>45516</v>
      </c>
      <c r="U868">
        <v>26</v>
      </c>
      <c r="V868" t="s">
        <v>46</v>
      </c>
      <c r="W868">
        <v>4</v>
      </c>
      <c r="X868" t="s">
        <v>34</v>
      </c>
    </row>
    <row r="869" spans="1:24" x14ac:dyDescent="0.35">
      <c r="A869" t="s">
        <v>1659</v>
      </c>
      <c r="B869" t="s">
        <v>107</v>
      </c>
      <c r="C869" t="s">
        <v>117</v>
      </c>
      <c r="D869">
        <v>25</v>
      </c>
      <c r="E869">
        <v>1999</v>
      </c>
      <c r="F869">
        <v>65000</v>
      </c>
      <c r="G869" t="s">
        <v>27</v>
      </c>
      <c r="H869" t="s">
        <v>122</v>
      </c>
      <c r="I869" t="s">
        <v>29</v>
      </c>
      <c r="J869" s="14">
        <v>43881</v>
      </c>
      <c r="K869" t="s">
        <v>59</v>
      </c>
      <c r="L869">
        <v>90</v>
      </c>
      <c r="M869" t="s">
        <v>1660</v>
      </c>
      <c r="N869" t="s">
        <v>43</v>
      </c>
      <c r="O869" t="s">
        <v>112</v>
      </c>
      <c r="Q869">
        <v>4</v>
      </c>
      <c r="T869" s="14">
        <v>44941</v>
      </c>
      <c r="U869">
        <v>9</v>
      </c>
      <c r="V869" t="s">
        <v>73</v>
      </c>
      <c r="W869">
        <v>3</v>
      </c>
      <c r="X869" t="s">
        <v>46</v>
      </c>
    </row>
    <row r="870" spans="1:24" x14ac:dyDescent="0.35">
      <c r="A870" t="s">
        <v>1661</v>
      </c>
      <c r="B870" t="s">
        <v>36</v>
      </c>
      <c r="C870" t="s">
        <v>556</v>
      </c>
      <c r="D870">
        <v>35</v>
      </c>
      <c r="E870">
        <v>1989</v>
      </c>
      <c r="F870">
        <v>60800</v>
      </c>
      <c r="G870" t="s">
        <v>38</v>
      </c>
      <c r="H870" t="s">
        <v>39</v>
      </c>
      <c r="I870" t="s">
        <v>94</v>
      </c>
      <c r="J870" s="14">
        <v>43800</v>
      </c>
      <c r="K870" t="s">
        <v>52</v>
      </c>
      <c r="L870">
        <v>76</v>
      </c>
      <c r="M870" t="s">
        <v>557</v>
      </c>
      <c r="N870" t="s">
        <v>43</v>
      </c>
      <c r="O870" t="s">
        <v>72</v>
      </c>
      <c r="Q870">
        <v>6</v>
      </c>
      <c r="R870" t="s">
        <v>79</v>
      </c>
      <c r="T870" s="14">
        <v>45516</v>
      </c>
      <c r="U870">
        <v>52</v>
      </c>
      <c r="V870" t="s">
        <v>34</v>
      </c>
      <c r="W870">
        <v>1</v>
      </c>
      <c r="X870" t="s">
        <v>46</v>
      </c>
    </row>
    <row r="871" spans="1:24" x14ac:dyDescent="0.35">
      <c r="A871" t="s">
        <v>1662</v>
      </c>
      <c r="B871" t="s">
        <v>75</v>
      </c>
      <c r="C871" t="s">
        <v>209</v>
      </c>
      <c r="D871" t="s">
        <v>88</v>
      </c>
      <c r="E871">
        <v>1994</v>
      </c>
      <c r="F871">
        <v>50000</v>
      </c>
      <c r="G871" t="s">
        <v>27</v>
      </c>
      <c r="H871" t="s">
        <v>28</v>
      </c>
      <c r="I871" t="s">
        <v>89</v>
      </c>
      <c r="J871" s="14">
        <v>43195</v>
      </c>
      <c r="K871" t="s">
        <v>78</v>
      </c>
      <c r="L871">
        <v>83</v>
      </c>
      <c r="M871" t="s">
        <v>1663</v>
      </c>
      <c r="N871" t="s">
        <v>61</v>
      </c>
      <c r="O871" t="s">
        <v>100</v>
      </c>
      <c r="P871" t="s">
        <v>274</v>
      </c>
      <c r="Q871">
        <v>3</v>
      </c>
      <c r="R871">
        <v>13</v>
      </c>
      <c r="S871">
        <v>20</v>
      </c>
      <c r="U871">
        <v>53</v>
      </c>
      <c r="V871" t="s">
        <v>46</v>
      </c>
      <c r="W871">
        <v>4</v>
      </c>
      <c r="X871" t="s">
        <v>34</v>
      </c>
    </row>
    <row r="872" spans="1:24" x14ac:dyDescent="0.35">
      <c r="A872" t="s">
        <v>1664</v>
      </c>
      <c r="B872" t="s">
        <v>36</v>
      </c>
      <c r="C872" t="s">
        <v>343</v>
      </c>
      <c r="E872">
        <v>1992</v>
      </c>
      <c r="F872">
        <v>70000</v>
      </c>
      <c r="G872" t="s">
        <v>27</v>
      </c>
      <c r="H872" t="s">
        <v>70</v>
      </c>
      <c r="I872" t="s">
        <v>89</v>
      </c>
      <c r="J872" s="14">
        <v>43800</v>
      </c>
      <c r="K872" t="s">
        <v>78</v>
      </c>
      <c r="L872">
        <v>82</v>
      </c>
      <c r="M872" t="s">
        <v>1665</v>
      </c>
      <c r="N872" t="s">
        <v>61</v>
      </c>
      <c r="O872" t="s">
        <v>100</v>
      </c>
      <c r="Q872">
        <v>2</v>
      </c>
      <c r="R872" t="s">
        <v>79</v>
      </c>
      <c r="S872">
        <v>19</v>
      </c>
      <c r="U872">
        <v>45</v>
      </c>
      <c r="W872">
        <v>1</v>
      </c>
      <c r="X872" t="s">
        <v>34</v>
      </c>
    </row>
    <row r="873" spans="1:24" x14ac:dyDescent="0.35">
      <c r="A873" t="s">
        <v>1666</v>
      </c>
      <c r="B873" t="s">
        <v>131</v>
      </c>
      <c r="C873" t="s">
        <v>229</v>
      </c>
      <c r="D873">
        <v>50</v>
      </c>
      <c r="E873">
        <v>1974</v>
      </c>
      <c r="F873">
        <v>55000</v>
      </c>
      <c r="G873" t="s">
        <v>27</v>
      </c>
      <c r="H873" t="s">
        <v>28</v>
      </c>
      <c r="I873" t="s">
        <v>40</v>
      </c>
      <c r="J873" s="14">
        <v>43881</v>
      </c>
      <c r="K873" t="s">
        <v>41</v>
      </c>
      <c r="L873">
        <v>47</v>
      </c>
      <c r="M873" t="s">
        <v>1667</v>
      </c>
      <c r="N873" t="s">
        <v>43</v>
      </c>
      <c r="O873" t="s">
        <v>44</v>
      </c>
      <c r="P873" t="s">
        <v>1668</v>
      </c>
      <c r="Q873">
        <v>2</v>
      </c>
      <c r="R873">
        <v>2</v>
      </c>
      <c r="S873">
        <v>8</v>
      </c>
      <c r="U873">
        <v>32</v>
      </c>
      <c r="W873">
        <v>5</v>
      </c>
      <c r="X873" t="s">
        <v>34</v>
      </c>
    </row>
    <row r="874" spans="1:24" x14ac:dyDescent="0.35">
      <c r="A874" t="s">
        <v>1669</v>
      </c>
      <c r="B874" t="s">
        <v>36</v>
      </c>
      <c r="C874" t="s">
        <v>84</v>
      </c>
      <c r="D874" t="s">
        <v>88</v>
      </c>
      <c r="E874">
        <v>1994</v>
      </c>
      <c r="F874">
        <v>70000</v>
      </c>
      <c r="G874" t="s">
        <v>38</v>
      </c>
      <c r="H874" t="s">
        <v>93</v>
      </c>
      <c r="I874" t="s">
        <v>77</v>
      </c>
      <c r="J874" s="14">
        <v>43195</v>
      </c>
      <c r="K874" t="s">
        <v>78</v>
      </c>
      <c r="L874">
        <v>84</v>
      </c>
      <c r="M874" t="s">
        <v>1670</v>
      </c>
      <c r="N874" t="s">
        <v>43</v>
      </c>
      <c r="O874" t="s">
        <v>112</v>
      </c>
      <c r="P874" t="s">
        <v>153</v>
      </c>
      <c r="Q874">
        <v>2</v>
      </c>
      <c r="S874">
        <v>6</v>
      </c>
      <c r="V874" t="s">
        <v>33</v>
      </c>
      <c r="W874">
        <v>4</v>
      </c>
      <c r="X874" t="s">
        <v>34</v>
      </c>
    </row>
    <row r="875" spans="1:24" x14ac:dyDescent="0.35">
      <c r="A875" t="s">
        <v>1671</v>
      </c>
      <c r="B875" t="s">
        <v>131</v>
      </c>
      <c r="C875" t="s">
        <v>465</v>
      </c>
      <c r="E875">
        <v>1993</v>
      </c>
      <c r="F875">
        <v>55000</v>
      </c>
      <c r="G875" t="s">
        <v>38</v>
      </c>
      <c r="H875" t="s">
        <v>58</v>
      </c>
      <c r="I875" t="s">
        <v>77</v>
      </c>
      <c r="J875" s="14">
        <v>43845</v>
      </c>
      <c r="K875" t="s">
        <v>41</v>
      </c>
      <c r="L875">
        <v>41</v>
      </c>
      <c r="M875" t="s">
        <v>1672</v>
      </c>
      <c r="N875" t="s">
        <v>61</v>
      </c>
      <c r="O875" t="s">
        <v>100</v>
      </c>
      <c r="Q875">
        <v>8</v>
      </c>
      <c r="S875">
        <v>0</v>
      </c>
      <c r="V875" t="s">
        <v>33</v>
      </c>
      <c r="W875">
        <v>3</v>
      </c>
      <c r="X875" t="s">
        <v>34</v>
      </c>
    </row>
    <row r="876" spans="1:24" x14ac:dyDescent="0.35">
      <c r="A876" t="s">
        <v>1673</v>
      </c>
      <c r="B876" t="s">
        <v>131</v>
      </c>
      <c r="C876" t="s">
        <v>237</v>
      </c>
      <c r="D876">
        <v>50</v>
      </c>
      <c r="E876">
        <v>1974</v>
      </c>
      <c r="F876">
        <v>70000</v>
      </c>
      <c r="G876" t="s">
        <v>38</v>
      </c>
      <c r="H876" t="s">
        <v>28</v>
      </c>
      <c r="I876" t="s">
        <v>77</v>
      </c>
      <c r="J876" s="14">
        <v>43549</v>
      </c>
      <c r="K876" t="s">
        <v>59</v>
      </c>
      <c r="L876">
        <v>93</v>
      </c>
      <c r="M876" t="s">
        <v>1674</v>
      </c>
      <c r="O876" t="s">
        <v>100</v>
      </c>
      <c r="Q876">
        <v>1</v>
      </c>
      <c r="T876" s="14">
        <v>45516</v>
      </c>
      <c r="V876" t="s">
        <v>34</v>
      </c>
      <c r="W876">
        <v>1</v>
      </c>
      <c r="X876" t="s">
        <v>34</v>
      </c>
    </row>
    <row r="877" spans="1:24" x14ac:dyDescent="0.35">
      <c r="A877" t="s">
        <v>1675</v>
      </c>
      <c r="B877" t="s">
        <v>68</v>
      </c>
      <c r="C877" t="s">
        <v>250</v>
      </c>
      <c r="D877">
        <v>50</v>
      </c>
      <c r="E877">
        <v>1974</v>
      </c>
      <c r="F877" t="s">
        <v>50</v>
      </c>
      <c r="G877" t="s">
        <v>27</v>
      </c>
      <c r="H877" t="s">
        <v>145</v>
      </c>
      <c r="I877" t="s">
        <v>89</v>
      </c>
      <c r="J877" s="14">
        <v>43881</v>
      </c>
      <c r="K877" t="s">
        <v>78</v>
      </c>
      <c r="L877">
        <v>80</v>
      </c>
      <c r="M877" t="s">
        <v>251</v>
      </c>
      <c r="N877" t="s">
        <v>54</v>
      </c>
      <c r="O877" t="s">
        <v>32</v>
      </c>
      <c r="P877" t="s">
        <v>80</v>
      </c>
      <c r="Q877">
        <v>1</v>
      </c>
      <c r="S877">
        <v>10</v>
      </c>
      <c r="V877" t="s">
        <v>34</v>
      </c>
      <c r="W877">
        <v>2</v>
      </c>
      <c r="X877" t="s">
        <v>34</v>
      </c>
    </row>
    <row r="878" spans="1:24" x14ac:dyDescent="0.35">
      <c r="A878" t="s">
        <v>1676</v>
      </c>
      <c r="B878" t="s">
        <v>107</v>
      </c>
      <c r="C878" t="s">
        <v>499</v>
      </c>
      <c r="D878" t="s">
        <v>88</v>
      </c>
      <c r="E878">
        <v>1994</v>
      </c>
      <c r="F878">
        <v>55000</v>
      </c>
      <c r="G878" t="s">
        <v>27</v>
      </c>
      <c r="H878" t="s">
        <v>58</v>
      </c>
      <c r="I878" t="s">
        <v>40</v>
      </c>
      <c r="J878" s="14">
        <v>43881</v>
      </c>
      <c r="K878" t="s">
        <v>59</v>
      </c>
      <c r="L878">
        <v>92</v>
      </c>
      <c r="M878" t="s">
        <v>1677</v>
      </c>
      <c r="N878" t="s">
        <v>54</v>
      </c>
      <c r="O878" t="s">
        <v>44</v>
      </c>
      <c r="P878" t="s">
        <v>374</v>
      </c>
      <c r="Q878">
        <v>8</v>
      </c>
      <c r="T878" s="14">
        <v>44990</v>
      </c>
      <c r="V878" t="s">
        <v>46</v>
      </c>
      <c r="W878">
        <v>2</v>
      </c>
      <c r="X878" t="s">
        <v>34</v>
      </c>
    </row>
    <row r="879" spans="1:24" x14ac:dyDescent="0.35">
      <c r="A879" t="s">
        <v>1678</v>
      </c>
      <c r="B879" t="s">
        <v>56</v>
      </c>
      <c r="C879" t="s">
        <v>57</v>
      </c>
      <c r="D879">
        <v>40</v>
      </c>
      <c r="E879">
        <v>1984</v>
      </c>
      <c r="F879">
        <v>70000</v>
      </c>
      <c r="G879" t="s">
        <v>38</v>
      </c>
      <c r="H879" t="s">
        <v>70</v>
      </c>
      <c r="I879" t="s">
        <v>29</v>
      </c>
      <c r="J879" s="14">
        <v>43881</v>
      </c>
      <c r="K879" t="s">
        <v>59</v>
      </c>
      <c r="L879">
        <v>99</v>
      </c>
      <c r="M879" t="s">
        <v>60</v>
      </c>
      <c r="N879" t="s">
        <v>43</v>
      </c>
      <c r="O879" t="s">
        <v>44</v>
      </c>
      <c r="Q879">
        <v>6</v>
      </c>
      <c r="R879" t="s">
        <v>79</v>
      </c>
      <c r="S879">
        <v>0</v>
      </c>
      <c r="U879">
        <v>64</v>
      </c>
      <c r="V879" t="s">
        <v>73</v>
      </c>
      <c r="W879">
        <v>4</v>
      </c>
      <c r="X879" t="s">
        <v>34</v>
      </c>
    </row>
    <row r="880" spans="1:24" x14ac:dyDescent="0.35">
      <c r="A880" t="s">
        <v>1679</v>
      </c>
      <c r="B880" t="s">
        <v>36</v>
      </c>
      <c r="C880" t="s">
        <v>132</v>
      </c>
      <c r="D880">
        <v>40</v>
      </c>
      <c r="E880">
        <v>1984</v>
      </c>
      <c r="F880">
        <v>50000</v>
      </c>
      <c r="G880" t="s">
        <v>27</v>
      </c>
      <c r="H880" t="s">
        <v>58</v>
      </c>
      <c r="I880" t="s">
        <v>94</v>
      </c>
      <c r="J880" s="14">
        <v>43195</v>
      </c>
      <c r="K880" t="s">
        <v>78</v>
      </c>
      <c r="L880">
        <v>85</v>
      </c>
      <c r="M880" t="s">
        <v>1680</v>
      </c>
      <c r="N880" t="s">
        <v>61</v>
      </c>
      <c r="O880" t="s">
        <v>32</v>
      </c>
      <c r="Q880">
        <v>6</v>
      </c>
      <c r="R880">
        <v>2</v>
      </c>
      <c r="S880">
        <v>11</v>
      </c>
      <c r="T880" t="s">
        <v>79</v>
      </c>
      <c r="V880" t="s">
        <v>34</v>
      </c>
      <c r="W880">
        <v>1</v>
      </c>
      <c r="X880" t="s">
        <v>46</v>
      </c>
    </row>
    <row r="881" spans="1:24" x14ac:dyDescent="0.35">
      <c r="A881" t="s">
        <v>1681</v>
      </c>
      <c r="B881" t="s">
        <v>75</v>
      </c>
      <c r="C881" t="s">
        <v>819</v>
      </c>
      <c r="D881">
        <v>50</v>
      </c>
      <c r="E881">
        <v>1974</v>
      </c>
      <c r="F881" t="s">
        <v>50</v>
      </c>
      <c r="G881" t="s">
        <v>38</v>
      </c>
      <c r="H881" t="s">
        <v>28</v>
      </c>
      <c r="I881" t="s">
        <v>29</v>
      </c>
      <c r="J881" s="14">
        <v>43845</v>
      </c>
      <c r="K881" t="s">
        <v>59</v>
      </c>
      <c r="L881">
        <v>97</v>
      </c>
      <c r="M881" t="s">
        <v>820</v>
      </c>
      <c r="N881" t="s">
        <v>104</v>
      </c>
      <c r="O881" t="s">
        <v>112</v>
      </c>
      <c r="P881" t="s">
        <v>188</v>
      </c>
      <c r="Q881">
        <v>8</v>
      </c>
      <c r="R881">
        <v>4</v>
      </c>
      <c r="V881" t="s">
        <v>46</v>
      </c>
      <c r="W881">
        <v>1</v>
      </c>
      <c r="X881" t="s">
        <v>46</v>
      </c>
    </row>
    <row r="882" spans="1:24" x14ac:dyDescent="0.35">
      <c r="A882" t="s">
        <v>1682</v>
      </c>
      <c r="B882" t="s">
        <v>131</v>
      </c>
      <c r="C882" t="s">
        <v>285</v>
      </c>
      <c r="D882">
        <v>40</v>
      </c>
      <c r="E882">
        <v>1984</v>
      </c>
      <c r="F882" t="s">
        <v>50</v>
      </c>
      <c r="G882" t="s">
        <v>38</v>
      </c>
      <c r="H882" t="s">
        <v>39</v>
      </c>
      <c r="I882" t="s">
        <v>89</v>
      </c>
      <c r="J882" s="14">
        <v>43800</v>
      </c>
      <c r="K882" t="s">
        <v>78</v>
      </c>
      <c r="L882">
        <v>81</v>
      </c>
      <c r="M882" t="s">
        <v>286</v>
      </c>
      <c r="N882" t="s">
        <v>104</v>
      </c>
      <c r="O882" t="s">
        <v>72</v>
      </c>
      <c r="Q882">
        <v>5</v>
      </c>
      <c r="T882" s="14">
        <v>44470</v>
      </c>
      <c r="V882" t="s">
        <v>46</v>
      </c>
      <c r="W882">
        <v>4</v>
      </c>
      <c r="X882" t="s">
        <v>34</v>
      </c>
    </row>
    <row r="883" spans="1:24" x14ac:dyDescent="0.35">
      <c r="A883" t="s">
        <v>1683</v>
      </c>
      <c r="B883" t="s">
        <v>107</v>
      </c>
      <c r="C883" t="s">
        <v>367</v>
      </c>
      <c r="D883">
        <v>25</v>
      </c>
      <c r="E883">
        <v>1999</v>
      </c>
      <c r="F883">
        <v>50000</v>
      </c>
      <c r="G883" t="s">
        <v>38</v>
      </c>
      <c r="H883" t="s">
        <v>39</v>
      </c>
      <c r="I883" t="s">
        <v>77</v>
      </c>
      <c r="J883" s="14">
        <v>43845</v>
      </c>
      <c r="K883" t="s">
        <v>78</v>
      </c>
      <c r="L883">
        <v>88</v>
      </c>
      <c r="M883" t="s">
        <v>1684</v>
      </c>
      <c r="N883" t="s">
        <v>54</v>
      </c>
      <c r="O883" t="s">
        <v>174</v>
      </c>
      <c r="Q883">
        <v>8</v>
      </c>
      <c r="T883" s="14">
        <v>44941</v>
      </c>
      <c r="V883" t="s">
        <v>169</v>
      </c>
      <c r="W883">
        <v>1</v>
      </c>
      <c r="X883" t="s">
        <v>46</v>
      </c>
    </row>
    <row r="884" spans="1:24" x14ac:dyDescent="0.35">
      <c r="A884" t="s">
        <v>1685</v>
      </c>
      <c r="B884" t="s">
        <v>114</v>
      </c>
      <c r="C884" t="s">
        <v>710</v>
      </c>
      <c r="D884">
        <v>50</v>
      </c>
      <c r="E884">
        <v>1974</v>
      </c>
      <c r="F884">
        <v>70000</v>
      </c>
      <c r="G884" t="s">
        <v>27</v>
      </c>
      <c r="H884" t="s">
        <v>93</v>
      </c>
      <c r="I884" t="s">
        <v>94</v>
      </c>
      <c r="J884" s="14">
        <v>43195</v>
      </c>
      <c r="K884" t="s">
        <v>78</v>
      </c>
      <c r="L884">
        <v>81</v>
      </c>
      <c r="M884" t="s">
        <v>711</v>
      </c>
      <c r="O884" t="s">
        <v>112</v>
      </c>
      <c r="Q884">
        <v>3</v>
      </c>
      <c r="R884" t="s">
        <v>79</v>
      </c>
      <c r="S884">
        <v>0</v>
      </c>
      <c r="U884">
        <v>49</v>
      </c>
      <c r="V884" t="s">
        <v>46</v>
      </c>
      <c r="W884">
        <v>2</v>
      </c>
      <c r="X884" t="s">
        <v>34</v>
      </c>
    </row>
    <row r="885" spans="1:24" x14ac:dyDescent="0.35">
      <c r="A885" t="s">
        <v>1686</v>
      </c>
      <c r="B885" t="s">
        <v>48</v>
      </c>
      <c r="C885" t="s">
        <v>534</v>
      </c>
      <c r="D885">
        <v>50</v>
      </c>
      <c r="E885">
        <v>1974</v>
      </c>
      <c r="F885">
        <v>65000</v>
      </c>
      <c r="G885" t="s">
        <v>38</v>
      </c>
      <c r="H885" t="s">
        <v>70</v>
      </c>
      <c r="I885" t="s">
        <v>89</v>
      </c>
      <c r="J885" s="14">
        <v>43881</v>
      </c>
      <c r="K885" t="s">
        <v>52</v>
      </c>
      <c r="L885">
        <v>74</v>
      </c>
      <c r="M885" t="s">
        <v>535</v>
      </c>
      <c r="N885" t="s">
        <v>54</v>
      </c>
      <c r="O885" t="s">
        <v>72</v>
      </c>
      <c r="P885" t="s">
        <v>481</v>
      </c>
      <c r="Q885">
        <v>5</v>
      </c>
      <c r="V885" t="s">
        <v>34</v>
      </c>
      <c r="W885">
        <v>3</v>
      </c>
      <c r="X885" t="s">
        <v>34</v>
      </c>
    </row>
    <row r="886" spans="1:24" x14ac:dyDescent="0.35">
      <c r="A886" t="s">
        <v>1687</v>
      </c>
      <c r="B886" t="s">
        <v>68</v>
      </c>
      <c r="C886" t="s">
        <v>256</v>
      </c>
      <c r="E886">
        <v>1983</v>
      </c>
      <c r="F886">
        <v>50000</v>
      </c>
      <c r="G886" t="s">
        <v>27</v>
      </c>
      <c r="H886" t="s">
        <v>64</v>
      </c>
      <c r="I886" t="s">
        <v>89</v>
      </c>
      <c r="J886" s="14">
        <v>43549</v>
      </c>
      <c r="K886" t="s">
        <v>59</v>
      </c>
      <c r="L886">
        <v>100</v>
      </c>
      <c r="M886" t="s">
        <v>257</v>
      </c>
      <c r="N886" t="s">
        <v>43</v>
      </c>
      <c r="O886" t="s">
        <v>44</v>
      </c>
      <c r="Q886">
        <v>7</v>
      </c>
      <c r="V886" t="s">
        <v>33</v>
      </c>
      <c r="W886">
        <v>1</v>
      </c>
      <c r="X886" t="s">
        <v>34</v>
      </c>
    </row>
    <row r="887" spans="1:24" x14ac:dyDescent="0.35">
      <c r="A887" t="s">
        <v>1688</v>
      </c>
      <c r="B887" t="s">
        <v>56</v>
      </c>
      <c r="C887" t="s">
        <v>1332</v>
      </c>
      <c r="D887">
        <v>40</v>
      </c>
      <c r="E887">
        <v>1984</v>
      </c>
      <c r="F887">
        <v>70000</v>
      </c>
      <c r="G887" t="s">
        <v>38</v>
      </c>
      <c r="H887" t="s">
        <v>70</v>
      </c>
      <c r="I887" t="s">
        <v>89</v>
      </c>
      <c r="J887" s="14">
        <v>43881</v>
      </c>
      <c r="K887" t="s">
        <v>30</v>
      </c>
      <c r="L887">
        <v>66</v>
      </c>
      <c r="M887" t="s">
        <v>1333</v>
      </c>
      <c r="O887" t="s">
        <v>66</v>
      </c>
      <c r="P887" t="s">
        <v>1689</v>
      </c>
      <c r="Q887">
        <v>4</v>
      </c>
      <c r="V887" t="s">
        <v>34</v>
      </c>
      <c r="W887">
        <v>1</v>
      </c>
      <c r="X887" t="s">
        <v>34</v>
      </c>
    </row>
    <row r="888" spans="1:24" x14ac:dyDescent="0.35">
      <c r="A888" t="s">
        <v>1690</v>
      </c>
      <c r="B888" t="s">
        <v>25</v>
      </c>
      <c r="C888" t="s">
        <v>81</v>
      </c>
      <c r="D888">
        <v>50</v>
      </c>
      <c r="E888">
        <v>1974</v>
      </c>
      <c r="F888">
        <v>50000</v>
      </c>
      <c r="G888" t="s">
        <v>38</v>
      </c>
      <c r="H888" t="s">
        <v>58</v>
      </c>
      <c r="I888" t="s">
        <v>94</v>
      </c>
      <c r="J888" s="14">
        <v>43800</v>
      </c>
      <c r="K888" t="s">
        <v>78</v>
      </c>
      <c r="L888">
        <v>82</v>
      </c>
      <c r="M888" t="s">
        <v>401</v>
      </c>
      <c r="N888" t="s">
        <v>104</v>
      </c>
      <c r="O888" t="s">
        <v>112</v>
      </c>
      <c r="Q888">
        <v>3</v>
      </c>
      <c r="U888">
        <v>50</v>
      </c>
      <c r="V888" t="s">
        <v>34</v>
      </c>
      <c r="W888">
        <v>3</v>
      </c>
      <c r="X888" t="s">
        <v>34</v>
      </c>
    </row>
    <row r="889" spans="1:24" x14ac:dyDescent="0.35">
      <c r="A889" t="s">
        <v>1691</v>
      </c>
      <c r="B889" t="s">
        <v>68</v>
      </c>
      <c r="C889" t="s">
        <v>1275</v>
      </c>
      <c r="D889">
        <v>25</v>
      </c>
      <c r="E889">
        <v>1999</v>
      </c>
      <c r="F889">
        <v>50000</v>
      </c>
      <c r="G889" t="s">
        <v>27</v>
      </c>
      <c r="H889" t="s">
        <v>145</v>
      </c>
      <c r="I889" t="s">
        <v>94</v>
      </c>
      <c r="J889" s="14">
        <v>43549</v>
      </c>
      <c r="K889" t="s">
        <v>59</v>
      </c>
      <c r="L889">
        <v>94</v>
      </c>
      <c r="M889" t="s">
        <v>1692</v>
      </c>
      <c r="N889" t="s">
        <v>61</v>
      </c>
      <c r="O889" t="s">
        <v>66</v>
      </c>
      <c r="Q889">
        <v>1</v>
      </c>
      <c r="S889">
        <v>9</v>
      </c>
      <c r="W889">
        <v>1</v>
      </c>
      <c r="X889" t="s">
        <v>46</v>
      </c>
    </row>
    <row r="890" spans="1:24" x14ac:dyDescent="0.35">
      <c r="A890" t="s">
        <v>1693</v>
      </c>
      <c r="B890" t="s">
        <v>114</v>
      </c>
      <c r="C890" t="s">
        <v>176</v>
      </c>
      <c r="E890">
        <v>1977</v>
      </c>
      <c r="F890">
        <v>55000</v>
      </c>
      <c r="G890" t="s">
        <v>38</v>
      </c>
      <c r="H890" t="s">
        <v>145</v>
      </c>
      <c r="I890" t="s">
        <v>40</v>
      </c>
      <c r="J890" s="14">
        <v>43881</v>
      </c>
      <c r="K890" t="s">
        <v>41</v>
      </c>
      <c r="L890">
        <v>21</v>
      </c>
      <c r="M890" t="s">
        <v>1694</v>
      </c>
      <c r="N890" t="s">
        <v>61</v>
      </c>
      <c r="O890" t="s">
        <v>72</v>
      </c>
      <c r="P890" t="s">
        <v>62</v>
      </c>
      <c r="Q890">
        <v>7</v>
      </c>
      <c r="S890">
        <v>13</v>
      </c>
      <c r="T890" t="s">
        <v>79</v>
      </c>
      <c r="V890" t="s">
        <v>33</v>
      </c>
      <c r="W890">
        <v>1</v>
      </c>
      <c r="X890" t="s">
        <v>46</v>
      </c>
    </row>
    <row r="891" spans="1:24" x14ac:dyDescent="0.35">
      <c r="A891" t="s">
        <v>1695</v>
      </c>
      <c r="B891" t="s">
        <v>48</v>
      </c>
      <c r="C891" t="s">
        <v>167</v>
      </c>
      <c r="D891" t="s">
        <v>88</v>
      </c>
      <c r="E891">
        <v>1994</v>
      </c>
      <c r="F891">
        <v>70000</v>
      </c>
      <c r="G891" t="s">
        <v>27</v>
      </c>
      <c r="H891" t="s">
        <v>122</v>
      </c>
      <c r="I891" t="s">
        <v>40</v>
      </c>
      <c r="J891" s="14">
        <v>43549</v>
      </c>
      <c r="K891" t="s">
        <v>78</v>
      </c>
      <c r="L891">
        <v>88</v>
      </c>
      <c r="M891" t="s">
        <v>1696</v>
      </c>
      <c r="N891" t="s">
        <v>43</v>
      </c>
      <c r="O891" t="s">
        <v>112</v>
      </c>
      <c r="Q891">
        <v>8</v>
      </c>
      <c r="V891" t="s">
        <v>34</v>
      </c>
      <c r="W891">
        <v>5</v>
      </c>
      <c r="X891" t="s">
        <v>46</v>
      </c>
    </row>
    <row r="892" spans="1:24" x14ac:dyDescent="0.35">
      <c r="A892" t="s">
        <v>1697</v>
      </c>
      <c r="B892" t="s">
        <v>114</v>
      </c>
      <c r="C892" t="s">
        <v>115</v>
      </c>
      <c r="D892">
        <v>50</v>
      </c>
      <c r="E892">
        <v>1974</v>
      </c>
      <c r="F892">
        <v>65000</v>
      </c>
      <c r="G892" t="s">
        <v>38</v>
      </c>
      <c r="H892" t="s">
        <v>145</v>
      </c>
      <c r="I892" t="s">
        <v>29</v>
      </c>
      <c r="J892" s="14">
        <v>43845</v>
      </c>
      <c r="K892" t="s">
        <v>78</v>
      </c>
      <c r="L892">
        <v>82</v>
      </c>
      <c r="M892" t="s">
        <v>182</v>
      </c>
      <c r="N892" t="s">
        <v>54</v>
      </c>
      <c r="O892" t="s">
        <v>66</v>
      </c>
      <c r="Q892">
        <v>1</v>
      </c>
      <c r="R892">
        <v>6</v>
      </c>
      <c r="S892">
        <v>8</v>
      </c>
      <c r="T892" s="14">
        <v>44990</v>
      </c>
      <c r="W892">
        <v>1</v>
      </c>
      <c r="X892" t="s">
        <v>46</v>
      </c>
    </row>
    <row r="893" spans="1:24" x14ac:dyDescent="0.35">
      <c r="A893" t="s">
        <v>1698</v>
      </c>
      <c r="B893" t="s">
        <v>36</v>
      </c>
      <c r="C893" t="s">
        <v>299</v>
      </c>
      <c r="D893">
        <v>25</v>
      </c>
      <c r="E893">
        <v>1999</v>
      </c>
      <c r="F893">
        <v>55000</v>
      </c>
      <c r="G893" t="s">
        <v>27</v>
      </c>
      <c r="H893" t="s">
        <v>28</v>
      </c>
      <c r="I893" t="s">
        <v>94</v>
      </c>
      <c r="J893" s="14">
        <v>43195</v>
      </c>
      <c r="K893" t="s">
        <v>30</v>
      </c>
      <c r="L893">
        <v>64</v>
      </c>
      <c r="M893" t="s">
        <v>1699</v>
      </c>
      <c r="N893" t="s">
        <v>43</v>
      </c>
      <c r="O893" t="s">
        <v>66</v>
      </c>
      <c r="Q893">
        <v>6</v>
      </c>
      <c r="R893">
        <v>5</v>
      </c>
      <c r="U893">
        <v>47</v>
      </c>
      <c r="V893" t="s">
        <v>33</v>
      </c>
      <c r="W893">
        <v>5</v>
      </c>
      <c r="X893" t="s">
        <v>34</v>
      </c>
    </row>
    <row r="894" spans="1:24" x14ac:dyDescent="0.35">
      <c r="A894" t="s">
        <v>1700</v>
      </c>
      <c r="B894" t="s">
        <v>131</v>
      </c>
      <c r="C894" t="s">
        <v>338</v>
      </c>
      <c r="D894">
        <v>35</v>
      </c>
      <c r="E894">
        <v>1989</v>
      </c>
      <c r="F894">
        <v>50000</v>
      </c>
      <c r="G894" t="s">
        <v>27</v>
      </c>
      <c r="H894" t="s">
        <v>58</v>
      </c>
      <c r="I894" t="s">
        <v>94</v>
      </c>
      <c r="J894" s="14">
        <v>43881</v>
      </c>
      <c r="K894" t="s">
        <v>52</v>
      </c>
      <c r="L894">
        <v>75</v>
      </c>
      <c r="M894" t="s">
        <v>1701</v>
      </c>
      <c r="N894" t="s">
        <v>61</v>
      </c>
      <c r="O894" t="s">
        <v>174</v>
      </c>
      <c r="Q894">
        <v>7</v>
      </c>
      <c r="T894" s="14">
        <v>45516</v>
      </c>
      <c r="V894" t="s">
        <v>73</v>
      </c>
      <c r="W894">
        <v>4</v>
      </c>
      <c r="X894" t="s">
        <v>34</v>
      </c>
    </row>
    <row r="895" spans="1:24" x14ac:dyDescent="0.35">
      <c r="A895" t="s">
        <v>1702</v>
      </c>
      <c r="B895" t="s">
        <v>56</v>
      </c>
      <c r="C895" t="s">
        <v>676</v>
      </c>
      <c r="D895">
        <v>25</v>
      </c>
      <c r="E895">
        <v>1999</v>
      </c>
      <c r="F895">
        <v>60300</v>
      </c>
      <c r="G895" t="s">
        <v>27</v>
      </c>
      <c r="H895" t="s">
        <v>70</v>
      </c>
      <c r="I895" t="s">
        <v>94</v>
      </c>
      <c r="J895" s="14">
        <v>43800</v>
      </c>
      <c r="K895" t="s">
        <v>52</v>
      </c>
      <c r="L895">
        <v>74</v>
      </c>
      <c r="M895" t="s">
        <v>677</v>
      </c>
      <c r="N895" t="s">
        <v>104</v>
      </c>
      <c r="O895" t="s">
        <v>112</v>
      </c>
      <c r="P895" t="s">
        <v>1703</v>
      </c>
      <c r="Q895">
        <v>3</v>
      </c>
      <c r="U895">
        <v>71</v>
      </c>
      <c r="V895" t="s">
        <v>73</v>
      </c>
      <c r="W895">
        <v>2</v>
      </c>
      <c r="X895" t="s">
        <v>34</v>
      </c>
    </row>
    <row r="896" spans="1:24" x14ac:dyDescent="0.35">
      <c r="A896" t="s">
        <v>1704</v>
      </c>
      <c r="B896" t="s">
        <v>140</v>
      </c>
      <c r="C896" t="s">
        <v>268</v>
      </c>
      <c r="D896">
        <v>25</v>
      </c>
      <c r="E896">
        <v>1999</v>
      </c>
      <c r="F896">
        <v>50000</v>
      </c>
      <c r="G896" t="s">
        <v>27</v>
      </c>
      <c r="H896" t="s">
        <v>58</v>
      </c>
      <c r="I896" t="s">
        <v>40</v>
      </c>
      <c r="J896" s="14">
        <v>43845</v>
      </c>
      <c r="K896" t="s">
        <v>78</v>
      </c>
      <c r="L896">
        <v>85</v>
      </c>
      <c r="M896" t="s">
        <v>269</v>
      </c>
      <c r="N896" t="s">
        <v>61</v>
      </c>
      <c r="O896" t="s">
        <v>66</v>
      </c>
      <c r="P896" t="s">
        <v>1705</v>
      </c>
      <c r="Q896">
        <v>8</v>
      </c>
      <c r="V896" t="s">
        <v>34</v>
      </c>
      <c r="W896">
        <v>1</v>
      </c>
      <c r="X896" t="s">
        <v>34</v>
      </c>
    </row>
    <row r="897" spans="1:24" x14ac:dyDescent="0.35">
      <c r="A897" t="s">
        <v>1706</v>
      </c>
      <c r="B897" t="s">
        <v>131</v>
      </c>
      <c r="C897" t="s">
        <v>783</v>
      </c>
      <c r="E897">
        <v>1986</v>
      </c>
      <c r="F897">
        <v>50000</v>
      </c>
      <c r="G897" t="s">
        <v>38</v>
      </c>
      <c r="H897" t="s">
        <v>64</v>
      </c>
      <c r="I897" t="s">
        <v>89</v>
      </c>
      <c r="J897" s="14">
        <v>43881</v>
      </c>
      <c r="K897" t="s">
        <v>59</v>
      </c>
      <c r="L897">
        <v>97</v>
      </c>
      <c r="M897" t="s">
        <v>1707</v>
      </c>
      <c r="O897" t="s">
        <v>174</v>
      </c>
      <c r="P897" t="s">
        <v>1708</v>
      </c>
      <c r="Q897">
        <v>2</v>
      </c>
      <c r="R897" t="s">
        <v>79</v>
      </c>
      <c r="W897">
        <v>4</v>
      </c>
      <c r="X897" t="s">
        <v>34</v>
      </c>
    </row>
    <row r="898" spans="1:24" x14ac:dyDescent="0.35">
      <c r="A898" t="s">
        <v>1709</v>
      </c>
      <c r="B898" t="s">
        <v>140</v>
      </c>
      <c r="C898" t="s">
        <v>189</v>
      </c>
      <c r="D898" t="s">
        <v>88</v>
      </c>
      <c r="E898">
        <v>1994</v>
      </c>
      <c r="F898">
        <v>70000</v>
      </c>
      <c r="G898" t="s">
        <v>38</v>
      </c>
      <c r="H898" t="s">
        <v>70</v>
      </c>
      <c r="I898" t="s">
        <v>77</v>
      </c>
      <c r="J898" s="14">
        <v>43845</v>
      </c>
      <c r="K898" t="s">
        <v>41</v>
      </c>
      <c r="L898">
        <v>4</v>
      </c>
      <c r="M898" t="s">
        <v>1710</v>
      </c>
      <c r="N898" t="s">
        <v>61</v>
      </c>
      <c r="O898" t="s">
        <v>174</v>
      </c>
      <c r="Q898">
        <v>8</v>
      </c>
      <c r="S898">
        <v>12</v>
      </c>
      <c r="U898">
        <v>70</v>
      </c>
      <c r="W898">
        <v>5</v>
      </c>
      <c r="X898" t="s">
        <v>34</v>
      </c>
    </row>
    <row r="899" spans="1:24" x14ac:dyDescent="0.35">
      <c r="A899" t="s">
        <v>1711</v>
      </c>
      <c r="B899" t="s">
        <v>48</v>
      </c>
      <c r="C899" t="s">
        <v>546</v>
      </c>
      <c r="D899">
        <v>35</v>
      </c>
      <c r="E899">
        <v>1989</v>
      </c>
      <c r="F899">
        <v>70000</v>
      </c>
      <c r="G899" t="s">
        <v>38</v>
      </c>
      <c r="H899" t="s">
        <v>39</v>
      </c>
      <c r="I899" t="s">
        <v>40</v>
      </c>
      <c r="J899" s="14">
        <v>43800</v>
      </c>
      <c r="K899" t="s">
        <v>41</v>
      </c>
      <c r="L899">
        <v>55</v>
      </c>
      <c r="M899" t="s">
        <v>1712</v>
      </c>
      <c r="N899" t="s">
        <v>61</v>
      </c>
      <c r="O899" t="s">
        <v>112</v>
      </c>
      <c r="Q899">
        <v>6</v>
      </c>
      <c r="S899">
        <v>11</v>
      </c>
      <c r="V899" t="s">
        <v>46</v>
      </c>
      <c r="W899">
        <v>4</v>
      </c>
      <c r="X899" t="s">
        <v>34</v>
      </c>
    </row>
    <row r="900" spans="1:24" x14ac:dyDescent="0.35">
      <c r="A900" t="s">
        <v>1713</v>
      </c>
      <c r="B900" t="s">
        <v>107</v>
      </c>
      <c r="C900" t="s">
        <v>179</v>
      </c>
      <c r="D900">
        <v>40</v>
      </c>
      <c r="E900">
        <v>1984</v>
      </c>
      <c r="F900">
        <v>55000</v>
      </c>
      <c r="G900" t="s">
        <v>27</v>
      </c>
      <c r="H900" t="s">
        <v>70</v>
      </c>
      <c r="I900" t="s">
        <v>94</v>
      </c>
      <c r="J900" s="14">
        <v>43881</v>
      </c>
      <c r="K900" t="s">
        <v>59</v>
      </c>
      <c r="L900">
        <v>100</v>
      </c>
      <c r="M900" t="s">
        <v>1714</v>
      </c>
      <c r="O900" t="s">
        <v>66</v>
      </c>
      <c r="Q900">
        <v>1</v>
      </c>
      <c r="T900" s="14">
        <v>44941</v>
      </c>
      <c r="U900">
        <v>47</v>
      </c>
      <c r="V900" t="s">
        <v>46</v>
      </c>
      <c r="W900">
        <v>2</v>
      </c>
      <c r="X900" t="s">
        <v>46</v>
      </c>
    </row>
    <row r="901" spans="1:24" x14ac:dyDescent="0.35">
      <c r="A901" t="s">
        <v>1715</v>
      </c>
      <c r="B901" t="s">
        <v>25</v>
      </c>
      <c r="C901" t="s">
        <v>328</v>
      </c>
      <c r="D901">
        <v>40</v>
      </c>
      <c r="E901">
        <v>1984</v>
      </c>
      <c r="F901">
        <v>65000</v>
      </c>
      <c r="G901" t="s">
        <v>38</v>
      </c>
      <c r="H901" t="s">
        <v>145</v>
      </c>
      <c r="I901" t="s">
        <v>40</v>
      </c>
      <c r="J901" s="14">
        <v>43800</v>
      </c>
      <c r="K901" t="s">
        <v>78</v>
      </c>
      <c r="L901">
        <v>82</v>
      </c>
      <c r="M901" t="s">
        <v>329</v>
      </c>
      <c r="N901" t="s">
        <v>54</v>
      </c>
      <c r="O901" t="s">
        <v>174</v>
      </c>
      <c r="Q901">
        <v>1</v>
      </c>
      <c r="V901" t="s">
        <v>169</v>
      </c>
      <c r="W901">
        <v>4</v>
      </c>
      <c r="X901" t="s">
        <v>46</v>
      </c>
    </row>
    <row r="902" spans="1:24" x14ac:dyDescent="0.35">
      <c r="A902" t="s">
        <v>1716</v>
      </c>
      <c r="B902" t="s">
        <v>75</v>
      </c>
      <c r="C902" t="s">
        <v>343</v>
      </c>
      <c r="D902">
        <v>25</v>
      </c>
      <c r="E902">
        <v>1999</v>
      </c>
      <c r="F902">
        <v>55000</v>
      </c>
      <c r="G902" t="s">
        <v>27</v>
      </c>
      <c r="H902" t="s">
        <v>122</v>
      </c>
      <c r="I902" t="s">
        <v>29</v>
      </c>
      <c r="J902" s="14">
        <v>43549</v>
      </c>
      <c r="K902" t="s">
        <v>41</v>
      </c>
      <c r="L902">
        <v>20</v>
      </c>
      <c r="M902" t="s">
        <v>1717</v>
      </c>
      <c r="N902" t="s">
        <v>61</v>
      </c>
      <c r="O902" t="s">
        <v>44</v>
      </c>
      <c r="Q902">
        <v>4</v>
      </c>
      <c r="T902" t="s">
        <v>79</v>
      </c>
      <c r="V902" t="s">
        <v>34</v>
      </c>
      <c r="W902">
        <v>5</v>
      </c>
      <c r="X902" t="s">
        <v>34</v>
      </c>
    </row>
    <row r="903" spans="1:24" x14ac:dyDescent="0.35">
      <c r="A903" t="s">
        <v>1718</v>
      </c>
      <c r="B903" t="s">
        <v>131</v>
      </c>
      <c r="C903" t="s">
        <v>216</v>
      </c>
      <c r="E903">
        <v>1989</v>
      </c>
      <c r="F903" t="s">
        <v>50</v>
      </c>
      <c r="G903" t="s">
        <v>27</v>
      </c>
      <c r="H903" t="s">
        <v>82</v>
      </c>
      <c r="I903" t="s">
        <v>94</v>
      </c>
      <c r="J903" s="14">
        <v>43800</v>
      </c>
      <c r="K903" t="s">
        <v>52</v>
      </c>
      <c r="L903">
        <v>77</v>
      </c>
      <c r="M903" t="s">
        <v>217</v>
      </c>
      <c r="N903" t="s">
        <v>43</v>
      </c>
      <c r="O903" t="s">
        <v>112</v>
      </c>
      <c r="Q903">
        <v>7</v>
      </c>
      <c r="T903" t="s">
        <v>79</v>
      </c>
      <c r="U903">
        <v>40</v>
      </c>
      <c r="V903" t="s">
        <v>73</v>
      </c>
      <c r="W903">
        <v>4</v>
      </c>
      <c r="X903" t="s">
        <v>34</v>
      </c>
    </row>
    <row r="904" spans="1:24" x14ac:dyDescent="0.35">
      <c r="A904" t="s">
        <v>1719</v>
      </c>
      <c r="B904" t="s">
        <v>56</v>
      </c>
      <c r="C904" t="s">
        <v>676</v>
      </c>
      <c r="E904">
        <v>1981</v>
      </c>
      <c r="F904">
        <v>50000</v>
      </c>
      <c r="G904" t="s">
        <v>27</v>
      </c>
      <c r="H904" t="s">
        <v>70</v>
      </c>
      <c r="I904" t="s">
        <v>29</v>
      </c>
      <c r="J904" s="14">
        <v>43549</v>
      </c>
      <c r="K904" t="s">
        <v>59</v>
      </c>
      <c r="L904">
        <v>92</v>
      </c>
      <c r="M904" t="s">
        <v>677</v>
      </c>
      <c r="N904" t="s">
        <v>61</v>
      </c>
      <c r="O904" t="s">
        <v>44</v>
      </c>
      <c r="P904" t="s">
        <v>1720</v>
      </c>
      <c r="Q904">
        <v>2</v>
      </c>
      <c r="T904" s="14">
        <v>44470</v>
      </c>
      <c r="U904">
        <v>10</v>
      </c>
      <c r="V904" t="s">
        <v>169</v>
      </c>
      <c r="W904">
        <v>2</v>
      </c>
      <c r="X904" t="s">
        <v>34</v>
      </c>
    </row>
    <row r="905" spans="1:24" x14ac:dyDescent="0.35">
      <c r="A905" t="s">
        <v>1721</v>
      </c>
      <c r="B905" t="s">
        <v>114</v>
      </c>
      <c r="C905" t="s">
        <v>710</v>
      </c>
      <c r="D905">
        <v>40</v>
      </c>
      <c r="E905">
        <v>1984</v>
      </c>
      <c r="F905">
        <v>60300</v>
      </c>
      <c r="G905" t="s">
        <v>27</v>
      </c>
      <c r="H905" t="s">
        <v>70</v>
      </c>
      <c r="I905" t="s">
        <v>94</v>
      </c>
      <c r="J905" s="14">
        <v>43881</v>
      </c>
      <c r="K905" t="s">
        <v>30</v>
      </c>
      <c r="L905">
        <v>69</v>
      </c>
      <c r="M905" t="s">
        <v>711</v>
      </c>
      <c r="N905" t="s">
        <v>43</v>
      </c>
      <c r="O905" t="s">
        <v>32</v>
      </c>
      <c r="Q905">
        <v>6</v>
      </c>
      <c r="V905" t="s">
        <v>169</v>
      </c>
      <c r="W905">
        <v>4</v>
      </c>
      <c r="X905" t="s">
        <v>34</v>
      </c>
    </row>
    <row r="906" spans="1:24" x14ac:dyDescent="0.35">
      <c r="A906" t="s">
        <v>1722</v>
      </c>
      <c r="B906" t="s">
        <v>56</v>
      </c>
      <c r="C906" t="s">
        <v>783</v>
      </c>
      <c r="D906">
        <v>35</v>
      </c>
      <c r="E906">
        <v>1989</v>
      </c>
      <c r="F906">
        <v>50000</v>
      </c>
      <c r="G906" t="s">
        <v>38</v>
      </c>
      <c r="H906" t="s">
        <v>39</v>
      </c>
      <c r="I906" t="s">
        <v>40</v>
      </c>
      <c r="J906" s="14">
        <v>43549</v>
      </c>
      <c r="K906" t="s">
        <v>78</v>
      </c>
      <c r="L906">
        <v>87</v>
      </c>
      <c r="M906" t="s">
        <v>1723</v>
      </c>
      <c r="O906" t="s">
        <v>100</v>
      </c>
      <c r="Q906">
        <v>6</v>
      </c>
      <c r="T906" s="14">
        <v>44941</v>
      </c>
      <c r="U906">
        <v>29</v>
      </c>
      <c r="V906" t="s">
        <v>73</v>
      </c>
      <c r="W906">
        <v>2</v>
      </c>
      <c r="X906" t="s">
        <v>34</v>
      </c>
    </row>
    <row r="907" spans="1:24" x14ac:dyDescent="0.35">
      <c r="A907" t="s">
        <v>1724</v>
      </c>
      <c r="B907" t="s">
        <v>48</v>
      </c>
      <c r="C907" t="s">
        <v>524</v>
      </c>
      <c r="D907" t="s">
        <v>88</v>
      </c>
      <c r="E907">
        <v>1994</v>
      </c>
      <c r="F907">
        <v>50000</v>
      </c>
      <c r="G907" t="s">
        <v>38</v>
      </c>
      <c r="H907" t="s">
        <v>145</v>
      </c>
      <c r="I907" t="s">
        <v>89</v>
      </c>
      <c r="J907" s="14">
        <v>43881</v>
      </c>
      <c r="K907" t="s">
        <v>59</v>
      </c>
      <c r="L907">
        <v>96</v>
      </c>
      <c r="M907" t="s">
        <v>1725</v>
      </c>
      <c r="N907" t="s">
        <v>61</v>
      </c>
      <c r="O907" t="s">
        <v>44</v>
      </c>
      <c r="Q907">
        <v>5</v>
      </c>
      <c r="R907">
        <v>14</v>
      </c>
      <c r="W907">
        <v>2</v>
      </c>
      <c r="X907" t="s">
        <v>34</v>
      </c>
    </row>
    <row r="908" spans="1:24" x14ac:dyDescent="0.35">
      <c r="A908" t="s">
        <v>1726</v>
      </c>
      <c r="B908" t="s">
        <v>140</v>
      </c>
      <c r="C908" t="s">
        <v>84</v>
      </c>
      <c r="D908">
        <v>35</v>
      </c>
      <c r="E908">
        <v>1989</v>
      </c>
      <c r="F908">
        <v>55000</v>
      </c>
      <c r="G908" t="s">
        <v>27</v>
      </c>
      <c r="H908" t="s">
        <v>64</v>
      </c>
      <c r="I908" t="s">
        <v>77</v>
      </c>
      <c r="J908" s="14">
        <v>43881</v>
      </c>
      <c r="K908" t="s">
        <v>41</v>
      </c>
      <c r="L908">
        <v>12</v>
      </c>
      <c r="M908" t="s">
        <v>1727</v>
      </c>
      <c r="O908" t="s">
        <v>66</v>
      </c>
      <c r="Q908">
        <v>3</v>
      </c>
      <c r="T908" s="14">
        <v>44732</v>
      </c>
      <c r="V908" t="s">
        <v>169</v>
      </c>
      <c r="W908">
        <v>3</v>
      </c>
      <c r="X908" t="s">
        <v>46</v>
      </c>
    </row>
    <row r="909" spans="1:24" x14ac:dyDescent="0.35">
      <c r="A909" t="s">
        <v>1728</v>
      </c>
      <c r="B909" t="s">
        <v>114</v>
      </c>
      <c r="C909" t="s">
        <v>167</v>
      </c>
      <c r="D909">
        <v>50</v>
      </c>
      <c r="E909">
        <v>1974</v>
      </c>
      <c r="F909">
        <v>59500</v>
      </c>
      <c r="G909" t="s">
        <v>27</v>
      </c>
      <c r="H909" t="s">
        <v>64</v>
      </c>
      <c r="I909" t="s">
        <v>29</v>
      </c>
      <c r="J909" s="14">
        <v>43195</v>
      </c>
      <c r="K909" t="s">
        <v>78</v>
      </c>
      <c r="L909">
        <v>80</v>
      </c>
      <c r="M909" t="s">
        <v>1729</v>
      </c>
      <c r="O909" t="s">
        <v>72</v>
      </c>
      <c r="Q909">
        <v>5</v>
      </c>
      <c r="V909" t="s">
        <v>34</v>
      </c>
      <c r="W909">
        <v>2</v>
      </c>
      <c r="X909" t="s">
        <v>46</v>
      </c>
    </row>
    <row r="910" spans="1:24" x14ac:dyDescent="0.35">
      <c r="A910" t="s">
        <v>1730</v>
      </c>
      <c r="B910" t="s">
        <v>75</v>
      </c>
      <c r="C910" t="s">
        <v>362</v>
      </c>
      <c r="D910">
        <v>50</v>
      </c>
      <c r="E910">
        <v>1974</v>
      </c>
      <c r="F910">
        <v>63000</v>
      </c>
      <c r="G910" t="s">
        <v>27</v>
      </c>
      <c r="H910" t="s">
        <v>51</v>
      </c>
      <c r="I910" t="s">
        <v>40</v>
      </c>
      <c r="J910" s="14">
        <v>43881</v>
      </c>
      <c r="K910" t="s">
        <v>52</v>
      </c>
      <c r="L910">
        <v>73</v>
      </c>
      <c r="M910" t="s">
        <v>363</v>
      </c>
      <c r="N910" t="s">
        <v>54</v>
      </c>
      <c r="O910" t="s">
        <v>32</v>
      </c>
      <c r="P910" t="s">
        <v>297</v>
      </c>
      <c r="Q910">
        <v>4</v>
      </c>
      <c r="R910" t="s">
        <v>79</v>
      </c>
      <c r="S910">
        <v>18</v>
      </c>
      <c r="U910">
        <v>13</v>
      </c>
      <c r="V910" t="s">
        <v>73</v>
      </c>
      <c r="W910">
        <v>5</v>
      </c>
      <c r="X910" t="s">
        <v>34</v>
      </c>
    </row>
    <row r="911" spans="1:24" x14ac:dyDescent="0.35">
      <c r="A911" t="s">
        <v>1731</v>
      </c>
      <c r="B911" t="s">
        <v>75</v>
      </c>
      <c r="C911" t="s">
        <v>819</v>
      </c>
      <c r="D911" t="s">
        <v>88</v>
      </c>
      <c r="E911">
        <v>1994</v>
      </c>
      <c r="F911">
        <v>61500</v>
      </c>
      <c r="G911" t="s">
        <v>27</v>
      </c>
      <c r="H911" t="s">
        <v>28</v>
      </c>
      <c r="I911" t="s">
        <v>89</v>
      </c>
      <c r="J911" s="14">
        <v>43549</v>
      </c>
      <c r="K911" t="s">
        <v>78</v>
      </c>
      <c r="L911">
        <v>84</v>
      </c>
      <c r="M911" t="s">
        <v>820</v>
      </c>
      <c r="N911" t="s">
        <v>61</v>
      </c>
      <c r="O911" t="s">
        <v>44</v>
      </c>
      <c r="P911" t="s">
        <v>1732</v>
      </c>
      <c r="Q911">
        <v>5</v>
      </c>
      <c r="W911">
        <v>5</v>
      </c>
      <c r="X911" t="s">
        <v>34</v>
      </c>
    </row>
    <row r="912" spans="1:24" x14ac:dyDescent="0.35">
      <c r="A912" t="s">
        <v>1733</v>
      </c>
      <c r="B912" t="s">
        <v>131</v>
      </c>
      <c r="C912" t="s">
        <v>472</v>
      </c>
      <c r="D912">
        <v>40</v>
      </c>
      <c r="E912">
        <v>1984</v>
      </c>
      <c r="F912">
        <v>55000</v>
      </c>
      <c r="G912" t="s">
        <v>27</v>
      </c>
      <c r="H912" t="s">
        <v>64</v>
      </c>
      <c r="I912" t="s">
        <v>40</v>
      </c>
      <c r="J912" s="14">
        <v>43195</v>
      </c>
      <c r="K912" t="s">
        <v>78</v>
      </c>
      <c r="L912">
        <v>89</v>
      </c>
      <c r="M912" t="s">
        <v>473</v>
      </c>
      <c r="N912" t="s">
        <v>43</v>
      </c>
      <c r="O912" t="s">
        <v>174</v>
      </c>
      <c r="Q912">
        <v>8</v>
      </c>
      <c r="S912">
        <v>15</v>
      </c>
      <c r="U912">
        <v>26</v>
      </c>
      <c r="V912" t="s">
        <v>33</v>
      </c>
      <c r="W912">
        <v>1</v>
      </c>
      <c r="X912" t="s">
        <v>46</v>
      </c>
    </row>
    <row r="913" spans="1:24" x14ac:dyDescent="0.35">
      <c r="A913" t="s">
        <v>1734</v>
      </c>
      <c r="B913" t="s">
        <v>48</v>
      </c>
      <c r="C913" t="s">
        <v>262</v>
      </c>
      <c r="D913" t="s">
        <v>88</v>
      </c>
      <c r="E913">
        <v>1994</v>
      </c>
      <c r="F913">
        <v>50000</v>
      </c>
      <c r="G913" t="s">
        <v>27</v>
      </c>
      <c r="H913" t="s">
        <v>64</v>
      </c>
      <c r="I913" t="s">
        <v>29</v>
      </c>
      <c r="J913" s="14">
        <v>43195</v>
      </c>
      <c r="K913" t="s">
        <v>52</v>
      </c>
      <c r="L913">
        <v>74</v>
      </c>
      <c r="M913" t="s">
        <v>263</v>
      </c>
      <c r="N913" t="s">
        <v>43</v>
      </c>
      <c r="O913" t="s">
        <v>32</v>
      </c>
      <c r="Q913">
        <v>6</v>
      </c>
      <c r="R913">
        <v>3</v>
      </c>
      <c r="S913">
        <v>8</v>
      </c>
      <c r="T913" t="s">
        <v>79</v>
      </c>
      <c r="V913" t="s">
        <v>46</v>
      </c>
      <c r="W913">
        <v>2</v>
      </c>
      <c r="X913" t="s">
        <v>46</v>
      </c>
    </row>
    <row r="914" spans="1:24" x14ac:dyDescent="0.35">
      <c r="A914" t="s">
        <v>1735</v>
      </c>
      <c r="B914" t="s">
        <v>107</v>
      </c>
      <c r="C914" t="s">
        <v>244</v>
      </c>
      <c r="E914">
        <v>1991</v>
      </c>
      <c r="F914">
        <v>55000</v>
      </c>
      <c r="G914" t="s">
        <v>38</v>
      </c>
      <c r="H914" t="s">
        <v>93</v>
      </c>
      <c r="I914" t="s">
        <v>77</v>
      </c>
      <c r="J914" s="14">
        <v>43881</v>
      </c>
      <c r="K914" t="s">
        <v>52</v>
      </c>
      <c r="L914">
        <v>78</v>
      </c>
      <c r="M914" t="s">
        <v>245</v>
      </c>
      <c r="N914" t="s">
        <v>61</v>
      </c>
      <c r="O914" t="s">
        <v>44</v>
      </c>
      <c r="P914" t="s">
        <v>181</v>
      </c>
      <c r="Q914">
        <v>6</v>
      </c>
      <c r="R914" t="s">
        <v>79</v>
      </c>
      <c r="T914" s="14">
        <v>44470</v>
      </c>
      <c r="V914" t="s">
        <v>46</v>
      </c>
      <c r="W914">
        <v>5</v>
      </c>
      <c r="X914" t="s">
        <v>46</v>
      </c>
    </row>
    <row r="915" spans="1:24" x14ac:dyDescent="0.35">
      <c r="A915" t="s">
        <v>1736</v>
      </c>
      <c r="B915" t="s">
        <v>48</v>
      </c>
      <c r="C915" t="s">
        <v>26</v>
      </c>
      <c r="D915">
        <v>50</v>
      </c>
      <c r="E915">
        <v>1974</v>
      </c>
      <c r="F915">
        <v>70000</v>
      </c>
      <c r="G915" t="s">
        <v>38</v>
      </c>
      <c r="H915" t="s">
        <v>145</v>
      </c>
      <c r="I915" t="s">
        <v>40</v>
      </c>
      <c r="J915" s="14">
        <v>43800</v>
      </c>
      <c r="K915" t="s">
        <v>78</v>
      </c>
      <c r="L915">
        <v>82</v>
      </c>
      <c r="M915" t="s">
        <v>1737</v>
      </c>
      <c r="N915" t="s">
        <v>54</v>
      </c>
      <c r="O915" t="s">
        <v>174</v>
      </c>
      <c r="Q915">
        <v>3</v>
      </c>
      <c r="S915">
        <v>7</v>
      </c>
      <c r="V915" t="s">
        <v>34</v>
      </c>
      <c r="W915">
        <v>5</v>
      </c>
      <c r="X915" t="s">
        <v>34</v>
      </c>
    </row>
    <row r="916" spans="1:24" x14ac:dyDescent="0.35">
      <c r="A916" t="s">
        <v>1738</v>
      </c>
      <c r="B916" t="s">
        <v>140</v>
      </c>
      <c r="C916" t="s">
        <v>588</v>
      </c>
      <c r="D916">
        <v>25</v>
      </c>
      <c r="E916">
        <v>1999</v>
      </c>
      <c r="F916">
        <v>70000</v>
      </c>
      <c r="G916" t="s">
        <v>38</v>
      </c>
      <c r="H916" t="s">
        <v>122</v>
      </c>
      <c r="I916" t="s">
        <v>94</v>
      </c>
      <c r="J916" s="14">
        <v>43800</v>
      </c>
      <c r="K916" t="s">
        <v>52</v>
      </c>
      <c r="L916">
        <v>76</v>
      </c>
      <c r="M916" t="s">
        <v>589</v>
      </c>
      <c r="N916" t="s">
        <v>54</v>
      </c>
      <c r="O916" t="s">
        <v>44</v>
      </c>
      <c r="Q916">
        <v>8</v>
      </c>
      <c r="R916">
        <v>3</v>
      </c>
      <c r="S916">
        <v>20</v>
      </c>
      <c r="V916" t="s">
        <v>34</v>
      </c>
      <c r="W916">
        <v>5</v>
      </c>
      <c r="X916" t="s">
        <v>34</v>
      </c>
    </row>
    <row r="917" spans="1:24" x14ac:dyDescent="0.35">
      <c r="A917" t="s">
        <v>1739</v>
      </c>
      <c r="B917" t="s">
        <v>56</v>
      </c>
      <c r="C917" t="s">
        <v>840</v>
      </c>
      <c r="D917">
        <v>25</v>
      </c>
      <c r="E917">
        <v>1999</v>
      </c>
      <c r="F917">
        <v>55000</v>
      </c>
      <c r="G917" t="s">
        <v>27</v>
      </c>
      <c r="H917" t="s">
        <v>28</v>
      </c>
      <c r="I917" t="s">
        <v>89</v>
      </c>
      <c r="J917" s="14">
        <v>43195</v>
      </c>
      <c r="K917" t="s">
        <v>59</v>
      </c>
      <c r="L917">
        <v>93</v>
      </c>
      <c r="M917" t="s">
        <v>1740</v>
      </c>
      <c r="N917" t="s">
        <v>54</v>
      </c>
      <c r="O917" t="s">
        <v>72</v>
      </c>
      <c r="Q917">
        <v>7</v>
      </c>
      <c r="V917" t="s">
        <v>34</v>
      </c>
      <c r="W917">
        <v>1</v>
      </c>
      <c r="X917" t="s">
        <v>34</v>
      </c>
    </row>
    <row r="918" spans="1:24" x14ac:dyDescent="0.35">
      <c r="A918" t="s">
        <v>1741</v>
      </c>
      <c r="B918" t="s">
        <v>75</v>
      </c>
      <c r="C918" t="s">
        <v>229</v>
      </c>
      <c r="D918">
        <v>40</v>
      </c>
      <c r="E918">
        <v>1984</v>
      </c>
      <c r="F918">
        <v>60900</v>
      </c>
      <c r="G918" t="s">
        <v>27</v>
      </c>
      <c r="H918" t="s">
        <v>28</v>
      </c>
      <c r="I918" t="s">
        <v>40</v>
      </c>
      <c r="J918" s="14">
        <v>43881</v>
      </c>
      <c r="K918" t="s">
        <v>52</v>
      </c>
      <c r="L918">
        <v>71</v>
      </c>
      <c r="M918" t="s">
        <v>1742</v>
      </c>
      <c r="N918" t="s">
        <v>43</v>
      </c>
      <c r="O918" t="s">
        <v>72</v>
      </c>
      <c r="P918" t="s">
        <v>1743</v>
      </c>
      <c r="Q918">
        <v>4</v>
      </c>
      <c r="S918">
        <v>12</v>
      </c>
      <c r="T918" s="14">
        <v>45516</v>
      </c>
      <c r="V918" t="s">
        <v>33</v>
      </c>
      <c r="W918">
        <v>3</v>
      </c>
      <c r="X918" t="s">
        <v>34</v>
      </c>
    </row>
    <row r="919" spans="1:24" x14ac:dyDescent="0.35">
      <c r="A919" t="s">
        <v>1744</v>
      </c>
      <c r="B919" t="s">
        <v>56</v>
      </c>
      <c r="C919" t="s">
        <v>179</v>
      </c>
      <c r="E919">
        <v>1994</v>
      </c>
      <c r="F919">
        <v>50000</v>
      </c>
      <c r="G919" t="s">
        <v>27</v>
      </c>
      <c r="H919" t="s">
        <v>145</v>
      </c>
      <c r="I919" t="s">
        <v>89</v>
      </c>
      <c r="J919" s="14">
        <v>43800</v>
      </c>
      <c r="K919" t="s">
        <v>52</v>
      </c>
      <c r="L919">
        <v>76</v>
      </c>
      <c r="O919" t="s">
        <v>174</v>
      </c>
      <c r="Q919">
        <v>7</v>
      </c>
      <c r="R919">
        <v>1</v>
      </c>
      <c r="S919">
        <v>2</v>
      </c>
      <c r="T919" t="s">
        <v>79</v>
      </c>
      <c r="V919" t="s">
        <v>46</v>
      </c>
      <c r="W919">
        <v>1</v>
      </c>
      <c r="X919" t="s">
        <v>46</v>
      </c>
    </row>
    <row r="920" spans="1:24" x14ac:dyDescent="0.35">
      <c r="A920" t="s">
        <v>1745</v>
      </c>
      <c r="B920" t="s">
        <v>56</v>
      </c>
      <c r="C920" t="s">
        <v>499</v>
      </c>
      <c r="D920">
        <v>35</v>
      </c>
      <c r="E920">
        <v>1989</v>
      </c>
      <c r="F920">
        <v>55000</v>
      </c>
      <c r="G920" t="s">
        <v>38</v>
      </c>
      <c r="H920" t="s">
        <v>70</v>
      </c>
      <c r="I920" t="s">
        <v>94</v>
      </c>
      <c r="J920" s="14">
        <v>43881</v>
      </c>
      <c r="K920" t="s">
        <v>78</v>
      </c>
      <c r="L920">
        <v>89</v>
      </c>
      <c r="M920" t="s">
        <v>1746</v>
      </c>
      <c r="N920" t="s">
        <v>54</v>
      </c>
      <c r="O920" t="s">
        <v>44</v>
      </c>
      <c r="Q920">
        <v>6</v>
      </c>
      <c r="V920" t="s">
        <v>33</v>
      </c>
      <c r="W920">
        <v>1</v>
      </c>
      <c r="X920" t="s">
        <v>34</v>
      </c>
    </row>
    <row r="921" spans="1:24" x14ac:dyDescent="0.35">
      <c r="A921" t="s">
        <v>1747</v>
      </c>
      <c r="B921" t="s">
        <v>56</v>
      </c>
      <c r="C921" t="s">
        <v>413</v>
      </c>
      <c r="E921">
        <v>1992</v>
      </c>
      <c r="F921">
        <v>55000</v>
      </c>
      <c r="G921" t="s">
        <v>38</v>
      </c>
      <c r="H921" t="s">
        <v>70</v>
      </c>
      <c r="I921" t="s">
        <v>77</v>
      </c>
      <c r="J921" s="14">
        <v>43881</v>
      </c>
      <c r="K921" t="s">
        <v>59</v>
      </c>
      <c r="L921">
        <v>100</v>
      </c>
      <c r="M921" t="s">
        <v>414</v>
      </c>
      <c r="N921" t="s">
        <v>43</v>
      </c>
      <c r="O921" t="s">
        <v>100</v>
      </c>
      <c r="Q921">
        <v>6</v>
      </c>
      <c r="S921">
        <v>11</v>
      </c>
      <c r="T921" s="14">
        <v>44470</v>
      </c>
      <c r="V921" t="s">
        <v>169</v>
      </c>
      <c r="W921">
        <v>3</v>
      </c>
      <c r="X921" t="s">
        <v>34</v>
      </c>
    </row>
    <row r="922" spans="1:24" x14ac:dyDescent="0.35">
      <c r="A922" t="s">
        <v>1748</v>
      </c>
      <c r="B922" t="s">
        <v>75</v>
      </c>
      <c r="C922" t="s">
        <v>625</v>
      </c>
      <c r="D922">
        <v>25</v>
      </c>
      <c r="E922">
        <v>1999</v>
      </c>
      <c r="F922">
        <v>55000</v>
      </c>
      <c r="G922" t="s">
        <v>27</v>
      </c>
      <c r="H922" t="s">
        <v>145</v>
      </c>
      <c r="I922" t="s">
        <v>77</v>
      </c>
      <c r="J922" s="14">
        <v>43195</v>
      </c>
      <c r="K922" t="s">
        <v>30</v>
      </c>
      <c r="L922">
        <v>66</v>
      </c>
      <c r="N922" t="s">
        <v>43</v>
      </c>
      <c r="O922" t="s">
        <v>72</v>
      </c>
      <c r="P922" t="s">
        <v>1528</v>
      </c>
      <c r="Q922">
        <v>7</v>
      </c>
      <c r="R922">
        <v>4</v>
      </c>
      <c r="S922">
        <v>10</v>
      </c>
      <c r="T922" s="14">
        <v>44732</v>
      </c>
      <c r="W922">
        <v>2</v>
      </c>
      <c r="X922" t="s">
        <v>46</v>
      </c>
    </row>
    <row r="923" spans="1:24" x14ac:dyDescent="0.35">
      <c r="A923" t="s">
        <v>1749</v>
      </c>
      <c r="B923" t="s">
        <v>68</v>
      </c>
      <c r="C923" t="s">
        <v>315</v>
      </c>
      <c r="D923">
        <v>25</v>
      </c>
      <c r="E923">
        <v>1999</v>
      </c>
      <c r="F923" t="s">
        <v>50</v>
      </c>
      <c r="G923" t="s">
        <v>27</v>
      </c>
      <c r="H923" t="s">
        <v>70</v>
      </c>
      <c r="I923" t="s">
        <v>94</v>
      </c>
      <c r="J923" s="14">
        <v>43195</v>
      </c>
      <c r="K923" t="s">
        <v>30</v>
      </c>
      <c r="L923">
        <v>62</v>
      </c>
      <c r="O923" t="s">
        <v>72</v>
      </c>
      <c r="Q923">
        <v>5</v>
      </c>
      <c r="S923">
        <v>14</v>
      </c>
      <c r="T923" s="14">
        <v>44990</v>
      </c>
      <c r="W923">
        <v>3</v>
      </c>
      <c r="X923" t="s">
        <v>46</v>
      </c>
    </row>
    <row r="924" spans="1:24" x14ac:dyDescent="0.35">
      <c r="A924" t="s">
        <v>1750</v>
      </c>
      <c r="B924" t="s">
        <v>36</v>
      </c>
      <c r="C924" t="s">
        <v>240</v>
      </c>
      <c r="D924">
        <v>50</v>
      </c>
      <c r="E924">
        <v>1974</v>
      </c>
      <c r="F924">
        <v>70000</v>
      </c>
      <c r="G924" t="s">
        <v>27</v>
      </c>
      <c r="H924" t="s">
        <v>28</v>
      </c>
      <c r="I924" t="s">
        <v>89</v>
      </c>
      <c r="J924" s="14">
        <v>43845</v>
      </c>
      <c r="K924" t="s">
        <v>41</v>
      </c>
      <c r="L924">
        <v>42</v>
      </c>
      <c r="M924" t="s">
        <v>241</v>
      </c>
      <c r="N924" t="s">
        <v>61</v>
      </c>
      <c r="O924" t="s">
        <v>72</v>
      </c>
      <c r="Q924">
        <v>8</v>
      </c>
      <c r="R924" t="s">
        <v>79</v>
      </c>
      <c r="T924" s="14">
        <v>44732</v>
      </c>
      <c r="V924" t="s">
        <v>34</v>
      </c>
      <c r="W924">
        <v>3</v>
      </c>
      <c r="X924" t="s">
        <v>46</v>
      </c>
    </row>
    <row r="925" spans="1:24" x14ac:dyDescent="0.35">
      <c r="A925" t="s">
        <v>1751</v>
      </c>
      <c r="B925" t="s">
        <v>140</v>
      </c>
      <c r="C925" t="s">
        <v>196</v>
      </c>
      <c r="E925">
        <v>1968</v>
      </c>
      <c r="F925">
        <v>60900</v>
      </c>
      <c r="G925" t="s">
        <v>38</v>
      </c>
      <c r="H925" t="s">
        <v>28</v>
      </c>
      <c r="I925" t="s">
        <v>40</v>
      </c>
      <c r="J925" s="14">
        <v>43800</v>
      </c>
      <c r="K925" t="s">
        <v>52</v>
      </c>
      <c r="L925">
        <v>74</v>
      </c>
      <c r="M925" t="s">
        <v>197</v>
      </c>
      <c r="N925" t="s">
        <v>61</v>
      </c>
      <c r="O925" t="s">
        <v>112</v>
      </c>
      <c r="Q925">
        <v>3</v>
      </c>
      <c r="R925" t="s">
        <v>79</v>
      </c>
      <c r="T925" s="14">
        <v>44470</v>
      </c>
      <c r="V925" t="s">
        <v>46</v>
      </c>
      <c r="W925">
        <v>4</v>
      </c>
      <c r="X925" t="s">
        <v>34</v>
      </c>
    </row>
    <row r="926" spans="1:24" x14ac:dyDescent="0.35">
      <c r="A926" t="s">
        <v>1752</v>
      </c>
      <c r="B926" t="s">
        <v>68</v>
      </c>
      <c r="C926" t="s">
        <v>179</v>
      </c>
      <c r="E926">
        <v>1997</v>
      </c>
      <c r="F926">
        <v>65000</v>
      </c>
      <c r="G926" t="s">
        <v>38</v>
      </c>
      <c r="H926" t="s">
        <v>122</v>
      </c>
      <c r="I926" t="s">
        <v>94</v>
      </c>
      <c r="J926" s="14">
        <v>43800</v>
      </c>
      <c r="K926" t="s">
        <v>52</v>
      </c>
      <c r="L926">
        <v>71</v>
      </c>
      <c r="M926" t="s">
        <v>1753</v>
      </c>
      <c r="N926" t="s">
        <v>54</v>
      </c>
      <c r="O926" t="s">
        <v>32</v>
      </c>
      <c r="Q926">
        <v>3</v>
      </c>
      <c r="S926">
        <v>7</v>
      </c>
      <c r="V926" t="s">
        <v>46</v>
      </c>
      <c r="W926">
        <v>5</v>
      </c>
      <c r="X926" t="s">
        <v>34</v>
      </c>
    </row>
    <row r="927" spans="1:24" x14ac:dyDescent="0.35">
      <c r="A927" t="s">
        <v>1754</v>
      </c>
      <c r="B927" t="s">
        <v>140</v>
      </c>
      <c r="C927" t="s">
        <v>496</v>
      </c>
      <c r="D927">
        <v>25</v>
      </c>
      <c r="E927">
        <v>1999</v>
      </c>
      <c r="F927">
        <v>61500</v>
      </c>
      <c r="G927" t="s">
        <v>27</v>
      </c>
      <c r="H927" t="s">
        <v>145</v>
      </c>
      <c r="I927" t="s">
        <v>29</v>
      </c>
      <c r="J927" s="14">
        <v>43800</v>
      </c>
      <c r="K927" t="s">
        <v>59</v>
      </c>
      <c r="L927">
        <v>99</v>
      </c>
      <c r="M927" t="s">
        <v>1755</v>
      </c>
      <c r="N927" t="s">
        <v>54</v>
      </c>
      <c r="O927" t="s">
        <v>44</v>
      </c>
      <c r="Q927">
        <v>4</v>
      </c>
      <c r="R927" t="s">
        <v>79</v>
      </c>
      <c r="V927" t="s">
        <v>46</v>
      </c>
      <c r="W927">
        <v>2</v>
      </c>
      <c r="X927" t="s">
        <v>34</v>
      </c>
    </row>
    <row r="928" spans="1:24" x14ac:dyDescent="0.35">
      <c r="A928" t="s">
        <v>1756</v>
      </c>
      <c r="B928" t="s">
        <v>114</v>
      </c>
      <c r="C928" t="s">
        <v>26</v>
      </c>
      <c r="D928">
        <v>35</v>
      </c>
      <c r="E928">
        <v>1989</v>
      </c>
      <c r="F928">
        <v>65000</v>
      </c>
      <c r="G928" t="s">
        <v>27</v>
      </c>
      <c r="H928" t="s">
        <v>64</v>
      </c>
      <c r="I928" t="s">
        <v>89</v>
      </c>
      <c r="J928" s="14">
        <v>43549</v>
      </c>
      <c r="K928" t="s">
        <v>30</v>
      </c>
      <c r="L928">
        <v>69</v>
      </c>
      <c r="O928" t="s">
        <v>100</v>
      </c>
      <c r="Q928">
        <v>2</v>
      </c>
      <c r="S928">
        <v>6</v>
      </c>
      <c r="V928" t="s">
        <v>46</v>
      </c>
      <c r="W928">
        <v>4</v>
      </c>
      <c r="X928" t="s">
        <v>46</v>
      </c>
    </row>
    <row r="929" spans="1:24" x14ac:dyDescent="0.35">
      <c r="A929" t="s">
        <v>1757</v>
      </c>
      <c r="B929" t="s">
        <v>48</v>
      </c>
      <c r="C929" t="s">
        <v>132</v>
      </c>
      <c r="D929">
        <v>40</v>
      </c>
      <c r="E929">
        <v>1984</v>
      </c>
      <c r="F929" t="s">
        <v>50</v>
      </c>
      <c r="G929" t="s">
        <v>27</v>
      </c>
      <c r="H929" t="s">
        <v>64</v>
      </c>
      <c r="I929" t="s">
        <v>77</v>
      </c>
      <c r="J929" s="14">
        <v>43881</v>
      </c>
      <c r="K929" t="s">
        <v>41</v>
      </c>
      <c r="L929">
        <v>45</v>
      </c>
      <c r="N929" t="s">
        <v>54</v>
      </c>
      <c r="O929" t="s">
        <v>72</v>
      </c>
      <c r="Q929">
        <v>5</v>
      </c>
      <c r="V929" t="s">
        <v>73</v>
      </c>
      <c r="W929">
        <v>5</v>
      </c>
      <c r="X929" t="s">
        <v>34</v>
      </c>
    </row>
    <row r="930" spans="1:24" x14ac:dyDescent="0.35">
      <c r="A930" t="s">
        <v>1758</v>
      </c>
      <c r="B930" t="s">
        <v>48</v>
      </c>
      <c r="C930" t="s">
        <v>338</v>
      </c>
      <c r="D930">
        <v>40</v>
      </c>
      <c r="E930">
        <v>1984</v>
      </c>
      <c r="F930">
        <v>55000</v>
      </c>
      <c r="G930" t="s">
        <v>38</v>
      </c>
      <c r="H930" t="s">
        <v>122</v>
      </c>
      <c r="I930" t="s">
        <v>94</v>
      </c>
      <c r="J930" s="14">
        <v>43195</v>
      </c>
      <c r="K930" t="s">
        <v>59</v>
      </c>
      <c r="L930">
        <v>96</v>
      </c>
      <c r="O930" t="s">
        <v>112</v>
      </c>
      <c r="Q930">
        <v>4</v>
      </c>
      <c r="U930">
        <v>56</v>
      </c>
      <c r="W930">
        <v>1</v>
      </c>
      <c r="X930" t="s">
        <v>46</v>
      </c>
    </row>
    <row r="931" spans="1:24" x14ac:dyDescent="0.35">
      <c r="A931" t="s">
        <v>1759</v>
      </c>
      <c r="B931" t="s">
        <v>25</v>
      </c>
      <c r="C931" t="s">
        <v>496</v>
      </c>
      <c r="E931">
        <v>1996</v>
      </c>
      <c r="F931" t="s">
        <v>50</v>
      </c>
      <c r="G931" t="s">
        <v>38</v>
      </c>
      <c r="H931" t="s">
        <v>58</v>
      </c>
      <c r="I931" t="s">
        <v>77</v>
      </c>
      <c r="J931" s="14">
        <v>43800</v>
      </c>
      <c r="K931" t="s">
        <v>52</v>
      </c>
      <c r="L931">
        <v>77</v>
      </c>
      <c r="N931" t="s">
        <v>43</v>
      </c>
      <c r="O931" t="s">
        <v>32</v>
      </c>
      <c r="Q931">
        <v>7</v>
      </c>
      <c r="R931">
        <v>5</v>
      </c>
      <c r="S931">
        <v>1</v>
      </c>
      <c r="V931" t="s">
        <v>34</v>
      </c>
      <c r="W931">
        <v>2</v>
      </c>
      <c r="X931" t="s">
        <v>34</v>
      </c>
    </row>
    <row r="932" spans="1:24" x14ac:dyDescent="0.35">
      <c r="A932" t="s">
        <v>1760</v>
      </c>
      <c r="B932" t="s">
        <v>48</v>
      </c>
      <c r="C932" t="s">
        <v>154</v>
      </c>
      <c r="D932">
        <v>40</v>
      </c>
      <c r="E932">
        <v>1984</v>
      </c>
      <c r="F932" t="s">
        <v>50</v>
      </c>
      <c r="G932" t="s">
        <v>38</v>
      </c>
      <c r="H932" t="s">
        <v>93</v>
      </c>
      <c r="I932" t="s">
        <v>89</v>
      </c>
      <c r="J932" s="14">
        <v>43845</v>
      </c>
      <c r="K932" t="s">
        <v>30</v>
      </c>
      <c r="L932">
        <v>61</v>
      </c>
      <c r="M932" t="s">
        <v>1761</v>
      </c>
      <c r="N932" t="s">
        <v>54</v>
      </c>
      <c r="O932" t="s">
        <v>66</v>
      </c>
      <c r="Q932">
        <v>7</v>
      </c>
      <c r="T932" s="14">
        <v>45516</v>
      </c>
      <c r="V932" t="s">
        <v>34</v>
      </c>
      <c r="W932">
        <v>4</v>
      </c>
      <c r="X932" t="s">
        <v>34</v>
      </c>
    </row>
    <row r="933" spans="1:24" x14ac:dyDescent="0.35">
      <c r="A933" t="s">
        <v>1762</v>
      </c>
      <c r="B933" t="s">
        <v>75</v>
      </c>
      <c r="C933" t="s">
        <v>819</v>
      </c>
      <c r="D933">
        <v>25</v>
      </c>
      <c r="E933">
        <v>1999</v>
      </c>
      <c r="F933">
        <v>50000</v>
      </c>
      <c r="G933" t="s">
        <v>38</v>
      </c>
      <c r="H933" t="s">
        <v>122</v>
      </c>
      <c r="I933" t="s">
        <v>77</v>
      </c>
      <c r="J933" s="14">
        <v>43800</v>
      </c>
      <c r="K933" t="s">
        <v>41</v>
      </c>
      <c r="L933">
        <v>49</v>
      </c>
      <c r="N933" t="s">
        <v>43</v>
      </c>
      <c r="O933" t="s">
        <v>174</v>
      </c>
      <c r="Q933">
        <v>4</v>
      </c>
      <c r="S933">
        <v>19</v>
      </c>
      <c r="V933" t="s">
        <v>34</v>
      </c>
      <c r="W933">
        <v>2</v>
      </c>
      <c r="X933" t="s">
        <v>34</v>
      </c>
    </row>
    <row r="934" spans="1:24" x14ac:dyDescent="0.35">
      <c r="A934" t="s">
        <v>1763</v>
      </c>
      <c r="B934" t="s">
        <v>107</v>
      </c>
      <c r="C934" t="s">
        <v>777</v>
      </c>
      <c r="D934">
        <v>25</v>
      </c>
      <c r="E934">
        <v>1999</v>
      </c>
      <c r="F934">
        <v>70000</v>
      </c>
      <c r="G934" t="s">
        <v>27</v>
      </c>
      <c r="H934" t="s">
        <v>58</v>
      </c>
      <c r="I934" t="s">
        <v>94</v>
      </c>
      <c r="J934" s="14">
        <v>43881</v>
      </c>
      <c r="K934" t="s">
        <v>78</v>
      </c>
      <c r="L934">
        <v>81</v>
      </c>
      <c r="M934" t="s">
        <v>778</v>
      </c>
      <c r="N934" t="s">
        <v>104</v>
      </c>
      <c r="O934" t="s">
        <v>66</v>
      </c>
      <c r="Q934">
        <v>3</v>
      </c>
      <c r="S934">
        <v>4</v>
      </c>
      <c r="V934" t="s">
        <v>46</v>
      </c>
      <c r="W934">
        <v>3</v>
      </c>
      <c r="X934" t="s">
        <v>34</v>
      </c>
    </row>
    <row r="935" spans="1:24" x14ac:dyDescent="0.35">
      <c r="A935" t="s">
        <v>1764</v>
      </c>
      <c r="B935" t="s">
        <v>131</v>
      </c>
      <c r="C935" t="s">
        <v>203</v>
      </c>
      <c r="E935">
        <v>1992</v>
      </c>
      <c r="F935">
        <v>65000</v>
      </c>
      <c r="G935" t="s">
        <v>27</v>
      </c>
      <c r="H935" t="s">
        <v>39</v>
      </c>
      <c r="I935" t="s">
        <v>89</v>
      </c>
      <c r="J935" s="14">
        <v>43881</v>
      </c>
      <c r="K935" t="s">
        <v>30</v>
      </c>
      <c r="L935">
        <v>64</v>
      </c>
      <c r="O935" t="s">
        <v>72</v>
      </c>
      <c r="Q935">
        <v>3</v>
      </c>
      <c r="R935">
        <v>14</v>
      </c>
      <c r="S935">
        <v>4</v>
      </c>
      <c r="W935">
        <v>4</v>
      </c>
      <c r="X935" t="s">
        <v>46</v>
      </c>
    </row>
    <row r="936" spans="1:24" x14ac:dyDescent="0.35">
      <c r="A936" t="s">
        <v>1765</v>
      </c>
      <c r="B936" t="s">
        <v>25</v>
      </c>
      <c r="C936" t="s">
        <v>289</v>
      </c>
      <c r="E936">
        <v>1973</v>
      </c>
      <c r="F936">
        <v>55000</v>
      </c>
      <c r="G936" t="s">
        <v>38</v>
      </c>
      <c r="H936" t="s">
        <v>70</v>
      </c>
      <c r="I936" t="s">
        <v>29</v>
      </c>
      <c r="J936" s="14">
        <v>43195</v>
      </c>
      <c r="K936" t="s">
        <v>41</v>
      </c>
      <c r="L936">
        <v>54</v>
      </c>
      <c r="M936" t="s">
        <v>290</v>
      </c>
      <c r="N936" t="s">
        <v>104</v>
      </c>
      <c r="O936" t="s">
        <v>100</v>
      </c>
      <c r="P936" t="s">
        <v>415</v>
      </c>
      <c r="Q936">
        <v>8</v>
      </c>
      <c r="U936">
        <v>67</v>
      </c>
      <c r="V936" t="s">
        <v>34</v>
      </c>
      <c r="W936">
        <v>3</v>
      </c>
      <c r="X936" t="s">
        <v>34</v>
      </c>
    </row>
    <row r="937" spans="1:24" x14ac:dyDescent="0.35">
      <c r="A937" t="s">
        <v>1766</v>
      </c>
      <c r="B937" t="s">
        <v>131</v>
      </c>
      <c r="C937" t="s">
        <v>367</v>
      </c>
      <c r="D937">
        <v>50</v>
      </c>
      <c r="E937">
        <v>1974</v>
      </c>
      <c r="F937">
        <v>65000</v>
      </c>
      <c r="G937" t="s">
        <v>38</v>
      </c>
      <c r="H937" t="s">
        <v>122</v>
      </c>
      <c r="I937" t="s">
        <v>94</v>
      </c>
      <c r="J937" s="14">
        <v>43549</v>
      </c>
      <c r="K937" t="s">
        <v>59</v>
      </c>
      <c r="L937">
        <v>94</v>
      </c>
      <c r="M937" t="s">
        <v>1767</v>
      </c>
      <c r="N937" t="s">
        <v>54</v>
      </c>
      <c r="O937" t="s">
        <v>100</v>
      </c>
      <c r="Q937">
        <v>1</v>
      </c>
      <c r="V937" t="s">
        <v>34</v>
      </c>
      <c r="W937">
        <v>2</v>
      </c>
      <c r="X937" t="s">
        <v>34</v>
      </c>
    </row>
    <row r="938" spans="1:24" x14ac:dyDescent="0.35">
      <c r="A938" t="s">
        <v>1768</v>
      </c>
      <c r="B938" t="s">
        <v>140</v>
      </c>
      <c r="C938" t="s">
        <v>137</v>
      </c>
      <c r="E938">
        <v>1980</v>
      </c>
      <c r="F938">
        <v>60100</v>
      </c>
      <c r="G938" t="s">
        <v>38</v>
      </c>
      <c r="H938" t="s">
        <v>122</v>
      </c>
      <c r="I938" t="s">
        <v>40</v>
      </c>
      <c r="J938" s="14">
        <v>43195</v>
      </c>
      <c r="K938" t="s">
        <v>78</v>
      </c>
      <c r="L938">
        <v>81</v>
      </c>
      <c r="M938" t="s">
        <v>1769</v>
      </c>
      <c r="N938" t="s">
        <v>43</v>
      </c>
      <c r="O938" t="s">
        <v>32</v>
      </c>
      <c r="Q938">
        <v>3</v>
      </c>
      <c r="R938" t="s">
        <v>79</v>
      </c>
      <c r="U938">
        <v>56</v>
      </c>
      <c r="V938" t="s">
        <v>169</v>
      </c>
      <c r="W938">
        <v>1</v>
      </c>
      <c r="X938" t="s">
        <v>46</v>
      </c>
    </row>
    <row r="939" spans="1:24" x14ac:dyDescent="0.35">
      <c r="A939" t="s">
        <v>1770</v>
      </c>
      <c r="B939" t="s">
        <v>131</v>
      </c>
      <c r="C939" t="s">
        <v>219</v>
      </c>
      <c r="D939">
        <v>35</v>
      </c>
      <c r="E939">
        <v>1989</v>
      </c>
      <c r="F939">
        <v>65000</v>
      </c>
      <c r="G939" t="s">
        <v>38</v>
      </c>
      <c r="H939" t="s">
        <v>70</v>
      </c>
      <c r="I939" t="s">
        <v>94</v>
      </c>
      <c r="J939" s="14">
        <v>43800</v>
      </c>
      <c r="K939" t="s">
        <v>41</v>
      </c>
      <c r="L939">
        <v>57</v>
      </c>
      <c r="M939" t="s">
        <v>1771</v>
      </c>
      <c r="N939" t="s">
        <v>54</v>
      </c>
      <c r="O939" t="s">
        <v>32</v>
      </c>
      <c r="P939" t="s">
        <v>603</v>
      </c>
      <c r="Q939">
        <v>7</v>
      </c>
      <c r="R939">
        <v>15</v>
      </c>
      <c r="V939" t="s">
        <v>34</v>
      </c>
      <c r="W939">
        <v>4</v>
      </c>
      <c r="X939" t="s">
        <v>34</v>
      </c>
    </row>
    <row r="940" spans="1:24" x14ac:dyDescent="0.35">
      <c r="A940" t="s">
        <v>1772</v>
      </c>
      <c r="B940" t="s">
        <v>131</v>
      </c>
      <c r="C940" t="s">
        <v>285</v>
      </c>
      <c r="D940">
        <v>40</v>
      </c>
      <c r="E940">
        <v>1984</v>
      </c>
      <c r="F940">
        <v>58300</v>
      </c>
      <c r="G940" t="s">
        <v>27</v>
      </c>
      <c r="H940" t="s">
        <v>145</v>
      </c>
      <c r="I940" t="s">
        <v>89</v>
      </c>
      <c r="J940" s="14">
        <v>43845</v>
      </c>
      <c r="K940" t="s">
        <v>41</v>
      </c>
      <c r="L940">
        <v>23</v>
      </c>
      <c r="M940" t="s">
        <v>286</v>
      </c>
      <c r="N940" t="s">
        <v>104</v>
      </c>
      <c r="O940" t="s">
        <v>44</v>
      </c>
      <c r="Q940">
        <v>8</v>
      </c>
      <c r="R940" t="s">
        <v>79</v>
      </c>
      <c r="V940" t="s">
        <v>46</v>
      </c>
      <c r="W940">
        <v>2</v>
      </c>
      <c r="X940" t="s">
        <v>46</v>
      </c>
    </row>
    <row r="941" spans="1:24" x14ac:dyDescent="0.35">
      <c r="A941" t="s">
        <v>1773</v>
      </c>
      <c r="B941" t="s">
        <v>25</v>
      </c>
      <c r="C941" t="s">
        <v>253</v>
      </c>
      <c r="E941">
        <v>1992</v>
      </c>
      <c r="F941">
        <v>70000</v>
      </c>
      <c r="G941" t="s">
        <v>38</v>
      </c>
      <c r="H941" t="s">
        <v>93</v>
      </c>
      <c r="I941" t="s">
        <v>94</v>
      </c>
      <c r="J941" s="14">
        <v>43195</v>
      </c>
      <c r="K941" t="s">
        <v>52</v>
      </c>
      <c r="L941">
        <v>71</v>
      </c>
      <c r="M941" t="s">
        <v>1774</v>
      </c>
      <c r="N941" t="s">
        <v>54</v>
      </c>
      <c r="O941" t="s">
        <v>174</v>
      </c>
      <c r="Q941">
        <v>3</v>
      </c>
      <c r="R941">
        <v>4</v>
      </c>
      <c r="S941">
        <v>6</v>
      </c>
      <c r="T941" t="s">
        <v>79</v>
      </c>
      <c r="U941">
        <v>80</v>
      </c>
      <c r="V941" t="s">
        <v>46</v>
      </c>
      <c r="W941">
        <v>4</v>
      </c>
      <c r="X941" t="s">
        <v>34</v>
      </c>
    </row>
    <row r="942" spans="1:24" x14ac:dyDescent="0.35">
      <c r="A942" t="s">
        <v>1775</v>
      </c>
      <c r="B942" t="s">
        <v>114</v>
      </c>
      <c r="C942" t="s">
        <v>343</v>
      </c>
      <c r="D942" t="s">
        <v>88</v>
      </c>
      <c r="E942">
        <v>1994</v>
      </c>
      <c r="F942">
        <v>59500</v>
      </c>
      <c r="G942" t="s">
        <v>27</v>
      </c>
      <c r="H942" t="s">
        <v>64</v>
      </c>
      <c r="I942" t="s">
        <v>29</v>
      </c>
      <c r="J942" s="14">
        <v>43549</v>
      </c>
      <c r="K942" t="s">
        <v>30</v>
      </c>
      <c r="L942">
        <v>67</v>
      </c>
      <c r="N942" t="s">
        <v>61</v>
      </c>
      <c r="O942" t="s">
        <v>174</v>
      </c>
      <c r="Q942">
        <v>6</v>
      </c>
      <c r="T942" t="s">
        <v>79</v>
      </c>
      <c r="V942" t="s">
        <v>73</v>
      </c>
      <c r="W942">
        <v>4</v>
      </c>
      <c r="X942" t="s">
        <v>34</v>
      </c>
    </row>
    <row r="943" spans="1:24" x14ac:dyDescent="0.35">
      <c r="A943" t="s">
        <v>1776</v>
      </c>
      <c r="B943" t="s">
        <v>56</v>
      </c>
      <c r="C943" t="s">
        <v>524</v>
      </c>
      <c r="D943">
        <v>50</v>
      </c>
      <c r="E943">
        <v>1974</v>
      </c>
      <c r="F943">
        <v>65000</v>
      </c>
      <c r="G943" t="s">
        <v>38</v>
      </c>
      <c r="H943" t="s">
        <v>145</v>
      </c>
      <c r="I943" t="s">
        <v>29</v>
      </c>
      <c r="J943" s="14">
        <v>43195</v>
      </c>
      <c r="K943" t="s">
        <v>52</v>
      </c>
      <c r="L943">
        <v>71</v>
      </c>
      <c r="M943" t="s">
        <v>1777</v>
      </c>
      <c r="N943" t="s">
        <v>104</v>
      </c>
      <c r="O943" t="s">
        <v>72</v>
      </c>
      <c r="Q943">
        <v>8</v>
      </c>
      <c r="R943">
        <v>1</v>
      </c>
      <c r="S943">
        <v>6</v>
      </c>
      <c r="T943" s="14">
        <v>44470</v>
      </c>
      <c r="V943" t="s">
        <v>46</v>
      </c>
      <c r="W943">
        <v>2</v>
      </c>
      <c r="X943" t="s">
        <v>46</v>
      </c>
    </row>
    <row r="944" spans="1:24" x14ac:dyDescent="0.35">
      <c r="A944" t="s">
        <v>1778</v>
      </c>
      <c r="B944" t="s">
        <v>48</v>
      </c>
      <c r="C944" t="s">
        <v>247</v>
      </c>
      <c r="D944" t="s">
        <v>88</v>
      </c>
      <c r="E944">
        <v>1994</v>
      </c>
      <c r="F944">
        <v>65000</v>
      </c>
      <c r="G944" t="s">
        <v>38</v>
      </c>
      <c r="H944" t="s">
        <v>28</v>
      </c>
      <c r="I944" t="s">
        <v>40</v>
      </c>
      <c r="J944" s="14">
        <v>43881</v>
      </c>
      <c r="K944" t="s">
        <v>78</v>
      </c>
      <c r="L944">
        <v>82</v>
      </c>
      <c r="M944" t="s">
        <v>1779</v>
      </c>
      <c r="N944" t="s">
        <v>54</v>
      </c>
      <c r="O944" t="s">
        <v>66</v>
      </c>
      <c r="Q944">
        <v>5</v>
      </c>
      <c r="R944">
        <v>6</v>
      </c>
      <c r="T944" s="14">
        <v>44941</v>
      </c>
      <c r="W944">
        <v>1</v>
      </c>
      <c r="X944" t="s">
        <v>34</v>
      </c>
    </row>
    <row r="945" spans="1:24" x14ac:dyDescent="0.35">
      <c r="A945" t="s">
        <v>1780</v>
      </c>
      <c r="B945" t="s">
        <v>48</v>
      </c>
      <c r="C945" t="s">
        <v>262</v>
      </c>
      <c r="D945">
        <v>25</v>
      </c>
      <c r="E945">
        <v>1999</v>
      </c>
      <c r="F945">
        <v>58600</v>
      </c>
      <c r="G945" t="s">
        <v>27</v>
      </c>
      <c r="H945" t="s">
        <v>70</v>
      </c>
      <c r="I945" t="s">
        <v>77</v>
      </c>
      <c r="J945" s="14">
        <v>43800</v>
      </c>
      <c r="K945" t="s">
        <v>41</v>
      </c>
      <c r="L945">
        <v>11</v>
      </c>
      <c r="N945" t="s">
        <v>43</v>
      </c>
      <c r="O945" t="s">
        <v>44</v>
      </c>
      <c r="Q945">
        <v>5</v>
      </c>
      <c r="R945" t="s">
        <v>79</v>
      </c>
      <c r="V945" t="s">
        <v>73</v>
      </c>
      <c r="W945">
        <v>5</v>
      </c>
      <c r="X945" t="s">
        <v>46</v>
      </c>
    </row>
    <row r="946" spans="1:24" x14ac:dyDescent="0.35">
      <c r="A946" t="s">
        <v>1781</v>
      </c>
      <c r="B946" t="s">
        <v>75</v>
      </c>
      <c r="C946" t="s">
        <v>76</v>
      </c>
      <c r="D946">
        <v>40</v>
      </c>
      <c r="E946">
        <v>1984</v>
      </c>
      <c r="F946" t="s">
        <v>50</v>
      </c>
      <c r="G946" t="s">
        <v>27</v>
      </c>
      <c r="H946" t="s">
        <v>64</v>
      </c>
      <c r="I946" t="s">
        <v>89</v>
      </c>
      <c r="J946" s="14">
        <v>43800</v>
      </c>
      <c r="K946" t="s">
        <v>52</v>
      </c>
      <c r="L946">
        <v>75</v>
      </c>
      <c r="M946" t="s">
        <v>653</v>
      </c>
      <c r="N946" t="s">
        <v>54</v>
      </c>
      <c r="O946" t="s">
        <v>100</v>
      </c>
      <c r="Q946">
        <v>1</v>
      </c>
      <c r="U946">
        <v>51</v>
      </c>
      <c r="V946" t="s">
        <v>46</v>
      </c>
      <c r="W946">
        <v>3</v>
      </c>
      <c r="X946" t="s">
        <v>34</v>
      </c>
    </row>
    <row r="947" spans="1:24" x14ac:dyDescent="0.35">
      <c r="A947" t="s">
        <v>1782</v>
      </c>
      <c r="B947" t="s">
        <v>25</v>
      </c>
      <c r="C947" t="s">
        <v>328</v>
      </c>
      <c r="E947">
        <v>1991</v>
      </c>
      <c r="F947">
        <v>70000</v>
      </c>
      <c r="G947" t="s">
        <v>38</v>
      </c>
      <c r="H947" t="s">
        <v>51</v>
      </c>
      <c r="I947" t="s">
        <v>89</v>
      </c>
      <c r="J947" s="14">
        <v>43800</v>
      </c>
      <c r="K947" t="s">
        <v>30</v>
      </c>
      <c r="L947">
        <v>67</v>
      </c>
      <c r="M947" t="s">
        <v>329</v>
      </c>
      <c r="N947" t="s">
        <v>43</v>
      </c>
      <c r="O947" t="s">
        <v>44</v>
      </c>
      <c r="Q947">
        <v>7</v>
      </c>
      <c r="R947">
        <v>15</v>
      </c>
      <c r="U947">
        <v>44</v>
      </c>
      <c r="V947" t="s">
        <v>34</v>
      </c>
      <c r="W947">
        <v>2</v>
      </c>
      <c r="X947" t="s">
        <v>34</v>
      </c>
    </row>
    <row r="948" spans="1:24" x14ac:dyDescent="0.35">
      <c r="A948" t="s">
        <v>1783</v>
      </c>
      <c r="B948" t="s">
        <v>75</v>
      </c>
      <c r="C948" t="s">
        <v>625</v>
      </c>
      <c r="D948" t="s">
        <v>88</v>
      </c>
      <c r="E948">
        <v>1994</v>
      </c>
      <c r="F948">
        <v>50000</v>
      </c>
      <c r="G948" t="s">
        <v>27</v>
      </c>
      <c r="H948" t="s">
        <v>70</v>
      </c>
      <c r="I948" t="s">
        <v>77</v>
      </c>
      <c r="J948" s="14">
        <v>43800</v>
      </c>
      <c r="K948" t="s">
        <v>78</v>
      </c>
      <c r="L948">
        <v>87</v>
      </c>
      <c r="M948" t="s">
        <v>626</v>
      </c>
      <c r="N948" t="s">
        <v>61</v>
      </c>
      <c r="O948" t="s">
        <v>66</v>
      </c>
      <c r="Q948">
        <v>2</v>
      </c>
      <c r="S948">
        <v>9</v>
      </c>
      <c r="U948">
        <v>79</v>
      </c>
      <c r="V948" t="s">
        <v>34</v>
      </c>
      <c r="W948">
        <v>4</v>
      </c>
      <c r="X948" t="s">
        <v>34</v>
      </c>
    </row>
    <row r="949" spans="1:24" x14ac:dyDescent="0.35">
      <c r="A949" t="s">
        <v>1784</v>
      </c>
      <c r="B949" t="s">
        <v>107</v>
      </c>
      <c r="C949" t="s">
        <v>355</v>
      </c>
      <c r="D949">
        <v>40</v>
      </c>
      <c r="E949">
        <v>1984</v>
      </c>
      <c r="F949">
        <v>55000</v>
      </c>
      <c r="G949" t="s">
        <v>27</v>
      </c>
      <c r="H949" t="s">
        <v>58</v>
      </c>
      <c r="I949" t="s">
        <v>29</v>
      </c>
      <c r="J949" s="14">
        <v>43800</v>
      </c>
      <c r="K949" t="s">
        <v>59</v>
      </c>
      <c r="L949">
        <v>100</v>
      </c>
      <c r="N949" t="s">
        <v>54</v>
      </c>
      <c r="O949" t="s">
        <v>100</v>
      </c>
      <c r="Q949">
        <v>3</v>
      </c>
      <c r="R949" t="s">
        <v>79</v>
      </c>
      <c r="U949">
        <v>26</v>
      </c>
      <c r="V949" t="s">
        <v>34</v>
      </c>
      <c r="W949">
        <v>2</v>
      </c>
      <c r="X949" t="s">
        <v>34</v>
      </c>
    </row>
    <row r="950" spans="1:24" x14ac:dyDescent="0.35">
      <c r="A950" t="s">
        <v>1785</v>
      </c>
      <c r="B950" t="s">
        <v>107</v>
      </c>
      <c r="C950" t="s">
        <v>543</v>
      </c>
      <c r="D950">
        <v>25</v>
      </c>
      <c r="E950">
        <v>1999</v>
      </c>
      <c r="F950">
        <v>65000</v>
      </c>
      <c r="G950" t="s">
        <v>27</v>
      </c>
      <c r="H950" t="s">
        <v>70</v>
      </c>
      <c r="I950" t="s">
        <v>29</v>
      </c>
      <c r="J950" s="14">
        <v>43800</v>
      </c>
      <c r="K950" t="s">
        <v>52</v>
      </c>
      <c r="L950">
        <v>73</v>
      </c>
      <c r="M950" t="s">
        <v>544</v>
      </c>
      <c r="N950" t="s">
        <v>61</v>
      </c>
      <c r="O950" t="s">
        <v>32</v>
      </c>
      <c r="Q950">
        <v>1</v>
      </c>
      <c r="S950">
        <v>12</v>
      </c>
      <c r="V950" t="s">
        <v>46</v>
      </c>
      <c r="W950">
        <v>3</v>
      </c>
      <c r="X950" t="s">
        <v>34</v>
      </c>
    </row>
    <row r="951" spans="1:24" x14ac:dyDescent="0.35">
      <c r="A951" t="s">
        <v>1786</v>
      </c>
      <c r="B951" t="s">
        <v>75</v>
      </c>
      <c r="C951" t="s">
        <v>1275</v>
      </c>
      <c r="D951">
        <v>35</v>
      </c>
      <c r="E951">
        <v>1989</v>
      </c>
      <c r="F951">
        <v>55000</v>
      </c>
      <c r="G951" t="s">
        <v>27</v>
      </c>
      <c r="H951" t="s">
        <v>28</v>
      </c>
      <c r="I951" t="s">
        <v>94</v>
      </c>
      <c r="J951" s="14">
        <v>43845</v>
      </c>
      <c r="K951" t="s">
        <v>78</v>
      </c>
      <c r="L951">
        <v>89</v>
      </c>
      <c r="M951" t="s">
        <v>1787</v>
      </c>
      <c r="N951" t="s">
        <v>104</v>
      </c>
      <c r="O951" t="s">
        <v>112</v>
      </c>
      <c r="Q951">
        <v>4</v>
      </c>
      <c r="R951" t="s">
        <v>79</v>
      </c>
      <c r="T951" s="14">
        <v>44941</v>
      </c>
      <c r="V951" t="s">
        <v>34</v>
      </c>
      <c r="W951">
        <v>4</v>
      </c>
      <c r="X951" t="s">
        <v>34</v>
      </c>
    </row>
    <row r="952" spans="1:24" x14ac:dyDescent="0.35">
      <c r="A952" t="s">
        <v>1788</v>
      </c>
      <c r="B952" t="s">
        <v>25</v>
      </c>
      <c r="C952" t="s">
        <v>914</v>
      </c>
      <c r="D952">
        <v>50</v>
      </c>
      <c r="E952">
        <v>1974</v>
      </c>
      <c r="F952">
        <v>50000</v>
      </c>
      <c r="G952" t="s">
        <v>38</v>
      </c>
      <c r="H952" t="s">
        <v>70</v>
      </c>
      <c r="I952" t="s">
        <v>40</v>
      </c>
      <c r="J952" s="14">
        <v>43549</v>
      </c>
      <c r="K952" t="s">
        <v>59</v>
      </c>
      <c r="L952">
        <v>93</v>
      </c>
      <c r="M952" t="s">
        <v>915</v>
      </c>
      <c r="N952" t="s">
        <v>43</v>
      </c>
      <c r="O952" t="s">
        <v>112</v>
      </c>
      <c r="Q952">
        <v>5</v>
      </c>
      <c r="S952">
        <v>12</v>
      </c>
      <c r="V952" t="s">
        <v>169</v>
      </c>
      <c r="W952">
        <v>2</v>
      </c>
      <c r="X952" t="s">
        <v>46</v>
      </c>
    </row>
    <row r="953" spans="1:24" x14ac:dyDescent="0.35">
      <c r="A953" t="s">
        <v>1789</v>
      </c>
      <c r="B953" t="s">
        <v>75</v>
      </c>
      <c r="C953" t="s">
        <v>819</v>
      </c>
      <c r="D953">
        <v>40</v>
      </c>
      <c r="E953">
        <v>1984</v>
      </c>
      <c r="F953">
        <v>55000</v>
      </c>
      <c r="G953" t="s">
        <v>27</v>
      </c>
      <c r="H953" t="s">
        <v>145</v>
      </c>
      <c r="I953" t="s">
        <v>40</v>
      </c>
      <c r="J953" s="14">
        <v>43800</v>
      </c>
      <c r="K953" t="s">
        <v>52</v>
      </c>
      <c r="L953">
        <v>70</v>
      </c>
      <c r="M953" t="s">
        <v>820</v>
      </c>
      <c r="N953" t="s">
        <v>104</v>
      </c>
      <c r="O953" t="s">
        <v>32</v>
      </c>
      <c r="Q953">
        <v>8</v>
      </c>
      <c r="S953">
        <v>5</v>
      </c>
      <c r="T953" s="14">
        <v>44732</v>
      </c>
      <c r="W953">
        <v>1</v>
      </c>
      <c r="X953" t="s">
        <v>46</v>
      </c>
    </row>
    <row r="954" spans="1:24" x14ac:dyDescent="0.35">
      <c r="A954" t="s">
        <v>1790</v>
      </c>
      <c r="B954" t="s">
        <v>48</v>
      </c>
      <c r="C954" t="s">
        <v>334</v>
      </c>
      <c r="D954">
        <v>40</v>
      </c>
      <c r="E954">
        <v>1984</v>
      </c>
      <c r="F954">
        <v>50000</v>
      </c>
      <c r="G954" t="s">
        <v>27</v>
      </c>
      <c r="H954" t="s">
        <v>145</v>
      </c>
      <c r="I954" t="s">
        <v>40</v>
      </c>
      <c r="J954" s="14">
        <v>43549</v>
      </c>
      <c r="K954" t="s">
        <v>78</v>
      </c>
      <c r="L954">
        <v>88</v>
      </c>
      <c r="M954" t="s">
        <v>335</v>
      </c>
      <c r="N954" t="s">
        <v>43</v>
      </c>
      <c r="O954" t="s">
        <v>72</v>
      </c>
      <c r="Q954">
        <v>2</v>
      </c>
      <c r="U954">
        <v>17</v>
      </c>
      <c r="V954" t="s">
        <v>34</v>
      </c>
      <c r="W954">
        <v>5</v>
      </c>
      <c r="X954" t="s">
        <v>46</v>
      </c>
    </row>
    <row r="955" spans="1:24" x14ac:dyDescent="0.35">
      <c r="A955" t="s">
        <v>1791</v>
      </c>
      <c r="B955" t="s">
        <v>68</v>
      </c>
      <c r="C955" t="s">
        <v>479</v>
      </c>
      <c r="D955">
        <v>35</v>
      </c>
      <c r="E955">
        <v>1989</v>
      </c>
      <c r="F955">
        <v>60300</v>
      </c>
      <c r="G955" t="s">
        <v>27</v>
      </c>
      <c r="H955" t="s">
        <v>70</v>
      </c>
      <c r="I955" t="s">
        <v>94</v>
      </c>
      <c r="J955" s="14">
        <v>43800</v>
      </c>
      <c r="K955" t="s">
        <v>78</v>
      </c>
      <c r="L955">
        <v>81</v>
      </c>
      <c r="M955" t="s">
        <v>768</v>
      </c>
      <c r="N955" t="s">
        <v>61</v>
      </c>
      <c r="O955" t="s">
        <v>44</v>
      </c>
      <c r="Q955">
        <v>8</v>
      </c>
      <c r="U955">
        <v>9</v>
      </c>
      <c r="V955" t="s">
        <v>46</v>
      </c>
      <c r="W955">
        <v>2</v>
      </c>
      <c r="X955" t="s">
        <v>34</v>
      </c>
    </row>
    <row r="956" spans="1:24" x14ac:dyDescent="0.35">
      <c r="A956" t="s">
        <v>1792</v>
      </c>
      <c r="B956" t="s">
        <v>36</v>
      </c>
      <c r="C956" t="s">
        <v>156</v>
      </c>
      <c r="D956">
        <v>40</v>
      </c>
      <c r="E956">
        <v>1984</v>
      </c>
      <c r="F956" t="s">
        <v>50</v>
      </c>
      <c r="G956" t="s">
        <v>27</v>
      </c>
      <c r="H956" t="s">
        <v>145</v>
      </c>
      <c r="I956" t="s">
        <v>40</v>
      </c>
      <c r="J956" s="14">
        <v>43195</v>
      </c>
      <c r="K956" t="s">
        <v>52</v>
      </c>
      <c r="L956">
        <v>70</v>
      </c>
      <c r="M956" t="s">
        <v>184</v>
      </c>
      <c r="O956" t="s">
        <v>100</v>
      </c>
      <c r="Q956">
        <v>6</v>
      </c>
      <c r="R956">
        <v>3</v>
      </c>
      <c r="T956" s="14">
        <v>44990</v>
      </c>
      <c r="V956" t="s">
        <v>73</v>
      </c>
      <c r="W956">
        <v>1</v>
      </c>
      <c r="X956" t="s">
        <v>46</v>
      </c>
    </row>
    <row r="957" spans="1:24" x14ac:dyDescent="0.35">
      <c r="A957" t="s">
        <v>1793</v>
      </c>
      <c r="B957" t="s">
        <v>131</v>
      </c>
      <c r="C957" t="s">
        <v>472</v>
      </c>
      <c r="D957">
        <v>25</v>
      </c>
      <c r="E957">
        <v>1999</v>
      </c>
      <c r="F957">
        <v>65000</v>
      </c>
      <c r="G957" t="s">
        <v>38</v>
      </c>
      <c r="H957" t="s">
        <v>122</v>
      </c>
      <c r="I957" t="s">
        <v>77</v>
      </c>
      <c r="J957" s="14">
        <v>43800</v>
      </c>
      <c r="K957" t="s">
        <v>78</v>
      </c>
      <c r="L957">
        <v>86</v>
      </c>
      <c r="M957" t="s">
        <v>473</v>
      </c>
      <c r="N957" t="s">
        <v>54</v>
      </c>
      <c r="O957" t="s">
        <v>32</v>
      </c>
      <c r="Q957">
        <v>5</v>
      </c>
      <c r="T957" t="s">
        <v>79</v>
      </c>
      <c r="V957" t="s">
        <v>34</v>
      </c>
      <c r="W957">
        <v>4</v>
      </c>
      <c r="X957" t="s">
        <v>34</v>
      </c>
    </row>
    <row r="958" spans="1:24" x14ac:dyDescent="0.35">
      <c r="A958" t="s">
        <v>1794</v>
      </c>
      <c r="B958" t="s">
        <v>36</v>
      </c>
      <c r="C958" t="s">
        <v>219</v>
      </c>
      <c r="D958">
        <v>25</v>
      </c>
      <c r="E958">
        <v>1999</v>
      </c>
      <c r="F958">
        <v>50000</v>
      </c>
      <c r="G958" t="s">
        <v>38</v>
      </c>
      <c r="H958" t="s">
        <v>93</v>
      </c>
      <c r="I958" t="s">
        <v>94</v>
      </c>
      <c r="J958" s="14">
        <v>43881</v>
      </c>
      <c r="K958" t="s">
        <v>41</v>
      </c>
      <c r="L958">
        <v>5</v>
      </c>
      <c r="M958" t="s">
        <v>220</v>
      </c>
      <c r="N958" t="s">
        <v>61</v>
      </c>
      <c r="O958" t="s">
        <v>174</v>
      </c>
      <c r="Q958">
        <v>6</v>
      </c>
      <c r="S958">
        <v>12</v>
      </c>
      <c r="V958" t="s">
        <v>169</v>
      </c>
      <c r="W958">
        <v>1</v>
      </c>
      <c r="X958" t="s">
        <v>34</v>
      </c>
    </row>
    <row r="959" spans="1:24" x14ac:dyDescent="0.35">
      <c r="A959" t="s">
        <v>1795</v>
      </c>
      <c r="B959" t="s">
        <v>25</v>
      </c>
      <c r="C959" t="s">
        <v>265</v>
      </c>
      <c r="D959">
        <v>35</v>
      </c>
      <c r="E959">
        <v>1989</v>
      </c>
      <c r="F959">
        <v>55000</v>
      </c>
      <c r="G959" t="s">
        <v>27</v>
      </c>
      <c r="H959" t="s">
        <v>122</v>
      </c>
      <c r="I959" t="s">
        <v>77</v>
      </c>
      <c r="J959" s="14">
        <v>43845</v>
      </c>
      <c r="K959" t="s">
        <v>52</v>
      </c>
      <c r="L959">
        <v>75</v>
      </c>
      <c r="M959" t="s">
        <v>266</v>
      </c>
      <c r="N959" t="s">
        <v>43</v>
      </c>
      <c r="O959" t="s">
        <v>32</v>
      </c>
      <c r="Q959">
        <v>6</v>
      </c>
      <c r="V959" t="s">
        <v>73</v>
      </c>
      <c r="W959">
        <v>4</v>
      </c>
      <c r="X959" t="s">
        <v>34</v>
      </c>
    </row>
    <row r="960" spans="1:24" x14ac:dyDescent="0.35">
      <c r="A960" t="s">
        <v>1796</v>
      </c>
      <c r="B960" t="s">
        <v>36</v>
      </c>
      <c r="C960" t="s">
        <v>256</v>
      </c>
      <c r="D960">
        <v>50</v>
      </c>
      <c r="E960">
        <v>1974</v>
      </c>
      <c r="F960">
        <v>65000</v>
      </c>
      <c r="G960" t="s">
        <v>27</v>
      </c>
      <c r="H960" t="s">
        <v>122</v>
      </c>
      <c r="I960" t="s">
        <v>94</v>
      </c>
      <c r="J960" s="14">
        <v>43195</v>
      </c>
      <c r="K960" t="s">
        <v>78</v>
      </c>
      <c r="L960">
        <v>80</v>
      </c>
      <c r="M960" t="s">
        <v>669</v>
      </c>
      <c r="N960" t="s">
        <v>43</v>
      </c>
      <c r="O960" t="s">
        <v>72</v>
      </c>
      <c r="Q960">
        <v>5</v>
      </c>
      <c r="S960">
        <v>20</v>
      </c>
      <c r="V960" t="s">
        <v>33</v>
      </c>
      <c r="W960">
        <v>1</v>
      </c>
      <c r="X960" t="s">
        <v>46</v>
      </c>
    </row>
    <row r="961" spans="1:24" x14ac:dyDescent="0.35">
      <c r="A961" t="s">
        <v>1797</v>
      </c>
      <c r="B961" t="s">
        <v>107</v>
      </c>
      <c r="C961" t="s">
        <v>154</v>
      </c>
      <c r="E961">
        <v>1966</v>
      </c>
      <c r="F961" t="s">
        <v>50</v>
      </c>
      <c r="G961" t="s">
        <v>27</v>
      </c>
      <c r="H961" t="s">
        <v>64</v>
      </c>
      <c r="I961" t="s">
        <v>40</v>
      </c>
      <c r="J961" s="14">
        <v>43195</v>
      </c>
      <c r="K961" t="s">
        <v>59</v>
      </c>
      <c r="L961">
        <v>90</v>
      </c>
      <c r="M961" t="s">
        <v>1798</v>
      </c>
      <c r="N961" t="s">
        <v>43</v>
      </c>
      <c r="O961" t="s">
        <v>44</v>
      </c>
      <c r="P961" t="s">
        <v>1799</v>
      </c>
      <c r="Q961">
        <v>6</v>
      </c>
      <c r="T961" s="14">
        <v>44990</v>
      </c>
      <c r="V961" t="s">
        <v>46</v>
      </c>
      <c r="W961">
        <v>5</v>
      </c>
      <c r="X961" t="s">
        <v>34</v>
      </c>
    </row>
    <row r="962" spans="1:24" x14ac:dyDescent="0.35">
      <c r="A962" t="s">
        <v>1800</v>
      </c>
      <c r="B962" t="s">
        <v>140</v>
      </c>
      <c r="C962" t="s">
        <v>271</v>
      </c>
      <c r="D962" t="s">
        <v>88</v>
      </c>
      <c r="E962">
        <v>1994</v>
      </c>
      <c r="F962">
        <v>58600</v>
      </c>
      <c r="G962" t="s">
        <v>27</v>
      </c>
      <c r="H962" t="s">
        <v>70</v>
      </c>
      <c r="I962" t="s">
        <v>77</v>
      </c>
      <c r="J962" s="14">
        <v>43881</v>
      </c>
      <c r="K962" t="s">
        <v>59</v>
      </c>
      <c r="L962">
        <v>91</v>
      </c>
      <c r="M962" t="s">
        <v>1801</v>
      </c>
      <c r="N962" t="s">
        <v>43</v>
      </c>
      <c r="O962" t="s">
        <v>32</v>
      </c>
      <c r="Q962">
        <v>1</v>
      </c>
      <c r="R962">
        <v>1</v>
      </c>
      <c r="V962" t="s">
        <v>46</v>
      </c>
      <c r="W962">
        <v>5</v>
      </c>
      <c r="X962" t="s">
        <v>34</v>
      </c>
    </row>
    <row r="963" spans="1:24" x14ac:dyDescent="0.35">
      <c r="A963" t="s">
        <v>1802</v>
      </c>
      <c r="B963" t="s">
        <v>131</v>
      </c>
      <c r="C963" t="s">
        <v>117</v>
      </c>
      <c r="E963">
        <v>1996</v>
      </c>
      <c r="F963">
        <v>65000</v>
      </c>
      <c r="G963" t="s">
        <v>38</v>
      </c>
      <c r="H963" t="s">
        <v>145</v>
      </c>
      <c r="I963" t="s">
        <v>77</v>
      </c>
      <c r="J963" s="14">
        <v>43800</v>
      </c>
      <c r="K963" t="s">
        <v>41</v>
      </c>
      <c r="L963">
        <v>21</v>
      </c>
      <c r="M963" t="s">
        <v>1803</v>
      </c>
      <c r="N963" t="s">
        <v>54</v>
      </c>
      <c r="O963" t="s">
        <v>174</v>
      </c>
      <c r="Q963">
        <v>7</v>
      </c>
      <c r="R963">
        <v>12</v>
      </c>
      <c r="S963">
        <v>16</v>
      </c>
      <c r="V963" t="s">
        <v>46</v>
      </c>
      <c r="W963">
        <v>3</v>
      </c>
      <c r="X963" t="s">
        <v>34</v>
      </c>
    </row>
    <row r="964" spans="1:24" x14ac:dyDescent="0.35">
      <c r="A964" t="s">
        <v>1804</v>
      </c>
      <c r="B964" t="s">
        <v>56</v>
      </c>
      <c r="C964" t="s">
        <v>167</v>
      </c>
      <c r="D964">
        <v>40</v>
      </c>
      <c r="E964">
        <v>1984</v>
      </c>
      <c r="F964">
        <v>50000</v>
      </c>
      <c r="G964" t="s">
        <v>38</v>
      </c>
      <c r="H964" t="s">
        <v>122</v>
      </c>
      <c r="I964" t="s">
        <v>77</v>
      </c>
      <c r="J964" s="14">
        <v>43845</v>
      </c>
      <c r="K964" t="s">
        <v>52</v>
      </c>
      <c r="L964">
        <v>73</v>
      </c>
      <c r="N964" t="s">
        <v>104</v>
      </c>
      <c r="O964" t="s">
        <v>66</v>
      </c>
      <c r="Q964">
        <v>2</v>
      </c>
      <c r="V964" t="s">
        <v>34</v>
      </c>
      <c r="W964">
        <v>2</v>
      </c>
      <c r="X964" t="s">
        <v>34</v>
      </c>
    </row>
    <row r="965" spans="1:24" x14ac:dyDescent="0.35">
      <c r="A965" t="s">
        <v>1805</v>
      </c>
      <c r="B965" t="s">
        <v>25</v>
      </c>
      <c r="C965" t="s">
        <v>328</v>
      </c>
      <c r="D965" t="s">
        <v>88</v>
      </c>
      <c r="E965">
        <v>1994</v>
      </c>
      <c r="F965" t="s">
        <v>50</v>
      </c>
      <c r="G965" t="s">
        <v>38</v>
      </c>
      <c r="H965" t="s">
        <v>64</v>
      </c>
      <c r="I965" t="s">
        <v>94</v>
      </c>
      <c r="J965" s="14">
        <v>43195</v>
      </c>
      <c r="K965" t="s">
        <v>78</v>
      </c>
      <c r="L965">
        <v>89</v>
      </c>
      <c r="M965" t="s">
        <v>329</v>
      </c>
      <c r="O965" t="s">
        <v>174</v>
      </c>
      <c r="P965" t="s">
        <v>1806</v>
      </c>
      <c r="Q965">
        <v>6</v>
      </c>
      <c r="T965" t="s">
        <v>79</v>
      </c>
      <c r="U965">
        <v>12</v>
      </c>
      <c r="W965">
        <v>3</v>
      </c>
      <c r="X965" t="s">
        <v>34</v>
      </c>
    </row>
    <row r="966" spans="1:24" x14ac:dyDescent="0.35">
      <c r="A966" t="s">
        <v>1807</v>
      </c>
      <c r="B966" t="s">
        <v>131</v>
      </c>
      <c r="C966" t="s">
        <v>692</v>
      </c>
      <c r="D966">
        <v>35</v>
      </c>
      <c r="E966">
        <v>1989</v>
      </c>
      <c r="F966">
        <v>55000</v>
      </c>
      <c r="G966" t="s">
        <v>27</v>
      </c>
      <c r="H966" t="s">
        <v>93</v>
      </c>
      <c r="I966" t="s">
        <v>89</v>
      </c>
      <c r="J966" s="14">
        <v>43845</v>
      </c>
      <c r="K966" t="s">
        <v>78</v>
      </c>
      <c r="L966">
        <v>85</v>
      </c>
      <c r="M966" t="s">
        <v>693</v>
      </c>
      <c r="N966" t="s">
        <v>54</v>
      </c>
      <c r="O966" t="s">
        <v>32</v>
      </c>
      <c r="Q966">
        <v>4</v>
      </c>
      <c r="W966">
        <v>3</v>
      </c>
      <c r="X966" t="s">
        <v>34</v>
      </c>
    </row>
    <row r="967" spans="1:24" x14ac:dyDescent="0.35">
      <c r="A967" t="s">
        <v>1808</v>
      </c>
      <c r="B967" t="s">
        <v>36</v>
      </c>
      <c r="C967" t="s">
        <v>271</v>
      </c>
      <c r="D967">
        <v>35</v>
      </c>
      <c r="E967">
        <v>1989</v>
      </c>
      <c r="F967" t="s">
        <v>50</v>
      </c>
      <c r="G967" t="s">
        <v>38</v>
      </c>
      <c r="H967" t="s">
        <v>93</v>
      </c>
      <c r="I967" t="s">
        <v>40</v>
      </c>
      <c r="J967" s="14">
        <v>43195</v>
      </c>
      <c r="K967" t="s">
        <v>59</v>
      </c>
      <c r="L967">
        <v>100</v>
      </c>
      <c r="M967" t="s">
        <v>1809</v>
      </c>
      <c r="N967" t="s">
        <v>43</v>
      </c>
      <c r="O967" t="s">
        <v>100</v>
      </c>
      <c r="Q967">
        <v>3</v>
      </c>
      <c r="R967">
        <v>2</v>
      </c>
      <c r="V967" t="s">
        <v>169</v>
      </c>
      <c r="W967">
        <v>3</v>
      </c>
      <c r="X967" t="s">
        <v>34</v>
      </c>
    </row>
    <row r="968" spans="1:24" x14ac:dyDescent="0.35">
      <c r="A968" t="s">
        <v>1810</v>
      </c>
      <c r="B968" t="s">
        <v>107</v>
      </c>
      <c r="C968" t="s">
        <v>135</v>
      </c>
      <c r="D968">
        <v>50</v>
      </c>
      <c r="E968">
        <v>1974</v>
      </c>
      <c r="F968" t="s">
        <v>50</v>
      </c>
      <c r="G968" t="s">
        <v>27</v>
      </c>
      <c r="H968" t="s">
        <v>82</v>
      </c>
      <c r="I968" t="s">
        <v>77</v>
      </c>
      <c r="J968" s="14">
        <v>43800</v>
      </c>
      <c r="K968" t="s">
        <v>41</v>
      </c>
      <c r="L968">
        <v>23</v>
      </c>
      <c r="M968" t="s">
        <v>1811</v>
      </c>
      <c r="N968" t="s">
        <v>54</v>
      </c>
      <c r="O968" t="s">
        <v>174</v>
      </c>
      <c r="Q968">
        <v>5</v>
      </c>
      <c r="S968">
        <v>12</v>
      </c>
      <c r="T968" s="14">
        <v>45516</v>
      </c>
      <c r="V968" t="s">
        <v>34</v>
      </c>
      <c r="W968">
        <v>3</v>
      </c>
      <c r="X968" t="s">
        <v>46</v>
      </c>
    </row>
    <row r="969" spans="1:24" x14ac:dyDescent="0.35">
      <c r="A969" t="s">
        <v>1812</v>
      </c>
      <c r="B969" t="s">
        <v>114</v>
      </c>
      <c r="C969" t="s">
        <v>710</v>
      </c>
      <c r="D969" t="s">
        <v>88</v>
      </c>
      <c r="E969">
        <v>1994</v>
      </c>
      <c r="F969">
        <v>70000</v>
      </c>
      <c r="G969" t="s">
        <v>27</v>
      </c>
      <c r="H969" t="s">
        <v>28</v>
      </c>
      <c r="I969" t="s">
        <v>89</v>
      </c>
      <c r="J969" s="14">
        <v>43195</v>
      </c>
      <c r="K969" t="s">
        <v>59</v>
      </c>
      <c r="L969">
        <v>91</v>
      </c>
      <c r="M969" t="s">
        <v>711</v>
      </c>
      <c r="N969" t="s">
        <v>61</v>
      </c>
      <c r="O969" t="s">
        <v>44</v>
      </c>
      <c r="Q969">
        <v>6</v>
      </c>
      <c r="R969">
        <v>4</v>
      </c>
      <c r="S969">
        <v>8</v>
      </c>
      <c r="T969" s="14">
        <v>44941</v>
      </c>
      <c r="V969" t="s">
        <v>34</v>
      </c>
      <c r="W969">
        <v>3</v>
      </c>
      <c r="X969" t="s">
        <v>34</v>
      </c>
    </row>
    <row r="970" spans="1:24" x14ac:dyDescent="0.35">
      <c r="A970" t="s">
        <v>1813</v>
      </c>
      <c r="B970" t="s">
        <v>68</v>
      </c>
      <c r="C970" t="s">
        <v>299</v>
      </c>
      <c r="D970">
        <v>25</v>
      </c>
      <c r="E970">
        <v>1999</v>
      </c>
      <c r="F970" t="s">
        <v>50</v>
      </c>
      <c r="G970" t="s">
        <v>27</v>
      </c>
      <c r="H970" t="s">
        <v>122</v>
      </c>
      <c r="I970" t="s">
        <v>40</v>
      </c>
      <c r="J970" s="14">
        <v>43195</v>
      </c>
      <c r="K970" t="s">
        <v>59</v>
      </c>
      <c r="L970">
        <v>96</v>
      </c>
      <c r="M970" t="s">
        <v>1814</v>
      </c>
      <c r="N970" t="s">
        <v>43</v>
      </c>
      <c r="O970" t="s">
        <v>174</v>
      </c>
      <c r="Q970">
        <v>6</v>
      </c>
      <c r="T970" t="s">
        <v>79</v>
      </c>
      <c r="W970">
        <v>1</v>
      </c>
      <c r="X970" t="s">
        <v>46</v>
      </c>
    </row>
    <row r="971" spans="1:24" x14ac:dyDescent="0.35">
      <c r="A971" t="s">
        <v>1815</v>
      </c>
      <c r="B971" t="s">
        <v>56</v>
      </c>
      <c r="C971" t="s">
        <v>229</v>
      </c>
      <c r="D971" t="s">
        <v>88</v>
      </c>
      <c r="E971">
        <v>1994</v>
      </c>
      <c r="F971" t="s">
        <v>50</v>
      </c>
      <c r="G971" t="s">
        <v>38</v>
      </c>
      <c r="H971" t="s">
        <v>28</v>
      </c>
      <c r="I971" t="s">
        <v>40</v>
      </c>
      <c r="J971" s="14">
        <v>43549</v>
      </c>
      <c r="K971" t="s">
        <v>41</v>
      </c>
      <c r="L971">
        <v>29</v>
      </c>
      <c r="M971" t="s">
        <v>1816</v>
      </c>
      <c r="O971" t="s">
        <v>100</v>
      </c>
      <c r="P971" t="s">
        <v>1817</v>
      </c>
      <c r="Q971">
        <v>8</v>
      </c>
      <c r="S971">
        <v>9</v>
      </c>
      <c r="T971" t="s">
        <v>79</v>
      </c>
      <c r="W971">
        <v>4</v>
      </c>
      <c r="X971" t="s">
        <v>34</v>
      </c>
    </row>
    <row r="972" spans="1:24" x14ac:dyDescent="0.35">
      <c r="A972" t="s">
        <v>1818</v>
      </c>
      <c r="B972" t="s">
        <v>68</v>
      </c>
      <c r="C972" t="s">
        <v>732</v>
      </c>
      <c r="D972">
        <v>40</v>
      </c>
      <c r="E972">
        <v>1984</v>
      </c>
      <c r="F972">
        <v>65000</v>
      </c>
      <c r="G972" t="s">
        <v>27</v>
      </c>
      <c r="H972" t="s">
        <v>58</v>
      </c>
      <c r="I972" t="s">
        <v>77</v>
      </c>
      <c r="J972" s="14">
        <v>43800</v>
      </c>
      <c r="K972" t="s">
        <v>52</v>
      </c>
      <c r="L972">
        <v>71</v>
      </c>
      <c r="M972" t="s">
        <v>1819</v>
      </c>
      <c r="N972" t="s">
        <v>43</v>
      </c>
      <c r="O972" t="s">
        <v>174</v>
      </c>
      <c r="Q972">
        <v>8</v>
      </c>
      <c r="R972">
        <v>11</v>
      </c>
      <c r="V972" t="s">
        <v>34</v>
      </c>
      <c r="W972">
        <v>4</v>
      </c>
      <c r="X972" t="s">
        <v>34</v>
      </c>
    </row>
    <row r="973" spans="1:24" x14ac:dyDescent="0.35">
      <c r="A973" t="s">
        <v>1820</v>
      </c>
      <c r="B973" t="s">
        <v>131</v>
      </c>
      <c r="C973" t="s">
        <v>247</v>
      </c>
      <c r="D973">
        <v>25</v>
      </c>
      <c r="E973">
        <v>1999</v>
      </c>
      <c r="F973">
        <v>55000</v>
      </c>
      <c r="G973" t="s">
        <v>38</v>
      </c>
      <c r="H973" t="s">
        <v>51</v>
      </c>
      <c r="I973" t="s">
        <v>77</v>
      </c>
      <c r="J973" s="14">
        <v>43881</v>
      </c>
      <c r="K973" t="s">
        <v>78</v>
      </c>
      <c r="L973">
        <v>89</v>
      </c>
      <c r="M973" t="s">
        <v>1821</v>
      </c>
      <c r="O973" t="s">
        <v>44</v>
      </c>
      <c r="Q973">
        <v>2</v>
      </c>
      <c r="U973">
        <v>29</v>
      </c>
      <c r="W973">
        <v>3</v>
      </c>
      <c r="X973" t="s">
        <v>46</v>
      </c>
    </row>
    <row r="974" spans="1:24" x14ac:dyDescent="0.35">
      <c r="A974" t="s">
        <v>1822</v>
      </c>
      <c r="B974" t="s">
        <v>107</v>
      </c>
      <c r="C974" t="s">
        <v>244</v>
      </c>
      <c r="D974">
        <v>35</v>
      </c>
      <c r="E974">
        <v>1989</v>
      </c>
      <c r="F974">
        <v>65000</v>
      </c>
      <c r="G974" t="s">
        <v>38</v>
      </c>
      <c r="H974" t="s">
        <v>122</v>
      </c>
      <c r="I974" t="s">
        <v>94</v>
      </c>
      <c r="J974" s="14">
        <v>43881</v>
      </c>
      <c r="K974" t="s">
        <v>52</v>
      </c>
      <c r="L974">
        <v>78</v>
      </c>
      <c r="M974" t="s">
        <v>245</v>
      </c>
      <c r="O974" t="s">
        <v>66</v>
      </c>
      <c r="Q974">
        <v>7</v>
      </c>
      <c r="R974" t="s">
        <v>79</v>
      </c>
      <c r="S974">
        <v>5</v>
      </c>
      <c r="V974" t="s">
        <v>169</v>
      </c>
      <c r="W974">
        <v>4</v>
      </c>
      <c r="X974" t="s">
        <v>46</v>
      </c>
    </row>
    <row r="975" spans="1:24" x14ac:dyDescent="0.35">
      <c r="A975" t="s">
        <v>1823</v>
      </c>
      <c r="B975" t="s">
        <v>107</v>
      </c>
      <c r="C975" t="s">
        <v>777</v>
      </c>
      <c r="D975" t="s">
        <v>88</v>
      </c>
      <c r="E975">
        <v>1994</v>
      </c>
      <c r="F975">
        <v>65000</v>
      </c>
      <c r="G975" t="s">
        <v>27</v>
      </c>
      <c r="H975" t="s">
        <v>28</v>
      </c>
      <c r="I975" t="s">
        <v>89</v>
      </c>
      <c r="J975" s="14">
        <v>43800</v>
      </c>
      <c r="K975" t="s">
        <v>30</v>
      </c>
      <c r="L975">
        <v>68</v>
      </c>
      <c r="N975" t="s">
        <v>104</v>
      </c>
      <c r="O975" t="s">
        <v>100</v>
      </c>
      <c r="Q975">
        <v>5</v>
      </c>
      <c r="T975" s="14">
        <v>44732</v>
      </c>
      <c r="V975" t="s">
        <v>73</v>
      </c>
      <c r="W975">
        <v>2</v>
      </c>
      <c r="X975" t="s">
        <v>34</v>
      </c>
    </row>
    <row r="976" spans="1:24" x14ac:dyDescent="0.35">
      <c r="A976" t="s">
        <v>1824</v>
      </c>
      <c r="B976" t="s">
        <v>36</v>
      </c>
      <c r="C976" t="s">
        <v>137</v>
      </c>
      <c r="E976">
        <v>1993</v>
      </c>
      <c r="F976">
        <v>50000</v>
      </c>
      <c r="G976" t="s">
        <v>38</v>
      </c>
      <c r="H976" t="s">
        <v>145</v>
      </c>
      <c r="I976" t="s">
        <v>89</v>
      </c>
      <c r="J976" s="14">
        <v>43881</v>
      </c>
      <c r="K976" t="s">
        <v>30</v>
      </c>
      <c r="L976">
        <v>68</v>
      </c>
      <c r="M976" t="s">
        <v>1825</v>
      </c>
      <c r="N976" t="s">
        <v>104</v>
      </c>
      <c r="O976" t="s">
        <v>112</v>
      </c>
      <c r="Q976">
        <v>8</v>
      </c>
      <c r="R976">
        <v>13</v>
      </c>
      <c r="U976">
        <v>46</v>
      </c>
      <c r="W976">
        <v>5</v>
      </c>
      <c r="X976" t="s">
        <v>34</v>
      </c>
    </row>
    <row r="977" spans="1:24" x14ac:dyDescent="0.35">
      <c r="A977" t="s">
        <v>1826</v>
      </c>
      <c r="B977" t="s">
        <v>48</v>
      </c>
      <c r="C977" t="s">
        <v>380</v>
      </c>
      <c r="D977">
        <v>50</v>
      </c>
      <c r="E977">
        <v>1974</v>
      </c>
      <c r="F977">
        <v>65000</v>
      </c>
      <c r="G977" t="s">
        <v>38</v>
      </c>
      <c r="H977" t="s">
        <v>28</v>
      </c>
      <c r="I977" t="s">
        <v>77</v>
      </c>
      <c r="J977" s="14">
        <v>43800</v>
      </c>
      <c r="K977" t="s">
        <v>30</v>
      </c>
      <c r="L977">
        <v>62</v>
      </c>
      <c r="M977" t="s">
        <v>1827</v>
      </c>
      <c r="N977" t="s">
        <v>54</v>
      </c>
      <c r="O977" t="s">
        <v>32</v>
      </c>
      <c r="Q977">
        <v>3</v>
      </c>
      <c r="S977">
        <v>13</v>
      </c>
      <c r="V977" t="s">
        <v>33</v>
      </c>
      <c r="W977">
        <v>4</v>
      </c>
      <c r="X977" t="s">
        <v>34</v>
      </c>
    </row>
    <row r="978" spans="1:24" x14ac:dyDescent="0.35">
      <c r="A978" t="s">
        <v>1828</v>
      </c>
      <c r="B978" t="s">
        <v>36</v>
      </c>
      <c r="C978" t="s">
        <v>256</v>
      </c>
      <c r="E978">
        <v>1969</v>
      </c>
      <c r="F978">
        <v>70000</v>
      </c>
      <c r="G978" t="s">
        <v>27</v>
      </c>
      <c r="H978" t="s">
        <v>58</v>
      </c>
      <c r="I978" t="s">
        <v>40</v>
      </c>
      <c r="J978" s="14">
        <v>43881</v>
      </c>
      <c r="K978" t="s">
        <v>41</v>
      </c>
      <c r="L978">
        <v>32</v>
      </c>
      <c r="M978" t="s">
        <v>669</v>
      </c>
      <c r="N978" t="s">
        <v>54</v>
      </c>
      <c r="O978" t="s">
        <v>66</v>
      </c>
      <c r="P978" t="s">
        <v>1829</v>
      </c>
      <c r="Q978">
        <v>3</v>
      </c>
      <c r="V978" t="s">
        <v>33</v>
      </c>
      <c r="W978">
        <v>3</v>
      </c>
      <c r="X978" t="s">
        <v>34</v>
      </c>
    </row>
    <row r="979" spans="1:24" x14ac:dyDescent="0.35">
      <c r="A979" t="s">
        <v>1830</v>
      </c>
      <c r="B979" t="s">
        <v>48</v>
      </c>
      <c r="C979" t="s">
        <v>334</v>
      </c>
      <c r="D979">
        <v>50</v>
      </c>
      <c r="E979">
        <v>1974</v>
      </c>
      <c r="F979">
        <v>70000</v>
      </c>
      <c r="G979" t="s">
        <v>38</v>
      </c>
      <c r="H979" t="s">
        <v>64</v>
      </c>
      <c r="I979" t="s">
        <v>77</v>
      </c>
      <c r="J979" s="14">
        <v>43549</v>
      </c>
      <c r="K979" t="s">
        <v>59</v>
      </c>
      <c r="L979">
        <v>96</v>
      </c>
      <c r="M979" t="s">
        <v>335</v>
      </c>
      <c r="O979" t="s">
        <v>44</v>
      </c>
      <c r="P979" t="s">
        <v>842</v>
      </c>
      <c r="Q979">
        <v>6</v>
      </c>
      <c r="R979" t="s">
        <v>79</v>
      </c>
      <c r="V979" t="s">
        <v>46</v>
      </c>
      <c r="W979">
        <v>3</v>
      </c>
      <c r="X979" t="s">
        <v>34</v>
      </c>
    </row>
    <row r="980" spans="1:24" x14ac:dyDescent="0.35">
      <c r="A980" t="s">
        <v>1831</v>
      </c>
      <c r="B980" t="s">
        <v>48</v>
      </c>
      <c r="C980" t="s">
        <v>395</v>
      </c>
      <c r="D980">
        <v>40</v>
      </c>
      <c r="E980">
        <v>1984</v>
      </c>
      <c r="F980">
        <v>50000</v>
      </c>
      <c r="G980" t="s">
        <v>27</v>
      </c>
      <c r="H980" t="s">
        <v>70</v>
      </c>
      <c r="I980" t="s">
        <v>40</v>
      </c>
      <c r="J980" s="14">
        <v>43881</v>
      </c>
      <c r="K980" t="s">
        <v>52</v>
      </c>
      <c r="L980">
        <v>74</v>
      </c>
      <c r="M980" t="s">
        <v>1832</v>
      </c>
      <c r="N980" t="s">
        <v>43</v>
      </c>
      <c r="O980" t="s">
        <v>100</v>
      </c>
      <c r="Q980">
        <v>7</v>
      </c>
      <c r="R980" t="s">
        <v>79</v>
      </c>
      <c r="T980" s="14">
        <v>44732</v>
      </c>
      <c r="V980" t="s">
        <v>34</v>
      </c>
      <c r="W980">
        <v>2</v>
      </c>
      <c r="X980" t="s">
        <v>46</v>
      </c>
    </row>
    <row r="981" spans="1:24" x14ac:dyDescent="0.35">
      <c r="A981" t="s">
        <v>1833</v>
      </c>
      <c r="B981" t="s">
        <v>56</v>
      </c>
      <c r="C981" t="s">
        <v>1043</v>
      </c>
      <c r="E981">
        <v>1983</v>
      </c>
      <c r="F981">
        <v>60900</v>
      </c>
      <c r="G981" t="s">
        <v>38</v>
      </c>
      <c r="H981" t="s">
        <v>28</v>
      </c>
      <c r="I981" t="s">
        <v>40</v>
      </c>
      <c r="J981" s="14">
        <v>43195</v>
      </c>
      <c r="K981" t="s">
        <v>78</v>
      </c>
      <c r="L981">
        <v>82</v>
      </c>
      <c r="M981" t="s">
        <v>1044</v>
      </c>
      <c r="N981" t="s">
        <v>61</v>
      </c>
      <c r="O981" t="s">
        <v>32</v>
      </c>
      <c r="Q981">
        <v>7</v>
      </c>
      <c r="R981" t="s">
        <v>79</v>
      </c>
      <c r="S981">
        <v>7</v>
      </c>
      <c r="T981" s="14">
        <v>44941</v>
      </c>
      <c r="U981">
        <v>37</v>
      </c>
      <c r="V981" t="s">
        <v>73</v>
      </c>
      <c r="W981">
        <v>4</v>
      </c>
      <c r="X981" t="s">
        <v>46</v>
      </c>
    </row>
    <row r="982" spans="1:24" x14ac:dyDescent="0.35">
      <c r="A982" t="s">
        <v>1834</v>
      </c>
      <c r="B982" t="s">
        <v>36</v>
      </c>
      <c r="C982" t="s">
        <v>413</v>
      </c>
      <c r="D982" t="s">
        <v>88</v>
      </c>
      <c r="E982">
        <v>1994</v>
      </c>
      <c r="F982">
        <v>55000</v>
      </c>
      <c r="G982" t="s">
        <v>27</v>
      </c>
      <c r="H982" t="s">
        <v>58</v>
      </c>
      <c r="I982" t="s">
        <v>77</v>
      </c>
      <c r="J982" s="14">
        <v>43800</v>
      </c>
      <c r="K982" t="s">
        <v>30</v>
      </c>
      <c r="L982">
        <v>65</v>
      </c>
      <c r="N982" t="s">
        <v>61</v>
      </c>
      <c r="O982" t="s">
        <v>66</v>
      </c>
      <c r="Q982">
        <v>2</v>
      </c>
      <c r="R982">
        <v>3</v>
      </c>
      <c r="U982">
        <v>47</v>
      </c>
      <c r="V982" t="s">
        <v>33</v>
      </c>
      <c r="W982">
        <v>4</v>
      </c>
      <c r="X982" t="s">
        <v>34</v>
      </c>
    </row>
    <row r="983" spans="1:24" x14ac:dyDescent="0.35">
      <c r="A983" t="s">
        <v>1835</v>
      </c>
      <c r="B983" t="s">
        <v>114</v>
      </c>
      <c r="C983" t="s">
        <v>158</v>
      </c>
      <c r="D983" t="s">
        <v>88</v>
      </c>
      <c r="E983">
        <v>1994</v>
      </c>
      <c r="F983">
        <v>55000</v>
      </c>
      <c r="G983" t="s">
        <v>38</v>
      </c>
      <c r="H983" t="s">
        <v>145</v>
      </c>
      <c r="I983" t="s">
        <v>29</v>
      </c>
      <c r="J983" s="14">
        <v>43845</v>
      </c>
      <c r="K983" t="s">
        <v>52</v>
      </c>
      <c r="L983">
        <v>73</v>
      </c>
      <c r="M983" t="s">
        <v>1836</v>
      </c>
      <c r="N983" t="s">
        <v>43</v>
      </c>
      <c r="O983" t="s">
        <v>44</v>
      </c>
      <c r="P983" t="s">
        <v>656</v>
      </c>
      <c r="Q983">
        <v>2</v>
      </c>
      <c r="R983" t="s">
        <v>79</v>
      </c>
      <c r="T983" t="s">
        <v>79</v>
      </c>
      <c r="W983">
        <v>5</v>
      </c>
      <c r="X983" t="s">
        <v>34</v>
      </c>
    </row>
    <row r="984" spans="1:24" x14ac:dyDescent="0.35">
      <c r="A984" t="s">
        <v>1837</v>
      </c>
      <c r="B984" t="s">
        <v>75</v>
      </c>
      <c r="C984" t="s">
        <v>154</v>
      </c>
      <c r="E984">
        <v>1991</v>
      </c>
      <c r="F984">
        <v>65000</v>
      </c>
      <c r="G984" t="s">
        <v>38</v>
      </c>
      <c r="H984" t="s">
        <v>82</v>
      </c>
      <c r="I984" t="s">
        <v>89</v>
      </c>
      <c r="J984" s="14">
        <v>43845</v>
      </c>
      <c r="K984" t="s">
        <v>30</v>
      </c>
      <c r="L984">
        <v>62</v>
      </c>
      <c r="M984" t="s">
        <v>1838</v>
      </c>
      <c r="N984" t="s">
        <v>43</v>
      </c>
      <c r="O984" t="s">
        <v>174</v>
      </c>
      <c r="Q984">
        <v>3</v>
      </c>
      <c r="S984">
        <v>5</v>
      </c>
      <c r="V984" t="s">
        <v>46</v>
      </c>
      <c r="W984">
        <v>3</v>
      </c>
      <c r="X984" t="s">
        <v>34</v>
      </c>
    </row>
    <row r="985" spans="1:24" x14ac:dyDescent="0.35">
      <c r="A985" t="s">
        <v>1839</v>
      </c>
      <c r="B985" t="s">
        <v>75</v>
      </c>
      <c r="C985" t="s">
        <v>819</v>
      </c>
      <c r="D985" t="s">
        <v>88</v>
      </c>
      <c r="E985">
        <v>1994</v>
      </c>
      <c r="F985">
        <v>65000</v>
      </c>
      <c r="G985" t="s">
        <v>38</v>
      </c>
      <c r="H985" t="s">
        <v>28</v>
      </c>
      <c r="I985" t="s">
        <v>40</v>
      </c>
      <c r="J985" s="14">
        <v>43800</v>
      </c>
      <c r="K985" t="s">
        <v>30</v>
      </c>
      <c r="L985">
        <v>65</v>
      </c>
      <c r="M985" t="s">
        <v>820</v>
      </c>
      <c r="N985" t="s">
        <v>104</v>
      </c>
      <c r="O985" t="s">
        <v>112</v>
      </c>
      <c r="Q985">
        <v>6</v>
      </c>
      <c r="S985">
        <v>14</v>
      </c>
      <c r="W985">
        <v>3</v>
      </c>
      <c r="X985" t="s">
        <v>46</v>
      </c>
    </row>
    <row r="986" spans="1:24" x14ac:dyDescent="0.35">
      <c r="A986" t="s">
        <v>1840</v>
      </c>
      <c r="B986" t="s">
        <v>36</v>
      </c>
      <c r="C986" t="s">
        <v>277</v>
      </c>
      <c r="D986">
        <v>40</v>
      </c>
      <c r="E986">
        <v>1984</v>
      </c>
      <c r="F986">
        <v>60500</v>
      </c>
      <c r="G986" t="s">
        <v>38</v>
      </c>
      <c r="H986" t="s">
        <v>70</v>
      </c>
      <c r="I986" t="s">
        <v>40</v>
      </c>
      <c r="J986" s="14">
        <v>43549</v>
      </c>
      <c r="K986" t="s">
        <v>78</v>
      </c>
      <c r="L986">
        <v>89</v>
      </c>
      <c r="M986" t="s">
        <v>1841</v>
      </c>
      <c r="N986" t="s">
        <v>61</v>
      </c>
      <c r="O986" t="s">
        <v>174</v>
      </c>
      <c r="Q986">
        <v>4</v>
      </c>
      <c r="R986">
        <v>9</v>
      </c>
      <c r="S986">
        <v>8</v>
      </c>
      <c r="W986">
        <v>2</v>
      </c>
      <c r="X986" t="s">
        <v>34</v>
      </c>
    </row>
    <row r="987" spans="1:24" x14ac:dyDescent="0.35">
      <c r="A987" t="s">
        <v>1842</v>
      </c>
      <c r="B987" t="s">
        <v>36</v>
      </c>
      <c r="C987" t="s">
        <v>338</v>
      </c>
      <c r="D987">
        <v>25</v>
      </c>
      <c r="E987">
        <v>1999</v>
      </c>
      <c r="F987">
        <v>65000</v>
      </c>
      <c r="G987" t="s">
        <v>38</v>
      </c>
      <c r="H987" t="s">
        <v>122</v>
      </c>
      <c r="I987" t="s">
        <v>29</v>
      </c>
      <c r="J987" s="14">
        <v>43881</v>
      </c>
      <c r="K987" t="s">
        <v>41</v>
      </c>
      <c r="L987">
        <v>33</v>
      </c>
      <c r="M987" t="s">
        <v>1843</v>
      </c>
      <c r="O987" t="s">
        <v>112</v>
      </c>
      <c r="Q987">
        <v>6</v>
      </c>
      <c r="R987">
        <v>1</v>
      </c>
      <c r="V987" t="s">
        <v>73</v>
      </c>
      <c r="W987">
        <v>3</v>
      </c>
      <c r="X987" t="s">
        <v>34</v>
      </c>
    </row>
    <row r="988" spans="1:24" x14ac:dyDescent="0.35">
      <c r="A988" t="s">
        <v>1844</v>
      </c>
      <c r="B988" t="s">
        <v>68</v>
      </c>
      <c r="C988" t="s">
        <v>110</v>
      </c>
      <c r="D988">
        <v>40</v>
      </c>
      <c r="E988">
        <v>1984</v>
      </c>
      <c r="F988">
        <v>55000</v>
      </c>
      <c r="G988" t="s">
        <v>38</v>
      </c>
      <c r="H988" t="s">
        <v>64</v>
      </c>
      <c r="I988" t="s">
        <v>94</v>
      </c>
      <c r="J988" s="14">
        <v>43549</v>
      </c>
      <c r="K988" t="s">
        <v>59</v>
      </c>
      <c r="L988">
        <v>91</v>
      </c>
      <c r="M988" t="s">
        <v>1845</v>
      </c>
      <c r="N988" t="s">
        <v>54</v>
      </c>
      <c r="O988" t="s">
        <v>44</v>
      </c>
      <c r="Q988">
        <v>6</v>
      </c>
      <c r="R988">
        <v>13</v>
      </c>
      <c r="S988">
        <v>16</v>
      </c>
      <c r="T988" s="14">
        <v>44941</v>
      </c>
      <c r="U988">
        <v>18</v>
      </c>
      <c r="V988" t="s">
        <v>46</v>
      </c>
      <c r="W988">
        <v>4</v>
      </c>
      <c r="X988" t="s">
        <v>34</v>
      </c>
    </row>
    <row r="989" spans="1:24" x14ac:dyDescent="0.35">
      <c r="A989" t="s">
        <v>1846</v>
      </c>
      <c r="B989" t="s">
        <v>56</v>
      </c>
      <c r="C989" t="s">
        <v>413</v>
      </c>
      <c r="D989">
        <v>50</v>
      </c>
      <c r="E989">
        <v>1974</v>
      </c>
      <c r="F989" t="s">
        <v>50</v>
      </c>
      <c r="G989" t="s">
        <v>38</v>
      </c>
      <c r="H989" t="s">
        <v>145</v>
      </c>
      <c r="I989" t="s">
        <v>29</v>
      </c>
      <c r="J989" s="14">
        <v>43845</v>
      </c>
      <c r="K989" t="s">
        <v>41</v>
      </c>
      <c r="L989">
        <v>48</v>
      </c>
      <c r="M989" t="s">
        <v>414</v>
      </c>
      <c r="N989" t="s">
        <v>104</v>
      </c>
      <c r="O989" t="s">
        <v>112</v>
      </c>
      <c r="Q989">
        <v>5</v>
      </c>
      <c r="S989">
        <v>16</v>
      </c>
      <c r="T989" s="14">
        <v>44941</v>
      </c>
      <c r="V989" t="s">
        <v>33</v>
      </c>
      <c r="W989">
        <v>2</v>
      </c>
      <c r="X989" t="s">
        <v>34</v>
      </c>
    </row>
    <row r="990" spans="1:24" x14ac:dyDescent="0.35">
      <c r="A990" t="s">
        <v>1847</v>
      </c>
      <c r="B990" t="s">
        <v>36</v>
      </c>
      <c r="C990" t="s">
        <v>219</v>
      </c>
      <c r="D990">
        <v>40</v>
      </c>
      <c r="E990">
        <v>1984</v>
      </c>
      <c r="F990">
        <v>70000</v>
      </c>
      <c r="G990" t="s">
        <v>38</v>
      </c>
      <c r="H990" t="s">
        <v>122</v>
      </c>
      <c r="I990" t="s">
        <v>29</v>
      </c>
      <c r="J990" s="14">
        <v>43800</v>
      </c>
      <c r="K990" t="s">
        <v>52</v>
      </c>
      <c r="L990">
        <v>74</v>
      </c>
      <c r="M990" t="s">
        <v>220</v>
      </c>
      <c r="N990" t="s">
        <v>61</v>
      </c>
      <c r="O990" t="s">
        <v>66</v>
      </c>
      <c r="Q990">
        <v>5</v>
      </c>
      <c r="R990">
        <v>2</v>
      </c>
      <c r="V990" t="s">
        <v>73</v>
      </c>
      <c r="W990">
        <v>1</v>
      </c>
      <c r="X990" t="s">
        <v>34</v>
      </c>
    </row>
    <row r="991" spans="1:24" x14ac:dyDescent="0.35">
      <c r="A991" t="s">
        <v>1848</v>
      </c>
      <c r="B991" t="s">
        <v>68</v>
      </c>
      <c r="C991" t="s">
        <v>84</v>
      </c>
      <c r="D991">
        <v>50</v>
      </c>
      <c r="E991">
        <v>1974</v>
      </c>
      <c r="F991" t="s">
        <v>50</v>
      </c>
      <c r="G991" t="s">
        <v>38</v>
      </c>
      <c r="H991" t="s">
        <v>51</v>
      </c>
      <c r="I991" t="s">
        <v>40</v>
      </c>
      <c r="J991" s="14">
        <v>43800</v>
      </c>
      <c r="K991" t="s">
        <v>41</v>
      </c>
      <c r="L991">
        <v>2</v>
      </c>
      <c r="M991" t="s">
        <v>1849</v>
      </c>
      <c r="N991" t="s">
        <v>43</v>
      </c>
      <c r="O991" t="s">
        <v>32</v>
      </c>
      <c r="P991" t="s">
        <v>1850</v>
      </c>
      <c r="Q991">
        <v>7</v>
      </c>
      <c r="S991">
        <v>7</v>
      </c>
      <c r="W991">
        <v>5</v>
      </c>
      <c r="X991" t="s">
        <v>46</v>
      </c>
    </row>
    <row r="992" spans="1:24" x14ac:dyDescent="0.35">
      <c r="A992" t="s">
        <v>1851</v>
      </c>
      <c r="B992" t="s">
        <v>48</v>
      </c>
      <c r="C992" t="s">
        <v>262</v>
      </c>
      <c r="D992" t="s">
        <v>88</v>
      </c>
      <c r="E992">
        <v>1994</v>
      </c>
      <c r="F992" t="s">
        <v>50</v>
      </c>
      <c r="G992" t="s">
        <v>27</v>
      </c>
      <c r="H992" t="s">
        <v>28</v>
      </c>
      <c r="I992" t="s">
        <v>89</v>
      </c>
      <c r="J992" s="14">
        <v>43549</v>
      </c>
      <c r="K992" t="s">
        <v>52</v>
      </c>
      <c r="L992">
        <v>71</v>
      </c>
      <c r="M992" t="s">
        <v>263</v>
      </c>
      <c r="N992" t="s">
        <v>61</v>
      </c>
      <c r="O992" t="s">
        <v>174</v>
      </c>
      <c r="Q992">
        <v>5</v>
      </c>
      <c r="R992">
        <v>5</v>
      </c>
      <c r="S992">
        <v>6</v>
      </c>
      <c r="W992">
        <v>2</v>
      </c>
      <c r="X992" t="s">
        <v>34</v>
      </c>
    </row>
    <row r="993" spans="1:24" x14ac:dyDescent="0.35">
      <c r="A993" t="s">
        <v>1852</v>
      </c>
      <c r="B993" t="s">
        <v>107</v>
      </c>
      <c r="C993" t="s">
        <v>543</v>
      </c>
      <c r="D993">
        <v>25</v>
      </c>
      <c r="E993">
        <v>1999</v>
      </c>
      <c r="F993">
        <v>55000</v>
      </c>
      <c r="G993" t="s">
        <v>27</v>
      </c>
      <c r="H993" t="s">
        <v>93</v>
      </c>
      <c r="I993" t="s">
        <v>29</v>
      </c>
      <c r="J993" s="14">
        <v>43549</v>
      </c>
      <c r="K993" t="s">
        <v>52</v>
      </c>
      <c r="L993">
        <v>73</v>
      </c>
      <c r="M993" t="s">
        <v>544</v>
      </c>
      <c r="O993" t="s">
        <v>112</v>
      </c>
      <c r="Q993">
        <v>8</v>
      </c>
      <c r="S993">
        <v>20</v>
      </c>
      <c r="W993">
        <v>2</v>
      </c>
      <c r="X993" t="s">
        <v>46</v>
      </c>
    </row>
    <row r="994" spans="1:24" x14ac:dyDescent="0.35">
      <c r="A994" t="s">
        <v>1853</v>
      </c>
      <c r="B994" t="s">
        <v>107</v>
      </c>
      <c r="C994" t="s">
        <v>446</v>
      </c>
      <c r="D994" t="s">
        <v>88</v>
      </c>
      <c r="E994">
        <v>1994</v>
      </c>
      <c r="F994" t="s">
        <v>50</v>
      </c>
      <c r="G994" t="s">
        <v>38</v>
      </c>
      <c r="H994" t="s">
        <v>70</v>
      </c>
      <c r="I994" t="s">
        <v>94</v>
      </c>
      <c r="J994" s="14">
        <v>43881</v>
      </c>
      <c r="K994" t="s">
        <v>59</v>
      </c>
      <c r="L994">
        <v>93</v>
      </c>
      <c r="M994" t="s">
        <v>447</v>
      </c>
      <c r="N994" t="s">
        <v>104</v>
      </c>
      <c r="O994" t="s">
        <v>32</v>
      </c>
      <c r="Q994">
        <v>6</v>
      </c>
      <c r="V994" t="s">
        <v>169</v>
      </c>
      <c r="W994">
        <v>2</v>
      </c>
      <c r="X994" t="s">
        <v>34</v>
      </c>
    </row>
    <row r="995" spans="1:24" x14ac:dyDescent="0.35">
      <c r="A995" t="s">
        <v>1854</v>
      </c>
      <c r="B995" t="s">
        <v>48</v>
      </c>
      <c r="C995" t="s">
        <v>367</v>
      </c>
      <c r="D995">
        <v>35</v>
      </c>
      <c r="E995">
        <v>1989</v>
      </c>
      <c r="F995">
        <v>61300</v>
      </c>
      <c r="G995" t="s">
        <v>38</v>
      </c>
      <c r="H995" t="s">
        <v>64</v>
      </c>
      <c r="I995" t="s">
        <v>77</v>
      </c>
      <c r="J995" s="14">
        <v>43195</v>
      </c>
      <c r="K995" t="s">
        <v>78</v>
      </c>
      <c r="L995">
        <v>86</v>
      </c>
      <c r="M995" t="s">
        <v>1855</v>
      </c>
      <c r="N995" t="s">
        <v>43</v>
      </c>
      <c r="O995" t="s">
        <v>72</v>
      </c>
      <c r="P995" t="s">
        <v>1566</v>
      </c>
      <c r="Q995">
        <v>8</v>
      </c>
      <c r="R995" t="s">
        <v>79</v>
      </c>
      <c r="T995" t="s">
        <v>79</v>
      </c>
      <c r="U995">
        <v>57</v>
      </c>
      <c r="V995" t="s">
        <v>34</v>
      </c>
      <c r="W995">
        <v>2</v>
      </c>
      <c r="X995" t="s">
        <v>34</v>
      </c>
    </row>
    <row r="996" spans="1:24" x14ac:dyDescent="0.35">
      <c r="A996" t="s">
        <v>1856</v>
      </c>
      <c r="B996" t="s">
        <v>25</v>
      </c>
      <c r="C996" t="s">
        <v>265</v>
      </c>
      <c r="D996" t="s">
        <v>88</v>
      </c>
      <c r="E996">
        <v>1994</v>
      </c>
      <c r="F996">
        <v>50000</v>
      </c>
      <c r="G996" t="s">
        <v>38</v>
      </c>
      <c r="H996" t="s">
        <v>70</v>
      </c>
      <c r="I996" t="s">
        <v>29</v>
      </c>
      <c r="J996" s="14">
        <v>43195</v>
      </c>
      <c r="K996" t="s">
        <v>59</v>
      </c>
      <c r="L996">
        <v>90</v>
      </c>
      <c r="O996" t="s">
        <v>112</v>
      </c>
      <c r="Q996">
        <v>7</v>
      </c>
      <c r="S996">
        <v>10</v>
      </c>
      <c r="T996" s="14">
        <v>44732</v>
      </c>
      <c r="V996" t="s">
        <v>46</v>
      </c>
      <c r="W996">
        <v>5</v>
      </c>
      <c r="X996" t="s">
        <v>34</v>
      </c>
    </row>
    <row r="997" spans="1:24" x14ac:dyDescent="0.35">
      <c r="A997" t="s">
        <v>1857</v>
      </c>
      <c r="B997" t="s">
        <v>68</v>
      </c>
      <c r="C997" t="s">
        <v>92</v>
      </c>
      <c r="D997">
        <v>50</v>
      </c>
      <c r="E997">
        <v>1974</v>
      </c>
      <c r="F997">
        <v>65000</v>
      </c>
      <c r="G997" t="s">
        <v>38</v>
      </c>
      <c r="H997" t="s">
        <v>82</v>
      </c>
      <c r="I997" t="s">
        <v>29</v>
      </c>
      <c r="J997" s="14">
        <v>43881</v>
      </c>
      <c r="K997" t="s">
        <v>41</v>
      </c>
      <c r="L997">
        <v>34</v>
      </c>
      <c r="M997" t="s">
        <v>1858</v>
      </c>
      <c r="N997" t="s">
        <v>54</v>
      </c>
      <c r="O997" t="s">
        <v>72</v>
      </c>
      <c r="Q997">
        <v>3</v>
      </c>
      <c r="T997" s="14">
        <v>45516</v>
      </c>
      <c r="V997" t="s">
        <v>73</v>
      </c>
      <c r="W997">
        <v>1</v>
      </c>
      <c r="X997" t="s">
        <v>34</v>
      </c>
    </row>
    <row r="998" spans="1:24" x14ac:dyDescent="0.35">
      <c r="A998" t="s">
        <v>1859</v>
      </c>
      <c r="B998" t="s">
        <v>68</v>
      </c>
      <c r="C998" t="s">
        <v>26</v>
      </c>
      <c r="D998" t="s">
        <v>88</v>
      </c>
      <c r="E998">
        <v>1994</v>
      </c>
      <c r="F998">
        <v>50000</v>
      </c>
      <c r="G998" t="s">
        <v>27</v>
      </c>
      <c r="H998" t="s">
        <v>64</v>
      </c>
      <c r="I998" t="s">
        <v>94</v>
      </c>
      <c r="J998" s="14">
        <v>43195</v>
      </c>
      <c r="K998" t="s">
        <v>52</v>
      </c>
      <c r="L998">
        <v>73</v>
      </c>
      <c r="M998" t="s">
        <v>1860</v>
      </c>
      <c r="N998" t="s">
        <v>104</v>
      </c>
      <c r="O998" t="s">
        <v>32</v>
      </c>
      <c r="P998" t="s">
        <v>1708</v>
      </c>
      <c r="Q998">
        <v>3</v>
      </c>
      <c r="S998">
        <v>16</v>
      </c>
      <c r="V998" t="s">
        <v>73</v>
      </c>
      <c r="W998">
        <v>3</v>
      </c>
      <c r="X998" t="s">
        <v>46</v>
      </c>
    </row>
    <row r="999" spans="1:24" x14ac:dyDescent="0.35">
      <c r="A999" t="s">
        <v>1861</v>
      </c>
      <c r="B999" t="s">
        <v>48</v>
      </c>
      <c r="C999" t="s">
        <v>459</v>
      </c>
      <c r="D999" t="s">
        <v>88</v>
      </c>
      <c r="E999">
        <v>1994</v>
      </c>
      <c r="F999">
        <v>70000</v>
      </c>
      <c r="G999" t="s">
        <v>27</v>
      </c>
      <c r="H999" t="s">
        <v>122</v>
      </c>
      <c r="I999" t="s">
        <v>89</v>
      </c>
      <c r="J999" s="14">
        <v>43845</v>
      </c>
      <c r="K999" t="s">
        <v>30</v>
      </c>
      <c r="L999">
        <v>62</v>
      </c>
      <c r="M999" t="s">
        <v>460</v>
      </c>
      <c r="O999" t="s">
        <v>100</v>
      </c>
      <c r="Q999">
        <v>1</v>
      </c>
      <c r="R999">
        <v>5</v>
      </c>
      <c r="T999" s="14">
        <v>44732</v>
      </c>
      <c r="U999">
        <v>38</v>
      </c>
      <c r="V999" t="s">
        <v>46</v>
      </c>
      <c r="W999">
        <v>4</v>
      </c>
      <c r="X999" t="s">
        <v>34</v>
      </c>
    </row>
    <row r="1000" spans="1:24" x14ac:dyDescent="0.35">
      <c r="A1000" t="s">
        <v>1862</v>
      </c>
      <c r="B1000" t="s">
        <v>114</v>
      </c>
      <c r="C1000" t="s">
        <v>608</v>
      </c>
      <c r="D1000">
        <v>25</v>
      </c>
      <c r="E1000">
        <v>1999</v>
      </c>
      <c r="F1000">
        <v>65000</v>
      </c>
      <c r="G1000" t="s">
        <v>27</v>
      </c>
      <c r="H1000" t="s">
        <v>70</v>
      </c>
      <c r="I1000" t="s">
        <v>29</v>
      </c>
      <c r="J1000" s="14">
        <v>43195</v>
      </c>
      <c r="K1000" t="s">
        <v>30</v>
      </c>
      <c r="L1000">
        <v>60</v>
      </c>
      <c r="M1000" t="s">
        <v>609</v>
      </c>
      <c r="O1000" t="s">
        <v>32</v>
      </c>
      <c r="Q1000">
        <v>3</v>
      </c>
      <c r="V1000" t="s">
        <v>34</v>
      </c>
      <c r="W1000">
        <v>1</v>
      </c>
      <c r="X1000" t="s">
        <v>46</v>
      </c>
    </row>
    <row r="1001" spans="1:24" x14ac:dyDescent="0.35">
      <c r="A1001" t="s">
        <v>1863</v>
      </c>
      <c r="B1001" t="s">
        <v>140</v>
      </c>
      <c r="C1001" t="s">
        <v>259</v>
      </c>
      <c r="D1001" t="s">
        <v>88</v>
      </c>
      <c r="E1001">
        <v>1994</v>
      </c>
      <c r="F1001" t="s">
        <v>50</v>
      </c>
      <c r="G1001" t="s">
        <v>27</v>
      </c>
      <c r="H1001" t="s">
        <v>64</v>
      </c>
      <c r="I1001" t="s">
        <v>29</v>
      </c>
      <c r="J1001" s="14">
        <v>43881</v>
      </c>
      <c r="K1001" t="s">
        <v>52</v>
      </c>
      <c r="L1001">
        <v>74</v>
      </c>
      <c r="M1001" t="s">
        <v>1864</v>
      </c>
      <c r="N1001" t="s">
        <v>43</v>
      </c>
      <c r="O1001" t="s">
        <v>66</v>
      </c>
      <c r="Q1001">
        <v>4</v>
      </c>
      <c r="R1001" t="s">
        <v>79</v>
      </c>
      <c r="V1001" t="s">
        <v>46</v>
      </c>
      <c r="W1001">
        <v>4</v>
      </c>
      <c r="X100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opLeftCell="X1" workbookViewId="0">
      <selection activeCell="AE2" sqref="AE2"/>
    </sheetView>
  </sheetViews>
  <sheetFormatPr defaultColWidth="14.453125" defaultRowHeight="15" customHeight="1" x14ac:dyDescent="0.35"/>
  <cols>
    <col min="1" max="1" width="14.81640625" customWidth="1"/>
    <col min="2" max="2" width="9.08984375" customWidth="1"/>
    <col min="3" max="3" width="13.08984375" customWidth="1"/>
    <col min="4" max="4" width="7.26953125" customWidth="1"/>
    <col min="5" max="5" width="13.7265625" customWidth="1"/>
    <col min="6" max="6" width="12.54296875" customWidth="1"/>
    <col min="7" max="7" width="16.08984375" customWidth="1"/>
    <col min="8" max="8" width="16.08984375" style="13" customWidth="1"/>
    <col min="9" max="9" width="10.453125" customWidth="1"/>
    <col min="10" max="11" width="14.54296875" customWidth="1"/>
    <col min="12" max="12" width="11" customWidth="1"/>
    <col min="13" max="13" width="14.7265625" style="14" customWidth="1"/>
    <col min="14" max="14" width="20.90625" style="8" customWidth="1"/>
    <col min="15" max="15" width="19" bestFit="1" customWidth="1"/>
    <col min="16" max="16" width="26.6328125" bestFit="1" customWidth="1"/>
    <col min="17" max="17" width="29.90625" bestFit="1" customWidth="1"/>
    <col min="18" max="18" width="17.08984375" customWidth="1"/>
    <col min="19" max="20" width="20.81640625" customWidth="1"/>
    <col min="21" max="21" width="14.7265625" customWidth="1"/>
    <col min="22" max="23" width="17.54296875" customWidth="1"/>
    <col min="24" max="24" width="20.81640625" customWidth="1"/>
    <col min="25" max="25" width="21.7265625" customWidth="1"/>
    <col min="26" max="26" width="16.54296875" customWidth="1"/>
    <col min="27" max="27" width="18.7265625" customWidth="1"/>
    <col min="28" max="28" width="25.81640625" bestFit="1" customWidth="1"/>
    <col min="29" max="29" width="16.54296875" bestFit="1" customWidth="1"/>
    <col min="30" max="30" width="11.08984375" customWidth="1"/>
    <col min="31" max="31" width="15.54296875" bestFit="1" customWidth="1"/>
    <col min="32" max="32" width="8.7265625" customWidth="1"/>
  </cols>
  <sheetData>
    <row r="1" spans="1:3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1919</v>
      </c>
      <c r="F1" s="1" t="s">
        <v>4</v>
      </c>
      <c r="G1" s="1" t="s">
        <v>5</v>
      </c>
      <c r="H1" s="11" t="s">
        <v>1920</v>
      </c>
      <c r="I1" s="1" t="s">
        <v>6</v>
      </c>
      <c r="J1" s="1" t="s">
        <v>7</v>
      </c>
      <c r="K1" s="10" t="s">
        <v>1921</v>
      </c>
      <c r="L1" s="1" t="s">
        <v>8</v>
      </c>
      <c r="M1" s="2" t="s">
        <v>9</v>
      </c>
      <c r="N1" s="16" t="s">
        <v>1923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1922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1933</v>
      </c>
      <c r="AC1" s="1" t="s">
        <v>22</v>
      </c>
      <c r="AD1" s="1" t="s">
        <v>23</v>
      </c>
      <c r="AE1" s="1" t="s">
        <v>1926</v>
      </c>
      <c r="AF1" s="1"/>
    </row>
    <row r="2" spans="1:32" ht="14.25" customHeight="1" x14ac:dyDescent="0.35">
      <c r="A2" s="3" t="s">
        <v>24</v>
      </c>
      <c r="B2" s="3" t="s">
        <v>25</v>
      </c>
      <c r="C2" s="3" t="s">
        <v>26</v>
      </c>
      <c r="D2" s="3">
        <v>25</v>
      </c>
      <c r="E2" s="3">
        <f t="shared" ref="E2:E65" si="0">2024-F2</f>
        <v>25</v>
      </c>
      <c r="F2" s="3">
        <v>1999</v>
      </c>
      <c r="G2" s="3">
        <v>50000</v>
      </c>
      <c r="H2" s="12" cm="1">
        <f t="array" ref="H2">_xlfn.IFS(TRIM(G2)="SIXTY THOUSAND",60000,TRIM(G2)="NAN",AVERAGEIFS(G:G,J:J,J2,L:L,L2),TRUE,G2)</f>
        <v>50000</v>
      </c>
      <c r="I2" s="3" t="s">
        <v>27</v>
      </c>
      <c r="J2" s="3" t="s">
        <v>28</v>
      </c>
      <c r="K2" s="3" t="str">
        <f t="shared" ref="K2:K65" si="1">IF(OR(J2="HR",J2="IT"),UPPER(J2),PROPER(J2))</f>
        <v>HR</v>
      </c>
      <c r="L2" s="3" t="s">
        <v>29</v>
      </c>
      <c r="M2" s="4">
        <v>43195</v>
      </c>
      <c r="N2" s="4">
        <v>43195</v>
      </c>
      <c r="O2" s="3" t="s">
        <v>30</v>
      </c>
      <c r="P2" s="3">
        <v>64</v>
      </c>
      <c r="Q2" s="3" t="s">
        <v>31</v>
      </c>
      <c r="S2" s="3" t="s">
        <v>32</v>
      </c>
      <c r="T2" s="3" t="str">
        <f t="shared" ref="T2:T65" si="2">PROPER(S2)</f>
        <v>Contract</v>
      </c>
      <c r="V2" s="3">
        <v>4</v>
      </c>
      <c r="X2" s="3">
        <v>0</v>
      </c>
      <c r="AA2" s="3" t="s">
        <v>33</v>
      </c>
      <c r="AB2" s="3" t="str" cm="1">
        <f t="array" ref="AB2">_xlfn.IFS(AA2="N","No",  AA2 = "Y", "Yes", TRUE, PROPER(TRIM(AA2)))</f>
        <v>Yes</v>
      </c>
      <c r="AC2" s="3">
        <v>4</v>
      </c>
      <c r="AD2" s="21" t="s">
        <v>34</v>
      </c>
      <c r="AE2">
        <f>IF(AD2="Yes",1,0)</f>
        <v>0</v>
      </c>
    </row>
    <row r="3" spans="1:32" ht="14.25" customHeight="1" x14ac:dyDescent="0.35">
      <c r="A3" s="3" t="s">
        <v>35</v>
      </c>
      <c r="B3" s="3" t="s">
        <v>36</v>
      </c>
      <c r="C3" s="3" t="s">
        <v>37</v>
      </c>
      <c r="E3" s="3">
        <f t="shared" si="0"/>
        <v>41</v>
      </c>
      <c r="F3" s="3">
        <v>1983</v>
      </c>
      <c r="G3" s="3">
        <v>65000</v>
      </c>
      <c r="H3" s="12" cm="1">
        <f t="array" ref="H3">_xlfn.IFS(TRIM(G3)="SIXTY THOUSAND",60000,TRIM(G3)="NAN",AVERAGEIFS(G:G,J:J,J3,L:L,L3),TRUE,G3)</f>
        <v>65000</v>
      </c>
      <c r="I3" s="3" t="s">
        <v>38</v>
      </c>
      <c r="J3" s="3" t="s">
        <v>39</v>
      </c>
      <c r="K3" s="3" t="str">
        <f t="shared" si="1"/>
        <v>Finance</v>
      </c>
      <c r="L3" s="3" t="s">
        <v>40</v>
      </c>
      <c r="M3" s="4">
        <v>43881</v>
      </c>
      <c r="N3" s="4">
        <v>43881</v>
      </c>
      <c r="O3" s="3" t="s">
        <v>41</v>
      </c>
      <c r="P3" s="3">
        <v>5</v>
      </c>
      <c r="Q3" s="3" t="s">
        <v>42</v>
      </c>
      <c r="R3" s="3" t="s">
        <v>43</v>
      </c>
      <c r="S3" s="3" t="s">
        <v>44</v>
      </c>
      <c r="T3" s="3" t="str">
        <f t="shared" si="2"/>
        <v>Full-Time</v>
      </c>
      <c r="V3" s="3">
        <v>8</v>
      </c>
      <c r="W3" s="3">
        <v>3</v>
      </c>
      <c r="X3" s="3">
        <v>15</v>
      </c>
      <c r="Z3" s="3">
        <v>14</v>
      </c>
      <c r="AA3" s="3" t="s">
        <v>45</v>
      </c>
      <c r="AB3" s="3" t="str" cm="1">
        <f t="array" ref="AB3">_xlfn.IFS(AA3="N","No",  AA3 = "Y", "Yes", TRUE, PROPER(TRIM(AA3)))</f>
        <v>No</v>
      </c>
      <c r="AC3" s="3">
        <v>1</v>
      </c>
      <c r="AD3" s="3" t="s">
        <v>46</v>
      </c>
      <c r="AE3">
        <f t="shared" ref="AE3:AE66" si="3">IF(AD3="Yes",1,0)</f>
        <v>1</v>
      </c>
    </row>
    <row r="4" spans="1:32" ht="14.25" customHeight="1" x14ac:dyDescent="0.35">
      <c r="A4" s="3" t="s">
        <v>47</v>
      </c>
      <c r="B4" s="3" t="s">
        <v>48</v>
      </c>
      <c r="C4" s="3" t="s">
        <v>49</v>
      </c>
      <c r="D4" s="3">
        <v>35</v>
      </c>
      <c r="E4" s="3">
        <f t="shared" si="0"/>
        <v>35</v>
      </c>
      <c r="F4" s="3">
        <v>1989</v>
      </c>
      <c r="G4" s="3" t="s">
        <v>50</v>
      </c>
      <c r="H4" s="12" cm="1">
        <f t="array" ref="H4">_xlfn.IFS(TRIM(G4)="SIXTY THOUSAND",60000,TRIM(G4)="NAN",AVERAGEIFS(G:G,J:J,J4,L:L,L4),TRUE,G4)</f>
        <v>60000</v>
      </c>
      <c r="I4" s="3" t="s">
        <v>38</v>
      </c>
      <c r="J4" s="3" t="s">
        <v>51</v>
      </c>
      <c r="K4" s="3" t="str">
        <f t="shared" si="1"/>
        <v>Sales</v>
      </c>
      <c r="L4" s="3" t="s">
        <v>40</v>
      </c>
      <c r="M4" s="9">
        <v>43845</v>
      </c>
      <c r="N4" s="9">
        <v>43845</v>
      </c>
      <c r="O4" s="3" t="s">
        <v>52</v>
      </c>
      <c r="P4" s="3">
        <v>70</v>
      </c>
      <c r="Q4" s="3" t="s">
        <v>53</v>
      </c>
      <c r="R4" s="3" t="s">
        <v>54</v>
      </c>
      <c r="S4" s="3" t="s">
        <v>44</v>
      </c>
      <c r="T4" s="3" t="str">
        <f t="shared" si="2"/>
        <v>Full-Time</v>
      </c>
      <c r="V4" s="3">
        <v>6</v>
      </c>
      <c r="W4" s="3">
        <v>15</v>
      </c>
      <c r="Y4" s="9">
        <v>45516</v>
      </c>
      <c r="AA4" s="3" t="s">
        <v>33</v>
      </c>
      <c r="AB4" s="3" t="str" cm="1">
        <f t="array" ref="AB4">_xlfn.IFS(AA4="N","No",  AA4 = "Y", "Yes", TRUE, PROPER(TRIM(AA4)))</f>
        <v>Yes</v>
      </c>
      <c r="AC4" s="3">
        <v>5</v>
      </c>
      <c r="AD4" s="3" t="s">
        <v>34</v>
      </c>
      <c r="AE4">
        <f t="shared" si="3"/>
        <v>0</v>
      </c>
    </row>
    <row r="5" spans="1:32" ht="14.25" customHeight="1" x14ac:dyDescent="0.35">
      <c r="A5" s="3" t="s">
        <v>55</v>
      </c>
      <c r="B5" s="3" t="s">
        <v>56</v>
      </c>
      <c r="C5" s="3" t="s">
        <v>57</v>
      </c>
      <c r="E5" s="3">
        <f t="shared" si="0"/>
        <v>48</v>
      </c>
      <c r="F5" s="3">
        <v>1976</v>
      </c>
      <c r="G5" s="3">
        <v>50000</v>
      </c>
      <c r="H5" s="12" cm="1">
        <f t="array" ref="H5">_xlfn.IFS(TRIM(G5)="SIXTY THOUSAND",60000,TRIM(G5)="NAN",AVERAGEIFS(G:G,J:J,J5,L:L,L5),TRUE,G5)</f>
        <v>50000</v>
      </c>
      <c r="I5" s="3" t="s">
        <v>38</v>
      </c>
      <c r="J5" s="3" t="s">
        <v>58</v>
      </c>
      <c r="K5" s="3" t="str">
        <f t="shared" si="1"/>
        <v>IT</v>
      </c>
      <c r="L5" s="3" t="s">
        <v>29</v>
      </c>
      <c r="M5" s="4">
        <v>43195</v>
      </c>
      <c r="N5" s="4">
        <v>43195</v>
      </c>
      <c r="O5" s="3" t="s">
        <v>59</v>
      </c>
      <c r="P5" s="3">
        <v>93</v>
      </c>
      <c r="Q5" s="43" t="s">
        <v>60</v>
      </c>
      <c r="R5" s="3" t="s">
        <v>61</v>
      </c>
      <c r="S5" s="3" t="s">
        <v>32</v>
      </c>
      <c r="T5" s="3" t="str">
        <f t="shared" si="2"/>
        <v>Contract</v>
      </c>
      <c r="V5" s="3">
        <v>5</v>
      </c>
      <c r="W5" s="3">
        <v>12</v>
      </c>
      <c r="X5" s="3">
        <v>11</v>
      </c>
      <c r="Y5" s="9">
        <v>45516</v>
      </c>
      <c r="AA5" s="3" t="s">
        <v>46</v>
      </c>
      <c r="AB5" s="3" t="str" cm="1">
        <f t="array" ref="AB5">_xlfn.IFS(AA5="N","No",  AA5 = "Y", "Yes", TRUE, PROPER(TRIM(AA5)))</f>
        <v>Yes</v>
      </c>
      <c r="AC5" s="3">
        <v>2</v>
      </c>
      <c r="AD5" s="3" t="s">
        <v>46</v>
      </c>
      <c r="AE5">
        <f t="shared" si="3"/>
        <v>1</v>
      </c>
    </row>
    <row r="6" spans="1:32" ht="14.25" customHeight="1" x14ac:dyDescent="0.35">
      <c r="A6" s="3" t="s">
        <v>62</v>
      </c>
      <c r="B6" s="3" t="s">
        <v>25</v>
      </c>
      <c r="C6" s="3" t="s">
        <v>63</v>
      </c>
      <c r="E6" s="3">
        <f t="shared" si="0"/>
        <v>51</v>
      </c>
      <c r="F6" s="3">
        <v>1973</v>
      </c>
      <c r="G6" s="3">
        <v>59500</v>
      </c>
      <c r="H6" s="12" cm="1">
        <f t="array" ref="H6">_xlfn.IFS(TRIM(G6)="SIXTY THOUSAND",60000,TRIM(G6)="NAN",AVERAGEIFS(G:G,J:J,J6,L:L,L6),TRUE,G6)</f>
        <v>59500</v>
      </c>
      <c r="I6" s="3" t="s">
        <v>38</v>
      </c>
      <c r="J6" s="3" t="s">
        <v>64</v>
      </c>
      <c r="K6" s="3" t="str">
        <f t="shared" si="1"/>
        <v>Finance</v>
      </c>
      <c r="L6" s="3" t="s">
        <v>29</v>
      </c>
      <c r="M6" s="9">
        <v>43845</v>
      </c>
      <c r="N6" s="9">
        <v>43845</v>
      </c>
      <c r="O6" s="3" t="s">
        <v>41</v>
      </c>
      <c r="P6" s="3">
        <v>14</v>
      </c>
      <c r="Q6" s="3" t="s">
        <v>65</v>
      </c>
      <c r="R6" s="3" t="s">
        <v>54</v>
      </c>
      <c r="S6" s="3" t="s">
        <v>66</v>
      </c>
      <c r="T6" s="3" t="str">
        <f t="shared" si="2"/>
        <v>Contract</v>
      </c>
      <c r="V6" s="3">
        <v>3</v>
      </c>
      <c r="W6" s="3">
        <v>4</v>
      </c>
      <c r="Y6" s="4">
        <v>44941</v>
      </c>
      <c r="Z6" s="3">
        <v>47</v>
      </c>
      <c r="AB6" s="3" t="str" cm="1">
        <f t="array" ref="AB6">_xlfn.IFS(AA6="N","No",  AA6 = "Y", "Yes", TRUE, PROPER(TRIM(AA6)))</f>
        <v/>
      </c>
      <c r="AC6" s="3">
        <v>1</v>
      </c>
      <c r="AD6" s="3" t="s">
        <v>34</v>
      </c>
      <c r="AE6">
        <f t="shared" si="3"/>
        <v>0</v>
      </c>
    </row>
    <row r="7" spans="1:32" ht="14.25" customHeight="1" x14ac:dyDescent="0.35">
      <c r="A7" s="3" t="s">
        <v>67</v>
      </c>
      <c r="B7" s="3" t="s">
        <v>68</v>
      </c>
      <c r="C7" s="3" t="s">
        <v>69</v>
      </c>
      <c r="E7" s="3">
        <f t="shared" si="0"/>
        <v>53</v>
      </c>
      <c r="F7" s="3">
        <v>1971</v>
      </c>
      <c r="G7" s="3">
        <v>65000</v>
      </c>
      <c r="H7" s="12" cm="1">
        <f t="array" ref="H7">_xlfn.IFS(TRIM(G7)="SIXTY THOUSAND",60000,TRIM(G7)="NAN",AVERAGEIFS(G:G,J:J,J7,L:L,L7),TRUE,G7)</f>
        <v>65000</v>
      </c>
      <c r="I7" s="3" t="s">
        <v>27</v>
      </c>
      <c r="J7" s="3" t="s">
        <v>70</v>
      </c>
      <c r="K7" s="3" t="str">
        <f t="shared" si="1"/>
        <v>Marketing</v>
      </c>
      <c r="L7" s="3" t="s">
        <v>40</v>
      </c>
      <c r="M7" s="4">
        <v>43549</v>
      </c>
      <c r="N7" s="4">
        <v>43549</v>
      </c>
      <c r="O7" s="3" t="s">
        <v>41</v>
      </c>
      <c r="P7" s="3">
        <v>48</v>
      </c>
      <c r="Q7" s="3" t="s">
        <v>71</v>
      </c>
      <c r="S7" s="3" t="s">
        <v>72</v>
      </c>
      <c r="T7" s="3" t="str">
        <f t="shared" si="2"/>
        <v>Part-Time</v>
      </c>
      <c r="V7" s="3">
        <v>3</v>
      </c>
      <c r="Y7" s="4">
        <v>44732</v>
      </c>
      <c r="AA7" s="3" t="s">
        <v>73</v>
      </c>
      <c r="AB7" s="3" t="str" cm="1">
        <f t="array" ref="AB7">_xlfn.IFS(AA7="N","No",  AA7 = "Y", "Yes", TRUE, PROPER(TRIM(AA7)))</f>
        <v>No</v>
      </c>
      <c r="AC7" s="3">
        <v>5</v>
      </c>
      <c r="AD7" s="3" t="s">
        <v>34</v>
      </c>
      <c r="AE7">
        <f t="shared" si="3"/>
        <v>0</v>
      </c>
    </row>
    <row r="8" spans="1:32" ht="14.25" customHeight="1" x14ac:dyDescent="0.35">
      <c r="A8" s="3" t="s">
        <v>74</v>
      </c>
      <c r="B8" s="3" t="s">
        <v>75</v>
      </c>
      <c r="C8" s="3" t="s">
        <v>76</v>
      </c>
      <c r="E8" s="3">
        <f t="shared" si="0"/>
        <v>33</v>
      </c>
      <c r="F8" s="3">
        <v>1991</v>
      </c>
      <c r="G8" s="3">
        <v>50000</v>
      </c>
      <c r="H8" s="12" cm="1">
        <f t="array" ref="H8">_xlfn.IFS(TRIM(G8)="SIXTY THOUSAND",60000,TRIM(G8)="NAN",AVERAGEIFS(G:G,J:J,J8,L:L,L8),TRUE,G8)</f>
        <v>50000</v>
      </c>
      <c r="I8" s="3" t="s">
        <v>27</v>
      </c>
      <c r="J8" s="3" t="s">
        <v>70</v>
      </c>
      <c r="K8" s="3" t="str">
        <f t="shared" si="1"/>
        <v>Marketing</v>
      </c>
      <c r="L8" s="3" t="s">
        <v>77</v>
      </c>
      <c r="M8" s="4">
        <v>43800</v>
      </c>
      <c r="N8" s="4">
        <v>43800</v>
      </c>
      <c r="O8" s="3" t="s">
        <v>78</v>
      </c>
      <c r="P8" s="3">
        <v>86</v>
      </c>
      <c r="Q8" t="str">
        <f>LOWER(_xlfn.CONCAT(B8,".",C8,"@saltcorp.com"))</f>
        <v>charlie.moore@saltcorp.com</v>
      </c>
      <c r="R8" s="3" t="s">
        <v>43</v>
      </c>
      <c r="S8" s="3" t="s">
        <v>72</v>
      </c>
      <c r="T8" s="3" t="str">
        <f t="shared" si="2"/>
        <v>Part-Time</v>
      </c>
      <c r="V8" s="3">
        <v>5</v>
      </c>
      <c r="W8" s="3" t="s">
        <v>79</v>
      </c>
      <c r="X8" s="3">
        <v>0</v>
      </c>
      <c r="Y8" s="9">
        <v>45516</v>
      </c>
      <c r="AA8" s="3" t="s">
        <v>46</v>
      </c>
      <c r="AB8" s="3" t="str" cm="1">
        <f t="array" ref="AB8">_xlfn.IFS(AA8="N","No",  AA8 = "Y", "Yes", TRUE, PROPER(TRIM(AA8)))</f>
        <v>Yes</v>
      </c>
      <c r="AC8" s="3">
        <v>4</v>
      </c>
      <c r="AD8" s="3" t="s">
        <v>46</v>
      </c>
      <c r="AE8">
        <f t="shared" si="3"/>
        <v>1</v>
      </c>
    </row>
    <row r="9" spans="1:32" ht="14.25" customHeight="1" x14ac:dyDescent="0.35">
      <c r="A9" s="3" t="s">
        <v>80</v>
      </c>
      <c r="B9" s="3" t="s">
        <v>25</v>
      </c>
      <c r="C9" s="3" t="s">
        <v>81</v>
      </c>
      <c r="D9" s="3">
        <v>40</v>
      </c>
      <c r="E9" s="3">
        <f t="shared" si="0"/>
        <v>40</v>
      </c>
      <c r="F9" s="3">
        <v>1984</v>
      </c>
      <c r="G9" s="3">
        <v>50000</v>
      </c>
      <c r="H9" s="12" cm="1">
        <f t="array" ref="H9">_xlfn.IFS(TRIM(G9)="SIXTY THOUSAND",60000,TRIM(G9)="NAN",AVERAGEIFS(G:G,J:J,J9,L:L,L9),TRUE,G9)</f>
        <v>50000</v>
      </c>
      <c r="I9" s="3" t="s">
        <v>38</v>
      </c>
      <c r="J9" s="3" t="s">
        <v>82</v>
      </c>
      <c r="K9" s="3" t="str">
        <f t="shared" si="1"/>
        <v>HR</v>
      </c>
      <c r="L9" s="3" t="s">
        <v>40</v>
      </c>
      <c r="M9" s="4">
        <v>43549</v>
      </c>
      <c r="N9" s="4">
        <v>43549</v>
      </c>
      <c r="O9" s="3" t="s">
        <v>52</v>
      </c>
      <c r="P9" s="3">
        <v>71</v>
      </c>
      <c r="Q9" t="str">
        <f>LOWER(_xlfn.CONCAT(B9,".",C9,"@saltcorp.com"))</f>
        <v>grace.wang@saltcorp.com</v>
      </c>
      <c r="R9" s="3" t="s">
        <v>61</v>
      </c>
      <c r="S9" s="3" t="s">
        <v>72</v>
      </c>
      <c r="T9" s="3" t="str">
        <f t="shared" si="2"/>
        <v>Part-Time</v>
      </c>
      <c r="V9" s="3">
        <v>2</v>
      </c>
      <c r="AA9" s="3" t="s">
        <v>73</v>
      </c>
      <c r="AB9" s="3" t="str" cm="1">
        <f t="array" ref="AB9">_xlfn.IFS(AA9="N","No",  AA9 = "Y", "Yes", TRUE, PROPER(TRIM(AA9)))</f>
        <v>No</v>
      </c>
      <c r="AC9" s="3">
        <v>3</v>
      </c>
      <c r="AD9" s="3" t="s">
        <v>34</v>
      </c>
      <c r="AE9">
        <f t="shared" si="3"/>
        <v>0</v>
      </c>
    </row>
    <row r="10" spans="1:32" ht="14.25" customHeight="1" x14ac:dyDescent="0.35">
      <c r="A10" s="3" t="s">
        <v>83</v>
      </c>
      <c r="B10" s="3" t="s">
        <v>48</v>
      </c>
      <c r="C10" s="3" t="s">
        <v>84</v>
      </c>
      <c r="D10" s="3">
        <v>40</v>
      </c>
      <c r="E10" s="3">
        <f t="shared" si="0"/>
        <v>40</v>
      </c>
      <c r="F10" s="3">
        <v>1984</v>
      </c>
      <c r="G10" s="3" t="s">
        <v>50</v>
      </c>
      <c r="H10" s="12" cm="1">
        <f t="array" ref="H10">_xlfn.IFS(TRIM(G10)="SIXTY THOUSAND",60000,TRIM(G10)="NAN",AVERAGEIFS(G:G,J:J,J10,L:L,L10),TRUE,G10)</f>
        <v>60000</v>
      </c>
      <c r="I10" s="3" t="s">
        <v>38</v>
      </c>
      <c r="J10" s="3" t="s">
        <v>70</v>
      </c>
      <c r="K10" s="3" t="str">
        <f t="shared" si="1"/>
        <v>Marketing</v>
      </c>
      <c r="L10" s="3" t="s">
        <v>29</v>
      </c>
      <c r="M10" s="9">
        <v>43845</v>
      </c>
      <c r="N10" s="9">
        <v>43845</v>
      </c>
      <c r="O10" s="3" t="s">
        <v>52</v>
      </c>
      <c r="P10" s="3">
        <v>75</v>
      </c>
      <c r="Q10" s="3" t="s">
        <v>85</v>
      </c>
      <c r="R10" s="3" t="s">
        <v>43</v>
      </c>
      <c r="S10" s="3" t="s">
        <v>32</v>
      </c>
      <c r="T10" s="3" t="str">
        <f t="shared" si="2"/>
        <v>Contract</v>
      </c>
      <c r="V10" s="3">
        <v>8</v>
      </c>
      <c r="AB10" s="3" t="str" cm="1">
        <f t="array" ref="AB10">_xlfn.IFS(AA10="N","No",  AA10 = "Y", "Yes", TRUE, PROPER(TRIM(AA10)))</f>
        <v/>
      </c>
      <c r="AC10" s="3">
        <v>2</v>
      </c>
      <c r="AD10" s="3" t="s">
        <v>34</v>
      </c>
      <c r="AE10">
        <f t="shared" si="3"/>
        <v>0</v>
      </c>
    </row>
    <row r="11" spans="1:32" ht="14.25" customHeight="1" x14ac:dyDescent="0.35">
      <c r="A11" s="3" t="s">
        <v>86</v>
      </c>
      <c r="B11" s="3" t="s">
        <v>56</v>
      </c>
      <c r="C11" s="3" t="s">
        <v>87</v>
      </c>
      <c r="D11" s="3" t="s">
        <v>88</v>
      </c>
      <c r="E11" s="3">
        <f t="shared" si="0"/>
        <v>30</v>
      </c>
      <c r="F11" s="3">
        <v>1994</v>
      </c>
      <c r="G11" s="3">
        <v>58500</v>
      </c>
      <c r="H11" s="12" cm="1">
        <f t="array" ref="H11">_xlfn.IFS(TRIM(G11)="SIXTY THOUSAND",60000,TRIM(G11)="NAN",AVERAGEIFS(G:G,J:J,J11,L:L,L11),TRUE,G11)</f>
        <v>58500</v>
      </c>
      <c r="I11" s="3" t="s">
        <v>38</v>
      </c>
      <c r="J11" s="3" t="s">
        <v>39</v>
      </c>
      <c r="K11" s="3" t="str">
        <f t="shared" si="1"/>
        <v>Finance</v>
      </c>
      <c r="L11" s="3" t="s">
        <v>89</v>
      </c>
      <c r="M11" s="4">
        <v>43881</v>
      </c>
      <c r="N11" s="4">
        <v>43881</v>
      </c>
      <c r="O11" s="3" t="s">
        <v>59</v>
      </c>
      <c r="P11" s="3">
        <v>90</v>
      </c>
      <c r="Q11" t="str">
        <f>LOWER(_xlfn.CONCAT(B11,".",C11,"@saltcorp.com"))</f>
        <v>eve.stevens@saltcorp.com</v>
      </c>
      <c r="R11" s="3" t="s">
        <v>61</v>
      </c>
      <c r="S11" s="3" t="s">
        <v>44</v>
      </c>
      <c r="T11" s="3" t="str">
        <f t="shared" si="2"/>
        <v>Full-Time</v>
      </c>
      <c r="U11" s="3" t="s">
        <v>90</v>
      </c>
      <c r="V11" s="3">
        <v>3</v>
      </c>
      <c r="X11" s="3">
        <v>4</v>
      </c>
      <c r="Y11" s="4">
        <v>45516</v>
      </c>
      <c r="Z11" s="3">
        <v>65</v>
      </c>
      <c r="AA11" s="3" t="s">
        <v>73</v>
      </c>
      <c r="AB11" s="3" t="str" cm="1">
        <f t="array" ref="AB11">_xlfn.IFS(AA11="N","No",  AA11 = "Y", "Yes", TRUE, PROPER(TRIM(AA11)))</f>
        <v>No</v>
      </c>
      <c r="AC11" s="3">
        <v>5</v>
      </c>
      <c r="AD11" s="3" t="s">
        <v>34</v>
      </c>
      <c r="AE11">
        <f t="shared" si="3"/>
        <v>0</v>
      </c>
    </row>
    <row r="12" spans="1:32" ht="14.25" customHeight="1" x14ac:dyDescent="0.35">
      <c r="A12" s="3" t="s">
        <v>91</v>
      </c>
      <c r="B12" s="3" t="s">
        <v>36</v>
      </c>
      <c r="C12" s="3" t="s">
        <v>92</v>
      </c>
      <c r="D12" s="3">
        <v>25</v>
      </c>
      <c r="E12" s="3">
        <f t="shared" si="0"/>
        <v>25</v>
      </c>
      <c r="F12" s="3">
        <v>1999</v>
      </c>
      <c r="G12" s="3">
        <v>70000</v>
      </c>
      <c r="H12" s="12" cm="1">
        <f t="array" ref="H12">_xlfn.IFS(TRIM(G12)="SIXTY THOUSAND",60000,TRIM(G12)="NAN",AVERAGEIFS(G:G,J:J,J12,L:L,L12),TRUE,G12)</f>
        <v>70000</v>
      </c>
      <c r="I12" s="3" t="s">
        <v>27</v>
      </c>
      <c r="J12" s="3" t="s">
        <v>93</v>
      </c>
      <c r="K12" s="3" t="str">
        <f t="shared" si="1"/>
        <v>Marketing</v>
      </c>
      <c r="L12" s="3" t="s">
        <v>94</v>
      </c>
      <c r="M12" s="4">
        <v>43800</v>
      </c>
      <c r="N12" s="4">
        <v>43800</v>
      </c>
      <c r="O12" s="3" t="s">
        <v>78</v>
      </c>
      <c r="P12" s="3">
        <v>81</v>
      </c>
      <c r="Q12" t="str">
        <f>LOWER(_xlfn.CONCAT(B12,".",C12,"@saltcorp.com"))</f>
        <v>david.west@saltcorp.com</v>
      </c>
      <c r="R12" s="3" t="s">
        <v>43</v>
      </c>
      <c r="S12" s="3" t="s">
        <v>32</v>
      </c>
      <c r="T12" s="3" t="str">
        <f t="shared" si="2"/>
        <v>Contract</v>
      </c>
      <c r="V12" s="3">
        <v>5</v>
      </c>
      <c r="W12" s="3" t="s">
        <v>79</v>
      </c>
      <c r="Y12" s="4">
        <v>45516</v>
      </c>
      <c r="AA12" s="3" t="s">
        <v>45</v>
      </c>
      <c r="AB12" s="3" t="str" cm="1">
        <f t="array" ref="AB12">_xlfn.IFS(AA12="N","No",  AA12 = "Y", "Yes", TRUE, PROPER(TRIM(AA12)))</f>
        <v>No</v>
      </c>
      <c r="AC12" s="3">
        <v>1</v>
      </c>
      <c r="AD12" s="3" t="s">
        <v>34</v>
      </c>
      <c r="AE12">
        <f t="shared" si="3"/>
        <v>0</v>
      </c>
    </row>
    <row r="13" spans="1:32" ht="14.25" customHeight="1" x14ac:dyDescent="0.35">
      <c r="A13" s="3" t="s">
        <v>95</v>
      </c>
      <c r="B13" s="3" t="s">
        <v>48</v>
      </c>
      <c r="C13" s="3" t="s">
        <v>96</v>
      </c>
      <c r="E13" s="3">
        <f t="shared" si="0"/>
        <v>37</v>
      </c>
      <c r="F13" s="3">
        <v>1987</v>
      </c>
      <c r="G13" s="3">
        <v>70000</v>
      </c>
      <c r="H13" s="12" cm="1">
        <f t="array" ref="H13">_xlfn.IFS(TRIM(G13)="SIXTY THOUSAND",60000,TRIM(G13)="NAN",AVERAGEIFS(G:G,J:J,J13,L:L,L13),TRUE,G13)</f>
        <v>70000</v>
      </c>
      <c r="I13" s="3" t="s">
        <v>38</v>
      </c>
      <c r="J13" s="3" t="s">
        <v>64</v>
      </c>
      <c r="K13" s="3" t="str">
        <f t="shared" si="1"/>
        <v>Finance</v>
      </c>
      <c r="L13" s="3" t="s">
        <v>89</v>
      </c>
      <c r="M13" s="4">
        <v>43549</v>
      </c>
      <c r="N13" s="4">
        <v>43549</v>
      </c>
      <c r="O13" s="3" t="s">
        <v>59</v>
      </c>
      <c r="P13" s="3">
        <v>100</v>
      </c>
      <c r="Q13" s="3" t="s">
        <v>97</v>
      </c>
      <c r="S13" s="3" t="s">
        <v>32</v>
      </c>
      <c r="T13" s="3" t="str">
        <f t="shared" si="2"/>
        <v>Contract</v>
      </c>
      <c r="V13" s="3">
        <v>3</v>
      </c>
      <c r="W13" s="3">
        <v>1</v>
      </c>
      <c r="X13" s="3">
        <v>15</v>
      </c>
      <c r="AA13" s="3" t="s">
        <v>46</v>
      </c>
      <c r="AB13" s="3" t="str" cm="1">
        <f t="array" ref="AB13">_xlfn.IFS(AA13="N","No",  AA13 = "Y", "Yes", TRUE, PROPER(TRIM(AA13)))</f>
        <v>Yes</v>
      </c>
      <c r="AC13" s="3">
        <v>3</v>
      </c>
      <c r="AD13" s="3" t="s">
        <v>46</v>
      </c>
      <c r="AE13">
        <f t="shared" si="3"/>
        <v>1</v>
      </c>
    </row>
    <row r="14" spans="1:32" ht="14.25" customHeight="1" x14ac:dyDescent="0.35">
      <c r="A14" s="3" t="s">
        <v>98</v>
      </c>
      <c r="B14" s="3" t="s">
        <v>48</v>
      </c>
      <c r="C14" s="3" t="s">
        <v>99</v>
      </c>
      <c r="D14" s="3" t="s">
        <v>88</v>
      </c>
      <c r="E14" s="3">
        <f t="shared" si="0"/>
        <v>30</v>
      </c>
      <c r="F14" s="3">
        <v>1994</v>
      </c>
      <c r="G14" s="3">
        <v>50000</v>
      </c>
      <c r="H14" s="12" cm="1">
        <f t="array" ref="H14">_xlfn.IFS(TRIM(G14)="SIXTY THOUSAND",60000,TRIM(G14)="NAN",AVERAGEIFS(G:G,J:J,J14,L:L,L14),TRUE,G14)</f>
        <v>50000</v>
      </c>
      <c r="I14" s="3" t="s">
        <v>27</v>
      </c>
      <c r="J14" s="3" t="s">
        <v>58</v>
      </c>
      <c r="K14" s="3" t="str">
        <f t="shared" si="1"/>
        <v>IT</v>
      </c>
      <c r="L14" s="3" t="s">
        <v>89</v>
      </c>
      <c r="M14" s="4">
        <v>43195</v>
      </c>
      <c r="N14" s="4">
        <v>43195</v>
      </c>
      <c r="O14" s="3" t="s">
        <v>30</v>
      </c>
      <c r="P14" s="3">
        <v>64</v>
      </c>
      <c r="Q14" t="str">
        <f>LOWER(_xlfn.CONCAT(B14,".",C14,"@saltcorp.com"))</f>
        <v>hannah.gomez@saltcorp.com</v>
      </c>
      <c r="R14" s="3" t="s">
        <v>61</v>
      </c>
      <c r="S14" s="3" t="s">
        <v>100</v>
      </c>
      <c r="T14" s="3" t="str">
        <f t="shared" si="2"/>
        <v>Part-Time</v>
      </c>
      <c r="U14" s="3" t="s">
        <v>101</v>
      </c>
      <c r="V14" s="3">
        <v>6</v>
      </c>
      <c r="Y14" s="4">
        <v>44470</v>
      </c>
      <c r="AA14" s="3" t="s">
        <v>45</v>
      </c>
      <c r="AB14" s="3" t="str" cm="1">
        <f t="array" ref="AB14">_xlfn.IFS(AA14="N","No",  AA14 = "Y", "Yes", TRUE, PROPER(TRIM(AA14)))</f>
        <v>No</v>
      </c>
      <c r="AC14" s="3">
        <v>2</v>
      </c>
      <c r="AD14" s="3" t="s">
        <v>34</v>
      </c>
      <c r="AE14">
        <f t="shared" si="3"/>
        <v>0</v>
      </c>
    </row>
    <row r="15" spans="1:32" ht="14.25" customHeight="1" x14ac:dyDescent="0.35">
      <c r="A15" s="3" t="s">
        <v>102</v>
      </c>
      <c r="B15" s="3" t="s">
        <v>75</v>
      </c>
      <c r="C15" s="3" t="s">
        <v>103</v>
      </c>
      <c r="D15" s="3">
        <v>25</v>
      </c>
      <c r="E15" s="3">
        <f t="shared" si="0"/>
        <v>25</v>
      </c>
      <c r="F15" s="3">
        <v>1999</v>
      </c>
      <c r="G15" s="3">
        <v>55000</v>
      </c>
      <c r="H15" s="12" cm="1">
        <f t="array" ref="H15">_xlfn.IFS(TRIM(G15)="SIXTY THOUSAND",60000,TRIM(G15)="NAN",AVERAGEIFS(G:G,J:J,J15,L:L,L15),TRUE,G15)</f>
        <v>55000</v>
      </c>
      <c r="I15" s="3" t="s">
        <v>27</v>
      </c>
      <c r="J15" s="3" t="s">
        <v>82</v>
      </c>
      <c r="K15" s="3" t="str">
        <f t="shared" si="1"/>
        <v>HR</v>
      </c>
      <c r="L15" s="3" t="s">
        <v>29</v>
      </c>
      <c r="M15" s="4">
        <v>43881</v>
      </c>
      <c r="N15" s="4">
        <v>43881</v>
      </c>
      <c r="O15" s="3" t="s">
        <v>41</v>
      </c>
      <c r="P15" s="3">
        <v>29</v>
      </c>
      <c r="Q15" t="str">
        <f>LOWER(_xlfn.CONCAT(B15,".",C15,"@saltcorp.com"))</f>
        <v>charlie.martin@saltcorp.com</v>
      </c>
      <c r="R15" s="3" t="s">
        <v>104</v>
      </c>
      <c r="S15" s="3" t="s">
        <v>44</v>
      </c>
      <c r="T15" s="3" t="str">
        <f t="shared" si="2"/>
        <v>Full-Time</v>
      </c>
      <c r="U15" s="3" t="s">
        <v>105</v>
      </c>
      <c r="V15" s="3">
        <v>2</v>
      </c>
      <c r="W15" s="3">
        <v>3</v>
      </c>
      <c r="X15" s="3">
        <v>18</v>
      </c>
      <c r="AA15" s="3" t="s">
        <v>46</v>
      </c>
      <c r="AB15" s="3" t="str" cm="1">
        <f t="array" ref="AB15">_xlfn.IFS(AA15="N","No",  AA15 = "Y", "Yes", TRUE, PROPER(TRIM(AA15)))</f>
        <v>Yes</v>
      </c>
      <c r="AC15" s="3">
        <v>2</v>
      </c>
      <c r="AD15" s="3" t="s">
        <v>34</v>
      </c>
      <c r="AE15">
        <f t="shared" si="3"/>
        <v>0</v>
      </c>
    </row>
    <row r="16" spans="1:32" ht="14.25" customHeight="1" x14ac:dyDescent="0.35">
      <c r="A16" s="3" t="s">
        <v>106</v>
      </c>
      <c r="B16" s="3" t="s">
        <v>107</v>
      </c>
      <c r="C16" s="3" t="s">
        <v>108</v>
      </c>
      <c r="D16" s="3">
        <v>50</v>
      </c>
      <c r="E16" s="3">
        <f t="shared" si="0"/>
        <v>50</v>
      </c>
      <c r="F16" s="3">
        <v>1974</v>
      </c>
      <c r="G16" s="3">
        <v>60500</v>
      </c>
      <c r="H16" s="12" cm="1">
        <f t="array" ref="H16">_xlfn.IFS(TRIM(G16)="SIXTY THOUSAND",60000,TRIM(G16)="NAN",AVERAGEIFS(G:G,J:J,J16,L:L,L16),TRUE,G16)</f>
        <v>60500</v>
      </c>
      <c r="I16" s="3" t="s">
        <v>27</v>
      </c>
      <c r="J16" s="3" t="s">
        <v>70</v>
      </c>
      <c r="K16" s="3" t="str">
        <f t="shared" si="1"/>
        <v>Marketing</v>
      </c>
      <c r="L16" s="3" t="s">
        <v>40</v>
      </c>
      <c r="M16" s="9">
        <v>43549</v>
      </c>
      <c r="N16" s="9">
        <v>43549</v>
      </c>
      <c r="O16" s="3" t="s">
        <v>59</v>
      </c>
      <c r="P16" s="3">
        <v>100</v>
      </c>
      <c r="Q16" t="str">
        <f>LOWER(_xlfn.CONCAT(B16,".",C16,"@saltcorp.com"))</f>
        <v>frank.young@saltcorp.com</v>
      </c>
      <c r="R16" s="3" t="s">
        <v>43</v>
      </c>
      <c r="S16" s="3" t="s">
        <v>100</v>
      </c>
      <c r="T16" s="3" t="str">
        <f t="shared" si="2"/>
        <v>Part-Time</v>
      </c>
      <c r="V16" s="3">
        <v>4</v>
      </c>
      <c r="W16" s="3">
        <v>7</v>
      </c>
      <c r="X16" s="3">
        <v>20</v>
      </c>
      <c r="Z16" s="3">
        <v>23</v>
      </c>
      <c r="AA16" s="3" t="s">
        <v>34</v>
      </c>
      <c r="AB16" s="3" t="str" cm="1">
        <f t="array" ref="AB16">_xlfn.IFS(AA16="N","No",  AA16 = "Y", "Yes", TRUE, PROPER(TRIM(AA16)))</f>
        <v>No</v>
      </c>
      <c r="AC16" s="3">
        <v>4</v>
      </c>
      <c r="AD16" s="3" t="s">
        <v>34</v>
      </c>
      <c r="AE16">
        <f t="shared" si="3"/>
        <v>0</v>
      </c>
    </row>
    <row r="17" spans="1:31" ht="14.25" customHeight="1" x14ac:dyDescent="0.35">
      <c r="A17" s="3" t="s">
        <v>109</v>
      </c>
      <c r="B17" s="3" t="s">
        <v>56</v>
      </c>
      <c r="C17" s="3" t="s">
        <v>110</v>
      </c>
      <c r="D17" s="3">
        <v>35</v>
      </c>
      <c r="E17" s="3">
        <f t="shared" si="0"/>
        <v>35</v>
      </c>
      <c r="F17" s="3">
        <v>1989</v>
      </c>
      <c r="G17" s="3">
        <v>65000</v>
      </c>
      <c r="H17" s="12" cm="1">
        <f t="array" ref="H17">_xlfn.IFS(TRIM(G17)="SIXTY THOUSAND",60000,TRIM(G17)="NAN",AVERAGEIFS(G:G,J:J,J17,L:L,L17),TRUE,G17)</f>
        <v>65000</v>
      </c>
      <c r="I17" s="3" t="s">
        <v>27</v>
      </c>
      <c r="J17" s="3" t="s">
        <v>64</v>
      </c>
      <c r="K17" s="3" t="str">
        <f t="shared" si="1"/>
        <v>Finance</v>
      </c>
      <c r="L17" s="3" t="s">
        <v>77</v>
      </c>
      <c r="M17" s="4">
        <v>43195</v>
      </c>
      <c r="N17" s="4">
        <v>43195</v>
      </c>
      <c r="O17" s="3" t="s">
        <v>41</v>
      </c>
      <c r="P17" s="3">
        <v>40</v>
      </c>
      <c r="Q17" s="3" t="s">
        <v>111</v>
      </c>
      <c r="R17" s="3" t="s">
        <v>43</v>
      </c>
      <c r="S17" s="3" t="s">
        <v>112</v>
      </c>
      <c r="T17" s="3" t="str">
        <f t="shared" si="2"/>
        <v>Full-Time</v>
      </c>
      <c r="V17" s="3">
        <v>6</v>
      </c>
      <c r="W17" s="3" t="s">
        <v>79</v>
      </c>
      <c r="Y17" s="4">
        <v>44990</v>
      </c>
      <c r="Z17" s="3">
        <v>71</v>
      </c>
      <c r="AA17" s="3" t="s">
        <v>33</v>
      </c>
      <c r="AB17" s="3" t="str" cm="1">
        <f t="array" ref="AB17">_xlfn.IFS(AA17="N","No",  AA17 = "Y", "Yes", TRUE, PROPER(TRIM(AA17)))</f>
        <v>Yes</v>
      </c>
      <c r="AC17" s="3">
        <v>2</v>
      </c>
      <c r="AD17" s="3" t="s">
        <v>34</v>
      </c>
      <c r="AE17">
        <f t="shared" si="3"/>
        <v>0</v>
      </c>
    </row>
    <row r="18" spans="1:31" ht="14.25" customHeight="1" x14ac:dyDescent="0.35">
      <c r="A18" s="3" t="s">
        <v>113</v>
      </c>
      <c r="B18" s="3" t="s">
        <v>114</v>
      </c>
      <c r="C18" s="3" t="s">
        <v>115</v>
      </c>
      <c r="D18" s="3">
        <v>40</v>
      </c>
      <c r="E18" s="3">
        <f t="shared" si="0"/>
        <v>40</v>
      </c>
      <c r="F18" s="3">
        <v>1984</v>
      </c>
      <c r="G18" s="3">
        <v>55000</v>
      </c>
      <c r="H18" s="12" cm="1">
        <f t="array" ref="H18">_xlfn.IFS(TRIM(G18)="SIXTY THOUSAND",60000,TRIM(G18)="NAN",AVERAGEIFS(G:G,J:J,J18,L:L,L18),TRUE,G18)</f>
        <v>55000</v>
      </c>
      <c r="I18" s="3" t="s">
        <v>38</v>
      </c>
      <c r="J18" s="3" t="s">
        <v>51</v>
      </c>
      <c r="K18" s="3" t="str">
        <f t="shared" si="1"/>
        <v>Sales</v>
      </c>
      <c r="L18" s="3" t="s">
        <v>89</v>
      </c>
      <c r="M18" s="9">
        <v>43845</v>
      </c>
      <c r="N18" s="9">
        <v>43845</v>
      </c>
      <c r="O18" s="3" t="s">
        <v>78</v>
      </c>
      <c r="P18" s="3">
        <v>88</v>
      </c>
      <c r="Q18" t="str">
        <f>LOWER(_xlfn.CONCAT(B18,".",C18,"@saltcorp.com"))</f>
        <v>bob.garcia@saltcorp.com</v>
      </c>
      <c r="R18" s="3" t="s">
        <v>54</v>
      </c>
      <c r="S18" s="3" t="s">
        <v>44</v>
      </c>
      <c r="T18" s="3" t="str">
        <f t="shared" si="2"/>
        <v>Full-Time</v>
      </c>
      <c r="V18" s="3">
        <v>4</v>
      </c>
      <c r="W18" s="3">
        <v>9</v>
      </c>
      <c r="Y18" s="4">
        <v>44732</v>
      </c>
      <c r="AB18" s="3" t="str" cm="1">
        <f t="array" ref="AB18">_xlfn.IFS(AA18="N","No",  AA18 = "Y", "Yes", TRUE, PROPER(TRIM(AA18)))</f>
        <v/>
      </c>
      <c r="AC18" s="3">
        <v>2</v>
      </c>
      <c r="AD18" s="3" t="s">
        <v>34</v>
      </c>
      <c r="AE18">
        <f t="shared" si="3"/>
        <v>0</v>
      </c>
    </row>
    <row r="19" spans="1:31" ht="14.25" customHeight="1" x14ac:dyDescent="0.35">
      <c r="A19" s="3" t="s">
        <v>116</v>
      </c>
      <c r="B19" s="3" t="s">
        <v>48</v>
      </c>
      <c r="C19" s="3" t="s">
        <v>117</v>
      </c>
      <c r="D19" s="3">
        <v>50</v>
      </c>
      <c r="E19" s="3">
        <f t="shared" si="0"/>
        <v>50</v>
      </c>
      <c r="F19" s="3">
        <v>1974</v>
      </c>
      <c r="G19" s="3">
        <v>55000</v>
      </c>
      <c r="H19" s="12" cm="1">
        <f t="array" ref="H19">_xlfn.IFS(TRIM(G19)="SIXTY THOUSAND",60000,TRIM(G19)="NAN",AVERAGEIFS(G:G,J:J,J19,L:L,L19),TRUE,G19)</f>
        <v>55000</v>
      </c>
      <c r="I19" s="3" t="s">
        <v>27</v>
      </c>
      <c r="J19" s="3" t="s">
        <v>28</v>
      </c>
      <c r="K19" s="3" t="str">
        <f t="shared" si="1"/>
        <v>HR</v>
      </c>
      <c r="L19" s="3" t="s">
        <v>40</v>
      </c>
      <c r="M19" s="4">
        <v>43195</v>
      </c>
      <c r="N19" s="4">
        <v>43195</v>
      </c>
      <c r="O19" s="3" t="s">
        <v>30</v>
      </c>
      <c r="P19" s="3">
        <v>63</v>
      </c>
      <c r="Q19" s="3" t="s">
        <v>118</v>
      </c>
      <c r="R19" s="3" t="s">
        <v>61</v>
      </c>
      <c r="S19" s="3" t="s">
        <v>44</v>
      </c>
      <c r="T19" s="3" t="str">
        <f t="shared" si="2"/>
        <v>Full-Time</v>
      </c>
      <c r="U19" s="3" t="s">
        <v>119</v>
      </c>
      <c r="V19" s="3">
        <v>5</v>
      </c>
      <c r="Y19" s="4">
        <v>44941</v>
      </c>
      <c r="AB19" s="3" t="str" cm="1">
        <f t="array" ref="AB19">_xlfn.IFS(AA19="N","No",  AA19 = "Y", "Yes", TRUE, PROPER(TRIM(AA19)))</f>
        <v/>
      </c>
      <c r="AC19" s="3">
        <v>1</v>
      </c>
      <c r="AD19" s="3" t="s">
        <v>46</v>
      </c>
      <c r="AE19">
        <f t="shared" si="3"/>
        <v>1</v>
      </c>
    </row>
    <row r="20" spans="1:31" ht="14.25" customHeight="1" x14ac:dyDescent="0.35">
      <c r="A20" s="3" t="s">
        <v>120</v>
      </c>
      <c r="B20" s="3" t="s">
        <v>107</v>
      </c>
      <c r="C20" s="3" t="s">
        <v>121</v>
      </c>
      <c r="D20" s="3">
        <v>25</v>
      </c>
      <c r="E20" s="3">
        <f t="shared" si="0"/>
        <v>25</v>
      </c>
      <c r="F20" s="3">
        <v>1999</v>
      </c>
      <c r="G20" s="3">
        <v>58600</v>
      </c>
      <c r="H20" s="12" cm="1">
        <f t="array" ref="H20">_xlfn.IFS(TRIM(G20)="SIXTY THOUSAND",60000,TRIM(G20)="NAN",AVERAGEIFS(G:G,J:J,J20,L:L,L20),TRUE,G20)</f>
        <v>58600</v>
      </c>
      <c r="I20" s="3" t="s">
        <v>38</v>
      </c>
      <c r="J20" s="3" t="s">
        <v>122</v>
      </c>
      <c r="K20" s="3" t="str">
        <f t="shared" si="1"/>
        <v>IT</v>
      </c>
      <c r="L20" s="3" t="s">
        <v>77</v>
      </c>
      <c r="M20" s="9">
        <v>43549</v>
      </c>
      <c r="N20" s="9">
        <v>43549</v>
      </c>
      <c r="O20" s="3" t="s">
        <v>78</v>
      </c>
      <c r="P20" s="3">
        <v>80</v>
      </c>
      <c r="Q20" s="3" t="s">
        <v>123</v>
      </c>
      <c r="R20" s="3" t="s">
        <v>104</v>
      </c>
      <c r="S20" s="3" t="s">
        <v>44</v>
      </c>
      <c r="T20" s="3" t="str">
        <f t="shared" si="2"/>
        <v>Full-Time</v>
      </c>
      <c r="V20" s="3">
        <v>7</v>
      </c>
      <c r="W20" s="3" t="s">
        <v>79</v>
      </c>
      <c r="X20" s="3">
        <v>15</v>
      </c>
      <c r="Z20" s="3">
        <v>26</v>
      </c>
      <c r="AA20" s="3" t="s">
        <v>45</v>
      </c>
      <c r="AB20" s="3" t="str" cm="1">
        <f t="array" ref="AB20">_xlfn.IFS(AA20="N","No",  AA20 = "Y", "Yes", TRUE, PROPER(TRIM(AA20)))</f>
        <v>No</v>
      </c>
      <c r="AC20" s="3">
        <v>4</v>
      </c>
      <c r="AD20" s="3" t="s">
        <v>34</v>
      </c>
      <c r="AE20">
        <f t="shared" si="3"/>
        <v>0</v>
      </c>
    </row>
    <row r="21" spans="1:31" ht="14.25" customHeight="1" x14ac:dyDescent="0.35">
      <c r="A21" s="3" t="s">
        <v>124</v>
      </c>
      <c r="B21" s="3" t="s">
        <v>114</v>
      </c>
      <c r="C21" s="3" t="s">
        <v>125</v>
      </c>
      <c r="D21" s="3">
        <v>50</v>
      </c>
      <c r="E21" s="3">
        <f t="shared" si="0"/>
        <v>50</v>
      </c>
      <c r="F21" s="3">
        <v>1974</v>
      </c>
      <c r="G21" s="3">
        <v>50000</v>
      </c>
      <c r="H21" s="12" cm="1">
        <f t="array" ref="H21">_xlfn.IFS(TRIM(G21)="SIXTY THOUSAND",60000,TRIM(G21)="NAN",AVERAGEIFS(G:G,J:J,J21,L:L,L21),TRUE,G21)</f>
        <v>50000</v>
      </c>
      <c r="I21" s="3" t="s">
        <v>38</v>
      </c>
      <c r="J21" s="3" t="s">
        <v>39</v>
      </c>
      <c r="K21" s="3" t="str">
        <f t="shared" si="1"/>
        <v>Finance</v>
      </c>
      <c r="L21" s="3" t="s">
        <v>89</v>
      </c>
      <c r="M21" s="9">
        <v>43549</v>
      </c>
      <c r="N21" s="9">
        <v>43549</v>
      </c>
      <c r="O21" s="3" t="s">
        <v>30</v>
      </c>
      <c r="P21" s="3">
        <v>61</v>
      </c>
      <c r="Q21" s="3" t="s">
        <v>126</v>
      </c>
      <c r="S21" s="3" t="s">
        <v>72</v>
      </c>
      <c r="T21" s="3" t="str">
        <f t="shared" si="2"/>
        <v>Part-Time</v>
      </c>
      <c r="U21" s="3" t="s">
        <v>127</v>
      </c>
      <c r="V21" s="3">
        <v>6</v>
      </c>
      <c r="X21" s="3">
        <v>1</v>
      </c>
      <c r="Z21" s="3">
        <v>53</v>
      </c>
      <c r="AA21" s="3" t="s">
        <v>46</v>
      </c>
      <c r="AB21" s="3" t="str" cm="1">
        <f t="array" ref="AB21">_xlfn.IFS(AA21="N","No",  AA21 = "Y", "Yes", TRUE, PROPER(TRIM(AA21)))</f>
        <v>Yes</v>
      </c>
      <c r="AC21" s="3">
        <v>3</v>
      </c>
      <c r="AD21" s="3" t="s">
        <v>34</v>
      </c>
      <c r="AE21">
        <f t="shared" si="3"/>
        <v>0</v>
      </c>
    </row>
    <row r="22" spans="1:31" ht="14.25" customHeight="1" x14ac:dyDescent="0.35">
      <c r="A22" s="3" t="s">
        <v>128</v>
      </c>
      <c r="B22" s="3" t="s">
        <v>56</v>
      </c>
      <c r="C22" s="3" t="s">
        <v>87</v>
      </c>
      <c r="D22" s="3">
        <v>35</v>
      </c>
      <c r="E22" s="3">
        <f t="shared" si="0"/>
        <v>35</v>
      </c>
      <c r="F22" s="3">
        <v>1989</v>
      </c>
      <c r="G22" s="3">
        <v>50000</v>
      </c>
      <c r="H22" s="12" cm="1">
        <f t="array" ref="H22">_xlfn.IFS(TRIM(G22)="SIXTY THOUSAND",60000,TRIM(G22)="NAN",AVERAGEIFS(G:G,J:J,J22,L:L,L22),TRUE,G22)</f>
        <v>50000</v>
      </c>
      <c r="I22" s="3" t="s">
        <v>38</v>
      </c>
      <c r="J22" s="3" t="s">
        <v>122</v>
      </c>
      <c r="K22" s="3" t="str">
        <f t="shared" si="1"/>
        <v>IT</v>
      </c>
      <c r="L22" s="3" t="s">
        <v>77</v>
      </c>
      <c r="M22" s="9">
        <v>43845</v>
      </c>
      <c r="N22" s="9">
        <v>43845</v>
      </c>
      <c r="O22" s="3" t="s">
        <v>30</v>
      </c>
      <c r="P22" s="3">
        <v>67</v>
      </c>
      <c r="Q22" s="3" t="s">
        <v>129</v>
      </c>
      <c r="R22" s="3" t="s">
        <v>54</v>
      </c>
      <c r="S22" s="3" t="s">
        <v>72</v>
      </c>
      <c r="T22" s="3" t="str">
        <f t="shared" si="2"/>
        <v>Part-Time</v>
      </c>
      <c r="V22" s="3">
        <v>6</v>
      </c>
      <c r="W22" s="3" t="s">
        <v>79</v>
      </c>
      <c r="X22" s="3">
        <v>10</v>
      </c>
      <c r="Y22" s="4">
        <v>44732</v>
      </c>
      <c r="AB22" s="3" t="str" cm="1">
        <f t="array" ref="AB22">_xlfn.IFS(AA22="N","No",  AA22 = "Y", "Yes", TRUE, PROPER(TRIM(AA22)))</f>
        <v/>
      </c>
      <c r="AC22" s="3">
        <v>1</v>
      </c>
      <c r="AD22" s="3" t="s">
        <v>46</v>
      </c>
      <c r="AE22">
        <f t="shared" si="3"/>
        <v>1</v>
      </c>
    </row>
    <row r="23" spans="1:31" ht="14.25" customHeight="1" x14ac:dyDescent="0.35">
      <c r="A23" s="3" t="s">
        <v>130</v>
      </c>
      <c r="B23" s="3" t="s">
        <v>131</v>
      </c>
      <c r="C23" s="3" t="s">
        <v>132</v>
      </c>
      <c r="D23" s="3">
        <v>25</v>
      </c>
      <c r="E23" s="3">
        <f t="shared" si="0"/>
        <v>25</v>
      </c>
      <c r="F23" s="3">
        <v>1999</v>
      </c>
      <c r="G23" s="3">
        <v>50000</v>
      </c>
      <c r="H23" s="12" cm="1">
        <f t="array" ref="H23">_xlfn.IFS(TRIM(G23)="SIXTY THOUSAND",60000,TRIM(G23)="NAN",AVERAGEIFS(G:G,J:J,J23,L:L,L23),TRUE,G23)</f>
        <v>50000</v>
      </c>
      <c r="I23" s="3" t="s">
        <v>38</v>
      </c>
      <c r="J23" s="3" t="s">
        <v>122</v>
      </c>
      <c r="K23" s="3" t="str">
        <f t="shared" si="1"/>
        <v>IT</v>
      </c>
      <c r="L23" s="3" t="s">
        <v>40</v>
      </c>
      <c r="M23" s="4">
        <v>43195</v>
      </c>
      <c r="N23" s="4">
        <v>43195</v>
      </c>
      <c r="O23" s="3" t="s">
        <v>41</v>
      </c>
      <c r="P23" s="3">
        <v>8</v>
      </c>
      <c r="Q23" s="3" t="s">
        <v>133</v>
      </c>
      <c r="R23" s="3" t="s">
        <v>104</v>
      </c>
      <c r="S23" s="3" t="s">
        <v>100</v>
      </c>
      <c r="T23" s="3" t="str">
        <f t="shared" si="2"/>
        <v>Part-Time</v>
      </c>
      <c r="V23" s="3">
        <v>5</v>
      </c>
      <c r="W23" s="3">
        <v>1</v>
      </c>
      <c r="X23" s="3">
        <v>13</v>
      </c>
      <c r="AA23" s="3" t="s">
        <v>33</v>
      </c>
      <c r="AB23" s="3" t="str" cm="1">
        <f t="array" ref="AB23">_xlfn.IFS(AA23="N","No",  AA23 = "Y", "Yes", TRUE, PROPER(TRIM(AA23)))</f>
        <v>Yes</v>
      </c>
      <c r="AC23" s="3">
        <v>3</v>
      </c>
      <c r="AD23" s="3" t="s">
        <v>34</v>
      </c>
      <c r="AE23">
        <f t="shared" si="3"/>
        <v>0</v>
      </c>
    </row>
    <row r="24" spans="1:31" ht="14.25" customHeight="1" x14ac:dyDescent="0.35">
      <c r="A24" s="3" t="s">
        <v>134</v>
      </c>
      <c r="B24" s="3" t="s">
        <v>68</v>
      </c>
      <c r="C24" s="3" t="s">
        <v>135</v>
      </c>
      <c r="D24" s="3">
        <v>50</v>
      </c>
      <c r="E24" s="3">
        <f t="shared" si="0"/>
        <v>50</v>
      </c>
      <c r="F24" s="3">
        <v>1974</v>
      </c>
      <c r="G24" s="3">
        <v>50000</v>
      </c>
      <c r="H24" s="12" cm="1">
        <f t="array" ref="H24">_xlfn.IFS(TRIM(G24)="SIXTY THOUSAND",60000,TRIM(G24)="NAN",AVERAGEIFS(G:G,J:J,J24,L:L,L24),TRUE,G24)</f>
        <v>50000</v>
      </c>
      <c r="I24" s="3" t="s">
        <v>27</v>
      </c>
      <c r="J24" s="3" t="s">
        <v>70</v>
      </c>
      <c r="K24" s="3" t="str">
        <f t="shared" si="1"/>
        <v>Marketing</v>
      </c>
      <c r="L24" s="3" t="s">
        <v>94</v>
      </c>
      <c r="M24" s="4">
        <v>43195</v>
      </c>
      <c r="N24" s="4">
        <v>43195</v>
      </c>
      <c r="O24" s="3" t="s">
        <v>78</v>
      </c>
      <c r="P24" s="3">
        <v>88</v>
      </c>
      <c r="Q24" s="3" t="s">
        <v>136</v>
      </c>
      <c r="R24" s="3" t="s">
        <v>61</v>
      </c>
      <c r="S24" s="3" t="s">
        <v>100</v>
      </c>
      <c r="T24" s="3" t="str">
        <f t="shared" si="2"/>
        <v>Part-Time</v>
      </c>
      <c r="V24" s="3">
        <v>5</v>
      </c>
      <c r="AA24" s="3" t="s">
        <v>46</v>
      </c>
      <c r="AB24" s="3" t="str" cm="1">
        <f t="array" ref="AB24">_xlfn.IFS(AA24="N","No",  AA24 = "Y", "Yes", TRUE, PROPER(TRIM(AA24)))</f>
        <v>Yes</v>
      </c>
      <c r="AC24" s="3">
        <v>2</v>
      </c>
      <c r="AD24" s="3" t="s">
        <v>46</v>
      </c>
      <c r="AE24">
        <f t="shared" si="3"/>
        <v>1</v>
      </c>
    </row>
    <row r="25" spans="1:31" ht="14.25" customHeight="1" x14ac:dyDescent="0.35">
      <c r="A25" s="3" t="s">
        <v>127</v>
      </c>
      <c r="B25" s="3" t="s">
        <v>107</v>
      </c>
      <c r="C25" s="3" t="s">
        <v>137</v>
      </c>
      <c r="D25" s="3">
        <v>40</v>
      </c>
      <c r="E25" s="3">
        <f t="shared" si="0"/>
        <v>40</v>
      </c>
      <c r="F25" s="3">
        <v>1984</v>
      </c>
      <c r="G25" s="3">
        <v>70000</v>
      </c>
      <c r="H25" s="12" cm="1">
        <f t="array" ref="H25">_xlfn.IFS(TRIM(G25)="SIXTY THOUSAND",60000,TRIM(G25)="NAN",AVERAGEIFS(G:G,J:J,J25,L:L,L25),TRUE,G25)</f>
        <v>70000</v>
      </c>
      <c r="I25" s="3" t="s">
        <v>27</v>
      </c>
      <c r="J25" s="3" t="s">
        <v>93</v>
      </c>
      <c r="K25" s="3" t="str">
        <f t="shared" si="1"/>
        <v>Marketing</v>
      </c>
      <c r="L25" s="3" t="s">
        <v>40</v>
      </c>
      <c r="M25" s="9">
        <v>43845</v>
      </c>
      <c r="N25" s="9">
        <v>43845</v>
      </c>
      <c r="O25" s="3" t="s">
        <v>78</v>
      </c>
      <c r="P25" s="3">
        <v>86</v>
      </c>
      <c r="Q25" s="3" t="s">
        <v>138</v>
      </c>
      <c r="R25" s="3" t="s">
        <v>104</v>
      </c>
      <c r="S25" s="3" t="s">
        <v>44</v>
      </c>
      <c r="T25" s="3" t="str">
        <f t="shared" si="2"/>
        <v>Full-Time</v>
      </c>
      <c r="V25" s="3">
        <v>8</v>
      </c>
      <c r="W25" s="3" t="s">
        <v>79</v>
      </c>
      <c r="Y25" s="4">
        <v>44470</v>
      </c>
      <c r="AB25" s="3" t="str" cm="1">
        <f t="array" ref="AB25">_xlfn.IFS(AA25="N","No",  AA25 = "Y", "Yes", TRUE, PROPER(TRIM(AA25)))</f>
        <v/>
      </c>
      <c r="AC25" s="3">
        <v>2</v>
      </c>
      <c r="AD25" s="3" t="s">
        <v>34</v>
      </c>
      <c r="AE25">
        <f t="shared" si="3"/>
        <v>0</v>
      </c>
    </row>
    <row r="26" spans="1:31" ht="14.25" customHeight="1" x14ac:dyDescent="0.35">
      <c r="A26" s="3" t="s">
        <v>139</v>
      </c>
      <c r="B26" s="3" t="s">
        <v>140</v>
      </c>
      <c r="C26" s="3" t="s">
        <v>141</v>
      </c>
      <c r="D26" s="3">
        <v>40</v>
      </c>
      <c r="E26" s="3">
        <f t="shared" si="0"/>
        <v>40</v>
      </c>
      <c r="F26" s="3">
        <v>1984</v>
      </c>
      <c r="G26" s="3">
        <v>50000</v>
      </c>
      <c r="H26" s="12" cm="1">
        <f t="array" ref="H26">_xlfn.IFS(TRIM(G26)="SIXTY THOUSAND",60000,TRIM(G26)="NAN",AVERAGEIFS(G:G,J:J,J26,L:L,L26),TRUE,G26)</f>
        <v>50000</v>
      </c>
      <c r="I26" s="3" t="s">
        <v>38</v>
      </c>
      <c r="J26" s="3" t="s">
        <v>64</v>
      </c>
      <c r="K26" s="3" t="str">
        <f t="shared" si="1"/>
        <v>Finance</v>
      </c>
      <c r="L26" s="3" t="s">
        <v>29</v>
      </c>
      <c r="M26" s="4">
        <v>43195</v>
      </c>
      <c r="N26" s="4">
        <v>43195</v>
      </c>
      <c r="O26" s="3" t="s">
        <v>59</v>
      </c>
      <c r="P26" s="3">
        <v>93</v>
      </c>
      <c r="Q26" s="3" t="s">
        <v>142</v>
      </c>
      <c r="R26" s="3" t="s">
        <v>43</v>
      </c>
      <c r="S26" s="3" t="s">
        <v>100</v>
      </c>
      <c r="T26" s="3" t="str">
        <f t="shared" si="2"/>
        <v>Part-Time</v>
      </c>
      <c r="V26" s="3">
        <v>2</v>
      </c>
      <c r="W26" s="3">
        <v>3</v>
      </c>
      <c r="Z26" s="3">
        <v>9</v>
      </c>
      <c r="AA26" s="3" t="s">
        <v>73</v>
      </c>
      <c r="AB26" s="3" t="str" cm="1">
        <f t="array" ref="AB26">_xlfn.IFS(AA26="N","No",  AA26 = "Y", "Yes", TRUE, PROPER(TRIM(AA26)))</f>
        <v>No</v>
      </c>
      <c r="AC26" s="3">
        <v>1</v>
      </c>
      <c r="AD26" s="3" t="s">
        <v>34</v>
      </c>
      <c r="AE26">
        <f t="shared" si="3"/>
        <v>0</v>
      </c>
    </row>
    <row r="27" spans="1:31" ht="14.25" customHeight="1" x14ac:dyDescent="0.35">
      <c r="A27" s="3" t="s">
        <v>143</v>
      </c>
      <c r="B27" s="3" t="s">
        <v>131</v>
      </c>
      <c r="C27" s="3" t="s">
        <v>144</v>
      </c>
      <c r="D27" s="3" t="s">
        <v>88</v>
      </c>
      <c r="E27" s="3">
        <f t="shared" si="0"/>
        <v>30</v>
      </c>
      <c r="F27" s="3">
        <v>1994</v>
      </c>
      <c r="G27" s="3">
        <v>70000</v>
      </c>
      <c r="H27" s="12" cm="1">
        <f t="array" ref="H27">_xlfn.IFS(TRIM(G27)="SIXTY THOUSAND",60000,TRIM(G27)="NAN",AVERAGEIFS(G:G,J:J,J27,L:L,L27),TRUE,G27)</f>
        <v>70000</v>
      </c>
      <c r="I27" s="3" t="s">
        <v>27</v>
      </c>
      <c r="J27" s="3" t="s">
        <v>145</v>
      </c>
      <c r="K27" s="3" t="str">
        <f t="shared" si="1"/>
        <v>Sales</v>
      </c>
      <c r="L27" s="3" t="s">
        <v>77</v>
      </c>
      <c r="M27" s="9">
        <v>43845</v>
      </c>
      <c r="N27" s="9">
        <v>43845</v>
      </c>
      <c r="O27" s="3" t="s">
        <v>78</v>
      </c>
      <c r="P27" s="3">
        <v>81</v>
      </c>
      <c r="Q27" s="3" t="s">
        <v>146</v>
      </c>
      <c r="R27" s="3" t="s">
        <v>43</v>
      </c>
      <c r="S27" s="3" t="s">
        <v>72</v>
      </c>
      <c r="T27" s="3" t="str">
        <f t="shared" si="2"/>
        <v>Part-Time</v>
      </c>
      <c r="V27" s="3">
        <v>8</v>
      </c>
      <c r="W27" s="3" t="s">
        <v>79</v>
      </c>
      <c r="AB27" s="3" t="str" cm="1">
        <f t="array" ref="AB27">_xlfn.IFS(AA27="N","No",  AA27 = "Y", "Yes", TRUE, PROPER(TRIM(AA27)))</f>
        <v/>
      </c>
      <c r="AC27" s="3">
        <v>5</v>
      </c>
      <c r="AD27" s="3" t="s">
        <v>34</v>
      </c>
      <c r="AE27">
        <f t="shared" si="3"/>
        <v>0</v>
      </c>
    </row>
    <row r="28" spans="1:31" ht="14.25" customHeight="1" x14ac:dyDescent="0.35">
      <c r="A28" s="3" t="s">
        <v>147</v>
      </c>
      <c r="B28" s="3" t="s">
        <v>68</v>
      </c>
      <c r="C28" s="3" t="s">
        <v>148</v>
      </c>
      <c r="D28" s="3">
        <v>50</v>
      </c>
      <c r="E28" s="3">
        <f t="shared" si="0"/>
        <v>50</v>
      </c>
      <c r="F28" s="3">
        <v>1974</v>
      </c>
      <c r="G28" s="3">
        <v>70000</v>
      </c>
      <c r="H28" s="12" cm="1">
        <f t="array" ref="H28">_xlfn.IFS(TRIM(G28)="SIXTY THOUSAND",60000,TRIM(G28)="NAN",AVERAGEIFS(G:G,J:J,J28,L:L,L28),TRUE,G28)</f>
        <v>70000</v>
      </c>
      <c r="I28" s="3" t="s">
        <v>27</v>
      </c>
      <c r="J28" s="3" t="s">
        <v>39</v>
      </c>
      <c r="K28" s="3" t="str">
        <f t="shared" si="1"/>
        <v>Finance</v>
      </c>
      <c r="L28" s="3" t="s">
        <v>94</v>
      </c>
      <c r="M28" s="4">
        <v>43881</v>
      </c>
      <c r="N28" s="4">
        <v>43881</v>
      </c>
      <c r="O28" s="3" t="s">
        <v>59</v>
      </c>
      <c r="P28" s="3">
        <v>100</v>
      </c>
      <c r="Q28" s="3" t="s">
        <v>149</v>
      </c>
      <c r="R28" s="3" t="s">
        <v>54</v>
      </c>
      <c r="S28" s="3" t="s">
        <v>32</v>
      </c>
      <c r="T28" s="3" t="str">
        <f t="shared" si="2"/>
        <v>Contract</v>
      </c>
      <c r="V28" s="3">
        <v>1</v>
      </c>
      <c r="Y28" s="4">
        <v>44990</v>
      </c>
      <c r="Z28" s="3">
        <v>39</v>
      </c>
      <c r="AB28" s="3" t="str" cm="1">
        <f t="array" ref="AB28">_xlfn.IFS(AA28="N","No",  AA28 = "Y", "Yes", TRUE, PROPER(TRIM(AA28)))</f>
        <v/>
      </c>
      <c r="AC28" s="3">
        <v>2</v>
      </c>
      <c r="AD28" s="3" t="s">
        <v>46</v>
      </c>
      <c r="AE28">
        <f t="shared" si="3"/>
        <v>1</v>
      </c>
    </row>
    <row r="29" spans="1:31" ht="14.25" customHeight="1" x14ac:dyDescent="0.35">
      <c r="A29" s="3" t="s">
        <v>150</v>
      </c>
      <c r="B29" s="3" t="s">
        <v>75</v>
      </c>
      <c r="C29" s="3" t="s">
        <v>151</v>
      </c>
      <c r="E29" s="3">
        <f t="shared" si="0"/>
        <v>25</v>
      </c>
      <c r="F29" s="3">
        <v>1999</v>
      </c>
      <c r="G29" s="3">
        <v>50000</v>
      </c>
      <c r="H29" s="12" cm="1">
        <f t="array" ref="H29">_xlfn.IFS(TRIM(G29)="SIXTY THOUSAND",60000,TRIM(G29)="NAN",AVERAGEIFS(G:G,J:J,J29,L:L,L29),TRUE,G29)</f>
        <v>50000</v>
      </c>
      <c r="I29" s="3" t="s">
        <v>27</v>
      </c>
      <c r="J29" s="3" t="s">
        <v>51</v>
      </c>
      <c r="K29" s="3" t="str">
        <f t="shared" si="1"/>
        <v>Sales</v>
      </c>
      <c r="L29" s="3" t="s">
        <v>77</v>
      </c>
      <c r="M29" s="9">
        <v>43549</v>
      </c>
      <c r="N29" s="9">
        <v>43549</v>
      </c>
      <c r="O29" s="3" t="s">
        <v>52</v>
      </c>
      <c r="P29" s="3">
        <v>77</v>
      </c>
      <c r="Q29" s="3" t="s">
        <v>152</v>
      </c>
      <c r="R29" s="3" t="s">
        <v>61</v>
      </c>
      <c r="S29" s="3" t="s">
        <v>32</v>
      </c>
      <c r="T29" s="3" t="str">
        <f t="shared" si="2"/>
        <v>Contract</v>
      </c>
      <c r="V29" s="3">
        <v>2</v>
      </c>
      <c r="W29" s="3">
        <v>2</v>
      </c>
      <c r="AA29" s="3" t="s">
        <v>33</v>
      </c>
      <c r="AB29" s="3" t="str" cm="1">
        <f t="array" ref="AB29">_xlfn.IFS(AA29="N","No",  AA29 = "Y", "Yes", TRUE, PROPER(TRIM(AA29)))</f>
        <v>Yes</v>
      </c>
      <c r="AC29" s="3">
        <v>2</v>
      </c>
      <c r="AD29" s="3" t="s">
        <v>34</v>
      </c>
      <c r="AE29">
        <f t="shared" si="3"/>
        <v>0</v>
      </c>
    </row>
    <row r="30" spans="1:31" ht="14.25" customHeight="1" x14ac:dyDescent="0.35">
      <c r="A30" s="3" t="s">
        <v>153</v>
      </c>
      <c r="B30" s="3" t="s">
        <v>25</v>
      </c>
      <c r="C30" s="3" t="s">
        <v>154</v>
      </c>
      <c r="D30" s="3">
        <v>50</v>
      </c>
      <c r="E30" s="3">
        <f t="shared" si="0"/>
        <v>50</v>
      </c>
      <c r="F30" s="3">
        <v>1974</v>
      </c>
      <c r="G30" s="3" t="s">
        <v>50</v>
      </c>
      <c r="H30" s="12" cm="1">
        <f t="array" ref="H30">_xlfn.IFS(TRIM(G30)="SIXTY THOUSAND",60000,TRIM(G30)="NAN",AVERAGEIFS(G:G,J:J,J30,L:L,L30),TRUE,G30)</f>
        <v>60000</v>
      </c>
      <c r="I30" s="3" t="s">
        <v>27</v>
      </c>
      <c r="J30" s="3" t="s">
        <v>122</v>
      </c>
      <c r="K30" s="3" t="str">
        <f t="shared" si="1"/>
        <v>IT</v>
      </c>
      <c r="L30" s="3" t="s">
        <v>77</v>
      </c>
      <c r="M30" s="4">
        <v>43881</v>
      </c>
      <c r="N30" s="4">
        <v>43881</v>
      </c>
      <c r="O30" s="3" t="s">
        <v>52</v>
      </c>
      <c r="P30" s="3">
        <v>71</v>
      </c>
      <c r="Q30" t="str">
        <f>LOWER(_xlfn.CONCAT(B30,".",C30,"@saltcorp.com"))</f>
        <v>grace.hudson@saltcorp.com</v>
      </c>
      <c r="R30" s="3" t="s">
        <v>61</v>
      </c>
      <c r="S30" s="3" t="s">
        <v>32</v>
      </c>
      <c r="T30" s="3" t="str">
        <f t="shared" si="2"/>
        <v>Contract</v>
      </c>
      <c r="U30" s="3" t="s">
        <v>155</v>
      </c>
      <c r="V30" s="3">
        <v>8</v>
      </c>
      <c r="Y30" s="4">
        <v>45516</v>
      </c>
      <c r="AA30" s="3" t="s">
        <v>34</v>
      </c>
      <c r="AB30" s="3" t="str" cm="1">
        <f t="array" ref="AB30">_xlfn.IFS(AA30="N","No",  AA30 = "Y", "Yes", TRUE, PROPER(TRIM(AA30)))</f>
        <v>No</v>
      </c>
      <c r="AC30" s="3">
        <v>1</v>
      </c>
      <c r="AD30" s="3" t="s">
        <v>46</v>
      </c>
      <c r="AE30">
        <f t="shared" si="3"/>
        <v>1</v>
      </c>
    </row>
    <row r="31" spans="1:31" ht="14.25" customHeight="1" x14ac:dyDescent="0.35">
      <c r="A31" s="3" t="s">
        <v>119</v>
      </c>
      <c r="B31" s="3" t="s">
        <v>36</v>
      </c>
      <c r="C31" s="3" t="s">
        <v>156</v>
      </c>
      <c r="D31" s="3">
        <v>25</v>
      </c>
      <c r="E31" s="3">
        <f t="shared" si="0"/>
        <v>25</v>
      </c>
      <c r="F31" s="3">
        <v>1999</v>
      </c>
      <c r="G31" s="3">
        <v>65000</v>
      </c>
      <c r="H31" s="12" cm="1">
        <f t="array" ref="H31">_xlfn.IFS(TRIM(G31)="SIXTY THOUSAND",60000,TRIM(G31)="NAN",AVERAGEIFS(G:G,J:J,J31,L:L,L31),TRUE,G31)</f>
        <v>65000</v>
      </c>
      <c r="I31" s="3" t="s">
        <v>27</v>
      </c>
      <c r="J31" s="3" t="s">
        <v>28</v>
      </c>
      <c r="K31" s="3" t="str">
        <f t="shared" si="1"/>
        <v>HR</v>
      </c>
      <c r="L31" s="3" t="s">
        <v>89</v>
      </c>
      <c r="M31" s="4">
        <v>43800</v>
      </c>
      <c r="N31" s="4">
        <v>43800</v>
      </c>
      <c r="O31" s="3" t="s">
        <v>52</v>
      </c>
      <c r="P31" s="3">
        <v>71</v>
      </c>
      <c r="Q31" t="str">
        <f>LOWER(_xlfn.CONCAT(B31,".",C31,"@saltcorp.com"))</f>
        <v>david.kim@saltcorp.com</v>
      </c>
      <c r="R31" s="3" t="s">
        <v>104</v>
      </c>
      <c r="S31" s="3" t="s">
        <v>100</v>
      </c>
      <c r="T31" s="3" t="str">
        <f t="shared" si="2"/>
        <v>Part-Time</v>
      </c>
      <c r="V31" s="3">
        <v>4</v>
      </c>
      <c r="W31" s="3" t="s">
        <v>79</v>
      </c>
      <c r="Y31" s="4">
        <v>45516</v>
      </c>
      <c r="AA31" s="3" t="s">
        <v>73</v>
      </c>
      <c r="AB31" s="3" t="str" cm="1">
        <f t="array" ref="AB31">_xlfn.IFS(AA31="N","No",  AA31 = "Y", "Yes", TRUE, PROPER(TRIM(AA31)))</f>
        <v>No</v>
      </c>
      <c r="AC31" s="3">
        <v>3</v>
      </c>
      <c r="AD31" s="3" t="s">
        <v>34</v>
      </c>
      <c r="AE31">
        <f t="shared" si="3"/>
        <v>0</v>
      </c>
    </row>
    <row r="32" spans="1:31" ht="14.25" customHeight="1" x14ac:dyDescent="0.35">
      <c r="A32" s="3" t="s">
        <v>157</v>
      </c>
      <c r="B32" s="3" t="s">
        <v>140</v>
      </c>
      <c r="C32" s="3" t="s">
        <v>158</v>
      </c>
      <c r="D32" s="3">
        <v>25</v>
      </c>
      <c r="E32" s="3">
        <f t="shared" si="0"/>
        <v>25</v>
      </c>
      <c r="F32" s="3">
        <v>1999</v>
      </c>
      <c r="G32" s="3">
        <v>55000</v>
      </c>
      <c r="H32" s="12" cm="1">
        <f t="array" ref="H32">_xlfn.IFS(TRIM(G32)="SIXTY THOUSAND",60000,TRIM(G32)="NAN",AVERAGEIFS(G:G,J:J,J32,L:L,L32),TRUE,G32)</f>
        <v>55000</v>
      </c>
      <c r="I32" s="3" t="s">
        <v>38</v>
      </c>
      <c r="J32" s="3" t="s">
        <v>64</v>
      </c>
      <c r="K32" s="3" t="str">
        <f t="shared" si="1"/>
        <v>Finance</v>
      </c>
      <c r="L32" s="3" t="s">
        <v>29</v>
      </c>
      <c r="M32" s="4">
        <v>43800</v>
      </c>
      <c r="N32" s="4">
        <v>43800</v>
      </c>
      <c r="O32" s="3" t="s">
        <v>78</v>
      </c>
      <c r="P32" s="3">
        <v>87</v>
      </c>
      <c r="Q32" s="3" t="s">
        <v>159</v>
      </c>
      <c r="R32" s="3" t="s">
        <v>54</v>
      </c>
      <c r="S32" s="3" t="s">
        <v>112</v>
      </c>
      <c r="T32" s="3" t="str">
        <f t="shared" si="2"/>
        <v>Full-Time</v>
      </c>
      <c r="U32" s="3" t="s">
        <v>106</v>
      </c>
      <c r="V32" s="3">
        <v>2</v>
      </c>
      <c r="W32" s="3">
        <v>5</v>
      </c>
      <c r="Y32" s="3" t="s">
        <v>79</v>
      </c>
      <c r="AA32" s="3" t="s">
        <v>45</v>
      </c>
      <c r="AB32" s="3" t="str" cm="1">
        <f t="array" ref="AB32">_xlfn.IFS(AA32="N","No",  AA32 = "Y", "Yes", TRUE, PROPER(TRIM(AA32)))</f>
        <v>No</v>
      </c>
      <c r="AC32" s="3">
        <v>2</v>
      </c>
      <c r="AD32" s="3" t="s">
        <v>46</v>
      </c>
      <c r="AE32">
        <f t="shared" si="3"/>
        <v>1</v>
      </c>
    </row>
    <row r="33" spans="1:31" ht="14.25" customHeight="1" x14ac:dyDescent="0.35">
      <c r="A33" s="3" t="s">
        <v>160</v>
      </c>
      <c r="B33" s="3" t="s">
        <v>75</v>
      </c>
      <c r="C33" s="3" t="s">
        <v>161</v>
      </c>
      <c r="D33" s="3">
        <v>50</v>
      </c>
      <c r="E33" s="3">
        <f t="shared" si="0"/>
        <v>50</v>
      </c>
      <c r="F33" s="3">
        <v>1974</v>
      </c>
      <c r="G33" s="3">
        <v>70000</v>
      </c>
      <c r="H33" s="12" cm="1">
        <f t="array" ref="H33">_xlfn.IFS(TRIM(G33)="SIXTY THOUSAND",60000,TRIM(G33)="NAN",AVERAGEIFS(G:G,J:J,J33,L:L,L33),TRUE,G33)</f>
        <v>70000</v>
      </c>
      <c r="I33" s="3" t="s">
        <v>38</v>
      </c>
      <c r="J33" s="3" t="s">
        <v>64</v>
      </c>
      <c r="K33" s="3" t="str">
        <f t="shared" si="1"/>
        <v>Finance</v>
      </c>
      <c r="L33" s="3" t="s">
        <v>77</v>
      </c>
      <c r="M33" s="4">
        <v>43800</v>
      </c>
      <c r="N33" s="4">
        <v>43800</v>
      </c>
      <c r="O33" s="3" t="s">
        <v>78</v>
      </c>
      <c r="P33" s="3">
        <v>88</v>
      </c>
      <c r="Q33" s="3" t="s">
        <v>162</v>
      </c>
      <c r="R33" s="3" t="s">
        <v>61</v>
      </c>
      <c r="S33" s="3" t="s">
        <v>72</v>
      </c>
      <c r="T33" s="3" t="str">
        <f t="shared" si="2"/>
        <v>Part-Time</v>
      </c>
      <c r="V33" s="3">
        <v>7</v>
      </c>
      <c r="AB33" s="3" t="str" cm="1">
        <f t="array" ref="AB33">_xlfn.IFS(AA33="N","No",  AA33 = "Y", "Yes", TRUE, PROPER(TRIM(AA33)))</f>
        <v/>
      </c>
      <c r="AC33" s="3">
        <v>1</v>
      </c>
      <c r="AD33" s="3" t="s">
        <v>34</v>
      </c>
      <c r="AE33">
        <f t="shared" si="3"/>
        <v>0</v>
      </c>
    </row>
    <row r="34" spans="1:31" ht="14.25" customHeight="1" x14ac:dyDescent="0.35">
      <c r="A34" s="3" t="s">
        <v>163</v>
      </c>
      <c r="B34" s="3" t="s">
        <v>56</v>
      </c>
      <c r="C34" s="3" t="s">
        <v>164</v>
      </c>
      <c r="D34" s="3">
        <v>35</v>
      </c>
      <c r="E34" s="3">
        <f t="shared" si="0"/>
        <v>35</v>
      </c>
      <c r="F34" s="3">
        <v>1989</v>
      </c>
      <c r="G34" s="3">
        <v>63000</v>
      </c>
      <c r="H34" s="12" cm="1">
        <f t="array" ref="H34">_xlfn.IFS(TRIM(G34)="SIXTY THOUSAND",60000,TRIM(G34)="NAN",AVERAGEIFS(G:G,J:J,J34,L:L,L34),TRUE,G34)</f>
        <v>63000</v>
      </c>
      <c r="I34" s="3" t="s">
        <v>38</v>
      </c>
      <c r="J34" s="3" t="s">
        <v>145</v>
      </c>
      <c r="K34" s="3" t="str">
        <f t="shared" si="1"/>
        <v>Sales</v>
      </c>
      <c r="L34" s="3" t="s">
        <v>40</v>
      </c>
      <c r="M34" s="9">
        <v>43845</v>
      </c>
      <c r="N34" s="9">
        <v>43845</v>
      </c>
      <c r="O34" s="3" t="s">
        <v>59</v>
      </c>
      <c r="P34" s="3">
        <v>100</v>
      </c>
      <c r="Q34" s="3" t="s">
        <v>165</v>
      </c>
      <c r="R34" s="3" t="s">
        <v>43</v>
      </c>
      <c r="S34" s="3" t="s">
        <v>112</v>
      </c>
      <c r="T34" s="3" t="str">
        <f t="shared" si="2"/>
        <v>Full-Time</v>
      </c>
      <c r="V34" s="3">
        <v>5</v>
      </c>
      <c r="AA34" s="3" t="s">
        <v>46</v>
      </c>
      <c r="AB34" s="3" t="str" cm="1">
        <f t="array" ref="AB34">_xlfn.IFS(AA34="N","No",  AA34 = "Y", "Yes", TRUE, PROPER(TRIM(AA34)))</f>
        <v>Yes</v>
      </c>
      <c r="AC34" s="3">
        <v>5</v>
      </c>
      <c r="AD34" s="3" t="s">
        <v>34</v>
      </c>
      <c r="AE34">
        <f t="shared" si="3"/>
        <v>0</v>
      </c>
    </row>
    <row r="35" spans="1:31" ht="14.25" customHeight="1" x14ac:dyDescent="0.35">
      <c r="A35" s="3" t="s">
        <v>166</v>
      </c>
      <c r="B35" s="3" t="s">
        <v>75</v>
      </c>
      <c r="C35" s="3" t="s">
        <v>167</v>
      </c>
      <c r="D35" s="3">
        <v>40</v>
      </c>
      <c r="E35" s="3">
        <f t="shared" si="0"/>
        <v>40</v>
      </c>
      <c r="F35" s="3">
        <v>1984</v>
      </c>
      <c r="G35" s="3">
        <v>60100</v>
      </c>
      <c r="H35" s="12" cm="1">
        <f t="array" ref="H35">_xlfn.IFS(TRIM(G35)="SIXTY THOUSAND",60000,TRIM(G35)="NAN",AVERAGEIFS(G:G,J:J,J35,L:L,L35),TRUE,G35)</f>
        <v>60100</v>
      </c>
      <c r="I35" s="3" t="s">
        <v>38</v>
      </c>
      <c r="J35" s="3" t="s">
        <v>122</v>
      </c>
      <c r="K35" s="3" t="str">
        <f t="shared" si="1"/>
        <v>IT</v>
      </c>
      <c r="L35" s="3" t="s">
        <v>40</v>
      </c>
      <c r="M35" s="4">
        <v>43195</v>
      </c>
      <c r="N35" s="4">
        <v>43195</v>
      </c>
      <c r="O35" s="3" t="s">
        <v>30</v>
      </c>
      <c r="P35" s="3">
        <v>68</v>
      </c>
      <c r="Q35" s="3" t="s">
        <v>168</v>
      </c>
      <c r="R35" s="3" t="s">
        <v>104</v>
      </c>
      <c r="S35" s="3" t="s">
        <v>100</v>
      </c>
      <c r="T35" s="3" t="str">
        <f t="shared" si="2"/>
        <v>Part-Time</v>
      </c>
      <c r="V35" s="3">
        <v>7</v>
      </c>
      <c r="X35" s="3">
        <v>2</v>
      </c>
      <c r="AA35" s="3" t="s">
        <v>169</v>
      </c>
      <c r="AB35" s="3" t="str" cm="1">
        <f t="array" ref="AB35">_xlfn.IFS(AA35="N","No",  AA35 = "Y", "Yes", TRUE, PROPER(TRIM(AA35)))</f>
        <v>Yes</v>
      </c>
      <c r="AC35" s="3">
        <v>1</v>
      </c>
      <c r="AD35" s="3" t="s">
        <v>46</v>
      </c>
      <c r="AE35">
        <f t="shared" si="3"/>
        <v>1</v>
      </c>
    </row>
    <row r="36" spans="1:31" ht="14.25" customHeight="1" x14ac:dyDescent="0.35">
      <c r="A36" s="3" t="s">
        <v>170</v>
      </c>
      <c r="B36" s="3" t="s">
        <v>25</v>
      </c>
      <c r="C36" s="3" t="s">
        <v>171</v>
      </c>
      <c r="D36" s="3">
        <v>25</v>
      </c>
      <c r="E36" s="3">
        <f t="shared" si="0"/>
        <v>25</v>
      </c>
      <c r="F36" s="3">
        <v>1999</v>
      </c>
      <c r="G36" s="3">
        <v>65000</v>
      </c>
      <c r="H36" s="12" cm="1">
        <f t="array" ref="H36">_xlfn.IFS(TRIM(G36)="SIXTY THOUSAND",60000,TRIM(G36)="NAN",AVERAGEIFS(G:G,J:J,J36,L:L,L36),TRUE,G36)</f>
        <v>65000</v>
      </c>
      <c r="I36" s="3" t="s">
        <v>27</v>
      </c>
      <c r="J36" s="3" t="s">
        <v>122</v>
      </c>
      <c r="K36" s="3" t="str">
        <f t="shared" si="1"/>
        <v>IT</v>
      </c>
      <c r="L36" s="3" t="s">
        <v>89</v>
      </c>
      <c r="M36" s="4">
        <v>43881</v>
      </c>
      <c r="N36" s="4">
        <v>43881</v>
      </c>
      <c r="O36" s="3" t="s">
        <v>59</v>
      </c>
      <c r="P36" s="3">
        <v>90</v>
      </c>
      <c r="Q36" s="3" t="s">
        <v>172</v>
      </c>
      <c r="S36" s="3" t="s">
        <v>66</v>
      </c>
      <c r="T36" s="3" t="str">
        <f t="shared" si="2"/>
        <v>Contract</v>
      </c>
      <c r="V36" s="3">
        <v>1</v>
      </c>
      <c r="W36" s="3" t="s">
        <v>79</v>
      </c>
      <c r="X36" s="3">
        <v>5</v>
      </c>
      <c r="Y36" s="3" t="s">
        <v>79</v>
      </c>
      <c r="Z36" s="3">
        <v>66</v>
      </c>
      <c r="AB36" s="3" t="str" cm="1">
        <f t="array" ref="AB36">_xlfn.IFS(AA36="N","No",  AA36 = "Y", "Yes", TRUE, PROPER(TRIM(AA36)))</f>
        <v/>
      </c>
      <c r="AC36" s="3">
        <v>2</v>
      </c>
      <c r="AD36" s="3" t="s">
        <v>46</v>
      </c>
      <c r="AE36">
        <f t="shared" si="3"/>
        <v>1</v>
      </c>
    </row>
    <row r="37" spans="1:31" ht="14.25" customHeight="1" x14ac:dyDescent="0.35">
      <c r="A37" s="3" t="s">
        <v>173</v>
      </c>
      <c r="B37" s="3" t="s">
        <v>56</v>
      </c>
      <c r="C37" s="3" t="s">
        <v>87</v>
      </c>
      <c r="D37" s="3">
        <v>40</v>
      </c>
      <c r="E37" s="3">
        <f t="shared" si="0"/>
        <v>40</v>
      </c>
      <c r="F37" s="3">
        <v>1984</v>
      </c>
      <c r="G37" s="3">
        <v>61500</v>
      </c>
      <c r="H37" s="12" cm="1">
        <f t="array" ref="H37">_xlfn.IFS(TRIM(G37)="SIXTY THOUSAND",60000,TRIM(G37)="NAN",AVERAGEIFS(G:G,J:J,J37,L:L,L37),TRUE,G37)</f>
        <v>61500</v>
      </c>
      <c r="I37" s="3" t="s">
        <v>38</v>
      </c>
      <c r="J37" s="3" t="s">
        <v>145</v>
      </c>
      <c r="K37" s="3" t="str">
        <f t="shared" si="1"/>
        <v>Sales</v>
      </c>
      <c r="L37" s="3" t="s">
        <v>29</v>
      </c>
      <c r="M37" s="4">
        <v>43881</v>
      </c>
      <c r="N37" s="4">
        <v>43881</v>
      </c>
      <c r="O37" s="3" t="s">
        <v>52</v>
      </c>
      <c r="P37" s="3">
        <v>74</v>
      </c>
      <c r="Q37" s="3" t="s">
        <v>129</v>
      </c>
      <c r="R37" s="3" t="s">
        <v>43</v>
      </c>
      <c r="S37" s="3" t="s">
        <v>174</v>
      </c>
      <c r="T37" s="3" t="str">
        <f t="shared" si="2"/>
        <v>Full-Time</v>
      </c>
      <c r="V37" s="3">
        <v>3</v>
      </c>
      <c r="Z37" s="3">
        <v>11</v>
      </c>
      <c r="AA37" s="3" t="s">
        <v>73</v>
      </c>
      <c r="AB37" s="3" t="str" cm="1">
        <f t="array" ref="AB37">_xlfn.IFS(AA37="N","No",  AA37 = "Y", "Yes", TRUE, PROPER(TRIM(AA37)))</f>
        <v>No</v>
      </c>
      <c r="AC37" s="3">
        <v>3</v>
      </c>
      <c r="AD37" s="3" t="s">
        <v>34</v>
      </c>
      <c r="AE37">
        <f t="shared" si="3"/>
        <v>0</v>
      </c>
    </row>
    <row r="38" spans="1:31" ht="14.25" customHeight="1" x14ac:dyDescent="0.35">
      <c r="A38" s="3" t="s">
        <v>175</v>
      </c>
      <c r="B38" s="3" t="s">
        <v>140</v>
      </c>
      <c r="C38" s="3" t="s">
        <v>176</v>
      </c>
      <c r="D38" s="3">
        <v>25</v>
      </c>
      <c r="E38" s="3">
        <f t="shared" si="0"/>
        <v>25</v>
      </c>
      <c r="F38" s="3">
        <v>1999</v>
      </c>
      <c r="G38" s="3" t="s">
        <v>50</v>
      </c>
      <c r="H38" s="12" cm="1">
        <f t="array" ref="H38">_xlfn.IFS(TRIM(G38)="SIXTY THOUSAND",60000,TRIM(G38)="NAN",AVERAGEIFS(G:G,J:J,J38,L:L,L38),TRUE,G38)</f>
        <v>60000</v>
      </c>
      <c r="I38" s="3" t="s">
        <v>27</v>
      </c>
      <c r="J38" s="3" t="s">
        <v>122</v>
      </c>
      <c r="K38" s="3" t="str">
        <f t="shared" si="1"/>
        <v>IT</v>
      </c>
      <c r="L38" s="3" t="s">
        <v>29</v>
      </c>
      <c r="M38" s="4">
        <v>43881</v>
      </c>
      <c r="N38" s="4">
        <v>43881</v>
      </c>
      <c r="O38" s="3" t="s">
        <v>59</v>
      </c>
      <c r="P38" s="3">
        <v>93</v>
      </c>
      <c r="Q38" s="3" t="s">
        <v>177</v>
      </c>
      <c r="R38" s="3" t="s">
        <v>54</v>
      </c>
      <c r="S38" s="3" t="s">
        <v>174</v>
      </c>
      <c r="T38" s="3" t="str">
        <f t="shared" si="2"/>
        <v>Full-Time</v>
      </c>
      <c r="V38" s="3">
        <v>3</v>
      </c>
      <c r="W38" s="3">
        <v>4</v>
      </c>
      <c r="X38" s="3">
        <v>17</v>
      </c>
      <c r="Z38" s="3">
        <v>19</v>
      </c>
      <c r="AA38" s="3" t="s">
        <v>46</v>
      </c>
      <c r="AB38" s="3" t="str" cm="1">
        <f t="array" ref="AB38">_xlfn.IFS(AA38="N","No",  AA38 = "Y", "Yes", TRUE, PROPER(TRIM(AA38)))</f>
        <v>Yes</v>
      </c>
      <c r="AC38" s="3">
        <v>5</v>
      </c>
      <c r="AD38" s="3" t="s">
        <v>34</v>
      </c>
      <c r="AE38">
        <f t="shared" si="3"/>
        <v>0</v>
      </c>
    </row>
    <row r="39" spans="1:31" ht="14.25" customHeight="1" x14ac:dyDescent="0.35">
      <c r="A39" s="3" t="s">
        <v>178</v>
      </c>
      <c r="B39" s="3" t="s">
        <v>25</v>
      </c>
      <c r="C39" s="3" t="s">
        <v>179</v>
      </c>
      <c r="D39" s="3" t="s">
        <v>88</v>
      </c>
      <c r="E39" s="3">
        <f t="shared" si="0"/>
        <v>30</v>
      </c>
      <c r="F39" s="3">
        <v>1994</v>
      </c>
      <c r="G39" s="3">
        <v>60500</v>
      </c>
      <c r="H39" s="12" cm="1">
        <f t="array" ref="H39">_xlfn.IFS(TRIM(G39)="SIXTY THOUSAND",60000,TRIM(G39)="NAN",AVERAGEIFS(G:G,J:J,J39,L:L,L39),TRUE,G39)</f>
        <v>60500</v>
      </c>
      <c r="I39" s="3" t="s">
        <v>27</v>
      </c>
      <c r="J39" s="3" t="s">
        <v>70</v>
      </c>
      <c r="K39" s="3" t="str">
        <f t="shared" si="1"/>
        <v>Marketing</v>
      </c>
      <c r="L39" s="3" t="s">
        <v>40</v>
      </c>
      <c r="M39" s="4">
        <v>43881</v>
      </c>
      <c r="N39" s="4">
        <v>43881</v>
      </c>
      <c r="O39" s="3" t="s">
        <v>30</v>
      </c>
      <c r="P39" s="3">
        <v>62</v>
      </c>
      <c r="Q39" s="3" t="s">
        <v>180</v>
      </c>
      <c r="R39" s="3" t="s">
        <v>61</v>
      </c>
      <c r="S39" s="3" t="s">
        <v>44</v>
      </c>
      <c r="T39" s="3" t="str">
        <f t="shared" si="2"/>
        <v>Full-Time</v>
      </c>
      <c r="V39" s="3">
        <v>4</v>
      </c>
      <c r="W39" s="3" t="s">
        <v>79</v>
      </c>
      <c r="AA39" s="3" t="s">
        <v>34</v>
      </c>
      <c r="AB39" s="3" t="str" cm="1">
        <f t="array" ref="AB39">_xlfn.IFS(AA39="N","No",  AA39 = "Y", "Yes", TRUE, PROPER(TRIM(AA39)))</f>
        <v>No</v>
      </c>
      <c r="AC39" s="3">
        <v>4</v>
      </c>
      <c r="AD39" s="3" t="s">
        <v>34</v>
      </c>
      <c r="AE39">
        <f t="shared" si="3"/>
        <v>0</v>
      </c>
    </row>
    <row r="40" spans="1:31" ht="14.25" customHeight="1" x14ac:dyDescent="0.35">
      <c r="A40" s="3" t="s">
        <v>181</v>
      </c>
      <c r="B40" s="3" t="s">
        <v>114</v>
      </c>
      <c r="C40" s="3" t="s">
        <v>115</v>
      </c>
      <c r="E40" s="3">
        <f t="shared" si="0"/>
        <v>39</v>
      </c>
      <c r="F40" s="3">
        <v>1985</v>
      </c>
      <c r="G40" s="3">
        <v>55000</v>
      </c>
      <c r="H40" s="12" cm="1">
        <f t="array" ref="H40">_xlfn.IFS(TRIM(G40)="SIXTY THOUSAND",60000,TRIM(G40)="NAN",AVERAGEIFS(G:G,J:J,J40,L:L,L40),TRUE,G40)</f>
        <v>55000</v>
      </c>
      <c r="I40" s="3" t="s">
        <v>27</v>
      </c>
      <c r="J40" s="3" t="s">
        <v>28</v>
      </c>
      <c r="K40" s="3" t="str">
        <f t="shared" si="1"/>
        <v>HR</v>
      </c>
      <c r="L40" s="3" t="s">
        <v>94</v>
      </c>
      <c r="M40" s="4">
        <v>43800</v>
      </c>
      <c r="N40" s="4">
        <v>43800</v>
      </c>
      <c r="O40" s="3" t="s">
        <v>78</v>
      </c>
      <c r="P40" s="3">
        <v>87</v>
      </c>
      <c r="Q40" s="3" t="s">
        <v>182</v>
      </c>
      <c r="R40" s="3" t="s">
        <v>43</v>
      </c>
      <c r="S40" s="3" t="s">
        <v>174</v>
      </c>
      <c r="T40" s="3" t="str">
        <f t="shared" si="2"/>
        <v>Full-Time</v>
      </c>
      <c r="V40" s="3">
        <v>6</v>
      </c>
      <c r="W40" s="3">
        <v>6</v>
      </c>
      <c r="X40" s="3">
        <v>16</v>
      </c>
      <c r="Z40" s="3">
        <v>43</v>
      </c>
      <c r="AA40" s="3" t="s">
        <v>34</v>
      </c>
      <c r="AB40" s="3" t="str" cm="1">
        <f t="array" ref="AB40">_xlfn.IFS(AA40="N","No",  AA40 = "Y", "Yes", TRUE, PROPER(TRIM(AA40)))</f>
        <v>No</v>
      </c>
      <c r="AC40" s="3">
        <v>1</v>
      </c>
      <c r="AD40" s="3" t="s">
        <v>46</v>
      </c>
      <c r="AE40">
        <f t="shared" si="3"/>
        <v>1</v>
      </c>
    </row>
    <row r="41" spans="1:31" ht="14.25" customHeight="1" x14ac:dyDescent="0.35">
      <c r="A41" s="3" t="s">
        <v>183</v>
      </c>
      <c r="B41" s="3" t="s">
        <v>36</v>
      </c>
      <c r="C41" s="3" t="s">
        <v>156</v>
      </c>
      <c r="D41" s="3">
        <v>25</v>
      </c>
      <c r="E41" s="3">
        <f t="shared" si="0"/>
        <v>25</v>
      </c>
      <c r="F41" s="3">
        <v>1999</v>
      </c>
      <c r="G41" s="3">
        <v>55000</v>
      </c>
      <c r="H41" s="12" cm="1">
        <f t="array" ref="H41">_xlfn.IFS(TRIM(G41)="SIXTY THOUSAND",60000,TRIM(G41)="NAN",AVERAGEIFS(G:G,J:J,J41,L:L,L41),TRUE,G41)</f>
        <v>55000</v>
      </c>
      <c r="I41" s="3" t="s">
        <v>38</v>
      </c>
      <c r="J41" s="3" t="s">
        <v>64</v>
      </c>
      <c r="K41" s="3" t="str">
        <f t="shared" si="1"/>
        <v>Finance</v>
      </c>
      <c r="L41" s="3" t="s">
        <v>89</v>
      </c>
      <c r="M41" s="4">
        <v>43881</v>
      </c>
      <c r="N41" s="4">
        <v>43881</v>
      </c>
      <c r="O41" s="3" t="s">
        <v>59</v>
      </c>
      <c r="P41" s="3">
        <v>98</v>
      </c>
      <c r="Q41" s="3" t="s">
        <v>184</v>
      </c>
      <c r="S41" s="3" t="s">
        <v>174</v>
      </c>
      <c r="T41" s="3" t="str">
        <f t="shared" si="2"/>
        <v>Full-Time</v>
      </c>
      <c r="V41" s="3">
        <v>7</v>
      </c>
      <c r="Y41" s="4">
        <v>44941</v>
      </c>
      <c r="AA41" s="3" t="s">
        <v>46</v>
      </c>
      <c r="AB41" s="3" t="str" cm="1">
        <f t="array" ref="AB41">_xlfn.IFS(AA41="N","No",  AA41 = "Y", "Yes", TRUE, PROPER(TRIM(AA41)))</f>
        <v>Yes</v>
      </c>
      <c r="AC41" s="3">
        <v>1</v>
      </c>
      <c r="AD41" s="3" t="s">
        <v>34</v>
      </c>
      <c r="AE41">
        <f t="shared" si="3"/>
        <v>0</v>
      </c>
    </row>
    <row r="42" spans="1:31" ht="14.25" customHeight="1" x14ac:dyDescent="0.35">
      <c r="A42" s="3" t="s">
        <v>185</v>
      </c>
      <c r="B42" s="3" t="s">
        <v>140</v>
      </c>
      <c r="C42" s="3" t="s">
        <v>132</v>
      </c>
      <c r="D42" s="3">
        <v>40</v>
      </c>
      <c r="E42" s="3">
        <f t="shared" si="0"/>
        <v>40</v>
      </c>
      <c r="F42" s="3">
        <v>1984</v>
      </c>
      <c r="G42" s="3">
        <v>70000</v>
      </c>
      <c r="H42" s="12" cm="1">
        <f t="array" ref="H42">_xlfn.IFS(TRIM(G42)="SIXTY THOUSAND",60000,TRIM(G42)="NAN",AVERAGEIFS(G:G,J:J,J42,L:L,L42),TRUE,G42)</f>
        <v>70000</v>
      </c>
      <c r="I42" s="3" t="s">
        <v>38</v>
      </c>
      <c r="J42" s="3" t="s">
        <v>28</v>
      </c>
      <c r="K42" s="3" t="str">
        <f t="shared" si="1"/>
        <v>HR</v>
      </c>
      <c r="L42" s="3" t="s">
        <v>89</v>
      </c>
      <c r="M42" s="4">
        <v>43195</v>
      </c>
      <c r="N42" s="4">
        <v>43195</v>
      </c>
      <c r="O42" s="3" t="s">
        <v>52</v>
      </c>
      <c r="P42" s="3">
        <v>74</v>
      </c>
      <c r="Q42" s="3" t="s">
        <v>186</v>
      </c>
      <c r="S42" s="3" t="s">
        <v>72</v>
      </c>
      <c r="T42" s="3" t="str">
        <f t="shared" si="2"/>
        <v>Part-Time</v>
      </c>
      <c r="U42" s="3" t="s">
        <v>187</v>
      </c>
      <c r="V42" s="3">
        <v>8</v>
      </c>
      <c r="W42" s="3">
        <v>4</v>
      </c>
      <c r="AA42" s="3" t="s">
        <v>73</v>
      </c>
      <c r="AB42" s="3" t="str" cm="1">
        <f t="array" ref="AB42">_xlfn.IFS(AA42="N","No",  AA42 = "Y", "Yes", TRUE, PROPER(TRIM(AA42)))</f>
        <v>No</v>
      </c>
      <c r="AC42" s="3">
        <v>5</v>
      </c>
      <c r="AD42" s="3" t="s">
        <v>34</v>
      </c>
      <c r="AE42">
        <f t="shared" si="3"/>
        <v>0</v>
      </c>
    </row>
    <row r="43" spans="1:31" ht="14.25" customHeight="1" x14ac:dyDescent="0.35">
      <c r="A43" s="3" t="s">
        <v>188</v>
      </c>
      <c r="B43" s="3" t="s">
        <v>114</v>
      </c>
      <c r="C43" s="3" t="s">
        <v>189</v>
      </c>
      <c r="D43" s="3" t="s">
        <v>88</v>
      </c>
      <c r="E43" s="3">
        <f t="shared" si="0"/>
        <v>30</v>
      </c>
      <c r="F43" s="3">
        <v>1994</v>
      </c>
      <c r="G43" s="3">
        <v>50000</v>
      </c>
      <c r="H43" s="12" cm="1">
        <f t="array" ref="H43">_xlfn.IFS(TRIM(G43)="SIXTY THOUSAND",60000,TRIM(G43)="NAN",AVERAGEIFS(G:G,J:J,J43,L:L,L43),TRUE,G43)</f>
        <v>50000</v>
      </c>
      <c r="I43" s="3" t="s">
        <v>38</v>
      </c>
      <c r="J43" s="3" t="s">
        <v>39</v>
      </c>
      <c r="K43" s="3" t="str">
        <f t="shared" si="1"/>
        <v>Finance</v>
      </c>
      <c r="L43" s="3" t="s">
        <v>40</v>
      </c>
      <c r="M43" s="4">
        <v>43800</v>
      </c>
      <c r="N43" s="4">
        <v>43800</v>
      </c>
      <c r="O43" s="3" t="s">
        <v>52</v>
      </c>
      <c r="P43" s="3">
        <v>77</v>
      </c>
      <c r="Q43" s="3" t="s">
        <v>190</v>
      </c>
      <c r="R43" s="3" t="s">
        <v>54</v>
      </c>
      <c r="S43" s="3" t="s">
        <v>32</v>
      </c>
      <c r="T43" s="3" t="str">
        <f t="shared" si="2"/>
        <v>Contract</v>
      </c>
      <c r="U43" s="3" t="s">
        <v>191</v>
      </c>
      <c r="V43" s="3">
        <v>3</v>
      </c>
      <c r="W43" s="3">
        <v>12</v>
      </c>
      <c r="Y43" s="4">
        <v>44470</v>
      </c>
      <c r="AB43" s="3" t="str" cm="1">
        <f t="array" ref="AB43">_xlfn.IFS(AA43="N","No",  AA43 = "Y", "Yes", TRUE, PROPER(TRIM(AA43)))</f>
        <v/>
      </c>
      <c r="AC43" s="3">
        <v>4</v>
      </c>
      <c r="AD43" s="3" t="s">
        <v>46</v>
      </c>
      <c r="AE43">
        <f t="shared" si="3"/>
        <v>1</v>
      </c>
    </row>
    <row r="44" spans="1:31" ht="14.25" customHeight="1" x14ac:dyDescent="0.35">
      <c r="A44" s="3" t="s">
        <v>192</v>
      </c>
      <c r="B44" s="3" t="s">
        <v>68</v>
      </c>
      <c r="C44" s="3" t="s">
        <v>193</v>
      </c>
      <c r="D44" s="3">
        <v>25</v>
      </c>
      <c r="E44" s="3">
        <f t="shared" si="0"/>
        <v>25</v>
      </c>
      <c r="F44" s="3">
        <v>1999</v>
      </c>
      <c r="G44" s="3" t="s">
        <v>50</v>
      </c>
      <c r="H44" s="12" cm="1">
        <f t="array" ref="H44">_xlfn.IFS(TRIM(G44)="SIXTY THOUSAND",60000,TRIM(G44)="NAN",AVERAGEIFS(G:G,J:J,J44,L:L,L44),TRUE,G44)</f>
        <v>60000</v>
      </c>
      <c r="I44" s="3" t="s">
        <v>27</v>
      </c>
      <c r="J44" s="3" t="s">
        <v>93</v>
      </c>
      <c r="K44" s="3" t="str">
        <f t="shared" si="1"/>
        <v>Marketing</v>
      </c>
      <c r="L44" s="3" t="s">
        <v>40</v>
      </c>
      <c r="M44" s="4">
        <v>43881</v>
      </c>
      <c r="N44" s="4">
        <v>43881</v>
      </c>
      <c r="O44" s="3" t="s">
        <v>78</v>
      </c>
      <c r="P44" s="3">
        <v>83</v>
      </c>
      <c r="Q44" s="3" t="s">
        <v>194</v>
      </c>
      <c r="R44" s="3" t="s">
        <v>43</v>
      </c>
      <c r="S44" s="3" t="s">
        <v>112</v>
      </c>
      <c r="T44" s="3" t="str">
        <f t="shared" si="2"/>
        <v>Full-Time</v>
      </c>
      <c r="U44" s="3" t="s">
        <v>191</v>
      </c>
      <c r="V44" s="3">
        <v>6</v>
      </c>
      <c r="AA44" s="3" t="s">
        <v>46</v>
      </c>
      <c r="AB44" s="3" t="str" cm="1">
        <f t="array" ref="AB44">_xlfn.IFS(AA44="N","No",  AA44 = "Y", "Yes", TRUE, PROPER(TRIM(AA44)))</f>
        <v>Yes</v>
      </c>
      <c r="AC44" s="3">
        <v>1</v>
      </c>
      <c r="AD44" s="3" t="s">
        <v>46</v>
      </c>
      <c r="AE44">
        <f t="shared" si="3"/>
        <v>1</v>
      </c>
    </row>
    <row r="45" spans="1:31" ht="14.25" customHeight="1" x14ac:dyDescent="0.35">
      <c r="A45" s="3" t="s">
        <v>195</v>
      </c>
      <c r="B45" s="3" t="s">
        <v>140</v>
      </c>
      <c r="C45" s="3" t="s">
        <v>196</v>
      </c>
      <c r="D45" s="3">
        <v>35</v>
      </c>
      <c r="E45" s="3">
        <f t="shared" si="0"/>
        <v>35</v>
      </c>
      <c r="F45" s="3">
        <v>1989</v>
      </c>
      <c r="G45" s="3">
        <v>70000</v>
      </c>
      <c r="H45" s="12" cm="1">
        <f t="array" ref="H45">_xlfn.IFS(TRIM(G45)="SIXTY THOUSAND",60000,TRIM(G45)="NAN",AVERAGEIFS(G:G,J:J,J45,L:L,L45),TRUE,G45)</f>
        <v>70000</v>
      </c>
      <c r="I45" s="3" t="s">
        <v>27</v>
      </c>
      <c r="J45" s="3" t="s">
        <v>58</v>
      </c>
      <c r="K45" s="3" t="str">
        <f t="shared" si="1"/>
        <v>IT</v>
      </c>
      <c r="L45" s="3" t="s">
        <v>94</v>
      </c>
      <c r="M45" s="4">
        <v>43845</v>
      </c>
      <c r="N45" s="4">
        <v>43845</v>
      </c>
      <c r="O45" s="3" t="s">
        <v>59</v>
      </c>
      <c r="P45" s="3">
        <v>90</v>
      </c>
      <c r="Q45" s="3" t="s">
        <v>197</v>
      </c>
      <c r="R45" s="3" t="s">
        <v>104</v>
      </c>
      <c r="S45" s="3" t="s">
        <v>66</v>
      </c>
      <c r="T45" s="3" t="str">
        <f t="shared" si="2"/>
        <v>Contract</v>
      </c>
      <c r="V45" s="3">
        <v>3</v>
      </c>
      <c r="Y45" s="4">
        <v>44990</v>
      </c>
      <c r="AA45" s="3" t="s">
        <v>34</v>
      </c>
      <c r="AB45" s="3" t="str" cm="1">
        <f t="array" ref="AB45">_xlfn.IFS(AA45="N","No",  AA45 = "Y", "Yes", TRUE, PROPER(TRIM(AA45)))</f>
        <v>No</v>
      </c>
      <c r="AC45" s="3">
        <v>2</v>
      </c>
      <c r="AD45" s="3" t="s">
        <v>34</v>
      </c>
      <c r="AE45">
        <f t="shared" si="3"/>
        <v>0</v>
      </c>
    </row>
    <row r="46" spans="1:31" ht="14.25" customHeight="1" x14ac:dyDescent="0.35">
      <c r="A46" s="3" t="s">
        <v>198</v>
      </c>
      <c r="B46" s="3" t="s">
        <v>68</v>
      </c>
      <c r="C46" s="3" t="s">
        <v>199</v>
      </c>
      <c r="E46" s="3">
        <f t="shared" si="0"/>
        <v>28</v>
      </c>
      <c r="F46" s="3">
        <v>1996</v>
      </c>
      <c r="G46" s="3" t="s">
        <v>50</v>
      </c>
      <c r="H46" s="12" cm="1">
        <f t="array" ref="H46">_xlfn.IFS(TRIM(G46)="SIXTY THOUSAND",60000,TRIM(G46)="NAN",AVERAGEIFS(G:G,J:J,J46,L:L,L46),TRUE,G46)</f>
        <v>60000</v>
      </c>
      <c r="I46" s="3" t="s">
        <v>27</v>
      </c>
      <c r="J46" s="3" t="s">
        <v>51</v>
      </c>
      <c r="K46" s="3" t="str">
        <f t="shared" si="1"/>
        <v>Sales</v>
      </c>
      <c r="L46" s="3" t="s">
        <v>94</v>
      </c>
      <c r="M46" s="4">
        <v>43549</v>
      </c>
      <c r="N46" s="4">
        <v>43549</v>
      </c>
      <c r="O46" s="3" t="s">
        <v>30</v>
      </c>
      <c r="P46" s="3">
        <v>60</v>
      </c>
      <c r="Q46" s="3" t="s">
        <v>200</v>
      </c>
      <c r="R46" s="3" t="s">
        <v>43</v>
      </c>
      <c r="S46" s="3" t="s">
        <v>66</v>
      </c>
      <c r="T46" s="3" t="str">
        <f t="shared" si="2"/>
        <v>Contract</v>
      </c>
      <c r="V46" s="3">
        <v>2</v>
      </c>
      <c r="W46" s="3">
        <v>12</v>
      </c>
      <c r="AA46" s="3" t="s">
        <v>169</v>
      </c>
      <c r="AB46" s="3" t="str" cm="1">
        <f t="array" ref="AB46">_xlfn.IFS(AA46="N","No",  AA46 = "Y", "Yes", TRUE, PROPER(TRIM(AA46)))</f>
        <v>Yes</v>
      </c>
      <c r="AC46" s="3">
        <v>2</v>
      </c>
      <c r="AD46" s="3" t="s">
        <v>34</v>
      </c>
      <c r="AE46">
        <f t="shared" si="3"/>
        <v>0</v>
      </c>
    </row>
    <row r="47" spans="1:31" ht="14.25" customHeight="1" x14ac:dyDescent="0.35">
      <c r="A47" s="3" t="s">
        <v>201</v>
      </c>
      <c r="B47" s="3" t="s">
        <v>56</v>
      </c>
      <c r="C47" s="3" t="s">
        <v>57</v>
      </c>
      <c r="D47" s="3">
        <v>25</v>
      </c>
      <c r="E47" s="3">
        <f t="shared" si="0"/>
        <v>25</v>
      </c>
      <c r="F47" s="3">
        <v>1999</v>
      </c>
      <c r="G47" s="3">
        <v>50000</v>
      </c>
      <c r="H47" s="12" cm="1">
        <f t="array" ref="H47">_xlfn.IFS(TRIM(G47)="SIXTY THOUSAND",60000,TRIM(G47)="NAN",AVERAGEIFS(G:G,J:J,J47,L:L,L47),TRUE,G47)</f>
        <v>50000</v>
      </c>
      <c r="I47" s="3" t="s">
        <v>38</v>
      </c>
      <c r="J47" s="3" t="s">
        <v>93</v>
      </c>
      <c r="K47" s="3" t="str">
        <f t="shared" si="1"/>
        <v>Marketing</v>
      </c>
      <c r="L47" s="3" t="s">
        <v>29</v>
      </c>
      <c r="M47" s="4">
        <v>43549</v>
      </c>
      <c r="N47" s="4">
        <v>43549</v>
      </c>
      <c r="O47" s="3" t="s">
        <v>78</v>
      </c>
      <c r="P47" s="3">
        <v>80</v>
      </c>
      <c r="Q47" s="3" t="s">
        <v>60</v>
      </c>
      <c r="S47" s="3" t="s">
        <v>72</v>
      </c>
      <c r="T47" s="3" t="str">
        <f t="shared" si="2"/>
        <v>Part-Time</v>
      </c>
      <c r="V47" s="3">
        <v>8</v>
      </c>
      <c r="W47" s="3" t="s">
        <v>79</v>
      </c>
      <c r="X47" s="3">
        <v>4</v>
      </c>
      <c r="Y47" s="4">
        <v>45516</v>
      </c>
      <c r="AA47" s="3" t="s">
        <v>33</v>
      </c>
      <c r="AB47" s="3" t="str" cm="1">
        <f t="array" ref="AB47">_xlfn.IFS(AA47="N","No",  AA47 = "Y", "Yes", TRUE, PROPER(TRIM(AA47)))</f>
        <v>Yes</v>
      </c>
      <c r="AC47" s="3">
        <v>1</v>
      </c>
      <c r="AD47" s="3" t="s">
        <v>34</v>
      </c>
      <c r="AE47">
        <f t="shared" si="3"/>
        <v>0</v>
      </c>
    </row>
    <row r="48" spans="1:31" ht="14.25" customHeight="1" x14ac:dyDescent="0.35">
      <c r="A48" s="3" t="s">
        <v>202</v>
      </c>
      <c r="B48" s="3" t="s">
        <v>114</v>
      </c>
      <c r="C48" s="3" t="s">
        <v>203</v>
      </c>
      <c r="D48" s="3" t="s">
        <v>88</v>
      </c>
      <c r="E48" s="3">
        <f t="shared" si="0"/>
        <v>30</v>
      </c>
      <c r="F48" s="3">
        <v>1994</v>
      </c>
      <c r="G48" s="3">
        <v>61500</v>
      </c>
      <c r="H48" s="12" cm="1">
        <f t="array" ref="H48">_xlfn.IFS(TRIM(G48)="SIXTY THOUSAND",60000,TRIM(G48)="NAN",AVERAGEIFS(G:G,J:J,J48,L:L,L48),TRUE,G48)</f>
        <v>61500</v>
      </c>
      <c r="I48" s="3" t="s">
        <v>27</v>
      </c>
      <c r="J48" s="3" t="s">
        <v>82</v>
      </c>
      <c r="K48" s="3" t="str">
        <f t="shared" si="1"/>
        <v>HR</v>
      </c>
      <c r="L48" s="3" t="s">
        <v>89</v>
      </c>
      <c r="M48" s="4">
        <v>43549</v>
      </c>
      <c r="N48" s="4">
        <v>43549</v>
      </c>
      <c r="O48" s="3" t="s">
        <v>59</v>
      </c>
      <c r="P48" s="3">
        <v>93</v>
      </c>
      <c r="Q48" s="3" t="s">
        <v>204</v>
      </c>
      <c r="R48" s="3" t="s">
        <v>54</v>
      </c>
      <c r="S48" s="3" t="s">
        <v>72</v>
      </c>
      <c r="T48" s="3" t="str">
        <f t="shared" si="2"/>
        <v>Part-Time</v>
      </c>
      <c r="V48" s="3">
        <v>6</v>
      </c>
      <c r="X48" s="3">
        <v>14</v>
      </c>
      <c r="Z48" s="3">
        <v>28</v>
      </c>
      <c r="AA48" s="3" t="s">
        <v>169</v>
      </c>
      <c r="AB48" s="3" t="str" cm="1">
        <f t="array" ref="AB48">_xlfn.IFS(AA48="N","No",  AA48 = "Y", "Yes", TRUE, PROPER(TRIM(AA48)))</f>
        <v>Yes</v>
      </c>
      <c r="AC48" s="3">
        <v>3</v>
      </c>
      <c r="AD48" s="3" t="s">
        <v>34</v>
      </c>
      <c r="AE48">
        <f t="shared" si="3"/>
        <v>0</v>
      </c>
    </row>
    <row r="49" spans="1:31" ht="14.25" customHeight="1" x14ac:dyDescent="0.35">
      <c r="A49" s="3" t="s">
        <v>205</v>
      </c>
      <c r="B49" s="3" t="s">
        <v>36</v>
      </c>
      <c r="C49" s="3" t="s">
        <v>156</v>
      </c>
      <c r="D49" s="3">
        <v>35</v>
      </c>
      <c r="E49" s="3">
        <f t="shared" si="0"/>
        <v>35</v>
      </c>
      <c r="F49" s="3">
        <v>1989</v>
      </c>
      <c r="G49" s="3">
        <v>58300</v>
      </c>
      <c r="H49" s="12" cm="1">
        <f t="array" ref="H49">_xlfn.IFS(TRIM(G49)="SIXTY THOUSAND",60000,TRIM(G49)="NAN",AVERAGEIFS(G:G,J:J,J49,L:L,L49),TRUE,G49)</f>
        <v>58300</v>
      </c>
      <c r="I49" s="3" t="s">
        <v>27</v>
      </c>
      <c r="J49" s="3" t="s">
        <v>51</v>
      </c>
      <c r="K49" s="3" t="str">
        <f t="shared" si="1"/>
        <v>Sales</v>
      </c>
      <c r="L49" s="3" t="s">
        <v>89</v>
      </c>
      <c r="M49" s="4">
        <v>43800</v>
      </c>
      <c r="N49" s="4">
        <v>43800</v>
      </c>
      <c r="O49" s="3" t="s">
        <v>41</v>
      </c>
      <c r="P49" s="3">
        <v>15</v>
      </c>
      <c r="Q49" s="3" t="s">
        <v>184</v>
      </c>
      <c r="R49" s="3" t="s">
        <v>54</v>
      </c>
      <c r="S49" s="3" t="s">
        <v>174</v>
      </c>
      <c r="T49" s="3" t="str">
        <f t="shared" si="2"/>
        <v>Full-Time</v>
      </c>
      <c r="U49" s="3" t="s">
        <v>206</v>
      </c>
      <c r="V49" s="3">
        <v>3</v>
      </c>
      <c r="Y49" s="4">
        <v>44941</v>
      </c>
      <c r="Z49" s="3">
        <v>65</v>
      </c>
      <c r="AA49" s="3" t="s">
        <v>33</v>
      </c>
      <c r="AB49" s="3" t="str" cm="1">
        <f t="array" ref="AB49">_xlfn.IFS(AA49="N","No",  AA49 = "Y", "Yes", TRUE, PROPER(TRIM(AA49)))</f>
        <v>Yes</v>
      </c>
      <c r="AC49" s="3">
        <v>3</v>
      </c>
      <c r="AD49" s="3" t="s">
        <v>46</v>
      </c>
      <c r="AE49">
        <f t="shared" si="3"/>
        <v>1</v>
      </c>
    </row>
    <row r="50" spans="1:31" ht="14.25" customHeight="1" x14ac:dyDescent="0.35">
      <c r="A50" s="3" t="s">
        <v>207</v>
      </c>
      <c r="B50" s="3" t="s">
        <v>25</v>
      </c>
      <c r="C50" s="3" t="s">
        <v>63</v>
      </c>
      <c r="D50" s="3">
        <v>50</v>
      </c>
      <c r="E50" s="3">
        <f t="shared" si="0"/>
        <v>50</v>
      </c>
      <c r="F50" s="3">
        <v>1974</v>
      </c>
      <c r="G50" s="3">
        <v>50000</v>
      </c>
      <c r="H50" s="12" cm="1">
        <f t="array" ref="H50">_xlfn.IFS(TRIM(G50)="SIXTY THOUSAND",60000,TRIM(G50)="NAN",AVERAGEIFS(G:G,J:J,J50,L:L,L50),TRUE,G50)</f>
        <v>50000</v>
      </c>
      <c r="I50" s="3" t="s">
        <v>27</v>
      </c>
      <c r="J50" s="3" t="s">
        <v>122</v>
      </c>
      <c r="K50" s="3" t="str">
        <f t="shared" si="1"/>
        <v>IT</v>
      </c>
      <c r="L50" s="3" t="s">
        <v>40</v>
      </c>
      <c r="M50" s="4">
        <v>43881</v>
      </c>
      <c r="N50" s="4">
        <v>43881</v>
      </c>
      <c r="O50" s="3" t="s">
        <v>52</v>
      </c>
      <c r="P50" s="3">
        <v>73</v>
      </c>
      <c r="Q50" s="3" t="s">
        <v>65</v>
      </c>
      <c r="R50" s="3" t="s">
        <v>104</v>
      </c>
      <c r="S50" s="3" t="s">
        <v>66</v>
      </c>
      <c r="T50" s="3" t="str">
        <f t="shared" si="2"/>
        <v>Contract</v>
      </c>
      <c r="V50" s="3">
        <v>6</v>
      </c>
      <c r="Y50" s="3" t="s">
        <v>79</v>
      </c>
      <c r="AA50" s="3" t="s">
        <v>33</v>
      </c>
      <c r="AB50" s="3" t="str" cm="1">
        <f t="array" ref="AB50">_xlfn.IFS(AA50="N","No",  AA50 = "Y", "Yes", TRUE, PROPER(TRIM(AA50)))</f>
        <v>Yes</v>
      </c>
      <c r="AC50" s="3">
        <v>2</v>
      </c>
      <c r="AD50" s="3" t="s">
        <v>46</v>
      </c>
      <c r="AE50">
        <f t="shared" si="3"/>
        <v>1</v>
      </c>
    </row>
    <row r="51" spans="1:31" ht="14.25" customHeight="1" x14ac:dyDescent="0.35">
      <c r="A51" s="3" t="s">
        <v>208</v>
      </c>
      <c r="B51" s="3" t="s">
        <v>48</v>
      </c>
      <c r="C51" s="3" t="s">
        <v>209</v>
      </c>
      <c r="D51" s="3" t="s">
        <v>88</v>
      </c>
      <c r="E51" s="3">
        <f t="shared" si="0"/>
        <v>30</v>
      </c>
      <c r="F51" s="3">
        <v>1994</v>
      </c>
      <c r="G51" s="3">
        <v>70000</v>
      </c>
      <c r="H51" s="12" cm="1">
        <f t="array" ref="H51">_xlfn.IFS(TRIM(G51)="SIXTY THOUSAND",60000,TRIM(G51)="NAN",AVERAGEIFS(G:G,J:J,J51,L:L,L51),TRUE,G51)</f>
        <v>70000</v>
      </c>
      <c r="I51" s="3" t="s">
        <v>38</v>
      </c>
      <c r="J51" s="3" t="s">
        <v>70</v>
      </c>
      <c r="K51" s="3" t="str">
        <f t="shared" si="1"/>
        <v>Marketing</v>
      </c>
      <c r="L51" s="3" t="s">
        <v>29</v>
      </c>
      <c r="M51" s="4">
        <v>43800</v>
      </c>
      <c r="N51" s="4">
        <v>43800</v>
      </c>
      <c r="O51" s="3" t="s">
        <v>30</v>
      </c>
      <c r="P51" s="3">
        <v>66</v>
      </c>
      <c r="Q51" s="3" t="s">
        <v>210</v>
      </c>
      <c r="R51" s="3" t="s">
        <v>54</v>
      </c>
      <c r="S51" s="3" t="s">
        <v>44</v>
      </c>
      <c r="T51" s="3" t="str">
        <f t="shared" si="2"/>
        <v>Full-Time</v>
      </c>
      <c r="U51" s="3" t="s">
        <v>211</v>
      </c>
      <c r="V51" s="3">
        <v>1</v>
      </c>
      <c r="X51" s="3">
        <v>3</v>
      </c>
      <c r="AA51" s="3" t="s">
        <v>34</v>
      </c>
      <c r="AB51" s="3" t="str" cm="1">
        <f t="array" ref="AB51">_xlfn.IFS(AA51="N","No",  AA51 = "Y", "Yes", TRUE, PROPER(TRIM(AA51)))</f>
        <v>No</v>
      </c>
      <c r="AC51" s="3">
        <v>1</v>
      </c>
      <c r="AD51" s="3" t="s">
        <v>34</v>
      </c>
      <c r="AE51">
        <f t="shared" si="3"/>
        <v>0</v>
      </c>
    </row>
    <row r="52" spans="1:31" ht="14.25" customHeight="1" x14ac:dyDescent="0.35">
      <c r="A52" s="3" t="s">
        <v>212</v>
      </c>
      <c r="B52" s="3" t="s">
        <v>75</v>
      </c>
      <c r="C52" s="3" t="s">
        <v>213</v>
      </c>
      <c r="D52" s="3" t="s">
        <v>88</v>
      </c>
      <c r="E52" s="3">
        <f t="shared" si="0"/>
        <v>30</v>
      </c>
      <c r="F52" s="3">
        <v>1994</v>
      </c>
      <c r="G52" s="3">
        <v>50000</v>
      </c>
      <c r="H52" s="12" cm="1">
        <f t="array" ref="H52">_xlfn.IFS(TRIM(G52)="SIXTY THOUSAND",60000,TRIM(G52)="NAN",AVERAGEIFS(G:G,J:J,J52,L:L,L52),TRUE,G52)</f>
        <v>50000</v>
      </c>
      <c r="I52" s="3" t="s">
        <v>38</v>
      </c>
      <c r="J52" s="3" t="s">
        <v>145</v>
      </c>
      <c r="K52" s="3" t="str">
        <f t="shared" si="1"/>
        <v>Sales</v>
      </c>
      <c r="L52" s="3" t="s">
        <v>89</v>
      </c>
      <c r="M52" s="4">
        <v>43195</v>
      </c>
      <c r="N52" s="4">
        <v>43195</v>
      </c>
      <c r="O52" s="3" t="s">
        <v>30</v>
      </c>
      <c r="P52" s="3">
        <v>60</v>
      </c>
      <c r="Q52" s="3" t="s">
        <v>214</v>
      </c>
      <c r="R52" s="3" t="s">
        <v>54</v>
      </c>
      <c r="S52" s="3" t="s">
        <v>44</v>
      </c>
      <c r="T52" s="3" t="str">
        <f t="shared" si="2"/>
        <v>Full-Time</v>
      </c>
      <c r="V52" s="3">
        <v>1</v>
      </c>
      <c r="W52" s="3">
        <v>1</v>
      </c>
      <c r="X52" s="3">
        <v>5</v>
      </c>
      <c r="Y52" s="4">
        <v>45516</v>
      </c>
      <c r="AA52" s="3" t="s">
        <v>169</v>
      </c>
      <c r="AB52" s="3" t="str" cm="1">
        <f t="array" ref="AB52">_xlfn.IFS(AA52="N","No",  AA52 = "Y", "Yes", TRUE, PROPER(TRIM(AA52)))</f>
        <v>Yes</v>
      </c>
      <c r="AC52" s="3">
        <v>1</v>
      </c>
      <c r="AD52" s="3" t="s">
        <v>34</v>
      </c>
      <c r="AE52">
        <f t="shared" si="3"/>
        <v>0</v>
      </c>
    </row>
    <row r="53" spans="1:31" ht="14.25" customHeight="1" x14ac:dyDescent="0.35">
      <c r="A53" s="3" t="s">
        <v>215</v>
      </c>
      <c r="B53" s="3" t="s">
        <v>131</v>
      </c>
      <c r="C53" s="3" t="s">
        <v>216</v>
      </c>
      <c r="D53" s="3">
        <v>35</v>
      </c>
      <c r="E53" s="3">
        <f t="shared" si="0"/>
        <v>35</v>
      </c>
      <c r="F53" s="3">
        <v>1989</v>
      </c>
      <c r="G53" s="3">
        <v>65000</v>
      </c>
      <c r="H53" s="12" cm="1">
        <f t="array" ref="H53">_xlfn.IFS(TRIM(G53)="SIXTY THOUSAND",60000,TRIM(G53)="NAN",AVERAGEIFS(G:G,J:J,J53,L:L,L53),TRUE,G53)</f>
        <v>65000</v>
      </c>
      <c r="I53" s="3" t="s">
        <v>38</v>
      </c>
      <c r="J53" s="3" t="s">
        <v>93</v>
      </c>
      <c r="K53" s="3" t="str">
        <f t="shared" si="1"/>
        <v>Marketing</v>
      </c>
      <c r="L53" s="3" t="s">
        <v>29</v>
      </c>
      <c r="M53" s="4">
        <v>43845</v>
      </c>
      <c r="N53" s="4">
        <v>43845</v>
      </c>
      <c r="O53" s="3" t="s">
        <v>30</v>
      </c>
      <c r="P53" s="3">
        <v>63</v>
      </c>
      <c r="Q53" s="3" t="s">
        <v>217</v>
      </c>
      <c r="R53" s="3" t="s">
        <v>54</v>
      </c>
      <c r="S53" s="3" t="s">
        <v>112</v>
      </c>
      <c r="T53" s="3" t="str">
        <f t="shared" si="2"/>
        <v>Full-Time</v>
      </c>
      <c r="V53" s="3">
        <v>8</v>
      </c>
      <c r="Z53" s="3">
        <v>45</v>
      </c>
      <c r="AA53" s="3" t="s">
        <v>34</v>
      </c>
      <c r="AB53" s="3" t="str" cm="1">
        <f t="array" ref="AB53">_xlfn.IFS(AA53="N","No",  AA53 = "Y", "Yes", TRUE, PROPER(TRIM(AA53)))</f>
        <v>No</v>
      </c>
      <c r="AC53" s="3">
        <v>3</v>
      </c>
      <c r="AD53" s="3" t="s">
        <v>34</v>
      </c>
      <c r="AE53">
        <f t="shared" si="3"/>
        <v>0</v>
      </c>
    </row>
    <row r="54" spans="1:31" ht="14.25" customHeight="1" x14ac:dyDescent="0.35">
      <c r="A54" s="3" t="s">
        <v>218</v>
      </c>
      <c r="B54" s="3" t="s">
        <v>36</v>
      </c>
      <c r="C54" s="3" t="s">
        <v>219</v>
      </c>
      <c r="D54" s="3" t="s">
        <v>88</v>
      </c>
      <c r="E54" s="3">
        <f t="shared" si="0"/>
        <v>30</v>
      </c>
      <c r="F54" s="3">
        <v>1994</v>
      </c>
      <c r="G54" s="3">
        <v>55000</v>
      </c>
      <c r="H54" s="12" cm="1">
        <f t="array" ref="H54">_xlfn.IFS(TRIM(G54)="SIXTY THOUSAND",60000,TRIM(G54)="NAN",AVERAGEIFS(G:G,J:J,J54,L:L,L54),TRUE,G54)</f>
        <v>55000</v>
      </c>
      <c r="I54" s="3" t="s">
        <v>38</v>
      </c>
      <c r="J54" s="3" t="s">
        <v>93</v>
      </c>
      <c r="K54" s="3" t="str">
        <f t="shared" si="1"/>
        <v>Marketing</v>
      </c>
      <c r="L54" s="3" t="s">
        <v>29</v>
      </c>
      <c r="M54" s="4">
        <v>43845</v>
      </c>
      <c r="N54" s="4">
        <v>43845</v>
      </c>
      <c r="O54" s="3" t="s">
        <v>52</v>
      </c>
      <c r="P54" s="3">
        <v>72</v>
      </c>
      <c r="Q54" s="3" t="s">
        <v>220</v>
      </c>
      <c r="R54" s="3" t="s">
        <v>54</v>
      </c>
      <c r="S54" s="3" t="s">
        <v>44</v>
      </c>
      <c r="T54" s="3" t="str">
        <f t="shared" si="2"/>
        <v>Full-Time</v>
      </c>
      <c r="V54" s="3">
        <v>5</v>
      </c>
      <c r="AA54" s="3" t="s">
        <v>73</v>
      </c>
      <c r="AB54" s="3" t="str" cm="1">
        <f t="array" ref="AB54">_xlfn.IFS(AA54="N","No",  AA54 = "Y", "Yes", TRUE, PROPER(TRIM(AA54)))</f>
        <v>No</v>
      </c>
      <c r="AC54" s="3">
        <v>1</v>
      </c>
      <c r="AD54" s="3" t="s">
        <v>34</v>
      </c>
      <c r="AE54">
        <f t="shared" si="3"/>
        <v>0</v>
      </c>
    </row>
    <row r="55" spans="1:31" ht="14.25" customHeight="1" x14ac:dyDescent="0.35">
      <c r="A55" s="3" t="s">
        <v>221</v>
      </c>
      <c r="B55" s="3" t="s">
        <v>114</v>
      </c>
      <c r="C55" s="3" t="s">
        <v>222</v>
      </c>
      <c r="D55" s="3">
        <v>35</v>
      </c>
      <c r="E55" s="3">
        <f t="shared" si="0"/>
        <v>35</v>
      </c>
      <c r="F55" s="3">
        <v>1989</v>
      </c>
      <c r="G55" s="3">
        <v>70000</v>
      </c>
      <c r="H55" s="12" cm="1">
        <f t="array" ref="H55">_xlfn.IFS(TRIM(G55)="SIXTY THOUSAND",60000,TRIM(G55)="NAN",AVERAGEIFS(G:G,J:J,J55,L:L,L55),TRUE,G55)</f>
        <v>70000</v>
      </c>
      <c r="I55" s="3" t="s">
        <v>38</v>
      </c>
      <c r="J55" s="3" t="s">
        <v>122</v>
      </c>
      <c r="K55" s="3" t="str">
        <f t="shared" si="1"/>
        <v>IT</v>
      </c>
      <c r="L55" s="3" t="s">
        <v>40</v>
      </c>
      <c r="M55" s="4">
        <v>43549</v>
      </c>
      <c r="N55" s="4">
        <v>43549</v>
      </c>
      <c r="O55" s="3" t="s">
        <v>59</v>
      </c>
      <c r="P55" s="3">
        <v>94</v>
      </c>
      <c r="Q55" s="3" t="s">
        <v>223</v>
      </c>
      <c r="R55" s="3" t="s">
        <v>54</v>
      </c>
      <c r="S55" s="3" t="s">
        <v>66</v>
      </c>
      <c r="T55" s="3" t="str">
        <f t="shared" si="2"/>
        <v>Contract</v>
      </c>
      <c r="V55" s="3">
        <v>4</v>
      </c>
      <c r="X55" s="3">
        <v>14</v>
      </c>
      <c r="Y55" s="4">
        <v>44732</v>
      </c>
      <c r="AA55" s="3" t="s">
        <v>169</v>
      </c>
      <c r="AB55" s="3" t="str" cm="1">
        <f t="array" ref="AB55">_xlfn.IFS(AA55="N","No",  AA55 = "Y", "Yes", TRUE, PROPER(TRIM(AA55)))</f>
        <v>Yes</v>
      </c>
      <c r="AC55" s="3">
        <v>2</v>
      </c>
      <c r="AD55" s="3" t="s">
        <v>46</v>
      </c>
      <c r="AE55">
        <f t="shared" si="3"/>
        <v>1</v>
      </c>
    </row>
    <row r="56" spans="1:31" ht="14.25" customHeight="1" x14ac:dyDescent="0.35">
      <c r="A56" s="3" t="s">
        <v>224</v>
      </c>
      <c r="B56" s="3" t="s">
        <v>48</v>
      </c>
      <c r="C56" s="3" t="s">
        <v>225</v>
      </c>
      <c r="D56" s="3">
        <v>25</v>
      </c>
      <c r="E56" s="3">
        <f t="shared" si="0"/>
        <v>25</v>
      </c>
      <c r="F56" s="3">
        <v>1999</v>
      </c>
      <c r="G56" s="3" t="s">
        <v>50</v>
      </c>
      <c r="H56" s="12" cm="1">
        <f t="array" ref="H56">_xlfn.IFS(TRIM(G56)="SIXTY THOUSAND",60000,TRIM(G56)="NAN",AVERAGEIFS(G:G,J:J,J56,L:L,L56),TRUE,G56)</f>
        <v>60000</v>
      </c>
      <c r="I56" s="3" t="s">
        <v>27</v>
      </c>
      <c r="J56" s="3" t="s">
        <v>64</v>
      </c>
      <c r="K56" s="3" t="str">
        <f t="shared" si="1"/>
        <v>Finance</v>
      </c>
      <c r="L56" s="3" t="s">
        <v>29</v>
      </c>
      <c r="M56" s="9">
        <v>43549</v>
      </c>
      <c r="N56" s="9">
        <v>43549</v>
      </c>
      <c r="O56" s="3" t="s">
        <v>78</v>
      </c>
      <c r="P56" s="3">
        <v>81</v>
      </c>
      <c r="Q56" s="3" t="s">
        <v>226</v>
      </c>
      <c r="S56" s="3" t="s">
        <v>174</v>
      </c>
      <c r="T56" s="3" t="str">
        <f t="shared" si="2"/>
        <v>Full-Time</v>
      </c>
      <c r="U56" s="3" t="s">
        <v>227</v>
      </c>
      <c r="V56" s="3">
        <v>3</v>
      </c>
      <c r="AA56" s="3" t="s">
        <v>46</v>
      </c>
      <c r="AB56" s="3" t="str" cm="1">
        <f t="array" ref="AB56">_xlfn.IFS(AA56="N","No",  AA56 = "Y", "Yes", TRUE, PROPER(TRIM(AA56)))</f>
        <v>Yes</v>
      </c>
      <c r="AC56" s="3">
        <v>1</v>
      </c>
      <c r="AD56" s="3" t="s">
        <v>46</v>
      </c>
      <c r="AE56">
        <f t="shared" si="3"/>
        <v>1</v>
      </c>
    </row>
    <row r="57" spans="1:31" ht="14.25" customHeight="1" x14ac:dyDescent="0.35">
      <c r="A57" s="3" t="s">
        <v>228</v>
      </c>
      <c r="B57" s="3" t="s">
        <v>36</v>
      </c>
      <c r="C57" s="3" t="s">
        <v>229</v>
      </c>
      <c r="D57" s="3">
        <v>35</v>
      </c>
      <c r="E57" s="3">
        <f t="shared" si="0"/>
        <v>35</v>
      </c>
      <c r="F57" s="3">
        <v>1989</v>
      </c>
      <c r="G57" s="3">
        <v>65000</v>
      </c>
      <c r="H57" s="12" cm="1">
        <f t="array" ref="H57">_xlfn.IFS(TRIM(G57)="SIXTY THOUSAND",60000,TRIM(G57)="NAN",AVERAGEIFS(G:G,J:J,J57,L:L,L57),TRUE,G57)</f>
        <v>65000</v>
      </c>
      <c r="I57" s="3" t="s">
        <v>38</v>
      </c>
      <c r="J57" s="3" t="s">
        <v>145</v>
      </c>
      <c r="K57" s="3" t="str">
        <f t="shared" si="1"/>
        <v>Sales</v>
      </c>
      <c r="L57" s="3" t="s">
        <v>94</v>
      </c>
      <c r="M57" s="9">
        <v>43549</v>
      </c>
      <c r="N57" s="9">
        <v>43549</v>
      </c>
      <c r="O57" s="3" t="s">
        <v>59</v>
      </c>
      <c r="P57" s="3">
        <v>90</v>
      </c>
      <c r="Q57" s="3" t="s">
        <v>230</v>
      </c>
      <c r="R57" s="3" t="s">
        <v>43</v>
      </c>
      <c r="S57" s="3" t="s">
        <v>66</v>
      </c>
      <c r="T57" s="3" t="str">
        <f t="shared" si="2"/>
        <v>Contract</v>
      </c>
      <c r="V57" s="3">
        <v>3</v>
      </c>
      <c r="W57" s="3">
        <v>8</v>
      </c>
      <c r="Z57" s="3">
        <v>46</v>
      </c>
      <c r="AA57" s="3" t="s">
        <v>34</v>
      </c>
      <c r="AB57" s="3" t="str" cm="1">
        <f t="array" ref="AB57">_xlfn.IFS(AA57="N","No",  AA57 = "Y", "Yes", TRUE, PROPER(TRIM(AA57)))</f>
        <v>No</v>
      </c>
      <c r="AC57" s="3">
        <v>1</v>
      </c>
      <c r="AD57" s="3" t="s">
        <v>46</v>
      </c>
      <c r="AE57">
        <f t="shared" si="3"/>
        <v>1</v>
      </c>
    </row>
    <row r="58" spans="1:31" ht="14.25" customHeight="1" x14ac:dyDescent="0.35">
      <c r="A58" s="3" t="s">
        <v>231</v>
      </c>
      <c r="B58" s="3" t="s">
        <v>114</v>
      </c>
      <c r="C58" s="3" t="s">
        <v>222</v>
      </c>
      <c r="D58" s="3">
        <v>35</v>
      </c>
      <c r="E58" s="3">
        <f t="shared" si="0"/>
        <v>35</v>
      </c>
      <c r="F58" s="3">
        <v>1989</v>
      </c>
      <c r="G58" s="3">
        <v>70000</v>
      </c>
      <c r="H58" s="12" cm="1">
        <f t="array" ref="H58">_xlfn.IFS(TRIM(G58)="SIXTY THOUSAND",60000,TRIM(G58)="NAN",AVERAGEIFS(G:G,J:J,J58,L:L,L58),TRUE,G58)</f>
        <v>70000</v>
      </c>
      <c r="I58" s="3" t="s">
        <v>38</v>
      </c>
      <c r="J58" s="3" t="s">
        <v>58</v>
      </c>
      <c r="K58" s="3" t="str">
        <f t="shared" si="1"/>
        <v>IT</v>
      </c>
      <c r="L58" s="3" t="s">
        <v>94</v>
      </c>
      <c r="M58" s="4">
        <v>43881</v>
      </c>
      <c r="N58" s="4">
        <v>43881</v>
      </c>
      <c r="O58" s="3" t="s">
        <v>78</v>
      </c>
      <c r="P58" s="3">
        <v>87</v>
      </c>
      <c r="Q58" s="3" t="s">
        <v>223</v>
      </c>
      <c r="R58" s="3" t="s">
        <v>61</v>
      </c>
      <c r="S58" s="3" t="s">
        <v>100</v>
      </c>
      <c r="T58" s="3" t="str">
        <f t="shared" si="2"/>
        <v>Part-Time</v>
      </c>
      <c r="U58" s="3" t="s">
        <v>163</v>
      </c>
      <c r="V58" s="3">
        <v>8</v>
      </c>
      <c r="W58" s="3">
        <v>7</v>
      </c>
      <c r="AA58" s="3" t="s">
        <v>33</v>
      </c>
      <c r="AB58" s="3" t="str" cm="1">
        <f t="array" ref="AB58">_xlfn.IFS(AA58="N","No",  AA58 = "Y", "Yes", TRUE, PROPER(TRIM(AA58)))</f>
        <v>Yes</v>
      </c>
      <c r="AC58" s="3">
        <v>2</v>
      </c>
      <c r="AD58" s="3" t="s">
        <v>34</v>
      </c>
      <c r="AE58">
        <f t="shared" si="3"/>
        <v>0</v>
      </c>
    </row>
    <row r="59" spans="1:31" ht="14.25" customHeight="1" x14ac:dyDescent="0.35">
      <c r="A59" s="3" t="s">
        <v>232</v>
      </c>
      <c r="B59" s="3" t="s">
        <v>107</v>
      </c>
      <c r="C59" s="3" t="s">
        <v>26</v>
      </c>
      <c r="E59" s="3">
        <f t="shared" si="0"/>
        <v>33</v>
      </c>
      <c r="F59" s="3">
        <v>1991</v>
      </c>
      <c r="G59" s="3">
        <v>50000</v>
      </c>
      <c r="H59" s="12" cm="1">
        <f t="array" ref="H59">_xlfn.IFS(TRIM(G59)="SIXTY THOUSAND",60000,TRIM(G59)="NAN",AVERAGEIFS(G:G,J:J,J59,L:L,L59),TRUE,G59)</f>
        <v>50000</v>
      </c>
      <c r="I59" s="3" t="s">
        <v>27</v>
      </c>
      <c r="J59" s="3" t="s">
        <v>70</v>
      </c>
      <c r="K59" s="3" t="str">
        <f t="shared" si="1"/>
        <v>Marketing</v>
      </c>
      <c r="L59" s="3" t="s">
        <v>77</v>
      </c>
      <c r="M59" s="4">
        <v>43195</v>
      </c>
      <c r="N59" s="4">
        <v>43195</v>
      </c>
      <c r="O59" s="3" t="s">
        <v>30</v>
      </c>
      <c r="P59" s="3">
        <v>60</v>
      </c>
      <c r="Q59" s="3" t="s">
        <v>233</v>
      </c>
      <c r="R59" s="3" t="s">
        <v>54</v>
      </c>
      <c r="S59" s="3" t="s">
        <v>66</v>
      </c>
      <c r="T59" s="3" t="str">
        <f t="shared" si="2"/>
        <v>Contract</v>
      </c>
      <c r="V59" s="3">
        <v>2</v>
      </c>
      <c r="Y59" s="4">
        <v>44941</v>
      </c>
      <c r="AA59" s="3" t="s">
        <v>33</v>
      </c>
      <c r="AB59" s="3" t="str" cm="1">
        <f t="array" ref="AB59">_xlfn.IFS(AA59="N","No",  AA59 = "Y", "Yes", TRUE, PROPER(TRIM(AA59)))</f>
        <v>Yes</v>
      </c>
      <c r="AC59" s="3">
        <v>2</v>
      </c>
      <c r="AD59" s="3" t="s">
        <v>46</v>
      </c>
      <c r="AE59">
        <f t="shared" si="3"/>
        <v>1</v>
      </c>
    </row>
    <row r="60" spans="1:31" ht="14.25" customHeight="1" x14ac:dyDescent="0.35">
      <c r="A60" s="3" t="s">
        <v>234</v>
      </c>
      <c r="B60" s="3" t="s">
        <v>107</v>
      </c>
      <c r="C60" s="3" t="s">
        <v>189</v>
      </c>
      <c r="D60" s="3">
        <v>35</v>
      </c>
      <c r="E60" s="3">
        <f t="shared" si="0"/>
        <v>35</v>
      </c>
      <c r="F60" s="3">
        <v>1989</v>
      </c>
      <c r="G60" s="3">
        <v>50000</v>
      </c>
      <c r="H60" s="12" cm="1">
        <f t="array" ref="H60">_xlfn.IFS(TRIM(G60)="SIXTY THOUSAND",60000,TRIM(G60)="NAN",AVERAGEIFS(G:G,J:J,J60,L:L,L60),TRUE,G60)</f>
        <v>50000</v>
      </c>
      <c r="I60" s="3" t="s">
        <v>27</v>
      </c>
      <c r="J60" s="3" t="s">
        <v>58</v>
      </c>
      <c r="K60" s="3" t="str">
        <f t="shared" si="1"/>
        <v>IT</v>
      </c>
      <c r="L60" s="3" t="s">
        <v>40</v>
      </c>
      <c r="M60" s="4">
        <v>43195</v>
      </c>
      <c r="N60" s="4">
        <v>43195</v>
      </c>
      <c r="O60" s="3" t="s">
        <v>59</v>
      </c>
      <c r="P60" s="3">
        <v>94</v>
      </c>
      <c r="Q60" s="3" t="s">
        <v>235</v>
      </c>
      <c r="R60" s="3" t="s">
        <v>61</v>
      </c>
      <c r="S60" s="3" t="s">
        <v>174</v>
      </c>
      <c r="T60" s="3" t="str">
        <f t="shared" si="2"/>
        <v>Full-Time</v>
      </c>
      <c r="V60" s="3">
        <v>3</v>
      </c>
      <c r="AB60" s="3" t="str" cm="1">
        <f t="array" ref="AB60">_xlfn.IFS(AA60="N","No",  AA60 = "Y", "Yes", TRUE, PROPER(TRIM(AA60)))</f>
        <v/>
      </c>
      <c r="AC60" s="3">
        <v>4</v>
      </c>
      <c r="AD60" s="3" t="s">
        <v>34</v>
      </c>
      <c r="AE60">
        <f t="shared" si="3"/>
        <v>0</v>
      </c>
    </row>
    <row r="61" spans="1:31" ht="14.25" customHeight="1" x14ac:dyDescent="0.35">
      <c r="A61" s="3" t="s">
        <v>236</v>
      </c>
      <c r="B61" s="3" t="s">
        <v>68</v>
      </c>
      <c r="C61" s="3" t="s">
        <v>237</v>
      </c>
      <c r="D61" s="3">
        <v>35</v>
      </c>
      <c r="E61" s="3">
        <f t="shared" si="0"/>
        <v>35</v>
      </c>
      <c r="F61" s="3">
        <v>1989</v>
      </c>
      <c r="G61" s="3">
        <v>50000</v>
      </c>
      <c r="H61" s="12" cm="1">
        <f t="array" ref="H61">_xlfn.IFS(TRIM(G61)="SIXTY THOUSAND",60000,TRIM(G61)="NAN",AVERAGEIFS(G:G,J:J,J61,L:L,L61),TRUE,G61)</f>
        <v>50000</v>
      </c>
      <c r="I61" s="3" t="s">
        <v>27</v>
      </c>
      <c r="J61" s="3" t="s">
        <v>64</v>
      </c>
      <c r="K61" s="3" t="str">
        <f t="shared" si="1"/>
        <v>Finance</v>
      </c>
      <c r="L61" s="3" t="s">
        <v>77</v>
      </c>
      <c r="M61" s="4">
        <v>43195</v>
      </c>
      <c r="N61" s="4">
        <v>43195</v>
      </c>
      <c r="O61" s="3" t="s">
        <v>30</v>
      </c>
      <c r="P61" s="3">
        <v>63</v>
      </c>
      <c r="Q61" s="3" t="s">
        <v>238</v>
      </c>
      <c r="R61" s="3" t="s">
        <v>61</v>
      </c>
      <c r="S61" s="3" t="s">
        <v>44</v>
      </c>
      <c r="T61" s="3" t="str">
        <f t="shared" si="2"/>
        <v>Full-Time</v>
      </c>
      <c r="V61" s="3">
        <v>7</v>
      </c>
      <c r="Y61" s="3" t="s">
        <v>79</v>
      </c>
      <c r="AB61" s="3" t="str" cm="1">
        <f t="array" ref="AB61">_xlfn.IFS(AA61="N","No",  AA61 = "Y", "Yes", TRUE, PROPER(TRIM(AA61)))</f>
        <v/>
      </c>
      <c r="AC61" s="3">
        <v>2</v>
      </c>
      <c r="AD61" s="3" t="s">
        <v>46</v>
      </c>
      <c r="AE61">
        <f t="shared" si="3"/>
        <v>1</v>
      </c>
    </row>
    <row r="62" spans="1:31" ht="14.25" customHeight="1" x14ac:dyDescent="0.35">
      <c r="A62" s="3" t="s">
        <v>239</v>
      </c>
      <c r="B62" s="3" t="s">
        <v>36</v>
      </c>
      <c r="C62" s="3" t="s">
        <v>240</v>
      </c>
      <c r="D62" s="3">
        <v>50</v>
      </c>
      <c r="E62" s="3">
        <f t="shared" si="0"/>
        <v>50</v>
      </c>
      <c r="F62" s="3">
        <v>1974</v>
      </c>
      <c r="G62" s="3">
        <v>50000</v>
      </c>
      <c r="H62" s="12" cm="1">
        <f t="array" ref="H62">_xlfn.IFS(TRIM(G62)="SIXTY THOUSAND",60000,TRIM(G62)="NAN",AVERAGEIFS(G:G,J:J,J62,L:L,L62),TRUE,G62)</f>
        <v>50000</v>
      </c>
      <c r="I62" s="3" t="s">
        <v>38</v>
      </c>
      <c r="J62" s="3" t="s">
        <v>145</v>
      </c>
      <c r="K62" s="3" t="str">
        <f t="shared" si="1"/>
        <v>Sales</v>
      </c>
      <c r="L62" s="3" t="s">
        <v>94</v>
      </c>
      <c r="M62" s="4">
        <v>43195</v>
      </c>
      <c r="N62" s="4">
        <v>43195</v>
      </c>
      <c r="O62" s="3" t="s">
        <v>41</v>
      </c>
      <c r="P62" s="3">
        <v>3</v>
      </c>
      <c r="Q62" s="3" t="s">
        <v>241</v>
      </c>
      <c r="S62" s="3" t="s">
        <v>32</v>
      </c>
      <c r="T62" s="3" t="str">
        <f t="shared" si="2"/>
        <v>Contract</v>
      </c>
      <c r="U62" s="3" t="s">
        <v>242</v>
      </c>
      <c r="V62" s="3">
        <v>7</v>
      </c>
      <c r="X62" s="3">
        <v>4</v>
      </c>
      <c r="Y62" s="4">
        <v>44470</v>
      </c>
      <c r="AA62" s="3" t="s">
        <v>34</v>
      </c>
      <c r="AB62" s="3" t="str" cm="1">
        <f t="array" ref="AB62">_xlfn.IFS(AA62="N","No",  AA62 = "Y", "Yes", TRUE, PROPER(TRIM(AA62)))</f>
        <v>No</v>
      </c>
      <c r="AC62" s="3">
        <v>2</v>
      </c>
      <c r="AD62" s="3" t="s">
        <v>46</v>
      </c>
      <c r="AE62">
        <f t="shared" si="3"/>
        <v>1</v>
      </c>
    </row>
    <row r="63" spans="1:31" ht="14.25" customHeight="1" x14ac:dyDescent="0.35">
      <c r="A63" s="3" t="s">
        <v>243</v>
      </c>
      <c r="B63" s="3" t="s">
        <v>107</v>
      </c>
      <c r="C63" s="3" t="s">
        <v>244</v>
      </c>
      <c r="D63" s="3">
        <v>25</v>
      </c>
      <c r="E63" s="3">
        <f t="shared" si="0"/>
        <v>25</v>
      </c>
      <c r="F63" s="3">
        <v>1999</v>
      </c>
      <c r="G63" s="3" t="s">
        <v>50</v>
      </c>
      <c r="H63" s="12" cm="1">
        <f t="array" ref="H63">_xlfn.IFS(TRIM(G63)="SIXTY THOUSAND",60000,TRIM(G63)="NAN",AVERAGEIFS(G:G,J:J,J63,L:L,L63),TRUE,G63)</f>
        <v>60000</v>
      </c>
      <c r="I63" s="3" t="s">
        <v>27</v>
      </c>
      <c r="J63" s="3" t="s">
        <v>64</v>
      </c>
      <c r="K63" s="3" t="str">
        <f t="shared" si="1"/>
        <v>Finance</v>
      </c>
      <c r="L63" s="3" t="s">
        <v>77</v>
      </c>
      <c r="M63" s="9">
        <v>43549</v>
      </c>
      <c r="N63" s="9">
        <v>43549</v>
      </c>
      <c r="O63" s="3" t="s">
        <v>30</v>
      </c>
      <c r="P63" s="3">
        <v>69</v>
      </c>
      <c r="Q63" s="3" t="s">
        <v>245</v>
      </c>
      <c r="R63" s="3" t="s">
        <v>54</v>
      </c>
      <c r="S63" s="3" t="s">
        <v>112</v>
      </c>
      <c r="T63" s="3" t="str">
        <f t="shared" si="2"/>
        <v>Full-Time</v>
      </c>
      <c r="V63" s="3">
        <v>7</v>
      </c>
      <c r="Y63" s="4">
        <v>45516</v>
      </c>
      <c r="AA63" s="3" t="s">
        <v>34</v>
      </c>
      <c r="AB63" s="3" t="str" cm="1">
        <f t="array" ref="AB63">_xlfn.IFS(AA63="N","No",  AA63 = "Y", "Yes", TRUE, PROPER(TRIM(AA63)))</f>
        <v>No</v>
      </c>
      <c r="AC63" s="3">
        <v>1</v>
      </c>
      <c r="AD63" s="3" t="s">
        <v>46</v>
      </c>
      <c r="AE63">
        <f t="shared" si="3"/>
        <v>1</v>
      </c>
    </row>
    <row r="64" spans="1:31" ht="14.25" customHeight="1" x14ac:dyDescent="0.35">
      <c r="A64" s="3" t="s">
        <v>246</v>
      </c>
      <c r="B64" s="3" t="s">
        <v>114</v>
      </c>
      <c r="C64" s="3" t="s">
        <v>247</v>
      </c>
      <c r="E64" s="3">
        <f t="shared" si="0"/>
        <v>45</v>
      </c>
      <c r="F64" s="3">
        <v>1979</v>
      </c>
      <c r="G64" s="3">
        <v>65000</v>
      </c>
      <c r="H64" s="12" cm="1">
        <f t="array" ref="H64">_xlfn.IFS(TRIM(G64)="SIXTY THOUSAND",60000,TRIM(G64)="NAN",AVERAGEIFS(G:G,J:J,J64,L:L,L64),TRUE,G64)</f>
        <v>65000</v>
      </c>
      <c r="I64" s="3" t="s">
        <v>27</v>
      </c>
      <c r="J64" s="3" t="s">
        <v>28</v>
      </c>
      <c r="K64" s="3" t="str">
        <f t="shared" si="1"/>
        <v>HR</v>
      </c>
      <c r="L64" s="3" t="s">
        <v>40</v>
      </c>
      <c r="M64" s="4">
        <v>43845</v>
      </c>
      <c r="N64" s="4">
        <v>43845</v>
      </c>
      <c r="O64" s="3" t="s">
        <v>30</v>
      </c>
      <c r="P64" s="3">
        <v>60</v>
      </c>
      <c r="Q64" s="3" t="s">
        <v>248</v>
      </c>
      <c r="R64" s="3" t="s">
        <v>61</v>
      </c>
      <c r="S64" s="3" t="s">
        <v>100</v>
      </c>
      <c r="T64" s="3" t="str">
        <f t="shared" si="2"/>
        <v>Part-Time</v>
      </c>
      <c r="V64" s="3">
        <v>7</v>
      </c>
      <c r="X64" s="3">
        <v>13</v>
      </c>
      <c r="Z64" s="3">
        <v>59</v>
      </c>
      <c r="AA64" s="3" t="s">
        <v>169</v>
      </c>
      <c r="AB64" s="3" t="str" cm="1">
        <f t="array" ref="AB64">_xlfn.IFS(AA64="N","No",  AA64 = "Y", "Yes", TRUE, PROPER(TRIM(AA64)))</f>
        <v>Yes</v>
      </c>
      <c r="AC64" s="3">
        <v>1</v>
      </c>
      <c r="AD64" s="3" t="s">
        <v>46</v>
      </c>
      <c r="AE64">
        <f t="shared" si="3"/>
        <v>1</v>
      </c>
    </row>
    <row r="65" spans="1:31" ht="14.25" customHeight="1" x14ac:dyDescent="0.35">
      <c r="A65" s="3" t="s">
        <v>249</v>
      </c>
      <c r="B65" s="3" t="s">
        <v>68</v>
      </c>
      <c r="C65" s="3" t="s">
        <v>250</v>
      </c>
      <c r="D65" s="3">
        <v>50</v>
      </c>
      <c r="E65" s="3">
        <f t="shared" si="0"/>
        <v>50</v>
      </c>
      <c r="F65" s="3">
        <v>1974</v>
      </c>
      <c r="G65" s="3">
        <v>63000</v>
      </c>
      <c r="H65" s="12" cm="1">
        <f t="array" ref="H65">_xlfn.IFS(TRIM(G65)="SIXTY THOUSAND",60000,TRIM(G65)="NAN",AVERAGEIFS(G:G,J:J,J65,L:L,L65),TRUE,G65)</f>
        <v>63000</v>
      </c>
      <c r="I65" s="3" t="s">
        <v>27</v>
      </c>
      <c r="J65" s="3" t="s">
        <v>145</v>
      </c>
      <c r="K65" s="3" t="str">
        <f t="shared" si="1"/>
        <v>Sales</v>
      </c>
      <c r="L65" s="3" t="s">
        <v>40</v>
      </c>
      <c r="M65" s="9">
        <v>43549</v>
      </c>
      <c r="N65" s="9">
        <v>43549</v>
      </c>
      <c r="O65" s="3" t="s">
        <v>78</v>
      </c>
      <c r="P65" s="3">
        <v>82</v>
      </c>
      <c r="Q65" s="3" t="s">
        <v>251</v>
      </c>
      <c r="R65" s="3" t="s">
        <v>54</v>
      </c>
      <c r="S65" s="3" t="s">
        <v>44</v>
      </c>
      <c r="T65" s="3" t="str">
        <f t="shared" si="2"/>
        <v>Full-Time</v>
      </c>
      <c r="V65" s="3">
        <v>8</v>
      </c>
      <c r="AA65" s="3" t="s">
        <v>34</v>
      </c>
      <c r="AB65" s="3" t="str" cm="1">
        <f t="array" ref="AB65">_xlfn.IFS(AA65="N","No",  AA65 = "Y", "Yes", TRUE, PROPER(TRIM(AA65)))</f>
        <v>No</v>
      </c>
      <c r="AC65" s="3">
        <v>2</v>
      </c>
      <c r="AD65" s="3" t="s">
        <v>46</v>
      </c>
      <c r="AE65">
        <f t="shared" si="3"/>
        <v>1</v>
      </c>
    </row>
    <row r="66" spans="1:31" ht="14.25" customHeight="1" x14ac:dyDescent="0.35">
      <c r="A66" s="3" t="s">
        <v>252</v>
      </c>
      <c r="B66" s="3" t="s">
        <v>114</v>
      </c>
      <c r="C66" s="3" t="s">
        <v>253</v>
      </c>
      <c r="D66" s="3">
        <v>40</v>
      </c>
      <c r="E66" s="3">
        <f t="shared" ref="E66:E129" si="4">2024-F66</f>
        <v>40</v>
      </c>
      <c r="F66" s="3">
        <v>1984</v>
      </c>
      <c r="G66" s="3">
        <v>55000</v>
      </c>
      <c r="H66" s="12" cm="1">
        <f t="array" ref="H66">_xlfn.IFS(TRIM(G66)="SIXTY THOUSAND",60000,TRIM(G66)="NAN",AVERAGEIFS(G:G,J:J,J66,L:L,L66),TRUE,G66)</f>
        <v>55000</v>
      </c>
      <c r="I66" s="3" t="s">
        <v>38</v>
      </c>
      <c r="J66" s="3" t="s">
        <v>64</v>
      </c>
      <c r="K66" s="3" t="str">
        <f t="shared" ref="K66:K129" si="5">IF(OR(J66="HR",J66="IT"),UPPER(J66),PROPER(J66))</f>
        <v>Finance</v>
      </c>
      <c r="L66" s="3" t="s">
        <v>29</v>
      </c>
      <c r="M66" s="9">
        <v>43195</v>
      </c>
      <c r="N66" s="9">
        <v>43195</v>
      </c>
      <c r="O66" s="3" t="s">
        <v>41</v>
      </c>
      <c r="P66" s="3">
        <v>56</v>
      </c>
      <c r="Q66" s="3" t="s">
        <v>254</v>
      </c>
      <c r="R66" s="3" t="s">
        <v>104</v>
      </c>
      <c r="S66" s="3" t="s">
        <v>112</v>
      </c>
      <c r="T66" s="3" t="str">
        <f t="shared" ref="T66:T129" si="6">PROPER(S66)</f>
        <v>Full-Time</v>
      </c>
      <c r="V66" s="3">
        <v>7</v>
      </c>
      <c r="Z66" s="3">
        <v>12</v>
      </c>
      <c r="AA66" s="3" t="s">
        <v>46</v>
      </c>
      <c r="AB66" s="3" t="str" cm="1">
        <f t="array" ref="AB66">_xlfn.IFS(AA66="N","No",  AA66 = "Y", "Yes", TRUE, PROPER(TRIM(AA66)))</f>
        <v>Yes</v>
      </c>
      <c r="AC66" s="3">
        <v>2</v>
      </c>
      <c r="AD66" s="3" t="s">
        <v>46</v>
      </c>
      <c r="AE66">
        <f t="shared" si="3"/>
        <v>1</v>
      </c>
    </row>
    <row r="67" spans="1:31" ht="14.25" customHeight="1" x14ac:dyDescent="0.35">
      <c r="A67" s="3" t="s">
        <v>255</v>
      </c>
      <c r="B67" s="3" t="s">
        <v>68</v>
      </c>
      <c r="C67" s="3" t="s">
        <v>256</v>
      </c>
      <c r="D67" s="3">
        <v>25</v>
      </c>
      <c r="E67" s="3">
        <f t="shared" si="4"/>
        <v>25</v>
      </c>
      <c r="F67" s="3">
        <v>1999</v>
      </c>
      <c r="G67" s="3" t="s">
        <v>50</v>
      </c>
      <c r="H67" s="12" cm="1">
        <f t="array" ref="H67">_xlfn.IFS(TRIM(G67)="SIXTY THOUSAND",60000,TRIM(G67)="NAN",AVERAGEIFS(G:G,J:J,J67,L:L,L67),TRUE,G67)</f>
        <v>60000</v>
      </c>
      <c r="I67" s="3" t="s">
        <v>38</v>
      </c>
      <c r="J67" s="3" t="s">
        <v>70</v>
      </c>
      <c r="K67" s="3" t="str">
        <f t="shared" si="5"/>
        <v>Marketing</v>
      </c>
      <c r="L67" s="3" t="s">
        <v>89</v>
      </c>
      <c r="M67" s="4">
        <v>43549</v>
      </c>
      <c r="N67" s="4">
        <v>43549</v>
      </c>
      <c r="O67" s="3" t="s">
        <v>30</v>
      </c>
      <c r="P67" s="3">
        <v>69</v>
      </c>
      <c r="Q67" s="3" t="s">
        <v>257</v>
      </c>
      <c r="R67" s="3" t="s">
        <v>104</v>
      </c>
      <c r="S67" s="3" t="s">
        <v>44</v>
      </c>
      <c r="T67" s="3" t="str">
        <f t="shared" si="6"/>
        <v>Full-Time</v>
      </c>
      <c r="V67" s="3">
        <v>1</v>
      </c>
      <c r="X67" s="3">
        <v>0</v>
      </c>
      <c r="AA67" s="3" t="s">
        <v>73</v>
      </c>
      <c r="AB67" s="3" t="str" cm="1">
        <f t="array" ref="AB67">_xlfn.IFS(AA67="N","No",  AA67 = "Y", "Yes", TRUE, PROPER(TRIM(AA67)))</f>
        <v>No</v>
      </c>
      <c r="AC67" s="3">
        <v>5</v>
      </c>
      <c r="AD67" s="3" t="s">
        <v>34</v>
      </c>
      <c r="AE67">
        <f t="shared" ref="AE67:AE130" si="7">IF(AD67="Yes",1,0)</f>
        <v>0</v>
      </c>
    </row>
    <row r="68" spans="1:31" ht="14.25" customHeight="1" x14ac:dyDescent="0.35">
      <c r="A68" s="3" t="s">
        <v>258</v>
      </c>
      <c r="B68" s="3" t="s">
        <v>36</v>
      </c>
      <c r="C68" s="3" t="s">
        <v>259</v>
      </c>
      <c r="D68" s="3">
        <v>25</v>
      </c>
      <c r="E68" s="3">
        <f t="shared" si="4"/>
        <v>25</v>
      </c>
      <c r="F68" s="3">
        <v>1999</v>
      </c>
      <c r="G68" s="3" t="s">
        <v>50</v>
      </c>
      <c r="H68" s="12" cm="1">
        <f t="array" ref="H68">_xlfn.IFS(TRIM(G68)="SIXTY THOUSAND",60000,TRIM(G68)="NAN",AVERAGEIFS(G:G,J:J,J68,L:L,L68),TRUE,G68)</f>
        <v>60000</v>
      </c>
      <c r="I68" s="3" t="s">
        <v>27</v>
      </c>
      <c r="J68" s="3" t="s">
        <v>51</v>
      </c>
      <c r="K68" s="3" t="str">
        <f t="shared" si="5"/>
        <v>Sales</v>
      </c>
      <c r="L68" s="3" t="s">
        <v>29</v>
      </c>
      <c r="M68" s="9">
        <v>43195</v>
      </c>
      <c r="N68" s="9">
        <v>43195</v>
      </c>
      <c r="O68" s="3" t="s">
        <v>30</v>
      </c>
      <c r="P68" s="3">
        <v>69</v>
      </c>
      <c r="Q68" s="3" t="s">
        <v>260</v>
      </c>
      <c r="R68" s="3" t="s">
        <v>104</v>
      </c>
      <c r="S68" s="3" t="s">
        <v>100</v>
      </c>
      <c r="T68" s="3" t="str">
        <f t="shared" si="6"/>
        <v>Part-Time</v>
      </c>
      <c r="V68" s="3">
        <v>1</v>
      </c>
      <c r="X68" s="3">
        <v>0</v>
      </c>
      <c r="Y68" s="4">
        <v>44732</v>
      </c>
      <c r="AA68" s="3" t="s">
        <v>34</v>
      </c>
      <c r="AB68" s="3" t="str" cm="1">
        <f t="array" ref="AB68">_xlfn.IFS(AA68="N","No",  AA68 = "Y", "Yes", TRUE, PROPER(TRIM(AA68)))</f>
        <v>No</v>
      </c>
      <c r="AC68" s="3">
        <v>1</v>
      </c>
      <c r="AD68" s="3" t="s">
        <v>46</v>
      </c>
      <c r="AE68">
        <f t="shared" si="7"/>
        <v>1</v>
      </c>
    </row>
    <row r="69" spans="1:31" ht="14.25" customHeight="1" x14ac:dyDescent="0.35">
      <c r="A69" s="3" t="s">
        <v>261</v>
      </c>
      <c r="B69" s="3" t="s">
        <v>48</v>
      </c>
      <c r="C69" s="3" t="s">
        <v>262</v>
      </c>
      <c r="D69" s="3">
        <v>40</v>
      </c>
      <c r="E69" s="3">
        <f t="shared" si="4"/>
        <v>40</v>
      </c>
      <c r="F69" s="3">
        <v>1984</v>
      </c>
      <c r="G69" s="3">
        <v>63000</v>
      </c>
      <c r="H69" s="12" cm="1">
        <f t="array" ref="H69">_xlfn.IFS(TRIM(G69)="SIXTY THOUSAND",60000,TRIM(G69)="NAN",AVERAGEIFS(G:G,J:J,J69,L:L,L69),TRUE,G69)</f>
        <v>63000</v>
      </c>
      <c r="I69" s="3" t="s">
        <v>27</v>
      </c>
      <c r="J69" s="3" t="s">
        <v>51</v>
      </c>
      <c r="K69" s="3" t="str">
        <f t="shared" si="5"/>
        <v>Sales</v>
      </c>
      <c r="L69" s="3" t="s">
        <v>40</v>
      </c>
      <c r="M69" s="4">
        <v>43800</v>
      </c>
      <c r="N69" s="4">
        <v>43800</v>
      </c>
      <c r="O69" s="3" t="s">
        <v>41</v>
      </c>
      <c r="P69" s="3">
        <v>42</v>
      </c>
      <c r="Q69" s="3" t="s">
        <v>263</v>
      </c>
      <c r="R69" s="3" t="s">
        <v>61</v>
      </c>
      <c r="S69" s="3" t="s">
        <v>66</v>
      </c>
      <c r="T69" s="3" t="str">
        <f t="shared" si="6"/>
        <v>Contract</v>
      </c>
      <c r="V69" s="3">
        <v>4</v>
      </c>
      <c r="W69" s="3">
        <v>6</v>
      </c>
      <c r="Y69" s="4">
        <v>44732</v>
      </c>
      <c r="AA69" s="3" t="s">
        <v>33</v>
      </c>
      <c r="AB69" s="3" t="str" cm="1">
        <f t="array" ref="AB69">_xlfn.IFS(AA69="N","No",  AA69 = "Y", "Yes", TRUE, PROPER(TRIM(AA69)))</f>
        <v>Yes</v>
      </c>
      <c r="AC69" s="3">
        <v>1</v>
      </c>
      <c r="AD69" s="3" t="s">
        <v>34</v>
      </c>
      <c r="AE69">
        <f t="shared" si="7"/>
        <v>0</v>
      </c>
    </row>
    <row r="70" spans="1:31" ht="14.25" customHeight="1" x14ac:dyDescent="0.35">
      <c r="A70" s="3" t="s">
        <v>264</v>
      </c>
      <c r="B70" s="3" t="s">
        <v>25</v>
      </c>
      <c r="C70" s="3" t="s">
        <v>265</v>
      </c>
      <c r="D70" s="3">
        <v>35</v>
      </c>
      <c r="E70" s="3">
        <f t="shared" si="4"/>
        <v>35</v>
      </c>
      <c r="F70" s="3">
        <v>1989</v>
      </c>
      <c r="G70" s="3">
        <v>59300</v>
      </c>
      <c r="H70" s="12" cm="1">
        <f t="array" ref="H70">_xlfn.IFS(TRIM(G70)="SIXTY THOUSAND",60000,TRIM(G70)="NAN",AVERAGEIFS(G:G,J:J,J70,L:L,L70),TRUE,G70)</f>
        <v>59300</v>
      </c>
      <c r="I70" s="3" t="s">
        <v>38</v>
      </c>
      <c r="J70" s="3" t="s">
        <v>122</v>
      </c>
      <c r="K70" s="3" t="str">
        <f t="shared" si="5"/>
        <v>IT</v>
      </c>
      <c r="L70" s="3" t="s">
        <v>94</v>
      </c>
      <c r="M70" s="4">
        <v>43845</v>
      </c>
      <c r="N70" s="4">
        <v>43845</v>
      </c>
      <c r="O70" s="3" t="s">
        <v>41</v>
      </c>
      <c r="P70" s="3">
        <v>8</v>
      </c>
      <c r="Q70" s="3" t="s">
        <v>266</v>
      </c>
      <c r="R70" s="3" t="s">
        <v>104</v>
      </c>
      <c r="S70" s="3" t="s">
        <v>174</v>
      </c>
      <c r="T70" s="3" t="str">
        <f t="shared" si="6"/>
        <v>Full-Time</v>
      </c>
      <c r="U70" s="3" t="s">
        <v>188</v>
      </c>
      <c r="V70" s="3">
        <v>6</v>
      </c>
      <c r="Y70" s="4">
        <v>44990</v>
      </c>
      <c r="AA70" s="3" t="s">
        <v>169</v>
      </c>
      <c r="AB70" s="3" t="str" cm="1">
        <f t="array" ref="AB70">_xlfn.IFS(AA70="N","No",  AA70 = "Y", "Yes", TRUE, PROPER(TRIM(AA70)))</f>
        <v>Yes</v>
      </c>
      <c r="AC70" s="3">
        <v>5</v>
      </c>
      <c r="AD70" s="3" t="s">
        <v>34</v>
      </c>
      <c r="AE70">
        <f t="shared" si="7"/>
        <v>0</v>
      </c>
    </row>
    <row r="71" spans="1:31" ht="14.25" customHeight="1" x14ac:dyDescent="0.35">
      <c r="A71" s="3" t="s">
        <v>267</v>
      </c>
      <c r="B71" s="3" t="s">
        <v>140</v>
      </c>
      <c r="C71" s="3" t="s">
        <v>268</v>
      </c>
      <c r="D71" s="3">
        <v>50</v>
      </c>
      <c r="E71" s="3">
        <f t="shared" si="4"/>
        <v>50</v>
      </c>
      <c r="F71" s="3">
        <v>1974</v>
      </c>
      <c r="G71" s="3">
        <v>55000</v>
      </c>
      <c r="H71" s="12" cm="1">
        <f t="array" ref="H71">_xlfn.IFS(TRIM(G71)="SIXTY THOUSAND",60000,TRIM(G71)="NAN",AVERAGEIFS(G:G,J:J,J71,L:L,L71),TRUE,G71)</f>
        <v>55000</v>
      </c>
      <c r="I71" s="3" t="s">
        <v>38</v>
      </c>
      <c r="J71" s="3" t="s">
        <v>93</v>
      </c>
      <c r="K71" s="3" t="str">
        <f t="shared" si="5"/>
        <v>Marketing</v>
      </c>
      <c r="L71" s="3" t="s">
        <v>94</v>
      </c>
      <c r="M71" s="4">
        <v>43800</v>
      </c>
      <c r="N71" s="4">
        <v>43800</v>
      </c>
      <c r="O71" s="3" t="s">
        <v>59</v>
      </c>
      <c r="P71" s="3">
        <v>100</v>
      </c>
      <c r="Q71" s="3" t="s">
        <v>269</v>
      </c>
      <c r="S71" s="3" t="s">
        <v>32</v>
      </c>
      <c r="T71" s="3" t="str">
        <f t="shared" si="6"/>
        <v>Contract</v>
      </c>
      <c r="V71" s="3">
        <v>1</v>
      </c>
      <c r="W71" s="3" t="s">
        <v>79</v>
      </c>
      <c r="Y71" s="3" t="s">
        <v>79</v>
      </c>
      <c r="AA71" s="3" t="s">
        <v>34</v>
      </c>
      <c r="AB71" s="3" t="str" cm="1">
        <f t="array" ref="AB71">_xlfn.IFS(AA71="N","No",  AA71 = "Y", "Yes", TRUE, PROPER(TRIM(AA71)))</f>
        <v>No</v>
      </c>
      <c r="AC71" s="3">
        <v>3</v>
      </c>
      <c r="AD71" s="3" t="s">
        <v>34</v>
      </c>
      <c r="AE71">
        <f t="shared" si="7"/>
        <v>0</v>
      </c>
    </row>
    <row r="72" spans="1:31" ht="14.25" customHeight="1" x14ac:dyDescent="0.35">
      <c r="A72" s="3" t="s">
        <v>270</v>
      </c>
      <c r="B72" s="3" t="s">
        <v>48</v>
      </c>
      <c r="C72" s="3" t="s">
        <v>271</v>
      </c>
      <c r="D72" s="3" t="s">
        <v>88</v>
      </c>
      <c r="E72" s="3">
        <f t="shared" si="4"/>
        <v>30</v>
      </c>
      <c r="F72" s="3">
        <v>1994</v>
      </c>
      <c r="G72" s="3">
        <v>55000</v>
      </c>
      <c r="H72" s="12" cm="1">
        <f t="array" ref="H72">_xlfn.IFS(TRIM(G72)="SIXTY THOUSAND",60000,TRIM(G72)="NAN",AVERAGEIFS(G:G,J:J,J72,L:L,L72),TRUE,G72)</f>
        <v>55000</v>
      </c>
      <c r="I72" s="3" t="s">
        <v>27</v>
      </c>
      <c r="J72" s="3" t="s">
        <v>82</v>
      </c>
      <c r="K72" s="3" t="str">
        <f t="shared" si="5"/>
        <v>HR</v>
      </c>
      <c r="L72" s="3" t="s">
        <v>29</v>
      </c>
      <c r="M72" s="4">
        <v>43881</v>
      </c>
      <c r="N72" s="4">
        <v>43881</v>
      </c>
      <c r="O72" s="3" t="s">
        <v>78</v>
      </c>
      <c r="P72" s="3">
        <v>80</v>
      </c>
      <c r="Q72" s="3" t="s">
        <v>272</v>
      </c>
      <c r="S72" s="3" t="s">
        <v>100</v>
      </c>
      <c r="T72" s="3" t="str">
        <f t="shared" si="6"/>
        <v>Part-Time</v>
      </c>
      <c r="V72" s="3">
        <v>6</v>
      </c>
      <c r="Y72" s="3" t="s">
        <v>79</v>
      </c>
      <c r="Z72" s="3">
        <v>61</v>
      </c>
      <c r="AB72" s="3" t="str" cm="1">
        <f t="array" ref="AB72">_xlfn.IFS(AA72="N","No",  AA72 = "Y", "Yes", TRUE, PROPER(TRIM(AA72)))</f>
        <v/>
      </c>
      <c r="AC72" s="3">
        <v>4</v>
      </c>
      <c r="AD72" s="3" t="s">
        <v>34</v>
      </c>
      <c r="AE72">
        <f t="shared" si="7"/>
        <v>0</v>
      </c>
    </row>
    <row r="73" spans="1:31" ht="14.25" customHeight="1" x14ac:dyDescent="0.35">
      <c r="A73" s="3" t="s">
        <v>273</v>
      </c>
      <c r="B73" s="3" t="s">
        <v>56</v>
      </c>
      <c r="C73" s="3" t="s">
        <v>164</v>
      </c>
      <c r="E73" s="3">
        <f t="shared" si="4"/>
        <v>44</v>
      </c>
      <c r="F73" s="3">
        <v>1980</v>
      </c>
      <c r="G73" s="3">
        <v>60300</v>
      </c>
      <c r="H73" s="12" cm="1">
        <f t="array" ref="H73">_xlfn.IFS(TRIM(G73)="SIXTY THOUSAND",60000,TRIM(G73)="NAN",AVERAGEIFS(G:G,J:J,J73,L:L,L73),TRUE,G73)</f>
        <v>60300</v>
      </c>
      <c r="I73" s="3" t="s">
        <v>27</v>
      </c>
      <c r="J73" s="3" t="s">
        <v>64</v>
      </c>
      <c r="K73" s="3" t="str">
        <f t="shared" si="5"/>
        <v>Finance</v>
      </c>
      <c r="L73" s="3" t="s">
        <v>40</v>
      </c>
      <c r="M73" s="4">
        <v>43549</v>
      </c>
      <c r="N73" s="4">
        <v>43549</v>
      </c>
      <c r="O73" s="3" t="s">
        <v>41</v>
      </c>
      <c r="P73" s="3">
        <v>32</v>
      </c>
      <c r="Q73" s="3" t="s">
        <v>165</v>
      </c>
      <c r="R73" s="3" t="s">
        <v>61</v>
      </c>
      <c r="S73" s="3" t="s">
        <v>174</v>
      </c>
      <c r="T73" s="3" t="str">
        <f t="shared" si="6"/>
        <v>Full-Time</v>
      </c>
      <c r="V73" s="3">
        <v>4</v>
      </c>
      <c r="Y73" s="4">
        <v>44732</v>
      </c>
      <c r="Z73" s="3">
        <v>46</v>
      </c>
      <c r="AA73" s="3" t="s">
        <v>46</v>
      </c>
      <c r="AB73" s="3" t="str" cm="1">
        <f t="array" ref="AB73">_xlfn.IFS(AA73="N","No",  AA73 = "Y", "Yes", TRUE, PROPER(TRIM(AA73)))</f>
        <v>Yes</v>
      </c>
      <c r="AC73" s="3">
        <v>2</v>
      </c>
      <c r="AD73" s="3" t="s">
        <v>46</v>
      </c>
      <c r="AE73">
        <f t="shared" si="7"/>
        <v>1</v>
      </c>
    </row>
    <row r="74" spans="1:31" ht="14.25" customHeight="1" x14ac:dyDescent="0.35">
      <c r="A74" s="3" t="s">
        <v>274</v>
      </c>
      <c r="B74" s="3" t="s">
        <v>114</v>
      </c>
      <c r="C74" s="3" t="s">
        <v>115</v>
      </c>
      <c r="D74" s="3" t="s">
        <v>88</v>
      </c>
      <c r="E74" s="3">
        <f t="shared" si="4"/>
        <v>30</v>
      </c>
      <c r="F74" s="3">
        <v>1994</v>
      </c>
      <c r="G74" s="3">
        <v>50000</v>
      </c>
      <c r="H74" s="12" cm="1">
        <f t="array" ref="H74">_xlfn.IFS(TRIM(G74)="SIXTY THOUSAND",60000,TRIM(G74)="NAN",AVERAGEIFS(G:G,J:J,J74,L:L,L74),TRUE,G74)</f>
        <v>50000</v>
      </c>
      <c r="I74" s="3" t="s">
        <v>27</v>
      </c>
      <c r="J74" s="3" t="s">
        <v>122</v>
      </c>
      <c r="K74" s="3" t="str">
        <f t="shared" si="5"/>
        <v>IT</v>
      </c>
      <c r="L74" s="3" t="s">
        <v>94</v>
      </c>
      <c r="M74" s="4">
        <v>43881</v>
      </c>
      <c r="N74" s="4">
        <v>43881</v>
      </c>
      <c r="O74" s="3" t="s">
        <v>41</v>
      </c>
      <c r="P74" s="3">
        <v>56</v>
      </c>
      <c r="Q74" s="3" t="s">
        <v>182</v>
      </c>
      <c r="R74" s="3" t="s">
        <v>54</v>
      </c>
      <c r="S74" s="3" t="s">
        <v>66</v>
      </c>
      <c r="T74" s="3" t="str">
        <f t="shared" si="6"/>
        <v>Contract</v>
      </c>
      <c r="V74" s="3">
        <v>1</v>
      </c>
      <c r="Y74" s="3" t="s">
        <v>79</v>
      </c>
      <c r="AA74" s="3" t="s">
        <v>34</v>
      </c>
      <c r="AB74" s="3" t="str" cm="1">
        <f t="array" ref="AB74">_xlfn.IFS(AA74="N","No",  AA74 = "Y", "Yes", TRUE, PROPER(TRIM(AA74)))</f>
        <v>No</v>
      </c>
      <c r="AC74" s="3">
        <v>1</v>
      </c>
      <c r="AD74" s="3" t="s">
        <v>46</v>
      </c>
      <c r="AE74">
        <f t="shared" si="7"/>
        <v>1</v>
      </c>
    </row>
    <row r="75" spans="1:31" ht="14.25" customHeight="1" x14ac:dyDescent="0.35">
      <c r="A75" s="3" t="s">
        <v>242</v>
      </c>
      <c r="B75" s="3" t="s">
        <v>56</v>
      </c>
      <c r="C75" s="3" t="s">
        <v>84</v>
      </c>
      <c r="D75" s="3">
        <v>40</v>
      </c>
      <c r="E75" s="3">
        <f t="shared" si="4"/>
        <v>40</v>
      </c>
      <c r="F75" s="3">
        <v>1984</v>
      </c>
      <c r="G75" s="3" t="s">
        <v>50</v>
      </c>
      <c r="H75" s="12" cm="1">
        <f t="array" ref="H75">_xlfn.IFS(TRIM(G75)="SIXTY THOUSAND",60000,TRIM(G75)="NAN",AVERAGEIFS(G:G,J:J,J75,L:L,L75),TRUE,G75)</f>
        <v>60000</v>
      </c>
      <c r="I75" s="3" t="s">
        <v>38</v>
      </c>
      <c r="J75" s="3" t="s">
        <v>64</v>
      </c>
      <c r="K75" s="3" t="str">
        <f t="shared" si="5"/>
        <v>Finance</v>
      </c>
      <c r="L75" s="3" t="s">
        <v>40</v>
      </c>
      <c r="M75" s="4">
        <v>43549</v>
      </c>
      <c r="N75" s="4">
        <v>43549</v>
      </c>
      <c r="O75" s="3" t="s">
        <v>52</v>
      </c>
      <c r="P75" s="3">
        <v>74</v>
      </c>
      <c r="Q75" s="3" t="s">
        <v>275</v>
      </c>
      <c r="R75" s="3" t="s">
        <v>43</v>
      </c>
      <c r="S75" s="3" t="s">
        <v>100</v>
      </c>
      <c r="T75" s="3" t="str">
        <f t="shared" si="6"/>
        <v>Part-Time</v>
      </c>
      <c r="V75" s="3">
        <v>1</v>
      </c>
      <c r="Z75" s="3">
        <v>54</v>
      </c>
      <c r="AB75" s="3" t="str" cm="1">
        <f t="array" ref="AB75">_xlfn.IFS(AA75="N","No",  AA75 = "Y", "Yes", TRUE, PROPER(TRIM(AA75)))</f>
        <v/>
      </c>
      <c r="AC75" s="3">
        <v>3</v>
      </c>
      <c r="AD75" s="3" t="s">
        <v>34</v>
      </c>
      <c r="AE75">
        <f t="shared" si="7"/>
        <v>0</v>
      </c>
    </row>
    <row r="76" spans="1:31" ht="14.25" customHeight="1" x14ac:dyDescent="0.35">
      <c r="A76" s="3" t="s">
        <v>276</v>
      </c>
      <c r="B76" s="3" t="s">
        <v>48</v>
      </c>
      <c r="C76" s="3" t="s">
        <v>277</v>
      </c>
      <c r="D76" s="3">
        <v>25</v>
      </c>
      <c r="E76" s="3">
        <f t="shared" si="4"/>
        <v>25</v>
      </c>
      <c r="F76" s="3">
        <v>1999</v>
      </c>
      <c r="G76" s="3">
        <v>70000</v>
      </c>
      <c r="H76" s="12" cm="1">
        <f t="array" ref="H76">_xlfn.IFS(TRIM(G76)="SIXTY THOUSAND",60000,TRIM(G76)="NAN",AVERAGEIFS(G:G,J:J,J76,L:L,L76),TRUE,G76)</f>
        <v>70000</v>
      </c>
      <c r="I76" s="3" t="s">
        <v>38</v>
      </c>
      <c r="J76" s="3" t="s">
        <v>28</v>
      </c>
      <c r="K76" s="3" t="str">
        <f t="shared" si="5"/>
        <v>HR</v>
      </c>
      <c r="L76" s="3" t="s">
        <v>94</v>
      </c>
      <c r="M76" s="15" t="s">
        <v>278</v>
      </c>
      <c r="N76" s="15">
        <v>43800</v>
      </c>
      <c r="O76" s="3" t="s">
        <v>41</v>
      </c>
      <c r="P76" s="3">
        <v>0</v>
      </c>
      <c r="Q76" s="3" t="s">
        <v>279</v>
      </c>
      <c r="R76" s="3" t="s">
        <v>54</v>
      </c>
      <c r="S76" s="3" t="s">
        <v>72</v>
      </c>
      <c r="T76" s="3" t="str">
        <f t="shared" si="6"/>
        <v>Part-Time</v>
      </c>
      <c r="V76" s="3">
        <v>4</v>
      </c>
      <c r="W76" s="3">
        <v>5</v>
      </c>
      <c r="Z76" s="3">
        <v>80</v>
      </c>
      <c r="AB76" s="3" t="str" cm="1">
        <f t="array" ref="AB76">_xlfn.IFS(AA76="N","No",  AA76 = "Y", "Yes", TRUE, PROPER(TRIM(AA76)))</f>
        <v/>
      </c>
      <c r="AC76" s="3">
        <v>1</v>
      </c>
      <c r="AD76" s="3" t="s">
        <v>46</v>
      </c>
      <c r="AE76">
        <f t="shared" si="7"/>
        <v>1</v>
      </c>
    </row>
    <row r="77" spans="1:31" ht="14.25" customHeight="1" x14ac:dyDescent="0.35">
      <c r="A77" s="3" t="s">
        <v>280</v>
      </c>
      <c r="B77" s="3" t="s">
        <v>68</v>
      </c>
      <c r="C77" s="3" t="s">
        <v>193</v>
      </c>
      <c r="D77" s="3">
        <v>25</v>
      </c>
      <c r="E77" s="3">
        <f t="shared" si="4"/>
        <v>25</v>
      </c>
      <c r="F77" s="3">
        <v>1999</v>
      </c>
      <c r="G77" s="3">
        <v>55000</v>
      </c>
      <c r="H77" s="12" cm="1">
        <f t="array" ref="H77">_xlfn.IFS(TRIM(G77)="SIXTY THOUSAND",60000,TRIM(G77)="NAN",AVERAGEIFS(G:G,J:J,J77,L:L,L77),TRUE,G77)</f>
        <v>55000</v>
      </c>
      <c r="I77" s="3" t="s">
        <v>27</v>
      </c>
      <c r="J77" s="3" t="s">
        <v>28</v>
      </c>
      <c r="K77" s="3" t="str">
        <f t="shared" si="5"/>
        <v>HR</v>
      </c>
      <c r="L77" s="3" t="s">
        <v>40</v>
      </c>
      <c r="M77" s="9">
        <v>43195</v>
      </c>
      <c r="N77" s="9">
        <v>43195</v>
      </c>
      <c r="O77" s="3" t="s">
        <v>78</v>
      </c>
      <c r="P77" s="3">
        <v>88</v>
      </c>
      <c r="Q77" s="3" t="s">
        <v>194</v>
      </c>
      <c r="R77" s="3" t="s">
        <v>54</v>
      </c>
      <c r="S77" s="3" t="s">
        <v>32</v>
      </c>
      <c r="T77" s="3" t="str">
        <f t="shared" si="6"/>
        <v>Contract</v>
      </c>
      <c r="V77" s="3">
        <v>4</v>
      </c>
      <c r="AB77" s="3" t="str" cm="1">
        <f t="array" ref="AB77">_xlfn.IFS(AA77="N","No",  AA77 = "Y", "Yes", TRUE, PROPER(TRIM(AA77)))</f>
        <v/>
      </c>
      <c r="AC77" s="3">
        <v>1</v>
      </c>
      <c r="AD77" s="3" t="s">
        <v>34</v>
      </c>
      <c r="AE77">
        <f t="shared" si="7"/>
        <v>0</v>
      </c>
    </row>
    <row r="78" spans="1:31" ht="14.25" customHeight="1" x14ac:dyDescent="0.35">
      <c r="A78" s="3" t="s">
        <v>227</v>
      </c>
      <c r="B78" s="3" t="s">
        <v>140</v>
      </c>
      <c r="C78" s="3" t="s">
        <v>281</v>
      </c>
      <c r="E78" s="3">
        <f t="shared" si="4"/>
        <v>25</v>
      </c>
      <c r="F78" s="3">
        <v>1999</v>
      </c>
      <c r="G78" s="3">
        <v>55000</v>
      </c>
      <c r="H78" s="12" cm="1">
        <f t="array" ref="H78">_xlfn.IFS(TRIM(G78)="SIXTY THOUSAND",60000,TRIM(G78)="NAN",AVERAGEIFS(G:G,J:J,J78,L:L,L78),TRUE,G78)</f>
        <v>55000</v>
      </c>
      <c r="I78" s="3" t="s">
        <v>38</v>
      </c>
      <c r="J78" s="3" t="s">
        <v>145</v>
      </c>
      <c r="K78" s="3" t="str">
        <f t="shared" si="5"/>
        <v>Sales</v>
      </c>
      <c r="L78" s="3" t="s">
        <v>77</v>
      </c>
      <c r="M78" s="9">
        <v>43195</v>
      </c>
      <c r="N78" s="9">
        <v>43195</v>
      </c>
      <c r="O78" s="3" t="s">
        <v>30</v>
      </c>
      <c r="P78" s="3">
        <v>61</v>
      </c>
      <c r="Q78" s="3" t="s">
        <v>282</v>
      </c>
      <c r="R78" s="3" t="s">
        <v>54</v>
      </c>
      <c r="S78" s="3" t="s">
        <v>44</v>
      </c>
      <c r="T78" s="3" t="str">
        <f t="shared" si="6"/>
        <v>Full-Time</v>
      </c>
      <c r="V78" s="3">
        <v>6</v>
      </c>
      <c r="X78" s="3">
        <v>20</v>
      </c>
      <c r="Y78" s="3" t="s">
        <v>79</v>
      </c>
      <c r="Z78" s="3">
        <v>19</v>
      </c>
      <c r="AB78" s="3" t="str" cm="1">
        <f t="array" ref="AB78">_xlfn.IFS(AA78="N","No",  AA78 = "Y", "Yes", TRUE, PROPER(TRIM(AA78)))</f>
        <v/>
      </c>
      <c r="AC78" s="3">
        <v>5</v>
      </c>
      <c r="AD78" s="3" t="s">
        <v>46</v>
      </c>
      <c r="AE78">
        <f t="shared" si="7"/>
        <v>1</v>
      </c>
    </row>
    <row r="79" spans="1:31" ht="14.25" customHeight="1" x14ac:dyDescent="0.35">
      <c r="A79" s="3" t="s">
        <v>283</v>
      </c>
      <c r="B79" s="3" t="s">
        <v>140</v>
      </c>
      <c r="C79" s="3" t="s">
        <v>268</v>
      </c>
      <c r="D79" s="3">
        <v>25</v>
      </c>
      <c r="E79" s="3">
        <f t="shared" si="4"/>
        <v>25</v>
      </c>
      <c r="F79" s="3">
        <v>1999</v>
      </c>
      <c r="G79" s="3">
        <v>60900</v>
      </c>
      <c r="H79" s="12" cm="1">
        <f t="array" ref="H79">_xlfn.IFS(TRIM(G79)="SIXTY THOUSAND",60000,TRIM(G79)="NAN",AVERAGEIFS(G:G,J:J,J79,L:L,L79),TRUE,G79)</f>
        <v>60900</v>
      </c>
      <c r="I79" s="3" t="s">
        <v>27</v>
      </c>
      <c r="J79" s="3" t="s">
        <v>28</v>
      </c>
      <c r="K79" s="3" t="str">
        <f t="shared" si="5"/>
        <v>HR</v>
      </c>
      <c r="L79" s="3" t="s">
        <v>40</v>
      </c>
      <c r="M79" s="4">
        <v>43549</v>
      </c>
      <c r="N79" s="4">
        <v>43549</v>
      </c>
      <c r="O79" s="3" t="s">
        <v>30</v>
      </c>
      <c r="P79" s="3">
        <v>64</v>
      </c>
      <c r="Q79" s="3" t="s">
        <v>269</v>
      </c>
      <c r="R79" s="3" t="s">
        <v>54</v>
      </c>
      <c r="S79" s="3" t="s">
        <v>44</v>
      </c>
      <c r="T79" s="3" t="str">
        <f t="shared" si="6"/>
        <v>Full-Time</v>
      </c>
      <c r="V79" s="3">
        <v>5</v>
      </c>
      <c r="W79" s="3">
        <v>14</v>
      </c>
      <c r="Z79" s="3">
        <v>46</v>
      </c>
      <c r="AA79" s="3" t="s">
        <v>34</v>
      </c>
      <c r="AB79" s="3" t="str" cm="1">
        <f t="array" ref="AB79">_xlfn.IFS(AA79="N","No",  AA79 = "Y", "Yes", TRUE, PROPER(TRIM(AA79)))</f>
        <v>No</v>
      </c>
      <c r="AC79" s="3">
        <v>1</v>
      </c>
      <c r="AD79" s="3" t="s">
        <v>34</v>
      </c>
      <c r="AE79">
        <f t="shared" si="7"/>
        <v>0</v>
      </c>
    </row>
    <row r="80" spans="1:31" ht="14.25" customHeight="1" x14ac:dyDescent="0.35">
      <c r="A80" s="3" t="s">
        <v>284</v>
      </c>
      <c r="B80" s="3" t="s">
        <v>131</v>
      </c>
      <c r="C80" s="3" t="s">
        <v>285</v>
      </c>
      <c r="D80" s="3">
        <v>25</v>
      </c>
      <c r="E80" s="3">
        <f t="shared" si="4"/>
        <v>25</v>
      </c>
      <c r="F80" s="3">
        <v>1999</v>
      </c>
      <c r="G80" s="3">
        <v>65000</v>
      </c>
      <c r="H80" s="12" cm="1">
        <f t="array" ref="H80">_xlfn.IFS(TRIM(G80)="SIXTY THOUSAND",60000,TRIM(G80)="NAN",AVERAGEIFS(G:G,J:J,J80,L:L,L80),TRUE,G80)</f>
        <v>65000</v>
      </c>
      <c r="I80" s="3" t="s">
        <v>27</v>
      </c>
      <c r="J80" s="3" t="s">
        <v>39</v>
      </c>
      <c r="K80" s="3" t="str">
        <f t="shared" si="5"/>
        <v>Finance</v>
      </c>
      <c r="L80" s="3" t="s">
        <v>40</v>
      </c>
      <c r="M80" s="9">
        <v>43195</v>
      </c>
      <c r="N80" s="9">
        <v>43195</v>
      </c>
      <c r="O80" s="3" t="s">
        <v>30</v>
      </c>
      <c r="P80" s="3">
        <v>64</v>
      </c>
      <c r="Q80" s="3" t="s">
        <v>286</v>
      </c>
      <c r="R80" s="3" t="s">
        <v>43</v>
      </c>
      <c r="S80" s="3" t="s">
        <v>32</v>
      </c>
      <c r="T80" s="3" t="str">
        <f t="shared" si="6"/>
        <v>Contract</v>
      </c>
      <c r="U80" s="3" t="s">
        <v>218</v>
      </c>
      <c r="V80" s="3">
        <v>3</v>
      </c>
      <c r="AB80" s="3" t="str" cm="1">
        <f t="array" ref="AB80">_xlfn.IFS(AA80="N","No",  AA80 = "Y", "Yes", TRUE, PROPER(TRIM(AA80)))</f>
        <v/>
      </c>
      <c r="AC80" s="3">
        <v>3</v>
      </c>
      <c r="AD80" s="3" t="s">
        <v>46</v>
      </c>
      <c r="AE80">
        <f t="shared" si="7"/>
        <v>1</v>
      </c>
    </row>
    <row r="81" spans="1:31" ht="14.25" customHeight="1" x14ac:dyDescent="0.35">
      <c r="A81" s="3" t="s">
        <v>287</v>
      </c>
      <c r="B81" s="3" t="s">
        <v>140</v>
      </c>
      <c r="C81" s="3" t="s">
        <v>229</v>
      </c>
      <c r="E81" s="3">
        <f t="shared" si="4"/>
        <v>38</v>
      </c>
      <c r="F81" s="3">
        <v>1986</v>
      </c>
      <c r="G81" s="3">
        <v>70000</v>
      </c>
      <c r="H81" s="12" cm="1">
        <f t="array" ref="H81">_xlfn.IFS(TRIM(G81)="SIXTY THOUSAND",60000,TRIM(G81)="NAN",AVERAGEIFS(G:G,J:J,J81,L:L,L81),TRUE,G81)</f>
        <v>70000</v>
      </c>
      <c r="I81" s="3" t="s">
        <v>38</v>
      </c>
      <c r="J81" s="3" t="s">
        <v>93</v>
      </c>
      <c r="K81" s="3" t="str">
        <f t="shared" si="5"/>
        <v>Marketing</v>
      </c>
      <c r="L81" s="3" t="s">
        <v>29</v>
      </c>
      <c r="M81" s="9" t="s">
        <v>278</v>
      </c>
      <c r="N81" s="15">
        <v>43800</v>
      </c>
      <c r="O81" s="3" t="s">
        <v>30</v>
      </c>
      <c r="P81" s="3">
        <v>61</v>
      </c>
      <c r="Q81" s="3" t="s">
        <v>288</v>
      </c>
      <c r="R81" s="3" t="s">
        <v>104</v>
      </c>
      <c r="S81" s="3" t="s">
        <v>72</v>
      </c>
      <c r="T81" s="3" t="str">
        <f t="shared" si="6"/>
        <v>Part-Time</v>
      </c>
      <c r="U81" s="3" t="s">
        <v>236</v>
      </c>
      <c r="V81" s="3">
        <v>2</v>
      </c>
      <c r="W81" s="3">
        <v>5</v>
      </c>
      <c r="X81" s="3">
        <v>10</v>
      </c>
      <c r="Y81" s="4">
        <v>44941</v>
      </c>
      <c r="AA81" s="3" t="s">
        <v>33</v>
      </c>
      <c r="AB81" s="3" t="str" cm="1">
        <f t="array" ref="AB81">_xlfn.IFS(AA81="N","No",  AA81 = "Y", "Yes", TRUE, PROPER(TRIM(AA81)))</f>
        <v>Yes</v>
      </c>
      <c r="AC81" s="3">
        <v>2</v>
      </c>
      <c r="AD81" s="3" t="s">
        <v>34</v>
      </c>
      <c r="AE81">
        <f t="shared" si="7"/>
        <v>0</v>
      </c>
    </row>
    <row r="82" spans="1:31" ht="14.25" customHeight="1" x14ac:dyDescent="0.35">
      <c r="A82" s="3" t="s">
        <v>187</v>
      </c>
      <c r="B82" s="3" t="s">
        <v>25</v>
      </c>
      <c r="C82" s="3" t="s">
        <v>289</v>
      </c>
      <c r="D82" s="3">
        <v>50</v>
      </c>
      <c r="E82" s="3">
        <f t="shared" si="4"/>
        <v>50</v>
      </c>
      <c r="F82" s="3">
        <v>1974</v>
      </c>
      <c r="G82" s="3">
        <v>70000</v>
      </c>
      <c r="H82" s="12" cm="1">
        <f t="array" ref="H82">_xlfn.IFS(TRIM(G82)="SIXTY THOUSAND",60000,TRIM(G82)="NAN",AVERAGEIFS(G:G,J:J,J82,L:L,L82),TRUE,G82)</f>
        <v>70000</v>
      </c>
      <c r="I82" s="3" t="s">
        <v>38</v>
      </c>
      <c r="J82" s="3" t="s">
        <v>70</v>
      </c>
      <c r="K82" s="3" t="str">
        <f t="shared" si="5"/>
        <v>Marketing</v>
      </c>
      <c r="L82" s="3" t="s">
        <v>77</v>
      </c>
      <c r="M82" s="9">
        <v>43195</v>
      </c>
      <c r="N82" s="9">
        <v>43195</v>
      </c>
      <c r="O82" s="3" t="s">
        <v>52</v>
      </c>
      <c r="P82" s="3">
        <v>70</v>
      </c>
      <c r="Q82" s="3" t="s">
        <v>290</v>
      </c>
      <c r="R82" s="3" t="s">
        <v>54</v>
      </c>
      <c r="S82" s="3" t="s">
        <v>174</v>
      </c>
      <c r="T82" s="3" t="str">
        <f t="shared" si="6"/>
        <v>Full-Time</v>
      </c>
      <c r="V82" s="3">
        <v>7</v>
      </c>
      <c r="Y82" s="4">
        <v>44990</v>
      </c>
      <c r="Z82" s="3">
        <v>78</v>
      </c>
      <c r="AA82" s="3" t="s">
        <v>34</v>
      </c>
      <c r="AB82" s="3" t="str" cm="1">
        <f t="array" ref="AB82">_xlfn.IFS(AA82="N","No",  AA82 = "Y", "Yes", TRUE, PROPER(TRIM(AA82)))</f>
        <v>No</v>
      </c>
      <c r="AC82" s="3">
        <v>5</v>
      </c>
      <c r="AD82" s="3" t="s">
        <v>46</v>
      </c>
      <c r="AE82">
        <f t="shared" si="7"/>
        <v>1</v>
      </c>
    </row>
    <row r="83" spans="1:31" ht="14.25" customHeight="1" x14ac:dyDescent="0.35">
      <c r="A83" s="3" t="s">
        <v>291</v>
      </c>
      <c r="B83" s="3" t="s">
        <v>140</v>
      </c>
      <c r="C83" s="3" t="s">
        <v>292</v>
      </c>
      <c r="D83" s="3">
        <v>50</v>
      </c>
      <c r="E83" s="3">
        <f t="shared" si="4"/>
        <v>50</v>
      </c>
      <c r="F83" s="3">
        <v>1974</v>
      </c>
      <c r="G83" s="3">
        <v>55000</v>
      </c>
      <c r="H83" s="12" cm="1">
        <f t="array" ref="H83">_xlfn.IFS(TRIM(G83)="SIXTY THOUSAND",60000,TRIM(G83)="NAN",AVERAGEIFS(G:G,J:J,J83,L:L,L83),TRUE,G83)</f>
        <v>55000</v>
      </c>
      <c r="I83" s="3" t="s">
        <v>38</v>
      </c>
      <c r="J83" s="3" t="s">
        <v>51</v>
      </c>
      <c r="K83" s="3" t="str">
        <f t="shared" si="5"/>
        <v>Sales</v>
      </c>
      <c r="L83" s="3" t="s">
        <v>89</v>
      </c>
      <c r="M83" s="9" t="s">
        <v>278</v>
      </c>
      <c r="N83" s="15">
        <v>43800</v>
      </c>
      <c r="O83" s="3" t="s">
        <v>41</v>
      </c>
      <c r="P83" s="3">
        <v>35</v>
      </c>
      <c r="Q83" s="3" t="s">
        <v>293</v>
      </c>
      <c r="S83" s="3" t="s">
        <v>66</v>
      </c>
      <c r="T83" s="3" t="str">
        <f t="shared" si="6"/>
        <v>Contract</v>
      </c>
      <c r="V83" s="3">
        <v>5</v>
      </c>
      <c r="W83" s="3" t="s">
        <v>79</v>
      </c>
      <c r="Y83" s="4">
        <v>44990</v>
      </c>
      <c r="AA83" s="3" t="s">
        <v>46</v>
      </c>
      <c r="AB83" s="3" t="str" cm="1">
        <f t="array" ref="AB83">_xlfn.IFS(AA83="N","No",  AA83 = "Y", "Yes", TRUE, PROPER(TRIM(AA83)))</f>
        <v>Yes</v>
      </c>
      <c r="AC83" s="3">
        <v>2</v>
      </c>
      <c r="AD83" s="3" t="s">
        <v>46</v>
      </c>
      <c r="AE83">
        <f t="shared" si="7"/>
        <v>1</v>
      </c>
    </row>
    <row r="84" spans="1:31" ht="14.25" customHeight="1" x14ac:dyDescent="0.35">
      <c r="A84" s="3" t="s">
        <v>294</v>
      </c>
      <c r="B84" s="3" t="s">
        <v>48</v>
      </c>
      <c r="C84" s="3" t="s">
        <v>295</v>
      </c>
      <c r="E84" s="3">
        <f t="shared" si="4"/>
        <v>44</v>
      </c>
      <c r="F84" s="3">
        <v>1980</v>
      </c>
      <c r="G84" s="3">
        <v>50000</v>
      </c>
      <c r="H84" s="12" cm="1">
        <f t="array" ref="H84">_xlfn.IFS(TRIM(G84)="SIXTY THOUSAND",60000,TRIM(G84)="NAN",AVERAGEIFS(G:G,J:J,J84,L:L,L84),TRUE,G84)</f>
        <v>50000</v>
      </c>
      <c r="I84" s="3" t="s">
        <v>38</v>
      </c>
      <c r="J84" s="3" t="s">
        <v>64</v>
      </c>
      <c r="K84" s="3" t="str">
        <f t="shared" si="5"/>
        <v>Finance</v>
      </c>
      <c r="L84" s="3" t="s">
        <v>29</v>
      </c>
      <c r="M84" s="4">
        <v>43881</v>
      </c>
      <c r="N84" s="4">
        <v>43881</v>
      </c>
      <c r="O84" s="3" t="s">
        <v>30</v>
      </c>
      <c r="P84" s="3">
        <v>61</v>
      </c>
      <c r="Q84" s="3" t="s">
        <v>296</v>
      </c>
      <c r="R84" s="3" t="s">
        <v>61</v>
      </c>
      <c r="S84" s="3" t="s">
        <v>44</v>
      </c>
      <c r="T84" s="3" t="str">
        <f t="shared" si="6"/>
        <v>Full-Time</v>
      </c>
      <c r="V84" s="3">
        <v>3</v>
      </c>
      <c r="W84" s="3">
        <v>5</v>
      </c>
      <c r="X84" s="3">
        <v>20</v>
      </c>
      <c r="Y84" s="4">
        <v>45516</v>
      </c>
      <c r="AA84" s="3" t="s">
        <v>34</v>
      </c>
      <c r="AB84" s="3" t="str" cm="1">
        <f t="array" ref="AB84">_xlfn.IFS(AA84="N","No",  AA84 = "Y", "Yes", TRUE, PROPER(TRIM(AA84)))</f>
        <v>No</v>
      </c>
      <c r="AC84" s="3">
        <v>1</v>
      </c>
      <c r="AD84" s="3" t="s">
        <v>34</v>
      </c>
      <c r="AE84">
        <f t="shared" si="7"/>
        <v>0</v>
      </c>
    </row>
    <row r="85" spans="1:31" ht="14.25" customHeight="1" x14ac:dyDescent="0.35">
      <c r="A85" s="3" t="s">
        <v>297</v>
      </c>
      <c r="B85" s="3" t="s">
        <v>131</v>
      </c>
      <c r="C85" s="3" t="s">
        <v>144</v>
      </c>
      <c r="D85" s="3">
        <v>40</v>
      </c>
      <c r="E85" s="3">
        <f t="shared" si="4"/>
        <v>40</v>
      </c>
      <c r="F85" s="3">
        <v>1984</v>
      </c>
      <c r="G85" s="3">
        <v>65000</v>
      </c>
      <c r="H85" s="12" cm="1">
        <f t="array" ref="H85">_xlfn.IFS(TRIM(G85)="SIXTY THOUSAND",60000,TRIM(G85)="NAN",AVERAGEIFS(G:G,J:J,J85,L:L,L85),TRUE,G85)</f>
        <v>65000</v>
      </c>
      <c r="I85" s="3" t="s">
        <v>38</v>
      </c>
      <c r="J85" s="3" t="s">
        <v>64</v>
      </c>
      <c r="K85" s="3" t="str">
        <f t="shared" si="5"/>
        <v>Finance</v>
      </c>
      <c r="L85" s="3" t="s">
        <v>89</v>
      </c>
      <c r="M85" s="9" t="s">
        <v>278</v>
      </c>
      <c r="N85" s="15">
        <v>43800</v>
      </c>
      <c r="O85" s="3" t="s">
        <v>59</v>
      </c>
      <c r="P85" s="3">
        <v>92</v>
      </c>
      <c r="Q85" s="3" t="s">
        <v>146</v>
      </c>
      <c r="R85" s="3" t="s">
        <v>61</v>
      </c>
      <c r="S85" s="3" t="s">
        <v>174</v>
      </c>
      <c r="T85" s="3" t="str">
        <f t="shared" si="6"/>
        <v>Full-Time</v>
      </c>
      <c r="V85" s="3">
        <v>2</v>
      </c>
      <c r="W85" s="3" t="s">
        <v>79</v>
      </c>
      <c r="Y85" s="4">
        <v>44732</v>
      </c>
      <c r="AA85" s="3" t="s">
        <v>46</v>
      </c>
      <c r="AB85" s="3" t="str" cm="1">
        <f t="array" ref="AB85">_xlfn.IFS(AA85="N","No",  AA85 = "Y", "Yes", TRUE, PROPER(TRIM(AA85)))</f>
        <v>Yes</v>
      </c>
      <c r="AC85" s="3">
        <v>4</v>
      </c>
      <c r="AD85" s="3" t="s">
        <v>34</v>
      </c>
      <c r="AE85">
        <f t="shared" si="7"/>
        <v>0</v>
      </c>
    </row>
    <row r="86" spans="1:31" ht="14.25" customHeight="1" x14ac:dyDescent="0.35">
      <c r="A86" s="3" t="s">
        <v>298</v>
      </c>
      <c r="B86" s="3" t="s">
        <v>48</v>
      </c>
      <c r="C86" s="3" t="s">
        <v>299</v>
      </c>
      <c r="D86" s="3">
        <v>25</v>
      </c>
      <c r="E86" s="3">
        <f t="shared" si="4"/>
        <v>25</v>
      </c>
      <c r="F86" s="3">
        <v>1999</v>
      </c>
      <c r="G86" s="3">
        <v>70000</v>
      </c>
      <c r="H86" s="12" cm="1">
        <f t="array" ref="H86">_xlfn.IFS(TRIM(G86)="SIXTY THOUSAND",60000,TRIM(G86)="NAN",AVERAGEIFS(G:G,J:J,J86,L:L,L86),TRUE,G86)</f>
        <v>70000</v>
      </c>
      <c r="I86" s="3" t="s">
        <v>38</v>
      </c>
      <c r="J86" s="3" t="s">
        <v>28</v>
      </c>
      <c r="K86" s="3" t="str">
        <f t="shared" si="5"/>
        <v>HR</v>
      </c>
      <c r="L86" s="3" t="s">
        <v>94</v>
      </c>
      <c r="M86" s="4">
        <v>43845</v>
      </c>
      <c r="N86" s="4">
        <v>43845</v>
      </c>
      <c r="O86" s="3" t="s">
        <v>30</v>
      </c>
      <c r="P86" s="3">
        <v>62</v>
      </c>
      <c r="Q86" s="3" t="s">
        <v>300</v>
      </c>
      <c r="S86" s="3" t="s">
        <v>72</v>
      </c>
      <c r="T86" s="3" t="str">
        <f t="shared" si="6"/>
        <v>Part-Time</v>
      </c>
      <c r="V86" s="3">
        <v>1</v>
      </c>
      <c r="W86" s="3">
        <v>3</v>
      </c>
      <c r="X86" s="3">
        <v>9</v>
      </c>
      <c r="Z86" s="3">
        <v>51</v>
      </c>
      <c r="AA86" s="3" t="s">
        <v>169</v>
      </c>
      <c r="AB86" s="3" t="str" cm="1">
        <f t="array" ref="AB86">_xlfn.IFS(AA86="N","No",  AA86 = "Y", "Yes", TRUE, PROPER(TRIM(AA86)))</f>
        <v>Yes</v>
      </c>
      <c r="AC86" s="3">
        <v>2</v>
      </c>
      <c r="AD86" s="3" t="s">
        <v>34</v>
      </c>
      <c r="AE86">
        <f t="shared" si="7"/>
        <v>0</v>
      </c>
    </row>
    <row r="87" spans="1:31" ht="14.25" customHeight="1" x14ac:dyDescent="0.35">
      <c r="A87" s="3" t="s">
        <v>301</v>
      </c>
      <c r="B87" s="3" t="s">
        <v>48</v>
      </c>
      <c r="C87" s="3" t="s">
        <v>110</v>
      </c>
      <c r="D87" s="3">
        <v>25</v>
      </c>
      <c r="E87" s="3">
        <f t="shared" si="4"/>
        <v>25</v>
      </c>
      <c r="F87" s="3">
        <v>1999</v>
      </c>
      <c r="G87" s="3">
        <v>55000</v>
      </c>
      <c r="H87" s="12" cm="1">
        <f t="array" ref="H87">_xlfn.IFS(TRIM(G87)="SIXTY THOUSAND",60000,TRIM(G87)="NAN",AVERAGEIFS(G:G,J:J,J87,L:L,L87),TRUE,G87)</f>
        <v>55000</v>
      </c>
      <c r="I87" s="3" t="s">
        <v>27</v>
      </c>
      <c r="J87" s="3" t="s">
        <v>39</v>
      </c>
      <c r="K87" s="3" t="str">
        <f t="shared" si="5"/>
        <v>Finance</v>
      </c>
      <c r="L87" s="3" t="s">
        <v>89</v>
      </c>
      <c r="M87" s="4">
        <v>43845</v>
      </c>
      <c r="N87" s="4">
        <v>43845</v>
      </c>
      <c r="O87" s="3" t="s">
        <v>41</v>
      </c>
      <c r="P87" s="3">
        <v>13</v>
      </c>
      <c r="Q87" s="3" t="s">
        <v>302</v>
      </c>
      <c r="R87" s="3" t="s">
        <v>54</v>
      </c>
      <c r="S87" s="3" t="s">
        <v>174</v>
      </c>
      <c r="T87" s="3" t="str">
        <f t="shared" si="6"/>
        <v>Full-Time</v>
      </c>
      <c r="V87" s="3">
        <v>5</v>
      </c>
      <c r="W87" s="3">
        <v>2</v>
      </c>
      <c r="Y87" s="4">
        <v>45516</v>
      </c>
      <c r="AA87" s="3" t="s">
        <v>34</v>
      </c>
      <c r="AB87" s="3" t="str" cm="1">
        <f t="array" ref="AB87">_xlfn.IFS(AA87="N","No",  AA87 = "Y", "Yes", TRUE, PROPER(TRIM(AA87)))</f>
        <v>No</v>
      </c>
      <c r="AC87" s="3">
        <v>2</v>
      </c>
      <c r="AD87" s="3" t="s">
        <v>34</v>
      </c>
      <c r="AE87">
        <f t="shared" si="7"/>
        <v>0</v>
      </c>
    </row>
    <row r="88" spans="1:31" ht="14.25" customHeight="1" x14ac:dyDescent="0.35">
      <c r="A88" s="3" t="s">
        <v>303</v>
      </c>
      <c r="B88" s="3" t="s">
        <v>75</v>
      </c>
      <c r="C88" s="3" t="s">
        <v>213</v>
      </c>
      <c r="D88" s="3">
        <v>40</v>
      </c>
      <c r="E88" s="3">
        <f t="shared" si="4"/>
        <v>40</v>
      </c>
      <c r="F88" s="3">
        <v>1984</v>
      </c>
      <c r="G88" s="3">
        <v>70000</v>
      </c>
      <c r="H88" s="12" cm="1">
        <f t="array" ref="H88">_xlfn.IFS(TRIM(G88)="SIXTY THOUSAND",60000,TRIM(G88)="NAN",AVERAGEIFS(G:G,J:J,J88,L:L,L88),TRUE,G88)</f>
        <v>70000</v>
      </c>
      <c r="I88" s="3" t="s">
        <v>27</v>
      </c>
      <c r="J88" s="3" t="s">
        <v>122</v>
      </c>
      <c r="K88" s="3" t="str">
        <f t="shared" si="5"/>
        <v>IT</v>
      </c>
      <c r="L88" s="3" t="s">
        <v>40</v>
      </c>
      <c r="M88" s="4">
        <v>43845</v>
      </c>
      <c r="N88" s="4">
        <v>43845</v>
      </c>
      <c r="O88" s="3" t="s">
        <v>30</v>
      </c>
      <c r="P88" s="3">
        <v>65</v>
      </c>
      <c r="Q88" s="3" t="s">
        <v>214</v>
      </c>
      <c r="R88" s="3" t="s">
        <v>43</v>
      </c>
      <c r="S88" s="3" t="s">
        <v>44</v>
      </c>
      <c r="T88" s="3" t="str">
        <f t="shared" si="6"/>
        <v>Full-Time</v>
      </c>
      <c r="V88" s="3">
        <v>5</v>
      </c>
      <c r="X88" s="3">
        <v>3</v>
      </c>
      <c r="Y88" s="4">
        <v>44732</v>
      </c>
      <c r="AA88" s="3" t="s">
        <v>73</v>
      </c>
      <c r="AB88" s="3" t="str" cm="1">
        <f t="array" ref="AB88">_xlfn.IFS(AA88="N","No",  AA88 = "Y", "Yes", TRUE, PROPER(TRIM(AA88)))</f>
        <v>No</v>
      </c>
      <c r="AC88" s="3">
        <v>2</v>
      </c>
      <c r="AD88" s="3" t="s">
        <v>46</v>
      </c>
      <c r="AE88">
        <f t="shared" si="7"/>
        <v>1</v>
      </c>
    </row>
    <row r="89" spans="1:31" ht="14.25" customHeight="1" x14ac:dyDescent="0.35">
      <c r="A89" s="3" t="s">
        <v>304</v>
      </c>
      <c r="B89" s="3" t="s">
        <v>131</v>
      </c>
      <c r="C89" s="3" t="s">
        <v>305</v>
      </c>
      <c r="D89" s="3">
        <v>50</v>
      </c>
      <c r="E89" s="3">
        <f t="shared" si="4"/>
        <v>50</v>
      </c>
      <c r="F89" s="3">
        <v>1974</v>
      </c>
      <c r="G89" s="3">
        <v>65000</v>
      </c>
      <c r="H89" s="12" cm="1">
        <f t="array" ref="H89">_xlfn.IFS(TRIM(G89)="SIXTY THOUSAND",60000,TRIM(G89)="NAN",AVERAGEIFS(G:G,J:J,J89,L:L,L89),TRUE,G89)</f>
        <v>65000</v>
      </c>
      <c r="I89" s="3" t="s">
        <v>38</v>
      </c>
      <c r="J89" s="3" t="s">
        <v>28</v>
      </c>
      <c r="K89" s="3" t="str">
        <f t="shared" si="5"/>
        <v>HR</v>
      </c>
      <c r="L89" s="3" t="s">
        <v>89</v>
      </c>
      <c r="M89" s="4">
        <v>43549</v>
      </c>
      <c r="N89" s="4">
        <v>43549</v>
      </c>
      <c r="O89" s="3" t="s">
        <v>52</v>
      </c>
      <c r="P89" s="3">
        <v>79</v>
      </c>
      <c r="Q89" s="3" t="s">
        <v>306</v>
      </c>
      <c r="R89" s="3" t="s">
        <v>104</v>
      </c>
      <c r="S89" s="3" t="s">
        <v>112</v>
      </c>
      <c r="T89" s="3" t="str">
        <f t="shared" si="6"/>
        <v>Full-Time</v>
      </c>
      <c r="V89" s="3">
        <v>8</v>
      </c>
      <c r="AB89" s="3" t="str" cm="1">
        <f t="array" ref="AB89">_xlfn.IFS(AA89="N","No",  AA89 = "Y", "Yes", TRUE, PROPER(TRIM(AA89)))</f>
        <v/>
      </c>
      <c r="AC89" s="3">
        <v>2</v>
      </c>
      <c r="AD89" s="3" t="s">
        <v>34</v>
      </c>
      <c r="AE89">
        <f t="shared" si="7"/>
        <v>0</v>
      </c>
    </row>
    <row r="90" spans="1:31" ht="14.25" customHeight="1" x14ac:dyDescent="0.35">
      <c r="A90" s="3" t="s">
        <v>105</v>
      </c>
      <c r="B90" s="3" t="s">
        <v>48</v>
      </c>
      <c r="C90" s="3" t="s">
        <v>262</v>
      </c>
      <c r="D90" s="3">
        <v>35</v>
      </c>
      <c r="E90" s="3">
        <f t="shared" si="4"/>
        <v>35</v>
      </c>
      <c r="F90" s="3">
        <v>1989</v>
      </c>
      <c r="G90" s="3">
        <v>65000</v>
      </c>
      <c r="H90" s="12" cm="1">
        <f t="array" ref="H90">_xlfn.IFS(TRIM(G90)="SIXTY THOUSAND",60000,TRIM(G90)="NAN",AVERAGEIFS(G:G,J:J,J90,L:L,L90),TRUE,G90)</f>
        <v>65000</v>
      </c>
      <c r="I90" s="3" t="s">
        <v>38</v>
      </c>
      <c r="J90" s="3" t="s">
        <v>58</v>
      </c>
      <c r="K90" s="3" t="str">
        <f t="shared" si="5"/>
        <v>IT</v>
      </c>
      <c r="L90" s="3" t="s">
        <v>29</v>
      </c>
      <c r="M90" s="4">
        <v>43549</v>
      </c>
      <c r="N90" s="4">
        <v>43549</v>
      </c>
      <c r="O90" s="3" t="s">
        <v>78</v>
      </c>
      <c r="P90" s="3">
        <v>82</v>
      </c>
      <c r="Q90" s="3" t="s">
        <v>263</v>
      </c>
      <c r="R90" s="3" t="s">
        <v>61</v>
      </c>
      <c r="S90" s="3" t="s">
        <v>66</v>
      </c>
      <c r="T90" s="3" t="str">
        <f t="shared" si="6"/>
        <v>Contract</v>
      </c>
      <c r="V90" s="3">
        <v>6</v>
      </c>
      <c r="W90" s="3">
        <v>6</v>
      </c>
      <c r="Y90" s="4">
        <v>45516</v>
      </c>
      <c r="Z90" s="3">
        <v>7</v>
      </c>
      <c r="AA90" s="3" t="s">
        <v>33</v>
      </c>
      <c r="AB90" s="3" t="str" cm="1">
        <f t="array" ref="AB90">_xlfn.IFS(AA90="N","No",  AA90 = "Y", "Yes", TRUE, PROPER(TRIM(AA90)))</f>
        <v>Yes</v>
      </c>
      <c r="AC90" s="3">
        <v>3</v>
      </c>
      <c r="AD90" s="3" t="s">
        <v>34</v>
      </c>
      <c r="AE90">
        <f t="shared" si="7"/>
        <v>0</v>
      </c>
    </row>
    <row r="91" spans="1:31" ht="14.25" customHeight="1" x14ac:dyDescent="0.35">
      <c r="A91" s="3" t="s">
        <v>307</v>
      </c>
      <c r="B91" s="3" t="s">
        <v>75</v>
      </c>
      <c r="C91" s="3" t="s">
        <v>103</v>
      </c>
      <c r="D91" s="3">
        <v>35</v>
      </c>
      <c r="E91" s="3">
        <f t="shared" si="4"/>
        <v>35</v>
      </c>
      <c r="F91" s="3">
        <v>1989</v>
      </c>
      <c r="G91" s="3" t="s">
        <v>50</v>
      </c>
      <c r="H91" s="12" cm="1">
        <f t="array" ref="H91">_xlfn.IFS(TRIM(G91)="SIXTY THOUSAND",60000,TRIM(G91)="NAN",AVERAGEIFS(G:G,J:J,J91,L:L,L91),TRUE,G91)</f>
        <v>60000</v>
      </c>
      <c r="I91" s="3" t="s">
        <v>27</v>
      </c>
      <c r="J91" s="3" t="s">
        <v>51</v>
      </c>
      <c r="K91" s="3" t="str">
        <f t="shared" si="5"/>
        <v>Sales</v>
      </c>
      <c r="L91" s="3" t="s">
        <v>29</v>
      </c>
      <c r="M91" s="4">
        <v>43549</v>
      </c>
      <c r="N91" s="4">
        <v>43549</v>
      </c>
      <c r="O91" s="3" t="s">
        <v>78</v>
      </c>
      <c r="P91" s="3">
        <v>85</v>
      </c>
      <c r="Q91" s="3" t="s">
        <v>308</v>
      </c>
      <c r="R91" s="3" t="s">
        <v>104</v>
      </c>
      <c r="S91" s="3" t="s">
        <v>112</v>
      </c>
      <c r="T91" s="3" t="str">
        <f t="shared" si="6"/>
        <v>Full-Time</v>
      </c>
      <c r="V91" s="3">
        <v>7</v>
      </c>
      <c r="W91" s="3" t="s">
        <v>79</v>
      </c>
      <c r="Z91" s="3">
        <v>55</v>
      </c>
      <c r="AA91" s="3" t="s">
        <v>46</v>
      </c>
      <c r="AB91" s="3" t="str" cm="1">
        <f t="array" ref="AB91">_xlfn.IFS(AA91="N","No",  AA91 = "Y", "Yes", TRUE, PROPER(TRIM(AA91)))</f>
        <v>Yes</v>
      </c>
      <c r="AC91" s="3">
        <v>5</v>
      </c>
      <c r="AD91" s="3" t="s">
        <v>46</v>
      </c>
      <c r="AE91">
        <f t="shared" si="7"/>
        <v>1</v>
      </c>
    </row>
    <row r="92" spans="1:31" ht="14.25" customHeight="1" x14ac:dyDescent="0.35">
      <c r="A92" s="3" t="s">
        <v>309</v>
      </c>
      <c r="B92" s="3" t="s">
        <v>75</v>
      </c>
      <c r="C92" s="3" t="s">
        <v>310</v>
      </c>
      <c r="D92" s="3">
        <v>35</v>
      </c>
      <c r="E92" s="3">
        <f t="shared" si="4"/>
        <v>35</v>
      </c>
      <c r="F92" s="3">
        <v>1989</v>
      </c>
      <c r="G92" s="3">
        <v>61600</v>
      </c>
      <c r="H92" s="12" cm="1">
        <f t="array" ref="H92">_xlfn.IFS(TRIM(G92)="SIXTY THOUSAND",60000,TRIM(G92)="NAN",AVERAGEIFS(G:G,J:J,J92,L:L,L92),TRUE,G92)</f>
        <v>61600</v>
      </c>
      <c r="I92" s="3" t="s">
        <v>27</v>
      </c>
      <c r="J92" s="3" t="s">
        <v>93</v>
      </c>
      <c r="K92" s="3" t="str">
        <f t="shared" si="5"/>
        <v>Marketing</v>
      </c>
      <c r="L92" s="3" t="s">
        <v>89</v>
      </c>
      <c r="M92" s="9" t="s">
        <v>278</v>
      </c>
      <c r="N92" s="15">
        <v>43800</v>
      </c>
      <c r="O92" s="3" t="s">
        <v>41</v>
      </c>
      <c r="P92" s="3">
        <v>54</v>
      </c>
      <c r="Q92" s="3" t="s">
        <v>311</v>
      </c>
      <c r="R92" s="3" t="s">
        <v>43</v>
      </c>
      <c r="S92" s="3" t="s">
        <v>32</v>
      </c>
      <c r="T92" s="3" t="str">
        <f t="shared" si="6"/>
        <v>Contract</v>
      </c>
      <c r="V92" s="3">
        <v>3</v>
      </c>
      <c r="W92" s="3">
        <v>8</v>
      </c>
      <c r="Y92" s="4">
        <v>45516</v>
      </c>
      <c r="AA92" s="3" t="s">
        <v>34</v>
      </c>
      <c r="AB92" s="3" t="str" cm="1">
        <f t="array" ref="AB92">_xlfn.IFS(AA92="N","No",  AA92 = "Y", "Yes", TRUE, PROPER(TRIM(AA92)))</f>
        <v>No</v>
      </c>
      <c r="AC92" s="3">
        <v>2</v>
      </c>
      <c r="AD92" s="3" t="s">
        <v>34</v>
      </c>
      <c r="AE92">
        <f t="shared" si="7"/>
        <v>0</v>
      </c>
    </row>
    <row r="93" spans="1:31" ht="14.25" customHeight="1" x14ac:dyDescent="0.35">
      <c r="A93" s="3" t="s">
        <v>312</v>
      </c>
      <c r="B93" s="3" t="s">
        <v>131</v>
      </c>
      <c r="C93" s="3" t="s">
        <v>176</v>
      </c>
      <c r="D93" s="3">
        <v>50</v>
      </c>
      <c r="E93" s="3">
        <f t="shared" si="4"/>
        <v>50</v>
      </c>
      <c r="F93" s="3">
        <v>1974</v>
      </c>
      <c r="G93" s="3">
        <v>61500</v>
      </c>
      <c r="H93" s="12" cm="1">
        <f t="array" ref="H93">_xlfn.IFS(TRIM(G93)="SIXTY THOUSAND",60000,TRIM(G93)="NAN",AVERAGEIFS(G:G,J:J,J93,L:L,L93),TRUE,G93)</f>
        <v>61500</v>
      </c>
      <c r="I93" s="3" t="s">
        <v>38</v>
      </c>
      <c r="J93" s="3" t="s">
        <v>145</v>
      </c>
      <c r="K93" s="3" t="str">
        <f t="shared" si="5"/>
        <v>Sales</v>
      </c>
      <c r="L93" s="3" t="s">
        <v>29</v>
      </c>
      <c r="M93" s="4">
        <v>43549</v>
      </c>
      <c r="N93" s="4">
        <v>43549</v>
      </c>
      <c r="O93" s="3" t="s">
        <v>78</v>
      </c>
      <c r="P93" s="3">
        <v>83</v>
      </c>
      <c r="Q93" s="3" t="s">
        <v>313</v>
      </c>
      <c r="R93" s="3" t="s">
        <v>61</v>
      </c>
      <c r="S93" s="3" t="s">
        <v>174</v>
      </c>
      <c r="T93" s="3" t="str">
        <f t="shared" si="6"/>
        <v>Full-Time</v>
      </c>
      <c r="V93" s="3">
        <v>6</v>
      </c>
      <c r="W93" s="3">
        <v>2</v>
      </c>
      <c r="Y93" s="3" t="s">
        <v>79</v>
      </c>
      <c r="AA93" s="3" t="s">
        <v>34</v>
      </c>
      <c r="AB93" s="3" t="str" cm="1">
        <f t="array" ref="AB93">_xlfn.IFS(AA93="N","No",  AA93 = "Y", "Yes", TRUE, PROPER(TRIM(AA93)))</f>
        <v>No</v>
      </c>
      <c r="AC93" s="3">
        <v>4</v>
      </c>
      <c r="AD93" s="3" t="s">
        <v>34</v>
      </c>
      <c r="AE93">
        <f t="shared" si="7"/>
        <v>0</v>
      </c>
    </row>
    <row r="94" spans="1:31" ht="14.25" customHeight="1" x14ac:dyDescent="0.35">
      <c r="A94" s="3" t="s">
        <v>314</v>
      </c>
      <c r="B94" s="3" t="s">
        <v>56</v>
      </c>
      <c r="C94" s="3" t="s">
        <v>315</v>
      </c>
      <c r="D94" s="3">
        <v>50</v>
      </c>
      <c r="E94" s="3">
        <f t="shared" si="4"/>
        <v>50</v>
      </c>
      <c r="F94" s="3">
        <v>1974</v>
      </c>
      <c r="G94" s="3">
        <v>55000</v>
      </c>
      <c r="H94" s="12" cm="1">
        <f t="array" ref="H94">_xlfn.IFS(TRIM(G94)="SIXTY THOUSAND",60000,TRIM(G94)="NAN",AVERAGEIFS(G:G,J:J,J94,L:L,L94),TRUE,G94)</f>
        <v>55000</v>
      </c>
      <c r="I94" s="3" t="s">
        <v>27</v>
      </c>
      <c r="J94" s="3" t="s">
        <v>70</v>
      </c>
      <c r="K94" s="3" t="str">
        <f t="shared" si="5"/>
        <v>Marketing</v>
      </c>
      <c r="L94" s="3" t="s">
        <v>29</v>
      </c>
      <c r="M94" s="4">
        <v>43881</v>
      </c>
      <c r="N94" s="4">
        <v>43881</v>
      </c>
      <c r="O94" s="3" t="s">
        <v>78</v>
      </c>
      <c r="P94" s="3">
        <v>83</v>
      </c>
      <c r="Q94" s="3" t="s">
        <v>316</v>
      </c>
      <c r="R94" s="3" t="s">
        <v>104</v>
      </c>
      <c r="S94" s="3" t="s">
        <v>66</v>
      </c>
      <c r="T94" s="3" t="str">
        <f t="shared" si="6"/>
        <v>Contract</v>
      </c>
      <c r="V94" s="3">
        <v>8</v>
      </c>
      <c r="Z94" s="3">
        <v>70</v>
      </c>
      <c r="AA94" s="3" t="s">
        <v>169</v>
      </c>
      <c r="AB94" s="3" t="str" cm="1">
        <f t="array" ref="AB94">_xlfn.IFS(AA94="N","No",  AA94 = "Y", "Yes", TRUE, PROPER(TRIM(AA94)))</f>
        <v>Yes</v>
      </c>
      <c r="AC94" s="3">
        <v>5</v>
      </c>
      <c r="AD94" s="3" t="s">
        <v>34</v>
      </c>
      <c r="AE94">
        <f t="shared" si="7"/>
        <v>0</v>
      </c>
    </row>
    <row r="95" spans="1:31" ht="14.25" customHeight="1" x14ac:dyDescent="0.35">
      <c r="A95" s="3" t="s">
        <v>317</v>
      </c>
      <c r="B95" s="3" t="s">
        <v>68</v>
      </c>
      <c r="C95" s="3" t="s">
        <v>318</v>
      </c>
      <c r="D95" s="3">
        <v>40</v>
      </c>
      <c r="E95" s="3">
        <f t="shared" si="4"/>
        <v>40</v>
      </c>
      <c r="F95" s="3">
        <v>1984</v>
      </c>
      <c r="G95" s="3">
        <v>65000</v>
      </c>
      <c r="H95" s="12" cm="1">
        <f t="array" ref="H95">_xlfn.IFS(TRIM(G95)="SIXTY THOUSAND",60000,TRIM(G95)="NAN",AVERAGEIFS(G:G,J:J,J95,L:L,L95),TRUE,G95)</f>
        <v>65000</v>
      </c>
      <c r="I95" s="3" t="s">
        <v>27</v>
      </c>
      <c r="J95" s="3" t="s">
        <v>145</v>
      </c>
      <c r="K95" s="3" t="str">
        <f t="shared" si="5"/>
        <v>Sales</v>
      </c>
      <c r="L95" s="3" t="s">
        <v>89</v>
      </c>
      <c r="M95" s="4">
        <v>43845</v>
      </c>
      <c r="N95" s="4">
        <v>43845</v>
      </c>
      <c r="O95" s="3" t="s">
        <v>59</v>
      </c>
      <c r="P95" s="3">
        <v>93</v>
      </c>
      <c r="Q95" s="3" t="s">
        <v>319</v>
      </c>
      <c r="R95" s="3" t="s">
        <v>43</v>
      </c>
      <c r="S95" s="3" t="s">
        <v>72</v>
      </c>
      <c r="T95" s="3" t="str">
        <f t="shared" si="6"/>
        <v>Part-Time</v>
      </c>
      <c r="V95" s="3">
        <v>6</v>
      </c>
      <c r="W95" s="3">
        <v>15</v>
      </c>
      <c r="X95" s="3">
        <v>16</v>
      </c>
      <c r="AA95" s="3" t="s">
        <v>169</v>
      </c>
      <c r="AB95" s="3" t="str" cm="1">
        <f t="array" ref="AB95">_xlfn.IFS(AA95="N","No",  AA95 = "Y", "Yes", TRUE, PROPER(TRIM(AA95)))</f>
        <v>Yes</v>
      </c>
      <c r="AC95" s="3">
        <v>1</v>
      </c>
      <c r="AD95" s="3" t="s">
        <v>46</v>
      </c>
      <c r="AE95">
        <f t="shared" si="7"/>
        <v>1</v>
      </c>
    </row>
    <row r="96" spans="1:31" ht="14.25" customHeight="1" x14ac:dyDescent="0.35">
      <c r="A96" s="3" t="s">
        <v>320</v>
      </c>
      <c r="B96" s="3" t="s">
        <v>25</v>
      </c>
      <c r="C96" s="3" t="s">
        <v>117</v>
      </c>
      <c r="D96" s="3">
        <v>25</v>
      </c>
      <c r="E96" s="3">
        <f t="shared" si="4"/>
        <v>25</v>
      </c>
      <c r="F96" s="3">
        <v>1999</v>
      </c>
      <c r="G96" s="3" t="s">
        <v>50</v>
      </c>
      <c r="H96" s="12" cm="1">
        <f t="array" ref="H96">_xlfn.IFS(TRIM(G96)="SIXTY THOUSAND",60000,TRIM(G96)="NAN",AVERAGEIFS(G:G,J:J,J96,L:L,L96),TRUE,G96)</f>
        <v>60000</v>
      </c>
      <c r="I96" s="3" t="s">
        <v>38</v>
      </c>
      <c r="J96" s="3" t="s">
        <v>39</v>
      </c>
      <c r="K96" s="3" t="str">
        <f t="shared" si="5"/>
        <v>Finance</v>
      </c>
      <c r="L96" s="3" t="s">
        <v>77</v>
      </c>
      <c r="M96" s="9" t="s">
        <v>278</v>
      </c>
      <c r="N96" s="15">
        <v>43800</v>
      </c>
      <c r="O96" s="3" t="s">
        <v>41</v>
      </c>
      <c r="P96" s="3">
        <v>25</v>
      </c>
      <c r="Q96" s="3" t="s">
        <v>321</v>
      </c>
      <c r="R96" s="3" t="s">
        <v>104</v>
      </c>
      <c r="S96" s="3" t="s">
        <v>66</v>
      </c>
      <c r="T96" s="3" t="str">
        <f t="shared" si="6"/>
        <v>Contract</v>
      </c>
      <c r="U96" s="3" t="s">
        <v>322</v>
      </c>
      <c r="V96" s="3">
        <v>4</v>
      </c>
      <c r="Y96" s="3" t="s">
        <v>79</v>
      </c>
      <c r="AA96" s="3" t="s">
        <v>46</v>
      </c>
      <c r="AB96" s="3" t="str" cm="1">
        <f t="array" ref="AB96">_xlfn.IFS(AA96="N","No",  AA96 = "Y", "Yes", TRUE, PROPER(TRIM(AA96)))</f>
        <v>Yes</v>
      </c>
      <c r="AC96" s="3">
        <v>1</v>
      </c>
      <c r="AD96" s="3" t="s">
        <v>46</v>
      </c>
      <c r="AE96">
        <f t="shared" si="7"/>
        <v>1</v>
      </c>
    </row>
    <row r="97" spans="1:31" ht="14.25" customHeight="1" x14ac:dyDescent="0.35">
      <c r="A97" s="3" t="s">
        <v>323</v>
      </c>
      <c r="B97" s="3" t="s">
        <v>68</v>
      </c>
      <c r="C97" s="3" t="s">
        <v>324</v>
      </c>
      <c r="D97" s="3">
        <v>40</v>
      </c>
      <c r="E97" s="3">
        <f t="shared" si="4"/>
        <v>40</v>
      </c>
      <c r="F97" s="3">
        <v>1984</v>
      </c>
      <c r="G97" s="3" t="s">
        <v>50</v>
      </c>
      <c r="H97" s="12" cm="1">
        <f t="array" ref="H97">_xlfn.IFS(TRIM(G97)="SIXTY THOUSAND",60000,TRIM(G97)="NAN",AVERAGEIFS(G:G,J:J,J97,L:L,L97),TRUE,G97)</f>
        <v>60000</v>
      </c>
      <c r="I97" s="3" t="s">
        <v>27</v>
      </c>
      <c r="J97" s="3" t="s">
        <v>122</v>
      </c>
      <c r="K97" s="3" t="str">
        <f t="shared" si="5"/>
        <v>IT</v>
      </c>
      <c r="L97" s="3" t="s">
        <v>77</v>
      </c>
      <c r="M97" s="4">
        <v>43845</v>
      </c>
      <c r="N97" s="4">
        <v>43845</v>
      </c>
      <c r="O97" s="3" t="s">
        <v>41</v>
      </c>
      <c r="P97" s="3">
        <v>7</v>
      </c>
      <c r="Q97" s="3" t="s">
        <v>325</v>
      </c>
      <c r="R97" s="3" t="s">
        <v>54</v>
      </c>
      <c r="S97" s="3" t="s">
        <v>66</v>
      </c>
      <c r="T97" s="3" t="str">
        <f t="shared" si="6"/>
        <v>Contract</v>
      </c>
      <c r="V97" s="3">
        <v>3</v>
      </c>
      <c r="X97" s="3">
        <v>13</v>
      </c>
      <c r="Y97" s="4">
        <v>44470</v>
      </c>
      <c r="Z97" s="3">
        <v>78</v>
      </c>
      <c r="AA97" s="3" t="s">
        <v>169</v>
      </c>
      <c r="AB97" s="3" t="str" cm="1">
        <f t="array" ref="AB97">_xlfn.IFS(AA97="N","No",  AA97 = "Y", "Yes", TRUE, PROPER(TRIM(AA97)))</f>
        <v>Yes</v>
      </c>
      <c r="AC97" s="3">
        <v>3</v>
      </c>
      <c r="AD97" s="3" t="s">
        <v>34</v>
      </c>
      <c r="AE97">
        <f t="shared" si="7"/>
        <v>0</v>
      </c>
    </row>
    <row r="98" spans="1:31" ht="14.25" customHeight="1" x14ac:dyDescent="0.35">
      <c r="A98" s="3" t="s">
        <v>326</v>
      </c>
      <c r="B98" s="3" t="s">
        <v>140</v>
      </c>
      <c r="C98" s="3" t="s">
        <v>292</v>
      </c>
      <c r="D98" s="3">
        <v>40</v>
      </c>
      <c r="E98" s="3">
        <f t="shared" si="4"/>
        <v>40</v>
      </c>
      <c r="F98" s="3">
        <v>1984</v>
      </c>
      <c r="G98" s="3">
        <v>70000</v>
      </c>
      <c r="H98" s="12" cm="1">
        <f t="array" ref="H98">_xlfn.IFS(TRIM(G98)="SIXTY THOUSAND",60000,TRIM(G98)="NAN",AVERAGEIFS(G:G,J:J,J98,L:L,L98),TRUE,G98)</f>
        <v>70000</v>
      </c>
      <c r="I98" s="3" t="s">
        <v>38</v>
      </c>
      <c r="J98" s="3" t="s">
        <v>70</v>
      </c>
      <c r="K98" s="3" t="str">
        <f t="shared" si="5"/>
        <v>Marketing</v>
      </c>
      <c r="L98" s="3" t="s">
        <v>94</v>
      </c>
      <c r="M98" s="4">
        <v>43549</v>
      </c>
      <c r="N98" s="4">
        <v>43549</v>
      </c>
      <c r="O98" s="3" t="s">
        <v>78</v>
      </c>
      <c r="P98" s="3">
        <v>82</v>
      </c>
      <c r="Q98" s="3" t="s">
        <v>293</v>
      </c>
      <c r="R98" s="3" t="s">
        <v>43</v>
      </c>
      <c r="S98" s="3" t="s">
        <v>72</v>
      </c>
      <c r="T98" s="3" t="str">
        <f t="shared" si="6"/>
        <v>Part-Time</v>
      </c>
      <c r="V98" s="3">
        <v>7</v>
      </c>
      <c r="Y98" s="4">
        <v>44990</v>
      </c>
      <c r="AB98" s="3" t="str" cm="1">
        <f t="array" ref="AB98">_xlfn.IFS(AA98="N","No",  AA98 = "Y", "Yes", TRUE, PROPER(TRIM(AA98)))</f>
        <v/>
      </c>
      <c r="AC98" s="3">
        <v>5</v>
      </c>
      <c r="AD98" s="3" t="s">
        <v>46</v>
      </c>
      <c r="AE98">
        <f t="shared" si="7"/>
        <v>1</v>
      </c>
    </row>
    <row r="99" spans="1:31" ht="14.25" customHeight="1" x14ac:dyDescent="0.35">
      <c r="A99" s="3" t="s">
        <v>327</v>
      </c>
      <c r="B99" s="3" t="s">
        <v>25</v>
      </c>
      <c r="C99" s="3" t="s">
        <v>328</v>
      </c>
      <c r="D99" s="3">
        <v>50</v>
      </c>
      <c r="E99" s="3">
        <f t="shared" si="4"/>
        <v>50</v>
      </c>
      <c r="F99" s="3">
        <v>1974</v>
      </c>
      <c r="G99" s="3">
        <v>70000</v>
      </c>
      <c r="H99" s="12" cm="1">
        <f t="array" ref="H99">_xlfn.IFS(TRIM(G99)="SIXTY THOUSAND",60000,TRIM(G99)="NAN",AVERAGEIFS(G:G,J:J,J99,L:L,L99),TRUE,G99)</f>
        <v>70000</v>
      </c>
      <c r="I99" s="3" t="s">
        <v>27</v>
      </c>
      <c r="J99" s="3" t="s">
        <v>28</v>
      </c>
      <c r="K99" s="3" t="str">
        <f t="shared" si="5"/>
        <v>HR</v>
      </c>
      <c r="L99" s="3" t="s">
        <v>29</v>
      </c>
      <c r="M99" s="4">
        <v>43800</v>
      </c>
      <c r="N99" s="4">
        <v>43800</v>
      </c>
      <c r="O99" s="3" t="s">
        <v>78</v>
      </c>
      <c r="P99" s="3">
        <v>89</v>
      </c>
      <c r="Q99" s="3" t="s">
        <v>329</v>
      </c>
      <c r="R99" s="3" t="s">
        <v>104</v>
      </c>
      <c r="S99" s="3" t="s">
        <v>32</v>
      </c>
      <c r="T99" s="3" t="str">
        <f t="shared" si="6"/>
        <v>Contract</v>
      </c>
      <c r="U99" s="3" t="s">
        <v>330</v>
      </c>
      <c r="V99" s="3">
        <v>1</v>
      </c>
      <c r="W99" s="3">
        <v>8</v>
      </c>
      <c r="AB99" s="3" t="str" cm="1">
        <f t="array" ref="AB99">_xlfn.IFS(AA99="N","No",  AA99 = "Y", "Yes", TRUE, PROPER(TRIM(AA99)))</f>
        <v/>
      </c>
      <c r="AC99" s="3">
        <v>4</v>
      </c>
      <c r="AD99" s="3" t="s">
        <v>34</v>
      </c>
      <c r="AE99">
        <f t="shared" si="7"/>
        <v>0</v>
      </c>
    </row>
    <row r="100" spans="1:31" ht="14.25" customHeight="1" x14ac:dyDescent="0.35">
      <c r="A100" s="3" t="s">
        <v>331</v>
      </c>
      <c r="B100" s="3" t="s">
        <v>140</v>
      </c>
      <c r="C100" s="3" t="s">
        <v>247</v>
      </c>
      <c r="D100" s="3">
        <v>35</v>
      </c>
      <c r="E100" s="3">
        <f t="shared" si="4"/>
        <v>35</v>
      </c>
      <c r="F100" s="3">
        <v>1989</v>
      </c>
      <c r="G100" s="3" t="s">
        <v>50</v>
      </c>
      <c r="H100" s="12" cm="1">
        <f t="array" ref="H100">_xlfn.IFS(TRIM(G100)="SIXTY THOUSAND",60000,TRIM(G100)="NAN",AVERAGEIFS(G:G,J:J,J100,L:L,L100),TRUE,G100)</f>
        <v>60000</v>
      </c>
      <c r="I100" s="3" t="s">
        <v>38</v>
      </c>
      <c r="J100" s="3" t="s">
        <v>122</v>
      </c>
      <c r="K100" s="3" t="str">
        <f t="shared" si="5"/>
        <v>IT</v>
      </c>
      <c r="L100" s="3" t="s">
        <v>89</v>
      </c>
      <c r="M100" s="9">
        <v>43195</v>
      </c>
      <c r="N100" s="9">
        <v>43195</v>
      </c>
      <c r="O100" s="3" t="s">
        <v>78</v>
      </c>
      <c r="P100" s="3">
        <v>86</v>
      </c>
      <c r="Q100" s="3" t="s">
        <v>332</v>
      </c>
      <c r="R100" s="3" t="s">
        <v>54</v>
      </c>
      <c r="S100" s="3" t="s">
        <v>66</v>
      </c>
      <c r="T100" s="3" t="str">
        <f t="shared" si="6"/>
        <v>Contract</v>
      </c>
      <c r="V100" s="3">
        <v>4</v>
      </c>
      <c r="W100" s="3">
        <v>4</v>
      </c>
      <c r="X100" s="3">
        <v>18</v>
      </c>
      <c r="Y100" s="4">
        <v>44470</v>
      </c>
      <c r="AA100" s="3" t="s">
        <v>73</v>
      </c>
      <c r="AB100" s="3" t="str" cm="1">
        <f t="array" ref="AB100">_xlfn.IFS(AA100="N","No",  AA100 = "Y", "Yes", TRUE, PROPER(TRIM(AA100)))</f>
        <v>No</v>
      </c>
      <c r="AC100" s="3">
        <v>1</v>
      </c>
      <c r="AD100" s="3" t="s">
        <v>34</v>
      </c>
      <c r="AE100">
        <f t="shared" si="7"/>
        <v>0</v>
      </c>
    </row>
    <row r="101" spans="1:31" ht="14.25" customHeight="1" x14ac:dyDescent="0.35">
      <c r="A101" s="3" t="s">
        <v>333</v>
      </c>
      <c r="B101" s="3" t="s">
        <v>48</v>
      </c>
      <c r="C101" s="3" t="s">
        <v>334</v>
      </c>
      <c r="D101" s="3" t="s">
        <v>88</v>
      </c>
      <c r="E101" s="3">
        <f t="shared" si="4"/>
        <v>30</v>
      </c>
      <c r="F101" s="3">
        <v>1994</v>
      </c>
      <c r="G101" s="3">
        <v>70000</v>
      </c>
      <c r="H101" s="12" cm="1">
        <f t="array" ref="H101">_xlfn.IFS(TRIM(G101)="SIXTY THOUSAND",60000,TRIM(G101)="NAN",AVERAGEIFS(G:G,J:J,J101,L:L,L101),TRUE,G101)</f>
        <v>70000</v>
      </c>
      <c r="I101" s="3" t="s">
        <v>27</v>
      </c>
      <c r="J101" s="3" t="s">
        <v>28</v>
      </c>
      <c r="K101" s="3" t="str">
        <f t="shared" si="5"/>
        <v>HR</v>
      </c>
      <c r="L101" s="3" t="s">
        <v>29</v>
      </c>
      <c r="M101" s="4">
        <v>43881</v>
      </c>
      <c r="N101" s="4">
        <v>43881</v>
      </c>
      <c r="O101" s="3" t="s">
        <v>52</v>
      </c>
      <c r="P101" s="3">
        <v>73</v>
      </c>
      <c r="Q101" s="3" t="s">
        <v>335</v>
      </c>
      <c r="R101" s="3" t="s">
        <v>54</v>
      </c>
      <c r="S101" s="3" t="s">
        <v>32</v>
      </c>
      <c r="T101" s="3" t="str">
        <f t="shared" si="6"/>
        <v>Contract</v>
      </c>
      <c r="U101" s="3" t="s">
        <v>336</v>
      </c>
      <c r="V101" s="3">
        <v>4</v>
      </c>
      <c r="AB101" s="3" t="str" cm="1">
        <f t="array" ref="AB101">_xlfn.IFS(AA101="N","No",  AA101 = "Y", "Yes", TRUE, PROPER(TRIM(AA101)))</f>
        <v/>
      </c>
      <c r="AC101" s="3">
        <v>4</v>
      </c>
      <c r="AD101" s="3" t="s">
        <v>46</v>
      </c>
      <c r="AE101">
        <f t="shared" si="7"/>
        <v>1</v>
      </c>
    </row>
    <row r="102" spans="1:31" ht="14.25" customHeight="1" x14ac:dyDescent="0.35">
      <c r="A102" s="3" t="s">
        <v>337</v>
      </c>
      <c r="B102" s="3" t="s">
        <v>114</v>
      </c>
      <c r="C102" s="3" t="s">
        <v>338</v>
      </c>
      <c r="D102" s="3">
        <v>25</v>
      </c>
      <c r="E102" s="3">
        <f t="shared" si="4"/>
        <v>25</v>
      </c>
      <c r="F102" s="3">
        <v>1999</v>
      </c>
      <c r="G102" s="3">
        <v>65000</v>
      </c>
      <c r="H102" s="12" cm="1">
        <f t="array" ref="H102">_xlfn.IFS(TRIM(G102)="SIXTY THOUSAND",60000,TRIM(G102)="NAN",AVERAGEIFS(G:G,J:J,J102,L:L,L102),TRUE,G102)</f>
        <v>65000</v>
      </c>
      <c r="I102" s="3" t="s">
        <v>27</v>
      </c>
      <c r="J102" s="3" t="s">
        <v>58</v>
      </c>
      <c r="K102" s="3" t="str">
        <f t="shared" si="5"/>
        <v>IT</v>
      </c>
      <c r="L102" s="3" t="s">
        <v>40</v>
      </c>
      <c r="M102" s="4">
        <v>43549</v>
      </c>
      <c r="N102" s="4">
        <v>43549</v>
      </c>
      <c r="O102" s="3" t="s">
        <v>30</v>
      </c>
      <c r="P102" s="3">
        <v>68</v>
      </c>
      <c r="Q102" s="3" t="s">
        <v>339</v>
      </c>
      <c r="R102" s="3" t="s">
        <v>43</v>
      </c>
      <c r="S102" s="3" t="s">
        <v>32</v>
      </c>
      <c r="T102" s="3" t="str">
        <f t="shared" si="6"/>
        <v>Contract</v>
      </c>
      <c r="V102" s="3">
        <v>3</v>
      </c>
      <c r="W102" s="3">
        <v>6</v>
      </c>
      <c r="X102" s="3">
        <v>13</v>
      </c>
      <c r="Z102" s="3">
        <v>64</v>
      </c>
      <c r="AA102" s="3" t="s">
        <v>46</v>
      </c>
      <c r="AB102" s="3" t="str" cm="1">
        <f t="array" ref="AB102">_xlfn.IFS(AA102="N","No",  AA102 = "Y", "Yes", TRUE, PROPER(TRIM(AA102)))</f>
        <v>Yes</v>
      </c>
      <c r="AC102" s="3">
        <v>1</v>
      </c>
      <c r="AD102" s="3" t="s">
        <v>46</v>
      </c>
      <c r="AE102">
        <f t="shared" si="7"/>
        <v>1</v>
      </c>
    </row>
    <row r="103" spans="1:31" ht="14.25" customHeight="1" x14ac:dyDescent="0.35">
      <c r="A103" s="3" t="s">
        <v>340</v>
      </c>
      <c r="B103" s="3" t="s">
        <v>131</v>
      </c>
      <c r="C103" s="3" t="s">
        <v>199</v>
      </c>
      <c r="D103" s="3">
        <v>50</v>
      </c>
      <c r="E103" s="3">
        <f t="shared" si="4"/>
        <v>50</v>
      </c>
      <c r="F103" s="3">
        <v>1974</v>
      </c>
      <c r="G103" s="3">
        <v>50000</v>
      </c>
      <c r="H103" s="12" cm="1">
        <f t="array" ref="H103">_xlfn.IFS(TRIM(G103)="SIXTY THOUSAND",60000,TRIM(G103)="NAN",AVERAGEIFS(G:G,J:J,J103,L:L,L103),TRUE,G103)</f>
        <v>50000</v>
      </c>
      <c r="I103" s="3" t="s">
        <v>27</v>
      </c>
      <c r="J103" s="3" t="s">
        <v>122</v>
      </c>
      <c r="K103" s="3" t="str">
        <f t="shared" si="5"/>
        <v>IT</v>
      </c>
      <c r="L103" s="3" t="s">
        <v>29</v>
      </c>
      <c r="M103" s="4">
        <v>43549</v>
      </c>
      <c r="N103" s="4">
        <v>43549</v>
      </c>
      <c r="O103" s="3" t="s">
        <v>52</v>
      </c>
      <c r="P103" s="3">
        <v>75</v>
      </c>
      <c r="Q103" s="3" t="s">
        <v>341</v>
      </c>
      <c r="S103" s="3" t="s">
        <v>32</v>
      </c>
      <c r="T103" s="3" t="str">
        <f t="shared" si="6"/>
        <v>Contract</v>
      </c>
      <c r="V103" s="3">
        <v>4</v>
      </c>
      <c r="W103" s="3" t="s">
        <v>79</v>
      </c>
      <c r="Y103" s="4">
        <v>44470</v>
      </c>
      <c r="AA103" s="3" t="s">
        <v>46</v>
      </c>
      <c r="AB103" s="3" t="str" cm="1">
        <f t="array" ref="AB103">_xlfn.IFS(AA103="N","No",  AA103 = "Y", "Yes", TRUE, PROPER(TRIM(AA103)))</f>
        <v>Yes</v>
      </c>
      <c r="AC103" s="3">
        <v>3</v>
      </c>
      <c r="AD103" s="3" t="s">
        <v>34</v>
      </c>
      <c r="AE103">
        <f t="shared" si="7"/>
        <v>0</v>
      </c>
    </row>
    <row r="104" spans="1:31" ht="14.25" customHeight="1" x14ac:dyDescent="0.35">
      <c r="A104" s="3" t="s">
        <v>342</v>
      </c>
      <c r="B104" s="3" t="s">
        <v>25</v>
      </c>
      <c r="C104" s="3" t="s">
        <v>343</v>
      </c>
      <c r="D104" s="3">
        <v>35</v>
      </c>
      <c r="E104" s="3">
        <f t="shared" si="4"/>
        <v>35</v>
      </c>
      <c r="F104" s="3">
        <v>1989</v>
      </c>
      <c r="G104" s="3">
        <v>65000</v>
      </c>
      <c r="H104" s="12" cm="1">
        <f t="array" ref="H104">_xlfn.IFS(TRIM(G104)="SIXTY THOUSAND",60000,TRIM(G104)="NAN",AVERAGEIFS(G:G,J:J,J104,L:L,L104),TRUE,G104)</f>
        <v>65000</v>
      </c>
      <c r="I104" s="3" t="s">
        <v>38</v>
      </c>
      <c r="J104" s="3" t="s">
        <v>145</v>
      </c>
      <c r="K104" s="3" t="str">
        <f t="shared" si="5"/>
        <v>Sales</v>
      </c>
      <c r="L104" s="3" t="s">
        <v>29</v>
      </c>
      <c r="M104" s="4">
        <v>43881</v>
      </c>
      <c r="N104" s="4">
        <v>43881</v>
      </c>
      <c r="O104" s="3" t="s">
        <v>41</v>
      </c>
      <c r="P104" s="3">
        <v>42</v>
      </c>
      <c r="Q104" s="3" t="s">
        <v>344</v>
      </c>
      <c r="R104" s="3" t="s">
        <v>61</v>
      </c>
      <c r="S104" s="3" t="s">
        <v>44</v>
      </c>
      <c r="T104" s="3" t="str">
        <f t="shared" si="6"/>
        <v>Full-Time</v>
      </c>
      <c r="V104" s="3">
        <v>1</v>
      </c>
      <c r="X104" s="3">
        <v>15</v>
      </c>
      <c r="Y104" s="4">
        <v>45516</v>
      </c>
      <c r="Z104" s="3">
        <v>64</v>
      </c>
      <c r="AA104" s="3" t="s">
        <v>46</v>
      </c>
      <c r="AB104" s="3" t="str" cm="1">
        <f t="array" ref="AB104">_xlfn.IFS(AA104="N","No",  AA104 = "Y", "Yes", TRUE, PROPER(TRIM(AA104)))</f>
        <v>Yes</v>
      </c>
      <c r="AC104" s="3">
        <v>2</v>
      </c>
      <c r="AD104" s="3" t="s">
        <v>34</v>
      </c>
      <c r="AE104">
        <f t="shared" si="7"/>
        <v>0</v>
      </c>
    </row>
    <row r="105" spans="1:31" ht="14.25" customHeight="1" x14ac:dyDescent="0.35">
      <c r="A105" s="3" t="s">
        <v>345</v>
      </c>
      <c r="B105" s="3" t="s">
        <v>25</v>
      </c>
      <c r="C105" s="3" t="s">
        <v>229</v>
      </c>
      <c r="D105" s="3" t="s">
        <v>88</v>
      </c>
      <c r="E105" s="3">
        <f t="shared" si="4"/>
        <v>30</v>
      </c>
      <c r="F105" s="3">
        <v>1994</v>
      </c>
      <c r="G105" s="3" t="s">
        <v>50</v>
      </c>
      <c r="H105" s="12" cm="1">
        <f t="array" ref="H105">_xlfn.IFS(TRIM(G105)="SIXTY THOUSAND",60000,TRIM(G105)="NAN",AVERAGEIFS(G:G,J:J,J105,L:L,L105),TRUE,G105)</f>
        <v>60000</v>
      </c>
      <c r="I105" s="3" t="s">
        <v>38</v>
      </c>
      <c r="J105" s="3" t="s">
        <v>70</v>
      </c>
      <c r="K105" s="3" t="str">
        <f t="shared" si="5"/>
        <v>Marketing</v>
      </c>
      <c r="L105" s="3" t="s">
        <v>77</v>
      </c>
      <c r="M105" s="4">
        <v>43881</v>
      </c>
      <c r="N105" s="4">
        <v>43881</v>
      </c>
      <c r="O105" s="3" t="s">
        <v>59</v>
      </c>
      <c r="P105" s="3">
        <v>91</v>
      </c>
      <c r="Q105" s="3" t="s">
        <v>346</v>
      </c>
      <c r="R105" s="3" t="s">
        <v>43</v>
      </c>
      <c r="S105" s="3" t="s">
        <v>100</v>
      </c>
      <c r="T105" s="3" t="str">
        <f t="shared" si="6"/>
        <v>Part-Time</v>
      </c>
      <c r="V105" s="3">
        <v>3</v>
      </c>
      <c r="W105" s="3">
        <v>13</v>
      </c>
      <c r="X105" s="3">
        <v>16</v>
      </c>
      <c r="AA105" s="3" t="s">
        <v>34</v>
      </c>
      <c r="AB105" s="3" t="str" cm="1">
        <f t="array" ref="AB105">_xlfn.IFS(AA105="N","No",  AA105 = "Y", "Yes", TRUE, PROPER(TRIM(AA105)))</f>
        <v>No</v>
      </c>
      <c r="AC105" s="3">
        <v>2</v>
      </c>
      <c r="AD105" s="3" t="s">
        <v>46</v>
      </c>
      <c r="AE105">
        <f t="shared" si="7"/>
        <v>1</v>
      </c>
    </row>
    <row r="106" spans="1:31" ht="14.25" customHeight="1" x14ac:dyDescent="0.35">
      <c r="A106" s="3" t="s">
        <v>347</v>
      </c>
      <c r="B106" s="3" t="s">
        <v>48</v>
      </c>
      <c r="C106" s="3" t="s">
        <v>92</v>
      </c>
      <c r="D106" s="3" t="s">
        <v>88</v>
      </c>
      <c r="E106" s="3">
        <f t="shared" si="4"/>
        <v>30</v>
      </c>
      <c r="F106" s="3">
        <v>1994</v>
      </c>
      <c r="G106" s="3" t="s">
        <v>50</v>
      </c>
      <c r="H106" s="12" cm="1">
        <f t="array" ref="H106">_xlfn.IFS(TRIM(G106)="SIXTY THOUSAND",60000,TRIM(G106)="NAN",AVERAGEIFS(G:G,J:J,J106,L:L,L106),TRUE,G106)</f>
        <v>60000</v>
      </c>
      <c r="I106" s="3" t="s">
        <v>27</v>
      </c>
      <c r="J106" s="3" t="s">
        <v>93</v>
      </c>
      <c r="K106" s="3" t="str">
        <f t="shared" si="5"/>
        <v>Marketing</v>
      </c>
      <c r="L106" s="3" t="s">
        <v>89</v>
      </c>
      <c r="M106" s="4">
        <v>43195</v>
      </c>
      <c r="N106" s="4">
        <v>43195</v>
      </c>
      <c r="O106" s="3" t="s">
        <v>30</v>
      </c>
      <c r="P106" s="3">
        <v>64</v>
      </c>
      <c r="Q106" s="3" t="s">
        <v>348</v>
      </c>
      <c r="R106" s="3" t="s">
        <v>54</v>
      </c>
      <c r="S106" s="3" t="s">
        <v>32</v>
      </c>
      <c r="T106" s="3" t="str">
        <f t="shared" si="6"/>
        <v>Contract</v>
      </c>
      <c r="V106" s="3">
        <v>2</v>
      </c>
      <c r="W106" s="3">
        <v>2</v>
      </c>
      <c r="X106" s="3">
        <v>14</v>
      </c>
      <c r="Y106" s="3" t="s">
        <v>79</v>
      </c>
      <c r="AA106" s="3" t="s">
        <v>34</v>
      </c>
      <c r="AB106" s="3" t="str" cm="1">
        <f t="array" ref="AB106">_xlfn.IFS(AA106="N","No",  AA106 = "Y", "Yes", TRUE, PROPER(TRIM(AA106)))</f>
        <v>No</v>
      </c>
      <c r="AC106" s="3">
        <v>1</v>
      </c>
      <c r="AD106" s="3" t="s">
        <v>34</v>
      </c>
      <c r="AE106">
        <f t="shared" si="7"/>
        <v>0</v>
      </c>
    </row>
    <row r="107" spans="1:31" ht="14.25" customHeight="1" x14ac:dyDescent="0.35">
      <c r="A107" s="3" t="s">
        <v>349</v>
      </c>
      <c r="B107" s="3" t="s">
        <v>56</v>
      </c>
      <c r="C107" s="3" t="s">
        <v>343</v>
      </c>
      <c r="D107" s="3">
        <v>50</v>
      </c>
      <c r="E107" s="3">
        <f t="shared" si="4"/>
        <v>50</v>
      </c>
      <c r="F107" s="3">
        <v>1974</v>
      </c>
      <c r="G107" s="3">
        <v>65000</v>
      </c>
      <c r="H107" s="12" cm="1">
        <f t="array" ref="H107">_xlfn.IFS(TRIM(G107)="SIXTY THOUSAND",60000,TRIM(G107)="NAN",AVERAGEIFS(G:G,J:J,J107,L:L,L107),TRUE,G107)</f>
        <v>65000</v>
      </c>
      <c r="I107" s="3" t="s">
        <v>38</v>
      </c>
      <c r="J107" s="3" t="s">
        <v>122</v>
      </c>
      <c r="K107" s="3" t="str">
        <f t="shared" si="5"/>
        <v>IT</v>
      </c>
      <c r="L107" s="3" t="s">
        <v>29</v>
      </c>
      <c r="M107" s="4">
        <v>43549</v>
      </c>
      <c r="N107" s="4">
        <v>43549</v>
      </c>
      <c r="O107" s="3" t="s">
        <v>59</v>
      </c>
      <c r="P107" s="3">
        <v>92</v>
      </c>
      <c r="Q107" s="3" t="s">
        <v>350</v>
      </c>
      <c r="R107" s="3" t="s">
        <v>54</v>
      </c>
      <c r="S107" s="3" t="s">
        <v>72</v>
      </c>
      <c r="T107" s="3" t="str">
        <f t="shared" si="6"/>
        <v>Part-Time</v>
      </c>
      <c r="V107" s="3">
        <v>6</v>
      </c>
      <c r="W107" s="3" t="s">
        <v>79</v>
      </c>
      <c r="X107" s="3">
        <v>17</v>
      </c>
      <c r="Y107" s="3" t="s">
        <v>79</v>
      </c>
      <c r="AA107" s="3" t="s">
        <v>34</v>
      </c>
      <c r="AB107" s="3" t="str" cm="1">
        <f t="array" ref="AB107">_xlfn.IFS(AA107="N","No",  AA107 = "Y", "Yes", TRUE, PROPER(TRIM(AA107)))</f>
        <v>No</v>
      </c>
      <c r="AC107" s="3">
        <v>4</v>
      </c>
      <c r="AD107" s="3" t="s">
        <v>34</v>
      </c>
      <c r="AE107">
        <f t="shared" si="7"/>
        <v>0</v>
      </c>
    </row>
    <row r="108" spans="1:31" ht="14.25" customHeight="1" x14ac:dyDescent="0.35">
      <c r="A108" s="3" t="s">
        <v>351</v>
      </c>
      <c r="B108" s="3" t="s">
        <v>75</v>
      </c>
      <c r="C108" s="3" t="s">
        <v>110</v>
      </c>
      <c r="E108" s="3">
        <f t="shared" si="4"/>
        <v>24</v>
      </c>
      <c r="F108" s="3">
        <v>2000</v>
      </c>
      <c r="G108" s="3">
        <v>70000</v>
      </c>
      <c r="H108" s="12" cm="1">
        <f t="array" ref="H108">_xlfn.IFS(TRIM(G108)="SIXTY THOUSAND",60000,TRIM(G108)="NAN",AVERAGEIFS(G:G,J:J,J108,L:L,L108),TRUE,G108)</f>
        <v>70000</v>
      </c>
      <c r="I108" s="3" t="s">
        <v>27</v>
      </c>
      <c r="J108" s="3" t="s">
        <v>39</v>
      </c>
      <c r="K108" s="3" t="str">
        <f t="shared" si="5"/>
        <v>Finance</v>
      </c>
      <c r="L108" s="3" t="s">
        <v>77</v>
      </c>
      <c r="M108" s="4">
        <v>43549</v>
      </c>
      <c r="N108" s="4">
        <v>43549</v>
      </c>
      <c r="O108" s="3" t="s">
        <v>41</v>
      </c>
      <c r="P108" s="3">
        <v>25</v>
      </c>
      <c r="Q108" s="3" t="s">
        <v>352</v>
      </c>
      <c r="R108" s="3" t="s">
        <v>43</v>
      </c>
      <c r="S108" s="3" t="s">
        <v>100</v>
      </c>
      <c r="T108" s="3" t="str">
        <f t="shared" si="6"/>
        <v>Part-Time</v>
      </c>
      <c r="V108" s="3">
        <v>1</v>
      </c>
      <c r="X108" s="3">
        <v>13</v>
      </c>
      <c r="Z108" s="3">
        <v>63</v>
      </c>
      <c r="AB108" s="3" t="str" cm="1">
        <f t="array" ref="AB108">_xlfn.IFS(AA108="N","No",  AA108 = "Y", "Yes", TRUE, PROPER(TRIM(AA108)))</f>
        <v/>
      </c>
      <c r="AC108" s="3">
        <v>2</v>
      </c>
      <c r="AD108" s="3" t="s">
        <v>34</v>
      </c>
      <c r="AE108">
        <f t="shared" si="7"/>
        <v>0</v>
      </c>
    </row>
    <row r="109" spans="1:31" ht="14.25" customHeight="1" x14ac:dyDescent="0.35">
      <c r="A109" s="3" t="s">
        <v>353</v>
      </c>
      <c r="B109" s="3" t="s">
        <v>48</v>
      </c>
      <c r="C109" s="3" t="s">
        <v>96</v>
      </c>
      <c r="D109" s="3">
        <v>25</v>
      </c>
      <c r="E109" s="3">
        <f t="shared" si="4"/>
        <v>25</v>
      </c>
      <c r="F109" s="3">
        <v>1999</v>
      </c>
      <c r="G109" s="3">
        <v>70000</v>
      </c>
      <c r="H109" s="12" cm="1">
        <f t="array" ref="H109">_xlfn.IFS(TRIM(G109)="SIXTY THOUSAND",60000,TRIM(G109)="NAN",AVERAGEIFS(G:G,J:J,J109,L:L,L109),TRUE,G109)</f>
        <v>70000</v>
      </c>
      <c r="I109" s="3" t="s">
        <v>38</v>
      </c>
      <c r="J109" s="3" t="s">
        <v>64</v>
      </c>
      <c r="K109" s="3" t="str">
        <f t="shared" si="5"/>
        <v>Finance</v>
      </c>
      <c r="L109" s="3" t="s">
        <v>94</v>
      </c>
      <c r="M109" s="4">
        <v>43845</v>
      </c>
      <c r="N109" s="4">
        <v>43845</v>
      </c>
      <c r="O109" s="3" t="s">
        <v>41</v>
      </c>
      <c r="P109" s="3">
        <v>13</v>
      </c>
      <c r="Q109" s="3" t="s">
        <v>97</v>
      </c>
      <c r="S109" s="3" t="s">
        <v>32</v>
      </c>
      <c r="T109" s="3" t="str">
        <f t="shared" si="6"/>
        <v>Contract</v>
      </c>
      <c r="V109" s="3">
        <v>7</v>
      </c>
      <c r="W109" s="3" t="s">
        <v>79</v>
      </c>
      <c r="Y109" s="4">
        <v>45516</v>
      </c>
      <c r="AA109" s="3" t="s">
        <v>34</v>
      </c>
      <c r="AB109" s="3" t="str" cm="1">
        <f t="array" ref="AB109">_xlfn.IFS(AA109="N","No",  AA109 = "Y", "Yes", TRUE, PROPER(TRIM(AA109)))</f>
        <v>No</v>
      </c>
      <c r="AC109" s="3">
        <v>3</v>
      </c>
      <c r="AD109" s="3" t="s">
        <v>34</v>
      </c>
      <c r="AE109">
        <f t="shared" si="7"/>
        <v>0</v>
      </c>
    </row>
    <row r="110" spans="1:31" ht="14.25" customHeight="1" x14ac:dyDescent="0.35">
      <c r="A110" s="3" t="s">
        <v>354</v>
      </c>
      <c r="B110" s="3" t="s">
        <v>107</v>
      </c>
      <c r="C110" s="3" t="s">
        <v>355</v>
      </c>
      <c r="D110" s="3" t="s">
        <v>88</v>
      </c>
      <c r="E110" s="3">
        <f t="shared" si="4"/>
        <v>30</v>
      </c>
      <c r="F110" s="3">
        <v>1994</v>
      </c>
      <c r="G110" s="3">
        <v>58800</v>
      </c>
      <c r="H110" s="12" cm="1">
        <f t="array" ref="H110">_xlfn.IFS(TRIM(G110)="SIXTY THOUSAND",60000,TRIM(G110)="NAN",AVERAGEIFS(G:G,J:J,J110,L:L,L110),TRUE,G110)</f>
        <v>58800</v>
      </c>
      <c r="I110" s="3" t="s">
        <v>27</v>
      </c>
      <c r="J110" s="3" t="s">
        <v>28</v>
      </c>
      <c r="K110" s="3" t="str">
        <f t="shared" si="5"/>
        <v>HR</v>
      </c>
      <c r="L110" s="3" t="s">
        <v>77</v>
      </c>
      <c r="M110" s="4">
        <v>43800</v>
      </c>
      <c r="N110" s="4">
        <v>43800</v>
      </c>
      <c r="O110" s="3" t="s">
        <v>59</v>
      </c>
      <c r="P110" s="3">
        <v>96</v>
      </c>
      <c r="Q110" s="3" t="s">
        <v>356</v>
      </c>
      <c r="R110" s="3" t="s">
        <v>61</v>
      </c>
      <c r="S110" s="3" t="s">
        <v>72</v>
      </c>
      <c r="T110" s="3" t="str">
        <f t="shared" si="6"/>
        <v>Part-Time</v>
      </c>
      <c r="V110" s="3">
        <v>5</v>
      </c>
      <c r="W110" s="3" t="s">
        <v>79</v>
      </c>
      <c r="Z110" s="3">
        <v>5</v>
      </c>
      <c r="AA110" s="3" t="s">
        <v>73</v>
      </c>
      <c r="AB110" s="3" t="str" cm="1">
        <f t="array" ref="AB110">_xlfn.IFS(AA110="N","No",  AA110 = "Y", "Yes", TRUE, PROPER(TRIM(AA110)))</f>
        <v>No</v>
      </c>
      <c r="AC110" s="3">
        <v>1</v>
      </c>
      <c r="AD110" s="3" t="s">
        <v>34</v>
      </c>
      <c r="AE110">
        <f t="shared" si="7"/>
        <v>0</v>
      </c>
    </row>
    <row r="111" spans="1:31" ht="14.25" customHeight="1" x14ac:dyDescent="0.35">
      <c r="A111" s="3" t="s">
        <v>357</v>
      </c>
      <c r="B111" s="3" t="s">
        <v>75</v>
      </c>
      <c r="C111" s="3" t="s">
        <v>213</v>
      </c>
      <c r="D111" s="3">
        <v>50</v>
      </c>
      <c r="E111" s="3">
        <f t="shared" si="4"/>
        <v>50</v>
      </c>
      <c r="F111" s="3">
        <v>1974</v>
      </c>
      <c r="G111" s="3" t="s">
        <v>50</v>
      </c>
      <c r="H111" s="12" cm="1">
        <f t="array" ref="H111">_xlfn.IFS(TRIM(G111)="SIXTY THOUSAND",60000,TRIM(G111)="NAN",AVERAGEIFS(G:G,J:J,J111,L:L,L111),TRUE,G111)</f>
        <v>60000</v>
      </c>
      <c r="I111" s="3" t="s">
        <v>27</v>
      </c>
      <c r="J111" s="3" t="s">
        <v>28</v>
      </c>
      <c r="K111" s="3" t="str">
        <f t="shared" si="5"/>
        <v>HR</v>
      </c>
      <c r="L111" s="3" t="s">
        <v>77</v>
      </c>
      <c r="M111" s="4">
        <v>43800</v>
      </c>
      <c r="N111" s="4">
        <v>43800</v>
      </c>
      <c r="O111" s="3" t="s">
        <v>59</v>
      </c>
      <c r="P111" s="3">
        <v>97</v>
      </c>
      <c r="Q111" s="3" t="s">
        <v>214</v>
      </c>
      <c r="R111" s="3" t="s">
        <v>104</v>
      </c>
      <c r="S111" s="3" t="s">
        <v>72</v>
      </c>
      <c r="T111" s="3" t="str">
        <f t="shared" si="6"/>
        <v>Part-Time</v>
      </c>
      <c r="V111" s="3">
        <v>1</v>
      </c>
      <c r="Z111" s="3">
        <v>46</v>
      </c>
      <c r="AA111" s="3" t="s">
        <v>169</v>
      </c>
      <c r="AB111" s="3" t="str" cm="1">
        <f t="array" ref="AB111">_xlfn.IFS(AA111="N","No",  AA111 = "Y", "Yes", TRUE, PROPER(TRIM(AA111)))</f>
        <v>Yes</v>
      </c>
      <c r="AC111" s="3">
        <v>1</v>
      </c>
      <c r="AD111" s="3" t="s">
        <v>34</v>
      </c>
      <c r="AE111">
        <f t="shared" si="7"/>
        <v>0</v>
      </c>
    </row>
    <row r="112" spans="1:31" ht="14.25" customHeight="1" x14ac:dyDescent="0.35">
      <c r="A112" s="3" t="s">
        <v>358</v>
      </c>
      <c r="B112" s="3" t="s">
        <v>131</v>
      </c>
      <c r="C112" s="3" t="s">
        <v>359</v>
      </c>
      <c r="D112" s="3">
        <v>50</v>
      </c>
      <c r="E112" s="3">
        <f t="shared" si="4"/>
        <v>50</v>
      </c>
      <c r="F112" s="3">
        <v>1974</v>
      </c>
      <c r="G112" s="3">
        <v>55000</v>
      </c>
      <c r="H112" s="12" cm="1">
        <f t="array" ref="H112">_xlfn.IFS(TRIM(G112)="SIXTY THOUSAND",60000,TRIM(G112)="NAN",AVERAGEIFS(G:G,J:J,J112,L:L,L112),TRUE,G112)</f>
        <v>55000</v>
      </c>
      <c r="I112" s="3" t="s">
        <v>38</v>
      </c>
      <c r="J112" s="3" t="s">
        <v>145</v>
      </c>
      <c r="K112" s="3" t="str">
        <f t="shared" si="5"/>
        <v>Sales</v>
      </c>
      <c r="L112" s="3" t="s">
        <v>77</v>
      </c>
      <c r="M112" s="4">
        <v>43845</v>
      </c>
      <c r="N112" s="4">
        <v>43845</v>
      </c>
      <c r="O112" s="3" t="s">
        <v>59</v>
      </c>
      <c r="P112" s="3">
        <v>92</v>
      </c>
      <c r="Q112" s="3" t="s">
        <v>360</v>
      </c>
      <c r="R112" s="3" t="s">
        <v>43</v>
      </c>
      <c r="S112" s="3" t="s">
        <v>112</v>
      </c>
      <c r="T112" s="3" t="str">
        <f t="shared" si="6"/>
        <v>Full-Time</v>
      </c>
      <c r="U112" s="3" t="s">
        <v>330</v>
      </c>
      <c r="V112" s="3">
        <v>1</v>
      </c>
      <c r="AA112" s="3" t="s">
        <v>73</v>
      </c>
      <c r="AB112" s="3" t="str" cm="1">
        <f t="array" ref="AB112">_xlfn.IFS(AA112="N","No",  AA112 = "Y", "Yes", TRUE, PROPER(TRIM(AA112)))</f>
        <v>No</v>
      </c>
      <c r="AC112" s="3">
        <v>3</v>
      </c>
      <c r="AD112" s="3" t="s">
        <v>34</v>
      </c>
      <c r="AE112">
        <f t="shared" si="7"/>
        <v>0</v>
      </c>
    </row>
    <row r="113" spans="1:31" ht="14.25" customHeight="1" x14ac:dyDescent="0.35">
      <c r="A113" s="3" t="s">
        <v>361</v>
      </c>
      <c r="B113" s="3" t="s">
        <v>75</v>
      </c>
      <c r="C113" s="3" t="s">
        <v>362</v>
      </c>
      <c r="D113" s="3">
        <v>35</v>
      </c>
      <c r="E113" s="3">
        <f t="shared" si="4"/>
        <v>35</v>
      </c>
      <c r="F113" s="3">
        <v>1989</v>
      </c>
      <c r="G113" s="3">
        <v>60900</v>
      </c>
      <c r="H113" s="12" cm="1">
        <f t="array" ref="H113">_xlfn.IFS(TRIM(G113)="SIXTY THOUSAND",60000,TRIM(G113)="NAN",AVERAGEIFS(G:G,J:J,J113,L:L,L113),TRUE,G113)</f>
        <v>60900</v>
      </c>
      <c r="I113" s="3" t="s">
        <v>27</v>
      </c>
      <c r="J113" s="3" t="s">
        <v>58</v>
      </c>
      <c r="K113" s="3" t="str">
        <f t="shared" si="5"/>
        <v>IT</v>
      </c>
      <c r="L113" s="3" t="s">
        <v>29</v>
      </c>
      <c r="M113" s="4">
        <v>43800</v>
      </c>
      <c r="N113" s="4">
        <v>43800</v>
      </c>
      <c r="O113" s="3" t="s">
        <v>41</v>
      </c>
      <c r="P113" s="3">
        <v>52</v>
      </c>
      <c r="Q113" s="3" t="s">
        <v>363</v>
      </c>
      <c r="R113" s="3" t="s">
        <v>61</v>
      </c>
      <c r="S113" s="3" t="s">
        <v>112</v>
      </c>
      <c r="T113" s="3" t="str">
        <f t="shared" si="6"/>
        <v>Full-Time</v>
      </c>
      <c r="V113" s="3">
        <v>2</v>
      </c>
      <c r="Y113" s="4">
        <v>44941</v>
      </c>
      <c r="AB113" s="3" t="str" cm="1">
        <f t="array" ref="AB113">_xlfn.IFS(AA113="N","No",  AA113 = "Y", "Yes", TRUE, PROPER(TRIM(AA113)))</f>
        <v/>
      </c>
      <c r="AC113" s="3">
        <v>4</v>
      </c>
      <c r="AD113" s="3" t="s">
        <v>46</v>
      </c>
      <c r="AE113">
        <f t="shared" si="7"/>
        <v>1</v>
      </c>
    </row>
    <row r="114" spans="1:31" ht="14.25" customHeight="1" x14ac:dyDescent="0.35">
      <c r="A114" s="3" t="s">
        <v>364</v>
      </c>
      <c r="B114" s="3" t="s">
        <v>56</v>
      </c>
      <c r="C114" s="3" t="s">
        <v>154</v>
      </c>
      <c r="E114" s="3">
        <f t="shared" si="4"/>
        <v>46</v>
      </c>
      <c r="F114" s="3">
        <v>1978</v>
      </c>
      <c r="G114" s="3">
        <v>70000</v>
      </c>
      <c r="H114" s="12" cm="1">
        <f t="array" ref="H114">_xlfn.IFS(TRIM(G114)="SIXTY THOUSAND",60000,TRIM(G114)="NAN",AVERAGEIFS(G:G,J:J,J114,L:L,L114),TRUE,G114)</f>
        <v>70000</v>
      </c>
      <c r="I114" s="3" t="s">
        <v>27</v>
      </c>
      <c r="J114" s="3" t="s">
        <v>28</v>
      </c>
      <c r="K114" s="3" t="str">
        <f t="shared" si="5"/>
        <v>HR</v>
      </c>
      <c r="L114" s="3" t="s">
        <v>29</v>
      </c>
      <c r="M114" s="4">
        <v>43881</v>
      </c>
      <c r="N114" s="4">
        <v>43881</v>
      </c>
      <c r="O114" s="3" t="s">
        <v>78</v>
      </c>
      <c r="P114" s="3">
        <v>84</v>
      </c>
      <c r="Q114" s="3" t="s">
        <v>365</v>
      </c>
      <c r="R114" s="3" t="s">
        <v>61</v>
      </c>
      <c r="S114" s="3" t="s">
        <v>66</v>
      </c>
      <c r="T114" s="3" t="str">
        <f t="shared" si="6"/>
        <v>Contract</v>
      </c>
      <c r="V114" s="3">
        <v>1</v>
      </c>
      <c r="X114" s="3">
        <v>15</v>
      </c>
      <c r="AA114" s="3" t="s">
        <v>34</v>
      </c>
      <c r="AB114" s="3" t="str" cm="1">
        <f t="array" ref="AB114">_xlfn.IFS(AA114="N","No",  AA114 = "Y", "Yes", TRUE, PROPER(TRIM(AA114)))</f>
        <v>No</v>
      </c>
      <c r="AC114" s="3">
        <v>3</v>
      </c>
      <c r="AD114" s="3" t="s">
        <v>34</v>
      </c>
      <c r="AE114">
        <f t="shared" si="7"/>
        <v>0</v>
      </c>
    </row>
    <row r="115" spans="1:31" ht="14.25" customHeight="1" x14ac:dyDescent="0.35">
      <c r="A115" s="3" t="s">
        <v>366</v>
      </c>
      <c r="B115" s="3" t="s">
        <v>75</v>
      </c>
      <c r="C115" s="3" t="s">
        <v>367</v>
      </c>
      <c r="D115" s="3">
        <v>25</v>
      </c>
      <c r="E115" s="3">
        <f t="shared" si="4"/>
        <v>25</v>
      </c>
      <c r="F115" s="3">
        <v>1999</v>
      </c>
      <c r="G115" s="3">
        <v>65000</v>
      </c>
      <c r="H115" s="12" cm="1">
        <f t="array" ref="H115">_xlfn.IFS(TRIM(G115)="SIXTY THOUSAND",60000,TRIM(G115)="NAN",AVERAGEIFS(G:G,J:J,J115,L:L,L115),TRUE,G115)</f>
        <v>65000</v>
      </c>
      <c r="I115" s="3" t="s">
        <v>38</v>
      </c>
      <c r="J115" s="3" t="s">
        <v>82</v>
      </c>
      <c r="K115" s="3" t="str">
        <f t="shared" si="5"/>
        <v>HR</v>
      </c>
      <c r="L115" s="3" t="s">
        <v>94</v>
      </c>
      <c r="M115" s="4">
        <v>43800</v>
      </c>
      <c r="N115" s="4">
        <v>43800</v>
      </c>
      <c r="O115" s="3" t="s">
        <v>59</v>
      </c>
      <c r="P115" s="3">
        <v>90</v>
      </c>
      <c r="Q115" s="3" t="s">
        <v>368</v>
      </c>
      <c r="R115" s="3" t="s">
        <v>54</v>
      </c>
      <c r="S115" s="3" t="s">
        <v>32</v>
      </c>
      <c r="T115" s="3" t="str">
        <f t="shared" si="6"/>
        <v>Contract</v>
      </c>
      <c r="V115" s="3">
        <v>1</v>
      </c>
      <c r="W115" s="3">
        <v>14</v>
      </c>
      <c r="X115" s="3">
        <v>1</v>
      </c>
      <c r="Y115" s="4">
        <v>44732</v>
      </c>
      <c r="AA115" s="3" t="s">
        <v>73</v>
      </c>
      <c r="AB115" s="3" t="str" cm="1">
        <f t="array" ref="AB115">_xlfn.IFS(AA115="N","No",  AA115 = "Y", "Yes", TRUE, PROPER(TRIM(AA115)))</f>
        <v>No</v>
      </c>
      <c r="AC115" s="3">
        <v>1</v>
      </c>
      <c r="AD115" s="3" t="s">
        <v>34</v>
      </c>
      <c r="AE115">
        <f t="shared" si="7"/>
        <v>0</v>
      </c>
    </row>
    <row r="116" spans="1:31" ht="14.25" customHeight="1" x14ac:dyDescent="0.35">
      <c r="A116" s="3" t="s">
        <v>369</v>
      </c>
      <c r="B116" s="3" t="s">
        <v>131</v>
      </c>
      <c r="C116" s="3" t="s">
        <v>144</v>
      </c>
      <c r="D116" s="3">
        <v>40</v>
      </c>
      <c r="E116" s="3">
        <f t="shared" si="4"/>
        <v>40</v>
      </c>
      <c r="F116" s="3">
        <v>1984</v>
      </c>
      <c r="G116" s="3">
        <v>70000</v>
      </c>
      <c r="H116" s="12" cm="1">
        <f t="array" ref="H116">_xlfn.IFS(TRIM(G116)="SIXTY THOUSAND",60000,TRIM(G116)="NAN",AVERAGEIFS(G:G,J:J,J116,L:L,L116),TRUE,G116)</f>
        <v>70000</v>
      </c>
      <c r="I116" s="3" t="s">
        <v>38</v>
      </c>
      <c r="J116" s="3" t="s">
        <v>122</v>
      </c>
      <c r="K116" s="3" t="str">
        <f t="shared" si="5"/>
        <v>IT</v>
      </c>
      <c r="L116" s="3" t="s">
        <v>40</v>
      </c>
      <c r="M116" s="4">
        <v>43800</v>
      </c>
      <c r="N116" s="4">
        <v>43800</v>
      </c>
      <c r="O116" s="3" t="s">
        <v>30</v>
      </c>
      <c r="P116" s="3">
        <v>69</v>
      </c>
      <c r="Q116" s="3" t="s">
        <v>146</v>
      </c>
      <c r="R116" s="3" t="s">
        <v>104</v>
      </c>
      <c r="S116" s="3" t="s">
        <v>32</v>
      </c>
      <c r="T116" s="3" t="str">
        <f t="shared" si="6"/>
        <v>Contract</v>
      </c>
      <c r="U116" s="3" t="s">
        <v>130</v>
      </c>
      <c r="V116" s="3">
        <v>2</v>
      </c>
      <c r="X116" s="3">
        <v>18</v>
      </c>
      <c r="AB116" s="3" t="str" cm="1">
        <f t="array" ref="AB116">_xlfn.IFS(AA116="N","No",  AA116 = "Y", "Yes", TRUE, PROPER(TRIM(AA116)))</f>
        <v/>
      </c>
      <c r="AC116" s="3">
        <v>4</v>
      </c>
      <c r="AD116" s="3" t="s">
        <v>34</v>
      </c>
      <c r="AE116">
        <f t="shared" si="7"/>
        <v>0</v>
      </c>
    </row>
    <row r="117" spans="1:31" ht="14.25" customHeight="1" x14ac:dyDescent="0.35">
      <c r="A117" s="3" t="s">
        <v>370</v>
      </c>
      <c r="B117" s="3" t="s">
        <v>56</v>
      </c>
      <c r="C117" s="3" t="s">
        <v>158</v>
      </c>
      <c r="D117" s="3">
        <v>35</v>
      </c>
      <c r="E117" s="3">
        <f t="shared" si="4"/>
        <v>35</v>
      </c>
      <c r="F117" s="3">
        <v>1989</v>
      </c>
      <c r="G117" s="3">
        <v>65000</v>
      </c>
      <c r="H117" s="12" cm="1">
        <f t="array" ref="H117">_xlfn.IFS(TRIM(G117)="SIXTY THOUSAND",60000,TRIM(G117)="NAN",AVERAGEIFS(G:G,J:J,J117,L:L,L117),TRUE,G117)</f>
        <v>65000</v>
      </c>
      <c r="I117" s="3" t="s">
        <v>38</v>
      </c>
      <c r="J117" s="3" t="s">
        <v>145</v>
      </c>
      <c r="K117" s="3" t="str">
        <f t="shared" si="5"/>
        <v>Sales</v>
      </c>
      <c r="L117" s="3" t="s">
        <v>40</v>
      </c>
      <c r="M117" s="4">
        <v>43845</v>
      </c>
      <c r="N117" s="4">
        <v>43845</v>
      </c>
      <c r="O117" s="3" t="s">
        <v>41</v>
      </c>
      <c r="P117" s="3">
        <v>9</v>
      </c>
      <c r="Q117" s="3" t="s">
        <v>371</v>
      </c>
      <c r="R117" s="3" t="s">
        <v>43</v>
      </c>
      <c r="S117" s="3" t="s">
        <v>100</v>
      </c>
      <c r="T117" s="3" t="str">
        <f t="shared" si="6"/>
        <v>Part-Time</v>
      </c>
      <c r="V117" s="3">
        <v>7</v>
      </c>
      <c r="Y117" s="3" t="s">
        <v>79</v>
      </c>
      <c r="Z117" s="3">
        <v>17</v>
      </c>
      <c r="AB117" s="3" t="str" cm="1">
        <f t="array" ref="AB117">_xlfn.IFS(AA117="N","No",  AA117 = "Y", "Yes", TRUE, PROPER(TRIM(AA117)))</f>
        <v/>
      </c>
      <c r="AC117" s="3">
        <v>2</v>
      </c>
      <c r="AD117" s="3" t="s">
        <v>46</v>
      </c>
      <c r="AE117">
        <f t="shared" si="7"/>
        <v>1</v>
      </c>
    </row>
    <row r="118" spans="1:31" ht="14.25" customHeight="1" x14ac:dyDescent="0.35">
      <c r="A118" s="3" t="s">
        <v>372</v>
      </c>
      <c r="B118" s="3" t="s">
        <v>68</v>
      </c>
      <c r="C118" s="3" t="s">
        <v>253</v>
      </c>
      <c r="D118" s="3" t="s">
        <v>88</v>
      </c>
      <c r="E118" s="3">
        <f t="shared" si="4"/>
        <v>30</v>
      </c>
      <c r="F118" s="3">
        <v>1994</v>
      </c>
      <c r="G118" s="3">
        <v>60900</v>
      </c>
      <c r="H118" s="12" cm="1">
        <f t="array" ref="H118">_xlfn.IFS(TRIM(G118)="SIXTY THOUSAND",60000,TRIM(G118)="NAN",AVERAGEIFS(G:G,J:J,J118,L:L,L118),TRUE,G118)</f>
        <v>60900</v>
      </c>
      <c r="I118" s="3" t="s">
        <v>27</v>
      </c>
      <c r="J118" s="3" t="s">
        <v>82</v>
      </c>
      <c r="K118" s="3" t="str">
        <f t="shared" si="5"/>
        <v>HR</v>
      </c>
      <c r="L118" s="3" t="s">
        <v>40</v>
      </c>
      <c r="M118" s="4">
        <v>43195</v>
      </c>
      <c r="N118" s="4">
        <v>43195</v>
      </c>
      <c r="O118" s="3" t="s">
        <v>52</v>
      </c>
      <c r="P118" s="3">
        <v>71</v>
      </c>
      <c r="Q118" s="3" t="s">
        <v>373</v>
      </c>
      <c r="R118" s="3" t="s">
        <v>54</v>
      </c>
      <c r="S118" s="3" t="s">
        <v>72</v>
      </c>
      <c r="T118" s="3" t="str">
        <f t="shared" si="6"/>
        <v>Part-Time</v>
      </c>
      <c r="U118" s="3" t="s">
        <v>374</v>
      </c>
      <c r="V118" s="3">
        <v>8</v>
      </c>
      <c r="W118" s="3" t="s">
        <v>79</v>
      </c>
      <c r="Y118" s="4">
        <v>44990</v>
      </c>
      <c r="AB118" s="3" t="str" cm="1">
        <f t="array" ref="AB118">_xlfn.IFS(AA118="N","No",  AA118 = "Y", "Yes", TRUE, PROPER(TRIM(AA118)))</f>
        <v/>
      </c>
      <c r="AC118" s="3">
        <v>4</v>
      </c>
      <c r="AD118" s="3" t="s">
        <v>34</v>
      </c>
      <c r="AE118">
        <f t="shared" si="7"/>
        <v>0</v>
      </c>
    </row>
    <row r="119" spans="1:31" ht="14.25" customHeight="1" x14ac:dyDescent="0.35">
      <c r="A119" s="3" t="s">
        <v>375</v>
      </c>
      <c r="B119" s="3" t="s">
        <v>25</v>
      </c>
      <c r="C119" s="3" t="s">
        <v>63</v>
      </c>
      <c r="D119" s="3" t="s">
        <v>88</v>
      </c>
      <c r="E119" s="3">
        <f t="shared" si="4"/>
        <v>30</v>
      </c>
      <c r="F119" s="3">
        <v>1994</v>
      </c>
      <c r="G119" s="3" t="s">
        <v>50</v>
      </c>
      <c r="H119" s="12" cm="1">
        <f t="array" ref="H119">_xlfn.IFS(TRIM(G119)="SIXTY THOUSAND",60000,TRIM(G119)="NAN",AVERAGEIFS(G:G,J:J,J119,L:L,L119),TRUE,G119)</f>
        <v>60000</v>
      </c>
      <c r="I119" s="3" t="s">
        <v>38</v>
      </c>
      <c r="J119" s="3" t="s">
        <v>145</v>
      </c>
      <c r="K119" s="3" t="str">
        <f t="shared" si="5"/>
        <v>Sales</v>
      </c>
      <c r="L119" s="3" t="s">
        <v>94</v>
      </c>
      <c r="M119" s="4">
        <v>43800</v>
      </c>
      <c r="N119" s="4">
        <v>43800</v>
      </c>
      <c r="O119" s="3" t="s">
        <v>52</v>
      </c>
      <c r="P119" s="3">
        <v>77</v>
      </c>
      <c r="Q119" s="3" t="s">
        <v>65</v>
      </c>
      <c r="R119" s="3" t="s">
        <v>54</v>
      </c>
      <c r="S119" s="3" t="s">
        <v>32</v>
      </c>
      <c r="T119" s="3" t="str">
        <f t="shared" si="6"/>
        <v>Contract</v>
      </c>
      <c r="V119" s="3">
        <v>7</v>
      </c>
      <c r="AA119" s="3" t="s">
        <v>34</v>
      </c>
      <c r="AB119" s="3" t="str" cm="1">
        <f t="array" ref="AB119">_xlfn.IFS(AA119="N","No",  AA119 = "Y", "Yes", TRUE, PROPER(TRIM(AA119)))</f>
        <v>No</v>
      </c>
      <c r="AC119" s="3">
        <v>4</v>
      </c>
      <c r="AD119" s="3" t="s">
        <v>46</v>
      </c>
      <c r="AE119">
        <f t="shared" si="7"/>
        <v>1</v>
      </c>
    </row>
    <row r="120" spans="1:31" ht="14.25" customHeight="1" x14ac:dyDescent="0.35">
      <c r="A120" s="3" t="s">
        <v>376</v>
      </c>
      <c r="B120" s="3" t="s">
        <v>25</v>
      </c>
      <c r="C120" s="3" t="s">
        <v>377</v>
      </c>
      <c r="D120" s="3">
        <v>35</v>
      </c>
      <c r="E120" s="3">
        <f t="shared" si="4"/>
        <v>35</v>
      </c>
      <c r="F120" s="3">
        <v>1989</v>
      </c>
      <c r="G120" s="3">
        <v>70000</v>
      </c>
      <c r="H120" s="12" cm="1">
        <f t="array" ref="H120">_xlfn.IFS(TRIM(G120)="SIXTY THOUSAND",60000,TRIM(G120)="NAN",AVERAGEIFS(G:G,J:J,J120,L:L,L120),TRUE,G120)</f>
        <v>70000</v>
      </c>
      <c r="I120" s="3" t="s">
        <v>38</v>
      </c>
      <c r="J120" s="3" t="s">
        <v>70</v>
      </c>
      <c r="K120" s="3" t="str">
        <f t="shared" si="5"/>
        <v>Marketing</v>
      </c>
      <c r="L120" s="3" t="s">
        <v>40</v>
      </c>
      <c r="M120" s="4">
        <v>43800</v>
      </c>
      <c r="N120" s="4">
        <v>43800</v>
      </c>
      <c r="O120" s="3" t="s">
        <v>30</v>
      </c>
      <c r="P120" s="3">
        <v>62</v>
      </c>
      <c r="Q120" s="3" t="s">
        <v>378</v>
      </c>
      <c r="S120" s="3" t="s">
        <v>66</v>
      </c>
      <c r="T120" s="3" t="str">
        <f t="shared" si="6"/>
        <v>Contract</v>
      </c>
      <c r="V120" s="3">
        <v>2</v>
      </c>
      <c r="X120" s="3">
        <v>14</v>
      </c>
      <c r="AA120" s="3" t="s">
        <v>46</v>
      </c>
      <c r="AB120" s="3" t="str" cm="1">
        <f t="array" ref="AB120">_xlfn.IFS(AA120="N","No",  AA120 = "Y", "Yes", TRUE, PROPER(TRIM(AA120)))</f>
        <v>Yes</v>
      </c>
      <c r="AC120" s="3">
        <v>1</v>
      </c>
      <c r="AD120" s="3" t="s">
        <v>34</v>
      </c>
      <c r="AE120">
        <f t="shared" si="7"/>
        <v>0</v>
      </c>
    </row>
    <row r="121" spans="1:31" ht="14.25" customHeight="1" x14ac:dyDescent="0.35">
      <c r="A121" s="3" t="s">
        <v>379</v>
      </c>
      <c r="B121" s="3" t="s">
        <v>140</v>
      </c>
      <c r="C121" s="3" t="s">
        <v>380</v>
      </c>
      <c r="D121" s="3">
        <v>50</v>
      </c>
      <c r="E121" s="3">
        <f t="shared" si="4"/>
        <v>50</v>
      </c>
      <c r="F121" s="3">
        <v>1974</v>
      </c>
      <c r="G121" s="3">
        <v>65000</v>
      </c>
      <c r="H121" s="12" cm="1">
        <f t="array" ref="H121">_xlfn.IFS(TRIM(G121)="SIXTY THOUSAND",60000,TRIM(G121)="NAN",AVERAGEIFS(G:G,J:J,J121,L:L,L121),TRUE,G121)</f>
        <v>65000</v>
      </c>
      <c r="I121" s="3" t="s">
        <v>38</v>
      </c>
      <c r="J121" s="3" t="s">
        <v>51</v>
      </c>
      <c r="K121" s="3" t="str">
        <f t="shared" si="5"/>
        <v>Sales</v>
      </c>
      <c r="L121" s="3" t="s">
        <v>40</v>
      </c>
      <c r="M121" s="4">
        <v>43195</v>
      </c>
      <c r="N121" s="4">
        <v>43195</v>
      </c>
      <c r="O121" s="3" t="s">
        <v>78</v>
      </c>
      <c r="P121" s="3">
        <v>88</v>
      </c>
      <c r="Q121" s="3" t="s">
        <v>381</v>
      </c>
      <c r="R121" s="3" t="s">
        <v>61</v>
      </c>
      <c r="S121" s="3" t="s">
        <v>174</v>
      </c>
      <c r="T121" s="3" t="str">
        <f t="shared" si="6"/>
        <v>Full-Time</v>
      </c>
      <c r="V121" s="3">
        <v>5</v>
      </c>
      <c r="X121" s="3">
        <v>2</v>
      </c>
      <c r="AA121" s="3" t="s">
        <v>46</v>
      </c>
      <c r="AB121" s="3" t="str" cm="1">
        <f t="array" ref="AB121">_xlfn.IFS(AA121="N","No",  AA121 = "Y", "Yes", TRUE, PROPER(TRIM(AA121)))</f>
        <v>Yes</v>
      </c>
      <c r="AC121" s="3">
        <v>4</v>
      </c>
      <c r="AD121" s="3" t="s">
        <v>46</v>
      </c>
      <c r="AE121">
        <f t="shared" si="7"/>
        <v>1</v>
      </c>
    </row>
    <row r="122" spans="1:31" ht="14.25" customHeight="1" x14ac:dyDescent="0.35">
      <c r="A122" s="3" t="s">
        <v>382</v>
      </c>
      <c r="B122" s="3" t="s">
        <v>68</v>
      </c>
      <c r="C122" s="3" t="s">
        <v>324</v>
      </c>
      <c r="D122" s="3" t="s">
        <v>88</v>
      </c>
      <c r="E122" s="3">
        <f t="shared" si="4"/>
        <v>30</v>
      </c>
      <c r="F122" s="3">
        <v>1994</v>
      </c>
      <c r="G122" s="3" t="s">
        <v>50</v>
      </c>
      <c r="H122" s="12" cm="1">
        <f t="array" ref="H122">_xlfn.IFS(TRIM(G122)="SIXTY THOUSAND",60000,TRIM(G122)="NAN",AVERAGEIFS(G:G,J:J,J122,L:L,L122),TRUE,G122)</f>
        <v>60000</v>
      </c>
      <c r="I122" s="3" t="s">
        <v>38</v>
      </c>
      <c r="J122" s="3" t="s">
        <v>64</v>
      </c>
      <c r="K122" s="3" t="str">
        <f t="shared" si="5"/>
        <v>Finance</v>
      </c>
      <c r="L122" s="3" t="s">
        <v>77</v>
      </c>
      <c r="M122" s="4">
        <v>43845</v>
      </c>
      <c r="N122" s="4">
        <v>43845</v>
      </c>
      <c r="O122" s="3" t="s">
        <v>59</v>
      </c>
      <c r="P122" s="3">
        <v>97</v>
      </c>
      <c r="Q122" s="3" t="s">
        <v>325</v>
      </c>
      <c r="R122" s="3" t="s">
        <v>43</v>
      </c>
      <c r="S122" s="3" t="s">
        <v>174</v>
      </c>
      <c r="T122" s="3" t="str">
        <f t="shared" si="6"/>
        <v>Full-Time</v>
      </c>
      <c r="V122" s="3">
        <v>8</v>
      </c>
      <c r="X122" s="3">
        <v>12</v>
      </c>
      <c r="Y122" s="4">
        <v>44470</v>
      </c>
      <c r="AA122" s="3" t="s">
        <v>73</v>
      </c>
      <c r="AB122" s="3" t="str" cm="1">
        <f t="array" ref="AB122">_xlfn.IFS(AA122="N","No",  AA122 = "Y", "Yes", TRUE, PROPER(TRIM(AA122)))</f>
        <v>No</v>
      </c>
      <c r="AC122" s="3">
        <v>3</v>
      </c>
      <c r="AD122" s="3" t="s">
        <v>34</v>
      </c>
      <c r="AE122">
        <f t="shared" si="7"/>
        <v>0</v>
      </c>
    </row>
    <row r="123" spans="1:31" ht="14.25" customHeight="1" x14ac:dyDescent="0.35">
      <c r="A123" s="3" t="s">
        <v>383</v>
      </c>
      <c r="B123" s="3" t="s">
        <v>68</v>
      </c>
      <c r="C123" s="3" t="s">
        <v>318</v>
      </c>
      <c r="E123" s="3">
        <f t="shared" si="4"/>
        <v>47</v>
      </c>
      <c r="F123" s="3">
        <v>1977</v>
      </c>
      <c r="G123" s="3">
        <v>55000</v>
      </c>
      <c r="H123" s="12" cm="1">
        <f t="array" ref="H123">_xlfn.IFS(TRIM(G123)="SIXTY THOUSAND",60000,TRIM(G123)="NAN",AVERAGEIFS(G:G,J:J,J123,L:L,L123),TRUE,G123)</f>
        <v>55000</v>
      </c>
      <c r="I123" s="3" t="s">
        <v>38</v>
      </c>
      <c r="J123" s="3" t="s">
        <v>64</v>
      </c>
      <c r="K123" s="3" t="str">
        <f t="shared" si="5"/>
        <v>Finance</v>
      </c>
      <c r="L123" s="3" t="s">
        <v>29</v>
      </c>
      <c r="M123" s="4">
        <v>43195</v>
      </c>
      <c r="N123" s="4">
        <v>43195</v>
      </c>
      <c r="O123" s="3" t="s">
        <v>41</v>
      </c>
      <c r="P123" s="3">
        <v>28</v>
      </c>
      <c r="Q123" s="3" t="s">
        <v>319</v>
      </c>
      <c r="R123" s="3" t="s">
        <v>43</v>
      </c>
      <c r="S123" s="3" t="s">
        <v>174</v>
      </c>
      <c r="T123" s="3" t="str">
        <f t="shared" si="6"/>
        <v>Full-Time</v>
      </c>
      <c r="V123" s="3">
        <v>3</v>
      </c>
      <c r="Z123" s="3">
        <v>32</v>
      </c>
      <c r="AA123" s="3" t="s">
        <v>46</v>
      </c>
      <c r="AB123" s="3" t="str" cm="1">
        <f t="array" ref="AB123">_xlfn.IFS(AA123="N","No",  AA123 = "Y", "Yes", TRUE, PROPER(TRIM(AA123)))</f>
        <v>Yes</v>
      </c>
      <c r="AC123" s="3">
        <v>2</v>
      </c>
      <c r="AD123" s="3" t="s">
        <v>46</v>
      </c>
      <c r="AE123">
        <f t="shared" si="7"/>
        <v>1</v>
      </c>
    </row>
    <row r="124" spans="1:31" ht="14.25" customHeight="1" x14ac:dyDescent="0.35">
      <c r="A124" s="3" t="s">
        <v>384</v>
      </c>
      <c r="B124" s="3" t="s">
        <v>75</v>
      </c>
      <c r="C124" s="3" t="s">
        <v>151</v>
      </c>
      <c r="D124" s="3">
        <v>25</v>
      </c>
      <c r="E124" s="3">
        <f t="shared" si="4"/>
        <v>25</v>
      </c>
      <c r="F124" s="3">
        <v>1999</v>
      </c>
      <c r="G124" s="3">
        <v>65000</v>
      </c>
      <c r="H124" s="12" cm="1">
        <f t="array" ref="H124">_xlfn.IFS(TRIM(G124)="SIXTY THOUSAND",60000,TRIM(G124)="NAN",AVERAGEIFS(G:G,J:J,J124,L:L,L124),TRUE,G124)</f>
        <v>65000</v>
      </c>
      <c r="I124" s="3" t="s">
        <v>38</v>
      </c>
      <c r="J124" s="3" t="s">
        <v>145</v>
      </c>
      <c r="K124" s="3" t="str">
        <f t="shared" si="5"/>
        <v>Sales</v>
      </c>
      <c r="L124" s="3" t="s">
        <v>29</v>
      </c>
      <c r="M124" s="4">
        <v>43845</v>
      </c>
      <c r="N124" s="4">
        <v>43845</v>
      </c>
      <c r="O124" s="3" t="s">
        <v>59</v>
      </c>
      <c r="P124" s="3">
        <v>94</v>
      </c>
      <c r="Q124" s="3" t="s">
        <v>152</v>
      </c>
      <c r="R124" s="3" t="s">
        <v>43</v>
      </c>
      <c r="S124" s="3" t="s">
        <v>44</v>
      </c>
      <c r="T124" s="3" t="str">
        <f t="shared" si="6"/>
        <v>Full-Time</v>
      </c>
      <c r="V124" s="3">
        <v>4</v>
      </c>
      <c r="Z124" s="3">
        <v>20</v>
      </c>
      <c r="AA124" s="3" t="s">
        <v>46</v>
      </c>
      <c r="AB124" s="3" t="str" cm="1">
        <f t="array" ref="AB124">_xlfn.IFS(AA124="N","No",  AA124 = "Y", "Yes", TRUE, PROPER(TRIM(AA124)))</f>
        <v>Yes</v>
      </c>
      <c r="AC124" s="3">
        <v>4</v>
      </c>
      <c r="AD124" s="3" t="s">
        <v>34</v>
      </c>
      <c r="AE124">
        <f t="shared" si="7"/>
        <v>0</v>
      </c>
    </row>
    <row r="125" spans="1:31" ht="14.25" customHeight="1" x14ac:dyDescent="0.35">
      <c r="A125" s="3" t="s">
        <v>385</v>
      </c>
      <c r="B125" s="3" t="s">
        <v>25</v>
      </c>
      <c r="C125" s="3" t="s">
        <v>289</v>
      </c>
      <c r="E125" s="3">
        <f t="shared" si="4"/>
        <v>33</v>
      </c>
      <c r="F125" s="3">
        <v>1991</v>
      </c>
      <c r="G125" s="3">
        <v>61300</v>
      </c>
      <c r="H125" s="12" cm="1">
        <f t="array" ref="H125">_xlfn.IFS(TRIM(G125)="SIXTY THOUSAND",60000,TRIM(G125)="NAN",AVERAGEIFS(G:G,J:J,J125,L:L,L125),TRUE,G125)</f>
        <v>61300</v>
      </c>
      <c r="I125" s="3" t="s">
        <v>27</v>
      </c>
      <c r="J125" s="3" t="s">
        <v>64</v>
      </c>
      <c r="K125" s="3" t="str">
        <f t="shared" si="5"/>
        <v>Finance</v>
      </c>
      <c r="L125" s="3" t="s">
        <v>77</v>
      </c>
      <c r="M125" s="4">
        <v>43881</v>
      </c>
      <c r="N125" s="4">
        <v>43881</v>
      </c>
      <c r="O125" s="3" t="s">
        <v>41</v>
      </c>
      <c r="P125" s="3">
        <v>4</v>
      </c>
      <c r="Q125" s="3" t="s">
        <v>290</v>
      </c>
      <c r="R125" s="3" t="s">
        <v>54</v>
      </c>
      <c r="S125" s="3" t="s">
        <v>72</v>
      </c>
      <c r="T125" s="3" t="str">
        <f t="shared" si="6"/>
        <v>Part-Time</v>
      </c>
      <c r="V125" s="3">
        <v>1</v>
      </c>
      <c r="Z125" s="3">
        <v>31</v>
      </c>
      <c r="AB125" s="3" t="str" cm="1">
        <f t="array" ref="AB125">_xlfn.IFS(AA125="N","No",  AA125 = "Y", "Yes", TRUE, PROPER(TRIM(AA125)))</f>
        <v/>
      </c>
      <c r="AC125" s="3">
        <v>1</v>
      </c>
      <c r="AD125" s="3" t="s">
        <v>46</v>
      </c>
      <c r="AE125">
        <f t="shared" si="7"/>
        <v>1</v>
      </c>
    </row>
    <row r="126" spans="1:31" ht="14.25" customHeight="1" x14ac:dyDescent="0.35">
      <c r="A126" s="3" t="s">
        <v>386</v>
      </c>
      <c r="B126" s="3" t="s">
        <v>131</v>
      </c>
      <c r="C126" s="3" t="s">
        <v>158</v>
      </c>
      <c r="D126" s="3" t="s">
        <v>88</v>
      </c>
      <c r="E126" s="3">
        <f t="shared" si="4"/>
        <v>30</v>
      </c>
      <c r="F126" s="3">
        <v>1994</v>
      </c>
      <c r="G126" s="3">
        <v>55000</v>
      </c>
      <c r="H126" s="12" cm="1">
        <f t="array" ref="H126">_xlfn.IFS(TRIM(G126)="SIXTY THOUSAND",60000,TRIM(G126)="NAN",AVERAGEIFS(G:G,J:J,J126,L:L,L126),TRUE,G126)</f>
        <v>55000</v>
      </c>
      <c r="I126" s="3" t="s">
        <v>38</v>
      </c>
      <c r="J126" s="3" t="s">
        <v>93</v>
      </c>
      <c r="K126" s="3" t="str">
        <f t="shared" si="5"/>
        <v>Marketing</v>
      </c>
      <c r="L126" s="3" t="s">
        <v>77</v>
      </c>
      <c r="M126" s="4">
        <v>43845</v>
      </c>
      <c r="N126" s="4">
        <v>43845</v>
      </c>
      <c r="O126" s="3" t="s">
        <v>52</v>
      </c>
      <c r="P126" s="3">
        <v>74</v>
      </c>
      <c r="Q126" s="3" t="s">
        <v>387</v>
      </c>
      <c r="S126" s="3" t="s">
        <v>174</v>
      </c>
      <c r="T126" s="3" t="str">
        <f t="shared" si="6"/>
        <v>Full-Time</v>
      </c>
      <c r="V126" s="3">
        <v>5</v>
      </c>
      <c r="Y126" s="4">
        <v>45516</v>
      </c>
      <c r="AA126" s="3" t="s">
        <v>73</v>
      </c>
      <c r="AB126" s="3" t="str" cm="1">
        <f t="array" ref="AB126">_xlfn.IFS(AA126="N","No",  AA126 = "Y", "Yes", TRUE, PROPER(TRIM(AA126)))</f>
        <v>No</v>
      </c>
      <c r="AC126" s="3">
        <v>1</v>
      </c>
      <c r="AD126" s="3" t="s">
        <v>46</v>
      </c>
      <c r="AE126">
        <f t="shared" si="7"/>
        <v>1</v>
      </c>
    </row>
    <row r="127" spans="1:31" ht="14.25" customHeight="1" x14ac:dyDescent="0.35">
      <c r="A127" s="3" t="s">
        <v>388</v>
      </c>
      <c r="B127" s="3" t="s">
        <v>36</v>
      </c>
      <c r="C127" s="3" t="s">
        <v>156</v>
      </c>
      <c r="D127" s="3">
        <v>40</v>
      </c>
      <c r="E127" s="3">
        <f t="shared" si="4"/>
        <v>40</v>
      </c>
      <c r="F127" s="3">
        <v>1984</v>
      </c>
      <c r="G127" s="3">
        <v>55000</v>
      </c>
      <c r="H127" s="12" cm="1">
        <f t="array" ref="H127">_xlfn.IFS(TRIM(G127)="SIXTY THOUSAND",60000,TRIM(G127)="NAN",AVERAGEIFS(G:G,J:J,J127,L:L,L127),TRUE,G127)</f>
        <v>55000</v>
      </c>
      <c r="I127" s="3" t="s">
        <v>27</v>
      </c>
      <c r="J127" s="3" t="s">
        <v>122</v>
      </c>
      <c r="K127" s="3" t="str">
        <f t="shared" si="5"/>
        <v>IT</v>
      </c>
      <c r="L127" s="3" t="s">
        <v>77</v>
      </c>
      <c r="M127" s="4">
        <v>43881</v>
      </c>
      <c r="N127" s="4">
        <v>43881</v>
      </c>
      <c r="O127" s="3" t="s">
        <v>59</v>
      </c>
      <c r="P127" s="3">
        <v>98</v>
      </c>
      <c r="Q127" s="3" t="s">
        <v>184</v>
      </c>
      <c r="R127" s="3" t="s">
        <v>104</v>
      </c>
      <c r="S127" s="3" t="s">
        <v>44</v>
      </c>
      <c r="T127" s="3" t="str">
        <f t="shared" si="6"/>
        <v>Full-Time</v>
      </c>
      <c r="U127" s="3" t="s">
        <v>178</v>
      </c>
      <c r="V127" s="3">
        <v>7</v>
      </c>
      <c r="X127" s="3">
        <v>3</v>
      </c>
      <c r="Y127" s="4">
        <v>44732</v>
      </c>
      <c r="AA127" s="3" t="s">
        <v>46</v>
      </c>
      <c r="AB127" s="3" t="str" cm="1">
        <f t="array" ref="AB127">_xlfn.IFS(AA127="N","No",  AA127 = "Y", "Yes", TRUE, PROPER(TRIM(AA127)))</f>
        <v>Yes</v>
      </c>
      <c r="AC127" s="3">
        <v>3</v>
      </c>
      <c r="AD127" s="3" t="s">
        <v>34</v>
      </c>
      <c r="AE127">
        <f t="shared" si="7"/>
        <v>0</v>
      </c>
    </row>
    <row r="128" spans="1:31" ht="14.25" customHeight="1" x14ac:dyDescent="0.35">
      <c r="A128" s="3" t="s">
        <v>389</v>
      </c>
      <c r="B128" s="3" t="s">
        <v>36</v>
      </c>
      <c r="C128" s="3" t="s">
        <v>117</v>
      </c>
      <c r="D128" s="3">
        <v>25</v>
      </c>
      <c r="E128" s="3">
        <f t="shared" si="4"/>
        <v>25</v>
      </c>
      <c r="F128" s="3">
        <v>1999</v>
      </c>
      <c r="G128" s="3">
        <v>50000</v>
      </c>
      <c r="H128" s="12" cm="1">
        <f t="array" ref="H128">_xlfn.IFS(TRIM(G128)="SIXTY THOUSAND",60000,TRIM(G128)="NAN",AVERAGEIFS(G:G,J:J,J128,L:L,L128),TRUE,G128)</f>
        <v>50000</v>
      </c>
      <c r="I128" s="3" t="s">
        <v>27</v>
      </c>
      <c r="J128" s="3" t="s">
        <v>39</v>
      </c>
      <c r="K128" s="3" t="str">
        <f t="shared" si="5"/>
        <v>Finance</v>
      </c>
      <c r="L128" s="3" t="s">
        <v>29</v>
      </c>
      <c r="M128" s="4">
        <v>43881</v>
      </c>
      <c r="N128" s="4">
        <v>43881</v>
      </c>
      <c r="O128" s="3" t="s">
        <v>30</v>
      </c>
      <c r="P128" s="3">
        <v>61</v>
      </c>
      <c r="Q128" s="3" t="s">
        <v>390</v>
      </c>
      <c r="R128" s="3" t="s">
        <v>54</v>
      </c>
      <c r="S128" s="3" t="s">
        <v>174</v>
      </c>
      <c r="T128" s="3" t="str">
        <f t="shared" si="6"/>
        <v>Full-Time</v>
      </c>
      <c r="V128" s="3">
        <v>2</v>
      </c>
      <c r="X128" s="3">
        <v>19</v>
      </c>
      <c r="AA128" s="3" t="s">
        <v>46</v>
      </c>
      <c r="AB128" s="3" t="str" cm="1">
        <f t="array" ref="AB128">_xlfn.IFS(AA128="N","No",  AA128 = "Y", "Yes", TRUE, PROPER(TRIM(AA128)))</f>
        <v>Yes</v>
      </c>
      <c r="AC128" s="3">
        <v>3</v>
      </c>
      <c r="AD128" s="3" t="s">
        <v>34</v>
      </c>
      <c r="AE128">
        <f t="shared" si="7"/>
        <v>0</v>
      </c>
    </row>
    <row r="129" spans="1:31" ht="14.25" customHeight="1" x14ac:dyDescent="0.35">
      <c r="A129" s="3" t="s">
        <v>391</v>
      </c>
      <c r="B129" s="3" t="s">
        <v>56</v>
      </c>
      <c r="C129" s="3" t="s">
        <v>271</v>
      </c>
      <c r="D129" s="3">
        <v>25</v>
      </c>
      <c r="E129" s="3">
        <f t="shared" si="4"/>
        <v>25</v>
      </c>
      <c r="F129" s="3">
        <v>1999</v>
      </c>
      <c r="G129" s="3">
        <v>70000</v>
      </c>
      <c r="H129" s="12" cm="1">
        <f t="array" ref="H129">_xlfn.IFS(TRIM(G129)="SIXTY THOUSAND",60000,TRIM(G129)="NAN",AVERAGEIFS(G:G,J:J,J129,L:L,L129),TRUE,G129)</f>
        <v>70000</v>
      </c>
      <c r="I129" s="3" t="s">
        <v>38</v>
      </c>
      <c r="J129" s="3" t="s">
        <v>64</v>
      </c>
      <c r="K129" s="3" t="str">
        <f t="shared" si="5"/>
        <v>Finance</v>
      </c>
      <c r="L129" s="3" t="s">
        <v>40</v>
      </c>
      <c r="M129" s="4">
        <v>43845</v>
      </c>
      <c r="N129" s="4">
        <v>43845</v>
      </c>
      <c r="O129" s="3" t="s">
        <v>78</v>
      </c>
      <c r="P129" s="3">
        <v>85</v>
      </c>
      <c r="Q129" s="3" t="s">
        <v>392</v>
      </c>
      <c r="R129" s="3" t="s">
        <v>104</v>
      </c>
      <c r="S129" s="3" t="s">
        <v>66</v>
      </c>
      <c r="T129" s="3" t="str">
        <f t="shared" si="6"/>
        <v>Contract</v>
      </c>
      <c r="V129" s="3">
        <v>5</v>
      </c>
      <c r="Z129" s="3">
        <v>79</v>
      </c>
      <c r="AA129" s="3" t="s">
        <v>46</v>
      </c>
      <c r="AB129" s="3" t="str" cm="1">
        <f t="array" ref="AB129">_xlfn.IFS(AA129="N","No",  AA129 = "Y", "Yes", TRUE, PROPER(TRIM(AA129)))</f>
        <v>Yes</v>
      </c>
      <c r="AC129" s="3">
        <v>4</v>
      </c>
      <c r="AD129" s="3" t="s">
        <v>34</v>
      </c>
      <c r="AE129">
        <f t="shared" si="7"/>
        <v>0</v>
      </c>
    </row>
    <row r="130" spans="1:31" ht="14.25" customHeight="1" x14ac:dyDescent="0.35">
      <c r="A130" s="3" t="s">
        <v>393</v>
      </c>
      <c r="B130" s="3" t="s">
        <v>25</v>
      </c>
      <c r="C130" s="3" t="s">
        <v>63</v>
      </c>
      <c r="D130" s="3">
        <v>35</v>
      </c>
      <c r="E130" s="3">
        <f t="shared" ref="E130:E193" si="8">2024-F130</f>
        <v>35</v>
      </c>
      <c r="F130" s="3">
        <v>1989</v>
      </c>
      <c r="G130" s="3">
        <v>65000</v>
      </c>
      <c r="H130" s="12" cm="1">
        <f t="array" ref="H130">_xlfn.IFS(TRIM(G130)="SIXTY THOUSAND",60000,TRIM(G130)="NAN",AVERAGEIFS(G:G,J:J,J130,L:L,L130),TRUE,G130)</f>
        <v>65000</v>
      </c>
      <c r="I130" s="3" t="s">
        <v>38</v>
      </c>
      <c r="J130" s="3" t="s">
        <v>145</v>
      </c>
      <c r="K130" s="3" t="str">
        <f t="shared" ref="K130:K193" si="9">IF(OR(J130="HR",J130="IT"),UPPER(J130),PROPER(J130))</f>
        <v>Sales</v>
      </c>
      <c r="L130" s="3" t="s">
        <v>77</v>
      </c>
      <c r="M130" s="4">
        <v>43549</v>
      </c>
      <c r="N130" s="4">
        <v>43549</v>
      </c>
      <c r="O130" s="3" t="s">
        <v>30</v>
      </c>
      <c r="P130" s="3">
        <v>66</v>
      </c>
      <c r="Q130" s="3" t="s">
        <v>65</v>
      </c>
      <c r="S130" s="3" t="s">
        <v>112</v>
      </c>
      <c r="T130" s="3" t="str">
        <f t="shared" ref="T130:T193" si="10">PROPER(S130)</f>
        <v>Full-Time</v>
      </c>
      <c r="V130" s="3">
        <v>3</v>
      </c>
      <c r="X130" s="3">
        <v>15</v>
      </c>
      <c r="Z130" s="3">
        <v>20</v>
      </c>
      <c r="AA130" s="3" t="s">
        <v>46</v>
      </c>
      <c r="AB130" s="3" t="str" cm="1">
        <f t="array" ref="AB130">_xlfn.IFS(AA130="N","No",  AA130 = "Y", "Yes", TRUE, PROPER(TRIM(AA130)))</f>
        <v>Yes</v>
      </c>
      <c r="AC130" s="3">
        <v>5</v>
      </c>
      <c r="AD130" s="3" t="s">
        <v>34</v>
      </c>
      <c r="AE130">
        <f t="shared" si="7"/>
        <v>0</v>
      </c>
    </row>
    <row r="131" spans="1:31" ht="14.25" customHeight="1" x14ac:dyDescent="0.35">
      <c r="A131" s="3" t="s">
        <v>394</v>
      </c>
      <c r="B131" s="3" t="s">
        <v>25</v>
      </c>
      <c r="C131" s="3" t="s">
        <v>395</v>
      </c>
      <c r="D131" s="3">
        <v>35</v>
      </c>
      <c r="E131" s="3">
        <f t="shared" si="8"/>
        <v>35</v>
      </c>
      <c r="F131" s="3">
        <v>1989</v>
      </c>
      <c r="G131" s="3">
        <v>55000</v>
      </c>
      <c r="H131" s="12" cm="1">
        <f t="array" ref="H131">_xlfn.IFS(TRIM(G131)="SIXTY THOUSAND",60000,TRIM(G131)="NAN",AVERAGEIFS(G:G,J:J,J131,L:L,L131),TRUE,G131)</f>
        <v>55000</v>
      </c>
      <c r="I131" s="3" t="s">
        <v>38</v>
      </c>
      <c r="J131" s="3" t="s">
        <v>70</v>
      </c>
      <c r="K131" s="3" t="str">
        <f t="shared" si="9"/>
        <v>Marketing</v>
      </c>
      <c r="L131" s="3" t="s">
        <v>94</v>
      </c>
      <c r="M131" s="4">
        <v>43845</v>
      </c>
      <c r="N131" s="4">
        <v>43845</v>
      </c>
      <c r="O131" s="3" t="s">
        <v>78</v>
      </c>
      <c r="P131" s="3">
        <v>80</v>
      </c>
      <c r="Q131" s="3" t="s">
        <v>396</v>
      </c>
      <c r="R131" s="3" t="s">
        <v>61</v>
      </c>
      <c r="S131" s="3" t="s">
        <v>66</v>
      </c>
      <c r="T131" s="3" t="str">
        <f t="shared" si="10"/>
        <v>Contract</v>
      </c>
      <c r="V131" s="3">
        <v>7</v>
      </c>
      <c r="X131" s="3">
        <v>17</v>
      </c>
      <c r="AA131" s="3" t="s">
        <v>46</v>
      </c>
      <c r="AB131" s="3" t="str" cm="1">
        <f t="array" ref="AB131">_xlfn.IFS(AA131="N","No",  AA131 = "Y", "Yes", TRUE, PROPER(TRIM(AA131)))</f>
        <v>Yes</v>
      </c>
      <c r="AC131" s="3">
        <v>2</v>
      </c>
      <c r="AD131" s="3" t="s">
        <v>46</v>
      </c>
      <c r="AE131">
        <f t="shared" ref="AE131:AE194" si="11">IF(AD131="Yes",1,0)</f>
        <v>1</v>
      </c>
    </row>
    <row r="132" spans="1:31" ht="14.25" customHeight="1" x14ac:dyDescent="0.35">
      <c r="A132" s="3" t="s">
        <v>397</v>
      </c>
      <c r="B132" s="3" t="s">
        <v>36</v>
      </c>
      <c r="C132" s="3" t="s">
        <v>189</v>
      </c>
      <c r="D132" s="3">
        <v>40</v>
      </c>
      <c r="E132" s="3">
        <f t="shared" si="8"/>
        <v>40</v>
      </c>
      <c r="F132" s="3">
        <v>1984</v>
      </c>
      <c r="G132" s="3">
        <v>50000</v>
      </c>
      <c r="H132" s="12" cm="1">
        <f t="array" ref="H132">_xlfn.IFS(TRIM(G132)="SIXTY THOUSAND",60000,TRIM(G132)="NAN",AVERAGEIFS(G:G,J:J,J132,L:L,L132),TRUE,G132)</f>
        <v>50000</v>
      </c>
      <c r="I132" s="3" t="s">
        <v>27</v>
      </c>
      <c r="J132" s="3" t="s">
        <v>122</v>
      </c>
      <c r="K132" s="3" t="str">
        <f t="shared" si="9"/>
        <v>IT</v>
      </c>
      <c r="L132" s="3" t="s">
        <v>77</v>
      </c>
      <c r="M132" s="4">
        <v>43800</v>
      </c>
      <c r="N132" s="4">
        <v>43800</v>
      </c>
      <c r="O132" s="3" t="s">
        <v>59</v>
      </c>
      <c r="P132" s="3">
        <v>90</v>
      </c>
      <c r="Q132" s="3" t="s">
        <v>398</v>
      </c>
      <c r="R132" s="3" t="s">
        <v>43</v>
      </c>
      <c r="S132" s="3" t="s">
        <v>44</v>
      </c>
      <c r="T132" s="3" t="str">
        <f t="shared" si="10"/>
        <v>Full-Time</v>
      </c>
      <c r="U132" s="3" t="s">
        <v>399</v>
      </c>
      <c r="V132" s="3">
        <v>2</v>
      </c>
      <c r="X132" s="3">
        <v>7</v>
      </c>
      <c r="Y132" s="3" t="s">
        <v>79</v>
      </c>
      <c r="AA132" s="3" t="s">
        <v>34</v>
      </c>
      <c r="AB132" s="3" t="str" cm="1">
        <f t="array" ref="AB132">_xlfn.IFS(AA132="N","No",  AA132 = "Y", "Yes", TRUE, PROPER(TRIM(AA132)))</f>
        <v>No</v>
      </c>
      <c r="AC132" s="3">
        <v>3</v>
      </c>
      <c r="AD132" s="3" t="s">
        <v>34</v>
      </c>
      <c r="AE132">
        <f t="shared" si="11"/>
        <v>0</v>
      </c>
    </row>
    <row r="133" spans="1:31" ht="14.25" customHeight="1" x14ac:dyDescent="0.35">
      <c r="A133" s="3" t="s">
        <v>400</v>
      </c>
      <c r="B133" s="3" t="s">
        <v>25</v>
      </c>
      <c r="C133" s="3" t="s">
        <v>81</v>
      </c>
      <c r="D133" s="3">
        <v>50</v>
      </c>
      <c r="E133" s="3">
        <f t="shared" si="8"/>
        <v>50</v>
      </c>
      <c r="F133" s="3">
        <v>1974</v>
      </c>
      <c r="G133" s="3">
        <v>58300</v>
      </c>
      <c r="H133" s="12" cm="1">
        <f t="array" ref="H133">_xlfn.IFS(TRIM(G133)="SIXTY THOUSAND",60000,TRIM(G133)="NAN",AVERAGEIFS(G:G,J:J,J133,L:L,L133),TRUE,G133)</f>
        <v>58300</v>
      </c>
      <c r="I133" s="3" t="s">
        <v>27</v>
      </c>
      <c r="J133" s="3" t="s">
        <v>51</v>
      </c>
      <c r="K133" s="3" t="str">
        <f t="shared" si="9"/>
        <v>Sales</v>
      </c>
      <c r="L133" s="3" t="s">
        <v>89</v>
      </c>
      <c r="M133" s="4">
        <v>43800</v>
      </c>
      <c r="N133" s="4">
        <v>43800</v>
      </c>
      <c r="O133" s="3" t="s">
        <v>59</v>
      </c>
      <c r="P133" s="3">
        <v>96</v>
      </c>
      <c r="Q133" s="3" t="s">
        <v>401</v>
      </c>
      <c r="R133" s="3" t="s">
        <v>104</v>
      </c>
      <c r="S133" s="3" t="s">
        <v>72</v>
      </c>
      <c r="T133" s="3" t="str">
        <f t="shared" si="10"/>
        <v>Part-Time</v>
      </c>
      <c r="V133" s="3">
        <v>2</v>
      </c>
      <c r="Y133" s="4">
        <v>44990</v>
      </c>
      <c r="AA133" s="3" t="s">
        <v>46</v>
      </c>
      <c r="AB133" s="3" t="str" cm="1">
        <f t="array" ref="AB133">_xlfn.IFS(AA133="N","No",  AA133 = "Y", "Yes", TRUE, PROPER(TRIM(AA133)))</f>
        <v>Yes</v>
      </c>
      <c r="AC133" s="3">
        <v>4</v>
      </c>
      <c r="AD133" s="3" t="s">
        <v>46</v>
      </c>
      <c r="AE133">
        <f t="shared" si="11"/>
        <v>1</v>
      </c>
    </row>
    <row r="134" spans="1:31" ht="14.25" customHeight="1" x14ac:dyDescent="0.35">
      <c r="A134" s="3" t="s">
        <v>402</v>
      </c>
      <c r="B134" s="3" t="s">
        <v>75</v>
      </c>
      <c r="C134" s="3" t="s">
        <v>403</v>
      </c>
      <c r="D134" s="3">
        <v>25</v>
      </c>
      <c r="E134" s="3">
        <f t="shared" si="8"/>
        <v>25</v>
      </c>
      <c r="F134" s="3">
        <v>1999</v>
      </c>
      <c r="G134" s="3" t="s">
        <v>50</v>
      </c>
      <c r="H134" s="12" cm="1">
        <f t="array" ref="H134">_xlfn.IFS(TRIM(G134)="SIXTY THOUSAND",60000,TRIM(G134)="NAN",AVERAGEIFS(G:G,J:J,J134,L:L,L134),TRUE,G134)</f>
        <v>60000</v>
      </c>
      <c r="I134" s="3" t="s">
        <v>27</v>
      </c>
      <c r="J134" s="3" t="s">
        <v>145</v>
      </c>
      <c r="K134" s="3" t="str">
        <f t="shared" si="9"/>
        <v>Sales</v>
      </c>
      <c r="L134" s="3" t="s">
        <v>77</v>
      </c>
      <c r="M134" s="4">
        <v>43549</v>
      </c>
      <c r="N134" s="4">
        <v>43549</v>
      </c>
      <c r="O134" s="3" t="s">
        <v>78</v>
      </c>
      <c r="P134" s="3">
        <v>87</v>
      </c>
      <c r="Q134" s="3" t="s">
        <v>404</v>
      </c>
      <c r="R134" s="3" t="s">
        <v>54</v>
      </c>
      <c r="S134" s="3" t="s">
        <v>100</v>
      </c>
      <c r="T134" s="3" t="str">
        <f t="shared" si="10"/>
        <v>Part-Time</v>
      </c>
      <c r="V134" s="3">
        <v>5</v>
      </c>
      <c r="W134" s="3">
        <v>12</v>
      </c>
      <c r="X134" s="3">
        <v>1</v>
      </c>
      <c r="Y134" s="3" t="s">
        <v>79</v>
      </c>
      <c r="Z134" s="3">
        <v>19</v>
      </c>
      <c r="AA134" s="3" t="s">
        <v>46</v>
      </c>
      <c r="AB134" s="3" t="str" cm="1">
        <f t="array" ref="AB134">_xlfn.IFS(AA134="N","No",  AA134 = "Y", "Yes", TRUE, PROPER(TRIM(AA134)))</f>
        <v>Yes</v>
      </c>
      <c r="AC134" s="3">
        <v>5</v>
      </c>
      <c r="AD134" s="3" t="s">
        <v>34</v>
      </c>
      <c r="AE134">
        <f t="shared" si="11"/>
        <v>0</v>
      </c>
    </row>
    <row r="135" spans="1:31" ht="14.25" customHeight="1" x14ac:dyDescent="0.35">
      <c r="A135" s="3" t="s">
        <v>405</v>
      </c>
      <c r="B135" s="3" t="s">
        <v>107</v>
      </c>
      <c r="C135" s="3" t="s">
        <v>359</v>
      </c>
      <c r="D135" s="3">
        <v>40</v>
      </c>
      <c r="E135" s="3">
        <f t="shared" si="8"/>
        <v>40</v>
      </c>
      <c r="F135" s="3">
        <v>1984</v>
      </c>
      <c r="G135" s="3">
        <v>65000</v>
      </c>
      <c r="H135" s="12" cm="1">
        <f t="array" ref="H135">_xlfn.IFS(TRIM(G135)="SIXTY THOUSAND",60000,TRIM(G135)="NAN",AVERAGEIFS(G:G,J:J,J135,L:L,L135),TRUE,G135)</f>
        <v>65000</v>
      </c>
      <c r="I135" s="3" t="s">
        <v>38</v>
      </c>
      <c r="J135" s="3" t="s">
        <v>70</v>
      </c>
      <c r="K135" s="3" t="str">
        <f t="shared" si="9"/>
        <v>Marketing</v>
      </c>
      <c r="L135" s="3" t="s">
        <v>29</v>
      </c>
      <c r="M135" s="4">
        <v>43881</v>
      </c>
      <c r="N135" s="4">
        <v>43881</v>
      </c>
      <c r="O135" s="3" t="s">
        <v>52</v>
      </c>
      <c r="P135" s="3">
        <v>76</v>
      </c>
      <c r="Q135" s="3" t="s">
        <v>406</v>
      </c>
      <c r="R135" s="3" t="s">
        <v>104</v>
      </c>
      <c r="S135" s="3" t="s">
        <v>32</v>
      </c>
      <c r="T135" s="3" t="str">
        <f t="shared" si="10"/>
        <v>Contract</v>
      </c>
      <c r="V135" s="3">
        <v>2</v>
      </c>
      <c r="X135" s="3">
        <v>5</v>
      </c>
      <c r="Y135" s="4">
        <v>45516</v>
      </c>
      <c r="Z135" s="3">
        <v>58</v>
      </c>
      <c r="AB135" s="3" t="str" cm="1">
        <f t="array" ref="AB135">_xlfn.IFS(AA135="N","No",  AA135 = "Y", "Yes", TRUE, PROPER(TRIM(AA135)))</f>
        <v/>
      </c>
      <c r="AC135" s="3">
        <v>4</v>
      </c>
      <c r="AD135" s="3" t="s">
        <v>46</v>
      </c>
      <c r="AE135">
        <f t="shared" si="11"/>
        <v>1</v>
      </c>
    </row>
    <row r="136" spans="1:31" ht="14.25" customHeight="1" x14ac:dyDescent="0.35">
      <c r="A136" s="3" t="s">
        <v>407</v>
      </c>
      <c r="B136" s="3" t="s">
        <v>114</v>
      </c>
      <c r="C136" s="3" t="s">
        <v>132</v>
      </c>
      <c r="D136" s="3">
        <v>35</v>
      </c>
      <c r="E136" s="3">
        <f t="shared" si="8"/>
        <v>35</v>
      </c>
      <c r="F136" s="3">
        <v>1989</v>
      </c>
      <c r="G136" s="3">
        <v>55000</v>
      </c>
      <c r="H136" s="12" cm="1">
        <f t="array" ref="H136">_xlfn.IFS(TRIM(G136)="SIXTY THOUSAND",60000,TRIM(G136)="NAN",AVERAGEIFS(G:G,J:J,J136,L:L,L136),TRUE,G136)</f>
        <v>55000</v>
      </c>
      <c r="I136" s="3" t="s">
        <v>38</v>
      </c>
      <c r="J136" s="3" t="s">
        <v>58</v>
      </c>
      <c r="K136" s="3" t="str">
        <f t="shared" si="9"/>
        <v>IT</v>
      </c>
      <c r="L136" s="3" t="s">
        <v>77</v>
      </c>
      <c r="M136" s="4">
        <v>43549</v>
      </c>
      <c r="N136" s="4">
        <v>43549</v>
      </c>
      <c r="O136" s="3" t="s">
        <v>41</v>
      </c>
      <c r="P136" s="3">
        <v>58</v>
      </c>
      <c r="Q136" s="3" t="s">
        <v>408</v>
      </c>
      <c r="R136" s="3" t="s">
        <v>61</v>
      </c>
      <c r="S136" s="3" t="s">
        <v>66</v>
      </c>
      <c r="T136" s="3" t="str">
        <f t="shared" si="10"/>
        <v>Contract</v>
      </c>
      <c r="U136" s="3" t="s">
        <v>294</v>
      </c>
      <c r="V136" s="3">
        <v>2</v>
      </c>
      <c r="Y136" s="4">
        <v>44470</v>
      </c>
      <c r="AA136" s="3" t="s">
        <v>34</v>
      </c>
      <c r="AB136" s="3" t="str" cm="1">
        <f t="array" ref="AB136">_xlfn.IFS(AA136="N","No",  AA136 = "Y", "Yes", TRUE, PROPER(TRIM(AA136)))</f>
        <v>No</v>
      </c>
      <c r="AC136" s="3">
        <v>2</v>
      </c>
      <c r="AD136" s="3" t="s">
        <v>34</v>
      </c>
      <c r="AE136">
        <f t="shared" si="11"/>
        <v>0</v>
      </c>
    </row>
    <row r="137" spans="1:31" ht="14.25" customHeight="1" x14ac:dyDescent="0.35">
      <c r="A137" s="3" t="s">
        <v>409</v>
      </c>
      <c r="B137" s="3" t="s">
        <v>68</v>
      </c>
      <c r="C137" s="3" t="s">
        <v>324</v>
      </c>
      <c r="D137" s="3">
        <v>35</v>
      </c>
      <c r="E137" s="3">
        <f t="shared" si="8"/>
        <v>35</v>
      </c>
      <c r="F137" s="3">
        <v>1989</v>
      </c>
      <c r="G137" s="3">
        <v>70000</v>
      </c>
      <c r="H137" s="12" cm="1">
        <f t="array" ref="H137">_xlfn.IFS(TRIM(G137)="SIXTY THOUSAND",60000,TRIM(G137)="NAN",AVERAGEIFS(G:G,J:J,J137,L:L,L137),TRUE,G137)</f>
        <v>70000</v>
      </c>
      <c r="I137" s="3" t="s">
        <v>38</v>
      </c>
      <c r="J137" s="3" t="s">
        <v>70</v>
      </c>
      <c r="K137" s="3" t="str">
        <f t="shared" si="9"/>
        <v>Marketing</v>
      </c>
      <c r="L137" s="3" t="s">
        <v>89</v>
      </c>
      <c r="M137" s="4">
        <v>43800</v>
      </c>
      <c r="N137" s="4">
        <v>43800</v>
      </c>
      <c r="O137" s="3" t="s">
        <v>30</v>
      </c>
      <c r="P137" s="3">
        <v>60</v>
      </c>
      <c r="Q137" s="3" t="s">
        <v>325</v>
      </c>
      <c r="R137" s="3" t="s">
        <v>43</v>
      </c>
      <c r="S137" s="3" t="s">
        <v>72</v>
      </c>
      <c r="T137" s="3" t="str">
        <f t="shared" si="10"/>
        <v>Part-Time</v>
      </c>
      <c r="V137" s="3">
        <v>8</v>
      </c>
      <c r="W137" s="3" t="s">
        <v>79</v>
      </c>
      <c r="X137" s="3">
        <v>8</v>
      </c>
      <c r="Y137" s="4">
        <v>44990</v>
      </c>
      <c r="Z137" s="3">
        <v>51</v>
      </c>
      <c r="AA137" s="3" t="s">
        <v>169</v>
      </c>
      <c r="AB137" s="3" t="str" cm="1">
        <f t="array" ref="AB137">_xlfn.IFS(AA137="N","No",  AA137 = "Y", "Yes", TRUE, PROPER(TRIM(AA137)))</f>
        <v>Yes</v>
      </c>
      <c r="AC137" s="3">
        <v>1</v>
      </c>
      <c r="AD137" s="3" t="s">
        <v>34</v>
      </c>
      <c r="AE137">
        <f t="shared" si="11"/>
        <v>0</v>
      </c>
    </row>
    <row r="138" spans="1:31" ht="14.25" customHeight="1" x14ac:dyDescent="0.35">
      <c r="A138" s="3" t="s">
        <v>410</v>
      </c>
      <c r="B138" s="3" t="s">
        <v>140</v>
      </c>
      <c r="C138" s="3" t="s">
        <v>135</v>
      </c>
      <c r="D138" s="3">
        <v>25</v>
      </c>
      <c r="E138" s="3">
        <f t="shared" si="8"/>
        <v>25</v>
      </c>
      <c r="F138" s="3">
        <v>1999</v>
      </c>
      <c r="G138" s="3">
        <v>50000</v>
      </c>
      <c r="H138" s="12" cm="1">
        <f t="array" ref="H138">_xlfn.IFS(TRIM(G138)="SIXTY THOUSAND",60000,TRIM(G138)="NAN",AVERAGEIFS(G:G,J:J,J138,L:L,L138),TRUE,G138)</f>
        <v>50000</v>
      </c>
      <c r="I138" s="3" t="s">
        <v>38</v>
      </c>
      <c r="J138" s="3" t="s">
        <v>58</v>
      </c>
      <c r="K138" s="3" t="str">
        <f t="shared" si="9"/>
        <v>IT</v>
      </c>
      <c r="L138" s="3" t="s">
        <v>94</v>
      </c>
      <c r="M138" s="4">
        <v>43549</v>
      </c>
      <c r="N138" s="4">
        <v>43549</v>
      </c>
      <c r="O138" s="3" t="s">
        <v>30</v>
      </c>
      <c r="P138" s="3">
        <v>60</v>
      </c>
      <c r="Q138" s="3" t="s">
        <v>411</v>
      </c>
      <c r="R138" s="3" t="s">
        <v>104</v>
      </c>
      <c r="S138" s="3" t="s">
        <v>32</v>
      </c>
      <c r="T138" s="3" t="str">
        <f t="shared" si="10"/>
        <v>Contract</v>
      </c>
      <c r="V138" s="3">
        <v>4</v>
      </c>
      <c r="Y138" s="4">
        <v>44941</v>
      </c>
      <c r="Z138" s="3">
        <v>43</v>
      </c>
      <c r="AA138" s="3" t="s">
        <v>34</v>
      </c>
      <c r="AB138" s="3" t="str" cm="1">
        <f t="array" ref="AB138">_xlfn.IFS(AA138="N","No",  AA138 = "Y", "Yes", TRUE, PROPER(TRIM(AA138)))</f>
        <v>No</v>
      </c>
      <c r="AC138" s="3">
        <v>2</v>
      </c>
      <c r="AD138" s="3" t="s">
        <v>46</v>
      </c>
      <c r="AE138">
        <f t="shared" si="11"/>
        <v>1</v>
      </c>
    </row>
    <row r="139" spans="1:31" ht="14.25" customHeight="1" x14ac:dyDescent="0.35">
      <c r="A139" s="3" t="s">
        <v>412</v>
      </c>
      <c r="B139" s="3" t="s">
        <v>56</v>
      </c>
      <c r="C139" s="3" t="s">
        <v>413</v>
      </c>
      <c r="E139" s="3">
        <f t="shared" si="8"/>
        <v>51</v>
      </c>
      <c r="F139" s="3">
        <v>1973</v>
      </c>
      <c r="G139" s="3">
        <v>55000</v>
      </c>
      <c r="H139" s="12" cm="1">
        <f t="array" ref="H139">_xlfn.IFS(TRIM(G139)="SIXTY THOUSAND",60000,TRIM(G139)="NAN",AVERAGEIFS(G:G,J:J,J139,L:L,L139),TRUE,G139)</f>
        <v>55000</v>
      </c>
      <c r="I139" s="3" t="s">
        <v>38</v>
      </c>
      <c r="J139" s="3" t="s">
        <v>70</v>
      </c>
      <c r="K139" s="3" t="str">
        <f t="shared" si="9"/>
        <v>Marketing</v>
      </c>
      <c r="L139" s="3" t="s">
        <v>40</v>
      </c>
      <c r="M139" s="4">
        <v>43845</v>
      </c>
      <c r="N139" s="4">
        <v>43845</v>
      </c>
      <c r="O139" s="3" t="s">
        <v>30</v>
      </c>
      <c r="P139" s="3">
        <v>67</v>
      </c>
      <c r="Q139" s="3" t="s">
        <v>414</v>
      </c>
      <c r="R139" s="3" t="s">
        <v>61</v>
      </c>
      <c r="S139" s="3" t="s">
        <v>112</v>
      </c>
      <c r="T139" s="3" t="str">
        <f t="shared" si="10"/>
        <v>Full-Time</v>
      </c>
      <c r="U139" s="3" t="s">
        <v>415</v>
      </c>
      <c r="V139" s="3">
        <v>4</v>
      </c>
      <c r="W139" s="3">
        <v>7</v>
      </c>
      <c r="AB139" s="3" t="str" cm="1">
        <f t="array" ref="AB139">_xlfn.IFS(AA139="N","No",  AA139 = "Y", "Yes", TRUE, PROPER(TRIM(AA139)))</f>
        <v/>
      </c>
      <c r="AC139" s="3">
        <v>5</v>
      </c>
      <c r="AD139" s="3" t="s">
        <v>34</v>
      </c>
      <c r="AE139">
        <f t="shared" si="11"/>
        <v>0</v>
      </c>
    </row>
    <row r="140" spans="1:31" ht="14.25" customHeight="1" x14ac:dyDescent="0.35">
      <c r="A140" s="3" t="s">
        <v>416</v>
      </c>
      <c r="B140" s="3" t="s">
        <v>107</v>
      </c>
      <c r="C140" s="3" t="s">
        <v>413</v>
      </c>
      <c r="D140" s="3" t="s">
        <v>88</v>
      </c>
      <c r="E140" s="3">
        <f t="shared" si="8"/>
        <v>30</v>
      </c>
      <c r="F140" s="3">
        <v>1994</v>
      </c>
      <c r="G140" s="3">
        <v>70000</v>
      </c>
      <c r="H140" s="12" cm="1">
        <f t="array" ref="H140">_xlfn.IFS(TRIM(G140)="SIXTY THOUSAND",60000,TRIM(G140)="NAN",AVERAGEIFS(G:G,J:J,J140,L:L,L140),TRUE,G140)</f>
        <v>70000</v>
      </c>
      <c r="I140" s="3" t="s">
        <v>27</v>
      </c>
      <c r="J140" s="3" t="s">
        <v>145</v>
      </c>
      <c r="K140" s="3" t="str">
        <f t="shared" si="9"/>
        <v>Sales</v>
      </c>
      <c r="L140" s="3" t="s">
        <v>77</v>
      </c>
      <c r="M140" s="4">
        <v>43549</v>
      </c>
      <c r="N140" s="4">
        <v>43549</v>
      </c>
      <c r="O140" s="3" t="s">
        <v>59</v>
      </c>
      <c r="P140" s="3">
        <v>90</v>
      </c>
      <c r="Q140" s="3" t="s">
        <v>417</v>
      </c>
      <c r="R140" s="3" t="s">
        <v>54</v>
      </c>
      <c r="S140" s="3" t="s">
        <v>112</v>
      </c>
      <c r="T140" s="3" t="str">
        <f t="shared" si="10"/>
        <v>Full-Time</v>
      </c>
      <c r="V140" s="3">
        <v>5</v>
      </c>
      <c r="W140" s="3">
        <v>12</v>
      </c>
      <c r="AB140" s="3" t="str" cm="1">
        <f t="array" ref="AB140">_xlfn.IFS(AA140="N","No",  AA140 = "Y", "Yes", TRUE, PROPER(TRIM(AA140)))</f>
        <v/>
      </c>
      <c r="AC140" s="3">
        <v>2</v>
      </c>
      <c r="AD140" s="3" t="s">
        <v>34</v>
      </c>
      <c r="AE140">
        <f t="shared" si="11"/>
        <v>0</v>
      </c>
    </row>
    <row r="141" spans="1:31" ht="14.25" customHeight="1" x14ac:dyDescent="0.35">
      <c r="A141" s="3" t="s">
        <v>418</v>
      </c>
      <c r="B141" s="3" t="s">
        <v>36</v>
      </c>
      <c r="C141" s="3" t="s">
        <v>318</v>
      </c>
      <c r="D141" s="3">
        <v>35</v>
      </c>
      <c r="E141" s="3">
        <f t="shared" si="8"/>
        <v>35</v>
      </c>
      <c r="F141" s="3">
        <v>1989</v>
      </c>
      <c r="G141" s="3">
        <v>55000</v>
      </c>
      <c r="H141" s="12" cm="1">
        <f t="array" ref="H141">_xlfn.IFS(TRIM(G141)="SIXTY THOUSAND",60000,TRIM(G141)="NAN",AVERAGEIFS(G:G,J:J,J141,L:L,L141),TRUE,G141)</f>
        <v>55000</v>
      </c>
      <c r="I141" s="3" t="s">
        <v>27</v>
      </c>
      <c r="J141" s="3" t="s">
        <v>51</v>
      </c>
      <c r="K141" s="3" t="str">
        <f t="shared" si="9"/>
        <v>Sales</v>
      </c>
      <c r="L141" s="3" t="s">
        <v>89</v>
      </c>
      <c r="M141" s="4">
        <v>43881</v>
      </c>
      <c r="N141" s="4">
        <v>43881</v>
      </c>
      <c r="O141" s="3" t="s">
        <v>30</v>
      </c>
      <c r="P141" s="3">
        <v>66</v>
      </c>
      <c r="Q141" s="3" t="s">
        <v>419</v>
      </c>
      <c r="S141" s="3" t="s">
        <v>32</v>
      </c>
      <c r="T141" s="3" t="str">
        <f t="shared" si="10"/>
        <v>Contract</v>
      </c>
      <c r="V141" s="3">
        <v>4</v>
      </c>
      <c r="Y141" s="4">
        <v>44470</v>
      </c>
      <c r="AA141" s="3" t="s">
        <v>34</v>
      </c>
      <c r="AB141" s="3" t="str" cm="1">
        <f t="array" ref="AB141">_xlfn.IFS(AA141="N","No",  AA141 = "Y", "Yes", TRUE, PROPER(TRIM(AA141)))</f>
        <v>No</v>
      </c>
      <c r="AC141" s="3">
        <v>4</v>
      </c>
      <c r="AD141" s="3" t="s">
        <v>34</v>
      </c>
      <c r="AE141">
        <f t="shared" si="11"/>
        <v>0</v>
      </c>
    </row>
    <row r="142" spans="1:31" ht="14.25" customHeight="1" x14ac:dyDescent="0.35">
      <c r="A142" s="3" t="s">
        <v>420</v>
      </c>
      <c r="B142" s="3" t="s">
        <v>68</v>
      </c>
      <c r="C142" s="3" t="s">
        <v>421</v>
      </c>
      <c r="D142" s="3">
        <v>50</v>
      </c>
      <c r="E142" s="3">
        <f t="shared" si="8"/>
        <v>50</v>
      </c>
      <c r="F142" s="3">
        <v>1974</v>
      </c>
      <c r="G142" s="3">
        <v>65000</v>
      </c>
      <c r="H142" s="12" cm="1">
        <f t="array" ref="H142">_xlfn.IFS(TRIM(G142)="SIXTY THOUSAND",60000,TRIM(G142)="NAN",AVERAGEIFS(G:G,J:J,J142,L:L,L142),TRUE,G142)</f>
        <v>65000</v>
      </c>
      <c r="I142" s="3" t="s">
        <v>38</v>
      </c>
      <c r="J142" s="3" t="s">
        <v>28</v>
      </c>
      <c r="K142" s="3" t="str">
        <f t="shared" si="9"/>
        <v>HR</v>
      </c>
      <c r="L142" s="3" t="s">
        <v>89</v>
      </c>
      <c r="M142" s="4">
        <v>43845</v>
      </c>
      <c r="N142" s="4">
        <v>43845</v>
      </c>
      <c r="O142" s="3" t="s">
        <v>41</v>
      </c>
      <c r="P142" s="3">
        <v>1</v>
      </c>
      <c r="Q142" s="3" t="s">
        <v>422</v>
      </c>
      <c r="R142" s="3" t="s">
        <v>54</v>
      </c>
      <c r="S142" s="3" t="s">
        <v>112</v>
      </c>
      <c r="T142" s="3" t="str">
        <f t="shared" si="10"/>
        <v>Full-Time</v>
      </c>
      <c r="V142" s="3">
        <v>6</v>
      </c>
      <c r="Z142" s="3">
        <v>40</v>
      </c>
      <c r="AA142" s="3" t="s">
        <v>169</v>
      </c>
      <c r="AB142" s="3" t="str" cm="1">
        <f t="array" ref="AB142">_xlfn.IFS(AA142="N","No",  AA142 = "Y", "Yes", TRUE, PROPER(TRIM(AA142)))</f>
        <v>Yes</v>
      </c>
      <c r="AC142" s="3">
        <v>2</v>
      </c>
      <c r="AD142" s="3" t="s">
        <v>46</v>
      </c>
      <c r="AE142">
        <f t="shared" si="11"/>
        <v>1</v>
      </c>
    </row>
    <row r="143" spans="1:31" ht="14.25" customHeight="1" x14ac:dyDescent="0.35">
      <c r="A143" s="3" t="s">
        <v>423</v>
      </c>
      <c r="B143" s="3" t="s">
        <v>25</v>
      </c>
      <c r="C143" s="3" t="s">
        <v>63</v>
      </c>
      <c r="D143" s="3">
        <v>50</v>
      </c>
      <c r="E143" s="3">
        <f t="shared" si="8"/>
        <v>50</v>
      </c>
      <c r="F143" s="3">
        <v>1974</v>
      </c>
      <c r="G143" s="3">
        <v>65000</v>
      </c>
      <c r="H143" s="12" cm="1">
        <f t="array" ref="H143">_xlfn.IFS(TRIM(G143)="SIXTY THOUSAND",60000,TRIM(G143)="NAN",AVERAGEIFS(G:G,J:J,J143,L:L,L143),TRUE,G143)</f>
        <v>65000</v>
      </c>
      <c r="I143" s="3" t="s">
        <v>38</v>
      </c>
      <c r="J143" s="3" t="s">
        <v>64</v>
      </c>
      <c r="K143" s="3" t="str">
        <f t="shared" si="9"/>
        <v>Finance</v>
      </c>
      <c r="L143" s="3" t="s">
        <v>94</v>
      </c>
      <c r="M143" s="4">
        <v>43195</v>
      </c>
      <c r="N143" s="4">
        <v>43195</v>
      </c>
      <c r="O143" s="3" t="s">
        <v>41</v>
      </c>
      <c r="P143" s="3">
        <v>41</v>
      </c>
      <c r="Q143" s="3" t="s">
        <v>65</v>
      </c>
      <c r="R143" s="3" t="s">
        <v>43</v>
      </c>
      <c r="S143" s="3" t="s">
        <v>72</v>
      </c>
      <c r="T143" s="3" t="str">
        <f t="shared" si="10"/>
        <v>Part-Time</v>
      </c>
      <c r="V143" s="3">
        <v>7</v>
      </c>
      <c r="X143" s="3">
        <v>9</v>
      </c>
      <c r="Z143" s="3">
        <v>36</v>
      </c>
      <c r="AB143" s="3" t="str" cm="1">
        <f t="array" ref="AB143">_xlfn.IFS(AA143="N","No",  AA143 = "Y", "Yes", TRUE, PROPER(TRIM(AA143)))</f>
        <v/>
      </c>
      <c r="AC143" s="3">
        <v>1</v>
      </c>
      <c r="AD143" s="3" t="s">
        <v>34</v>
      </c>
      <c r="AE143">
        <f t="shared" si="11"/>
        <v>0</v>
      </c>
    </row>
    <row r="144" spans="1:31" ht="14.25" customHeight="1" x14ac:dyDescent="0.35">
      <c r="A144" s="3" t="s">
        <v>424</v>
      </c>
      <c r="B144" s="3" t="s">
        <v>140</v>
      </c>
      <c r="C144" s="3" t="s">
        <v>99</v>
      </c>
      <c r="D144" s="3">
        <v>35</v>
      </c>
      <c r="E144" s="3">
        <f t="shared" si="8"/>
        <v>35</v>
      </c>
      <c r="F144" s="3">
        <v>1989</v>
      </c>
      <c r="G144" s="3">
        <v>65000</v>
      </c>
      <c r="H144" s="12" cm="1">
        <f t="array" ref="H144">_xlfn.IFS(TRIM(G144)="SIXTY THOUSAND",60000,TRIM(G144)="NAN",AVERAGEIFS(G:G,J:J,J144,L:L,L144),TRUE,G144)</f>
        <v>65000</v>
      </c>
      <c r="I144" s="3" t="s">
        <v>38</v>
      </c>
      <c r="J144" s="3" t="s">
        <v>93</v>
      </c>
      <c r="K144" s="3" t="str">
        <f t="shared" si="9"/>
        <v>Marketing</v>
      </c>
      <c r="L144" s="3" t="s">
        <v>29</v>
      </c>
      <c r="M144" s="4">
        <v>43800</v>
      </c>
      <c r="N144" s="4">
        <v>43800</v>
      </c>
      <c r="O144" s="3" t="s">
        <v>78</v>
      </c>
      <c r="P144" s="3">
        <v>80</v>
      </c>
      <c r="Q144" s="3" t="s">
        <v>425</v>
      </c>
      <c r="R144" s="3" t="s">
        <v>54</v>
      </c>
      <c r="S144" s="3" t="s">
        <v>66</v>
      </c>
      <c r="T144" s="3" t="str">
        <f t="shared" si="10"/>
        <v>Contract</v>
      </c>
      <c r="V144" s="3">
        <v>5</v>
      </c>
      <c r="W144" s="3" t="s">
        <v>79</v>
      </c>
      <c r="Y144" s="4">
        <v>44732</v>
      </c>
      <c r="Z144" s="3">
        <v>22</v>
      </c>
      <c r="AB144" s="3" t="str" cm="1">
        <f t="array" ref="AB144">_xlfn.IFS(AA144="N","No",  AA144 = "Y", "Yes", TRUE, PROPER(TRIM(AA144)))</f>
        <v/>
      </c>
      <c r="AC144" s="3">
        <v>4</v>
      </c>
      <c r="AD144" s="3" t="s">
        <v>46</v>
      </c>
      <c r="AE144">
        <f t="shared" si="11"/>
        <v>1</v>
      </c>
    </row>
    <row r="145" spans="1:31" ht="14.25" customHeight="1" x14ac:dyDescent="0.35">
      <c r="A145" s="3" t="s">
        <v>426</v>
      </c>
      <c r="B145" s="3" t="s">
        <v>25</v>
      </c>
      <c r="C145" s="3" t="s">
        <v>219</v>
      </c>
      <c r="E145" s="3">
        <f t="shared" si="8"/>
        <v>35</v>
      </c>
      <c r="F145" s="3">
        <v>1989</v>
      </c>
      <c r="G145" s="3">
        <v>58800</v>
      </c>
      <c r="H145" s="12" cm="1">
        <f t="array" ref="H145">_xlfn.IFS(TRIM(G145)="SIXTY THOUSAND",60000,TRIM(G145)="NAN",AVERAGEIFS(G:G,J:J,J145,L:L,L145),TRUE,G145)</f>
        <v>58800</v>
      </c>
      <c r="I145" s="3" t="s">
        <v>38</v>
      </c>
      <c r="J145" s="3" t="s">
        <v>28</v>
      </c>
      <c r="K145" s="3" t="str">
        <f t="shared" si="9"/>
        <v>HR</v>
      </c>
      <c r="L145" s="3" t="s">
        <v>77</v>
      </c>
      <c r="M145" s="4">
        <v>43800</v>
      </c>
      <c r="N145" s="4">
        <v>43800</v>
      </c>
      <c r="O145" s="3" t="s">
        <v>59</v>
      </c>
      <c r="P145" s="3">
        <v>90</v>
      </c>
      <c r="Q145" s="3" t="s">
        <v>427</v>
      </c>
      <c r="R145" s="3" t="s">
        <v>54</v>
      </c>
      <c r="S145" s="3" t="s">
        <v>72</v>
      </c>
      <c r="T145" s="3" t="str">
        <f t="shared" si="10"/>
        <v>Part-Time</v>
      </c>
      <c r="V145" s="3">
        <v>3</v>
      </c>
      <c r="Y145" s="3" t="s">
        <v>79</v>
      </c>
      <c r="AB145" s="3" t="str" cm="1">
        <f t="array" ref="AB145">_xlfn.IFS(AA145="N","No",  AA145 = "Y", "Yes", TRUE, PROPER(TRIM(AA145)))</f>
        <v/>
      </c>
      <c r="AC145" s="3">
        <v>5</v>
      </c>
      <c r="AD145" s="3" t="s">
        <v>34</v>
      </c>
      <c r="AE145">
        <f t="shared" si="11"/>
        <v>0</v>
      </c>
    </row>
    <row r="146" spans="1:31" ht="14.25" customHeight="1" x14ac:dyDescent="0.35">
      <c r="A146" s="3" t="s">
        <v>428</v>
      </c>
      <c r="B146" s="3" t="s">
        <v>131</v>
      </c>
      <c r="C146" s="3" t="s">
        <v>69</v>
      </c>
      <c r="E146" s="3">
        <f t="shared" si="8"/>
        <v>29</v>
      </c>
      <c r="F146" s="3">
        <v>1995</v>
      </c>
      <c r="G146" s="3">
        <v>58500</v>
      </c>
      <c r="H146" s="12" cm="1">
        <f t="array" ref="H146">_xlfn.IFS(TRIM(G146)="SIXTY THOUSAND",60000,TRIM(G146)="NAN",AVERAGEIFS(G:G,J:J,J146,L:L,L146),TRUE,G146)</f>
        <v>58500</v>
      </c>
      <c r="I146" s="3" t="s">
        <v>38</v>
      </c>
      <c r="J146" s="3" t="s">
        <v>64</v>
      </c>
      <c r="K146" s="3" t="str">
        <f t="shared" si="9"/>
        <v>Finance</v>
      </c>
      <c r="L146" s="3" t="s">
        <v>89</v>
      </c>
      <c r="M146" s="4">
        <v>43549</v>
      </c>
      <c r="N146" s="4">
        <v>43549</v>
      </c>
      <c r="O146" s="3" t="s">
        <v>41</v>
      </c>
      <c r="P146" s="3">
        <v>29</v>
      </c>
      <c r="Q146" s="3" t="s">
        <v>429</v>
      </c>
      <c r="R146" s="3" t="s">
        <v>54</v>
      </c>
      <c r="S146" s="3" t="s">
        <v>72</v>
      </c>
      <c r="T146" s="3" t="str">
        <f t="shared" si="10"/>
        <v>Part-Time</v>
      </c>
      <c r="V146" s="3">
        <v>1</v>
      </c>
      <c r="Y146" s="4">
        <v>44990</v>
      </c>
      <c r="AB146" s="3" t="str" cm="1">
        <f t="array" ref="AB146">_xlfn.IFS(AA146="N","No",  AA146 = "Y", "Yes", TRUE, PROPER(TRIM(AA146)))</f>
        <v/>
      </c>
      <c r="AC146" s="3">
        <v>1</v>
      </c>
      <c r="AD146" s="3" t="s">
        <v>34</v>
      </c>
      <c r="AE146">
        <f t="shared" si="11"/>
        <v>0</v>
      </c>
    </row>
    <row r="147" spans="1:31" ht="14.25" customHeight="1" x14ac:dyDescent="0.35">
      <c r="A147" s="3" t="s">
        <v>430</v>
      </c>
      <c r="B147" s="3" t="s">
        <v>131</v>
      </c>
      <c r="C147" s="3" t="s">
        <v>431</v>
      </c>
      <c r="D147" s="3">
        <v>40</v>
      </c>
      <c r="E147" s="3">
        <f t="shared" si="8"/>
        <v>40</v>
      </c>
      <c r="F147" s="3">
        <v>1984</v>
      </c>
      <c r="G147" s="3">
        <v>50000</v>
      </c>
      <c r="H147" s="12" cm="1">
        <f t="array" ref="H147">_xlfn.IFS(TRIM(G147)="SIXTY THOUSAND",60000,TRIM(G147)="NAN",AVERAGEIFS(G:G,J:J,J147,L:L,L147),TRUE,G147)</f>
        <v>50000</v>
      </c>
      <c r="I147" s="3" t="s">
        <v>27</v>
      </c>
      <c r="J147" s="3" t="s">
        <v>93</v>
      </c>
      <c r="K147" s="3" t="str">
        <f t="shared" si="9"/>
        <v>Marketing</v>
      </c>
      <c r="L147" s="3" t="s">
        <v>94</v>
      </c>
      <c r="M147" s="4">
        <v>43845</v>
      </c>
      <c r="N147" s="4">
        <v>43845</v>
      </c>
      <c r="O147" s="3" t="s">
        <v>52</v>
      </c>
      <c r="P147" s="3">
        <v>72</v>
      </c>
      <c r="Q147" s="3" t="s">
        <v>432</v>
      </c>
      <c r="R147" s="3" t="s">
        <v>54</v>
      </c>
      <c r="S147" s="3" t="s">
        <v>32</v>
      </c>
      <c r="T147" s="3" t="str">
        <f t="shared" si="10"/>
        <v>Contract</v>
      </c>
      <c r="V147" s="3">
        <v>8</v>
      </c>
      <c r="X147" s="3">
        <v>16</v>
      </c>
      <c r="Y147" s="3" t="s">
        <v>79</v>
      </c>
      <c r="AA147" s="3" t="s">
        <v>46</v>
      </c>
      <c r="AB147" s="3" t="str" cm="1">
        <f t="array" ref="AB147">_xlfn.IFS(AA147="N","No",  AA147 = "Y", "Yes", TRUE, PROPER(TRIM(AA147)))</f>
        <v>Yes</v>
      </c>
      <c r="AC147" s="3">
        <v>2</v>
      </c>
      <c r="AD147" s="3" t="s">
        <v>46</v>
      </c>
      <c r="AE147">
        <f t="shared" si="11"/>
        <v>1</v>
      </c>
    </row>
    <row r="148" spans="1:31" ht="14.25" customHeight="1" x14ac:dyDescent="0.35">
      <c r="A148" s="3" t="s">
        <v>433</v>
      </c>
      <c r="B148" s="3" t="s">
        <v>140</v>
      </c>
      <c r="C148" s="3" t="s">
        <v>367</v>
      </c>
      <c r="D148" s="3">
        <v>50</v>
      </c>
      <c r="E148" s="3">
        <f t="shared" si="8"/>
        <v>50</v>
      </c>
      <c r="F148" s="3">
        <v>1974</v>
      </c>
      <c r="G148" s="3">
        <v>65000</v>
      </c>
      <c r="H148" s="12" cm="1">
        <f t="array" ref="H148">_xlfn.IFS(TRIM(G148)="SIXTY THOUSAND",60000,TRIM(G148)="NAN",AVERAGEIFS(G:G,J:J,J148,L:L,L148),TRUE,G148)</f>
        <v>65000</v>
      </c>
      <c r="I148" s="3" t="s">
        <v>27</v>
      </c>
      <c r="J148" s="3" t="s">
        <v>122</v>
      </c>
      <c r="K148" s="3" t="str">
        <f t="shared" si="9"/>
        <v>IT</v>
      </c>
      <c r="L148" s="3" t="s">
        <v>40</v>
      </c>
      <c r="M148" s="4">
        <v>43195</v>
      </c>
      <c r="N148" s="4">
        <v>43195</v>
      </c>
      <c r="O148" s="3" t="s">
        <v>59</v>
      </c>
      <c r="P148" s="3">
        <v>91</v>
      </c>
      <c r="Q148" s="3" t="s">
        <v>434</v>
      </c>
      <c r="R148" s="3" t="s">
        <v>43</v>
      </c>
      <c r="S148" s="3" t="s">
        <v>100</v>
      </c>
      <c r="T148" s="3" t="str">
        <f t="shared" si="10"/>
        <v>Part-Time</v>
      </c>
      <c r="V148" s="3">
        <v>4</v>
      </c>
      <c r="W148" s="3" t="s">
        <v>79</v>
      </c>
      <c r="X148" s="3">
        <v>14</v>
      </c>
      <c r="AA148" s="3" t="s">
        <v>34</v>
      </c>
      <c r="AB148" s="3" t="str" cm="1">
        <f t="array" ref="AB148">_xlfn.IFS(AA148="N","No",  AA148 = "Y", "Yes", TRUE, PROPER(TRIM(AA148)))</f>
        <v>No</v>
      </c>
      <c r="AC148" s="3">
        <v>5</v>
      </c>
      <c r="AD148" s="3" t="s">
        <v>34</v>
      </c>
      <c r="AE148">
        <f t="shared" si="11"/>
        <v>0</v>
      </c>
    </row>
    <row r="149" spans="1:31" ht="14.25" customHeight="1" x14ac:dyDescent="0.35">
      <c r="A149" s="3" t="s">
        <v>435</v>
      </c>
      <c r="B149" s="3" t="s">
        <v>140</v>
      </c>
      <c r="C149" s="3" t="s">
        <v>436</v>
      </c>
      <c r="D149" s="3">
        <v>40</v>
      </c>
      <c r="E149" s="3">
        <f t="shared" si="8"/>
        <v>40</v>
      </c>
      <c r="F149" s="3">
        <v>1984</v>
      </c>
      <c r="G149" s="3">
        <v>70000</v>
      </c>
      <c r="H149" s="12" cm="1">
        <f t="array" ref="H149">_xlfn.IFS(TRIM(G149)="SIXTY THOUSAND",60000,TRIM(G149)="NAN",AVERAGEIFS(G:G,J:J,J149,L:L,L149),TRUE,G149)</f>
        <v>70000</v>
      </c>
      <c r="I149" s="3" t="s">
        <v>38</v>
      </c>
      <c r="J149" s="3" t="s">
        <v>64</v>
      </c>
      <c r="K149" s="3" t="str">
        <f t="shared" si="9"/>
        <v>Finance</v>
      </c>
      <c r="L149" s="3" t="s">
        <v>89</v>
      </c>
      <c r="M149" s="4">
        <v>43845</v>
      </c>
      <c r="N149" s="4">
        <v>43845</v>
      </c>
      <c r="O149" s="3" t="s">
        <v>59</v>
      </c>
      <c r="P149" s="3">
        <v>90</v>
      </c>
      <c r="Q149" s="3" t="s">
        <v>437</v>
      </c>
      <c r="R149" s="3" t="s">
        <v>61</v>
      </c>
      <c r="S149" s="3" t="s">
        <v>100</v>
      </c>
      <c r="T149" s="3" t="str">
        <f t="shared" si="10"/>
        <v>Part-Time</v>
      </c>
      <c r="V149" s="3">
        <v>8</v>
      </c>
      <c r="W149" s="3" t="s">
        <v>79</v>
      </c>
      <c r="Z149" s="3">
        <v>19</v>
      </c>
      <c r="AA149" s="3" t="s">
        <v>46</v>
      </c>
      <c r="AB149" s="3" t="str" cm="1">
        <f t="array" ref="AB149">_xlfn.IFS(AA149="N","No",  AA149 = "Y", "Yes", TRUE, PROPER(TRIM(AA149)))</f>
        <v>Yes</v>
      </c>
      <c r="AC149" s="3">
        <v>5</v>
      </c>
      <c r="AD149" s="3" t="s">
        <v>34</v>
      </c>
      <c r="AE149">
        <f t="shared" si="11"/>
        <v>0</v>
      </c>
    </row>
    <row r="150" spans="1:31" ht="14.25" customHeight="1" x14ac:dyDescent="0.35">
      <c r="A150" s="3" t="s">
        <v>438</v>
      </c>
      <c r="B150" s="3" t="s">
        <v>36</v>
      </c>
      <c r="C150" s="3" t="s">
        <v>110</v>
      </c>
      <c r="D150" s="3">
        <v>50</v>
      </c>
      <c r="E150" s="3">
        <f t="shared" si="8"/>
        <v>50</v>
      </c>
      <c r="F150" s="3">
        <v>1974</v>
      </c>
      <c r="G150" s="3">
        <v>55000</v>
      </c>
      <c r="H150" s="12" cm="1">
        <f t="array" ref="H150">_xlfn.IFS(TRIM(G150)="SIXTY THOUSAND",60000,TRIM(G150)="NAN",AVERAGEIFS(G:G,J:J,J150,L:L,L150),TRUE,G150)</f>
        <v>55000</v>
      </c>
      <c r="I150" s="3" t="s">
        <v>38</v>
      </c>
      <c r="J150" s="3" t="s">
        <v>51</v>
      </c>
      <c r="K150" s="3" t="str">
        <f t="shared" si="9"/>
        <v>Sales</v>
      </c>
      <c r="L150" s="3" t="s">
        <v>94</v>
      </c>
      <c r="M150" s="4">
        <v>43800</v>
      </c>
      <c r="N150" s="4">
        <v>43800</v>
      </c>
      <c r="O150" s="3" t="s">
        <v>41</v>
      </c>
      <c r="P150" s="3">
        <v>6</v>
      </c>
      <c r="Q150" s="3" t="s">
        <v>439</v>
      </c>
      <c r="R150" s="3" t="s">
        <v>104</v>
      </c>
      <c r="S150" s="3" t="s">
        <v>66</v>
      </c>
      <c r="T150" s="3" t="str">
        <f t="shared" si="10"/>
        <v>Contract</v>
      </c>
      <c r="V150" s="3">
        <v>6</v>
      </c>
      <c r="W150" s="3" t="s">
        <v>79</v>
      </c>
      <c r="Y150" s="4">
        <v>44470</v>
      </c>
      <c r="AA150" s="3" t="s">
        <v>46</v>
      </c>
      <c r="AB150" s="3" t="str" cm="1">
        <f t="array" ref="AB150">_xlfn.IFS(AA150="N","No",  AA150 = "Y", "Yes", TRUE, PROPER(TRIM(AA150)))</f>
        <v>Yes</v>
      </c>
      <c r="AC150" s="3">
        <v>1</v>
      </c>
      <c r="AD150" s="3" t="s">
        <v>46</v>
      </c>
      <c r="AE150">
        <f t="shared" si="11"/>
        <v>1</v>
      </c>
    </row>
    <row r="151" spans="1:31" ht="14.25" customHeight="1" x14ac:dyDescent="0.35">
      <c r="A151" s="3" t="s">
        <v>440</v>
      </c>
      <c r="B151" s="3" t="s">
        <v>140</v>
      </c>
      <c r="C151" s="3" t="s">
        <v>117</v>
      </c>
      <c r="D151" s="3" t="s">
        <v>88</v>
      </c>
      <c r="E151" s="3">
        <f t="shared" si="8"/>
        <v>30</v>
      </c>
      <c r="F151" s="3">
        <v>1994</v>
      </c>
      <c r="G151" s="3" t="s">
        <v>50</v>
      </c>
      <c r="H151" s="12" cm="1">
        <f t="array" ref="H151">_xlfn.IFS(TRIM(G151)="SIXTY THOUSAND",60000,TRIM(G151)="NAN",AVERAGEIFS(G:G,J:J,J151,L:L,L151),TRUE,G151)</f>
        <v>60000</v>
      </c>
      <c r="I151" s="3" t="s">
        <v>38</v>
      </c>
      <c r="J151" s="3" t="s">
        <v>28</v>
      </c>
      <c r="K151" s="3" t="str">
        <f t="shared" si="9"/>
        <v>HR</v>
      </c>
      <c r="L151" s="3" t="s">
        <v>29</v>
      </c>
      <c r="M151" s="4">
        <v>43845</v>
      </c>
      <c r="N151" s="4">
        <v>43845</v>
      </c>
      <c r="O151" s="3" t="s">
        <v>52</v>
      </c>
      <c r="P151" s="3">
        <v>71</v>
      </c>
      <c r="Q151" s="3" t="s">
        <v>441</v>
      </c>
      <c r="S151" s="3" t="s">
        <v>32</v>
      </c>
      <c r="T151" s="3" t="str">
        <f t="shared" si="10"/>
        <v>Contract</v>
      </c>
      <c r="V151" s="3">
        <v>4</v>
      </c>
      <c r="X151" s="3">
        <v>17</v>
      </c>
      <c r="AA151" s="3" t="s">
        <v>73</v>
      </c>
      <c r="AB151" s="3" t="str" cm="1">
        <f t="array" ref="AB151">_xlfn.IFS(AA151="N","No",  AA151 = "Y", "Yes", TRUE, PROPER(TRIM(AA151)))</f>
        <v>No</v>
      </c>
      <c r="AC151" s="3">
        <v>2</v>
      </c>
      <c r="AD151" s="3" t="s">
        <v>34</v>
      </c>
      <c r="AE151">
        <f t="shared" si="11"/>
        <v>0</v>
      </c>
    </row>
    <row r="152" spans="1:31" ht="14.25" customHeight="1" x14ac:dyDescent="0.35">
      <c r="A152" s="3" t="s">
        <v>442</v>
      </c>
      <c r="B152" s="3" t="s">
        <v>75</v>
      </c>
      <c r="C152" s="3" t="s">
        <v>158</v>
      </c>
      <c r="D152" s="3" t="s">
        <v>88</v>
      </c>
      <c r="E152" s="3">
        <f t="shared" si="8"/>
        <v>30</v>
      </c>
      <c r="F152" s="3">
        <v>1994</v>
      </c>
      <c r="G152" s="3">
        <v>70000</v>
      </c>
      <c r="H152" s="12" cm="1">
        <f t="array" ref="H152">_xlfn.IFS(TRIM(G152)="SIXTY THOUSAND",60000,TRIM(G152)="NAN",AVERAGEIFS(G:G,J:J,J152,L:L,L152),TRUE,G152)</f>
        <v>70000</v>
      </c>
      <c r="I152" s="3" t="s">
        <v>27</v>
      </c>
      <c r="J152" s="3" t="s">
        <v>64</v>
      </c>
      <c r="K152" s="3" t="str">
        <f t="shared" si="9"/>
        <v>Finance</v>
      </c>
      <c r="L152" s="3" t="s">
        <v>29</v>
      </c>
      <c r="M152" s="4">
        <v>43195</v>
      </c>
      <c r="N152" s="4">
        <v>43195</v>
      </c>
      <c r="O152" s="3" t="s">
        <v>78</v>
      </c>
      <c r="P152" s="3">
        <v>85</v>
      </c>
      <c r="Q152" s="3" t="s">
        <v>443</v>
      </c>
      <c r="R152" s="3" t="s">
        <v>104</v>
      </c>
      <c r="S152" s="3" t="s">
        <v>100</v>
      </c>
      <c r="T152" s="3" t="str">
        <f t="shared" si="10"/>
        <v>Part-Time</v>
      </c>
      <c r="V152" s="3">
        <v>1</v>
      </c>
      <c r="W152" s="3" t="s">
        <v>79</v>
      </c>
      <c r="Z152" s="3">
        <v>46</v>
      </c>
      <c r="AA152" s="3" t="s">
        <v>33</v>
      </c>
      <c r="AB152" s="3" t="str" cm="1">
        <f t="array" ref="AB152">_xlfn.IFS(AA152="N","No",  AA152 = "Y", "Yes", TRUE, PROPER(TRIM(AA152)))</f>
        <v>Yes</v>
      </c>
      <c r="AC152" s="3">
        <v>5</v>
      </c>
      <c r="AD152" s="3" t="s">
        <v>34</v>
      </c>
      <c r="AE152">
        <f t="shared" si="11"/>
        <v>0</v>
      </c>
    </row>
    <row r="153" spans="1:31" ht="14.25" customHeight="1" x14ac:dyDescent="0.35">
      <c r="A153" s="3" t="s">
        <v>444</v>
      </c>
      <c r="B153" s="3" t="s">
        <v>25</v>
      </c>
      <c r="C153" s="3" t="s">
        <v>81</v>
      </c>
      <c r="D153" s="3">
        <v>25</v>
      </c>
      <c r="E153" s="3">
        <f t="shared" si="8"/>
        <v>25</v>
      </c>
      <c r="F153" s="3">
        <v>1999</v>
      </c>
      <c r="G153" s="3">
        <v>58500</v>
      </c>
      <c r="H153" s="12" cm="1">
        <f t="array" ref="H153">_xlfn.IFS(TRIM(G153)="SIXTY THOUSAND",60000,TRIM(G153)="NAN",AVERAGEIFS(G:G,J:J,J153,L:L,L153),TRUE,G153)</f>
        <v>58500</v>
      </c>
      <c r="I153" s="3" t="s">
        <v>38</v>
      </c>
      <c r="J153" s="3" t="s">
        <v>64</v>
      </c>
      <c r="K153" s="3" t="str">
        <f t="shared" si="9"/>
        <v>Finance</v>
      </c>
      <c r="L153" s="3" t="s">
        <v>89</v>
      </c>
      <c r="M153" s="4">
        <v>43549</v>
      </c>
      <c r="N153" s="4">
        <v>43549</v>
      </c>
      <c r="O153" s="3" t="s">
        <v>41</v>
      </c>
      <c r="P153" s="3">
        <v>0</v>
      </c>
      <c r="Q153" s="3" t="s">
        <v>401</v>
      </c>
      <c r="R153" s="3" t="s">
        <v>104</v>
      </c>
      <c r="S153" s="3" t="s">
        <v>112</v>
      </c>
      <c r="T153" s="3" t="str">
        <f t="shared" si="10"/>
        <v>Full-Time</v>
      </c>
      <c r="V153" s="3">
        <v>1</v>
      </c>
      <c r="W153" s="3" t="s">
        <v>79</v>
      </c>
      <c r="X153" s="3">
        <v>13</v>
      </c>
      <c r="AB153" s="3" t="str" cm="1">
        <f t="array" ref="AB153">_xlfn.IFS(AA153="N","No",  AA153 = "Y", "Yes", TRUE, PROPER(TRIM(AA153)))</f>
        <v/>
      </c>
      <c r="AC153" s="3">
        <v>4</v>
      </c>
      <c r="AD153" s="3" t="s">
        <v>34</v>
      </c>
      <c r="AE153">
        <f t="shared" si="11"/>
        <v>0</v>
      </c>
    </row>
    <row r="154" spans="1:31" ht="14.25" customHeight="1" x14ac:dyDescent="0.35">
      <c r="A154" s="3" t="s">
        <v>445</v>
      </c>
      <c r="B154" s="3" t="s">
        <v>107</v>
      </c>
      <c r="C154" s="3" t="s">
        <v>446</v>
      </c>
      <c r="D154" s="3">
        <v>40</v>
      </c>
      <c r="E154" s="3">
        <f t="shared" si="8"/>
        <v>40</v>
      </c>
      <c r="F154" s="3">
        <v>1984</v>
      </c>
      <c r="G154" s="3">
        <v>58300</v>
      </c>
      <c r="H154" s="12" cm="1">
        <f t="array" ref="H154">_xlfn.IFS(TRIM(G154)="SIXTY THOUSAND",60000,TRIM(G154)="NAN",AVERAGEIFS(G:G,J:J,J154,L:L,L154),TRUE,G154)</f>
        <v>58300</v>
      </c>
      <c r="I154" s="3" t="s">
        <v>27</v>
      </c>
      <c r="J154" s="3" t="s">
        <v>145</v>
      </c>
      <c r="K154" s="3" t="str">
        <f t="shared" si="9"/>
        <v>Sales</v>
      </c>
      <c r="L154" s="3" t="s">
        <v>89</v>
      </c>
      <c r="M154" s="4">
        <v>43881</v>
      </c>
      <c r="N154" s="4">
        <v>43881</v>
      </c>
      <c r="O154" s="3" t="s">
        <v>52</v>
      </c>
      <c r="P154" s="3">
        <v>71</v>
      </c>
      <c r="Q154" s="3" t="s">
        <v>447</v>
      </c>
      <c r="S154" s="3" t="s">
        <v>100</v>
      </c>
      <c r="T154" s="3" t="str">
        <f t="shared" si="10"/>
        <v>Part-Time</v>
      </c>
      <c r="V154" s="3">
        <v>2</v>
      </c>
      <c r="Y154" s="4">
        <v>44470</v>
      </c>
      <c r="AA154" s="3" t="s">
        <v>34</v>
      </c>
      <c r="AB154" s="3" t="str" cm="1">
        <f t="array" ref="AB154">_xlfn.IFS(AA154="N","No",  AA154 = "Y", "Yes", TRUE, PROPER(TRIM(AA154)))</f>
        <v>No</v>
      </c>
      <c r="AC154" s="3">
        <v>2</v>
      </c>
      <c r="AD154" s="3" t="s">
        <v>34</v>
      </c>
      <c r="AE154">
        <f t="shared" si="11"/>
        <v>0</v>
      </c>
    </row>
    <row r="155" spans="1:31" ht="14.25" customHeight="1" x14ac:dyDescent="0.35">
      <c r="A155" s="3" t="s">
        <v>448</v>
      </c>
      <c r="B155" s="3" t="s">
        <v>48</v>
      </c>
      <c r="C155" s="3" t="s">
        <v>69</v>
      </c>
      <c r="D155" s="3">
        <v>35</v>
      </c>
      <c r="E155" s="3">
        <f t="shared" si="8"/>
        <v>35</v>
      </c>
      <c r="F155" s="3">
        <v>1989</v>
      </c>
      <c r="G155" s="3">
        <v>70000</v>
      </c>
      <c r="H155" s="12" cm="1">
        <f t="array" ref="H155">_xlfn.IFS(TRIM(G155)="SIXTY THOUSAND",60000,TRIM(G155)="NAN",AVERAGEIFS(G:G,J:J,J155,L:L,L155),TRUE,G155)</f>
        <v>70000</v>
      </c>
      <c r="I155" s="3" t="s">
        <v>27</v>
      </c>
      <c r="J155" s="3" t="s">
        <v>70</v>
      </c>
      <c r="K155" s="3" t="str">
        <f t="shared" si="9"/>
        <v>Marketing</v>
      </c>
      <c r="L155" s="3" t="s">
        <v>77</v>
      </c>
      <c r="M155" s="4">
        <v>43845</v>
      </c>
      <c r="N155" s="4">
        <v>43845</v>
      </c>
      <c r="O155" s="3" t="s">
        <v>59</v>
      </c>
      <c r="P155" s="3">
        <v>100</v>
      </c>
      <c r="Q155" s="3" t="s">
        <v>449</v>
      </c>
      <c r="R155" s="3" t="s">
        <v>43</v>
      </c>
      <c r="S155" s="3" t="s">
        <v>112</v>
      </c>
      <c r="T155" s="3" t="str">
        <f t="shared" si="10"/>
        <v>Full-Time</v>
      </c>
      <c r="V155" s="3">
        <v>2</v>
      </c>
      <c r="W155" s="3" t="s">
        <v>79</v>
      </c>
      <c r="AA155" s="3" t="s">
        <v>33</v>
      </c>
      <c r="AB155" s="3" t="str" cm="1">
        <f t="array" ref="AB155">_xlfn.IFS(AA155="N","No",  AA155 = "Y", "Yes", TRUE, PROPER(TRIM(AA155)))</f>
        <v>Yes</v>
      </c>
      <c r="AC155" s="3">
        <v>1</v>
      </c>
      <c r="AD155" s="3" t="s">
        <v>34</v>
      </c>
      <c r="AE155">
        <f t="shared" si="11"/>
        <v>0</v>
      </c>
    </row>
    <row r="156" spans="1:31" ht="14.25" customHeight="1" x14ac:dyDescent="0.35">
      <c r="A156" s="3" t="s">
        <v>450</v>
      </c>
      <c r="B156" s="3" t="s">
        <v>140</v>
      </c>
      <c r="C156" s="3" t="s">
        <v>268</v>
      </c>
      <c r="D156" s="3">
        <v>40</v>
      </c>
      <c r="E156" s="3">
        <f t="shared" si="8"/>
        <v>40</v>
      </c>
      <c r="F156" s="3">
        <v>1984</v>
      </c>
      <c r="G156" s="3">
        <v>59300</v>
      </c>
      <c r="H156" s="12" cm="1">
        <f t="array" ref="H156">_xlfn.IFS(TRIM(G156)="SIXTY THOUSAND",60000,TRIM(G156)="NAN",AVERAGEIFS(G:G,J:J,J156,L:L,L156),TRUE,G156)</f>
        <v>59300</v>
      </c>
      <c r="I156" s="3" t="s">
        <v>38</v>
      </c>
      <c r="J156" s="3" t="s">
        <v>58</v>
      </c>
      <c r="K156" s="3" t="str">
        <f t="shared" si="9"/>
        <v>IT</v>
      </c>
      <c r="L156" s="3" t="s">
        <v>94</v>
      </c>
      <c r="M156" s="4">
        <v>43881</v>
      </c>
      <c r="N156" s="4">
        <v>43881</v>
      </c>
      <c r="O156" s="3" t="s">
        <v>52</v>
      </c>
      <c r="P156" s="3">
        <v>79</v>
      </c>
      <c r="Q156" s="3" t="s">
        <v>269</v>
      </c>
      <c r="S156" s="3" t="s">
        <v>66</v>
      </c>
      <c r="T156" s="3" t="str">
        <f t="shared" si="10"/>
        <v>Contract</v>
      </c>
      <c r="U156" s="3" t="s">
        <v>116</v>
      </c>
      <c r="V156" s="3">
        <v>8</v>
      </c>
      <c r="W156" s="3">
        <v>2</v>
      </c>
      <c r="Y156" s="4">
        <v>44732</v>
      </c>
      <c r="AA156" s="3" t="s">
        <v>46</v>
      </c>
      <c r="AB156" s="3" t="str" cm="1">
        <f t="array" ref="AB156">_xlfn.IFS(AA156="N","No",  AA156 = "Y", "Yes", TRUE, PROPER(TRIM(AA156)))</f>
        <v>Yes</v>
      </c>
      <c r="AC156" s="3">
        <v>3</v>
      </c>
      <c r="AD156" s="3" t="s">
        <v>34</v>
      </c>
      <c r="AE156">
        <f t="shared" si="11"/>
        <v>0</v>
      </c>
    </row>
    <row r="157" spans="1:31" ht="14.25" customHeight="1" x14ac:dyDescent="0.35">
      <c r="A157" s="3" t="s">
        <v>451</v>
      </c>
      <c r="B157" s="3" t="s">
        <v>56</v>
      </c>
      <c r="C157" s="3" t="s">
        <v>57</v>
      </c>
      <c r="D157" s="3">
        <v>35</v>
      </c>
      <c r="E157" s="3">
        <f t="shared" si="8"/>
        <v>35</v>
      </c>
      <c r="F157" s="3">
        <v>1989</v>
      </c>
      <c r="G157" s="3">
        <v>65000</v>
      </c>
      <c r="H157" s="12" cm="1">
        <f t="array" ref="H157">_xlfn.IFS(TRIM(G157)="SIXTY THOUSAND",60000,TRIM(G157)="NAN",AVERAGEIFS(G:G,J:J,J157,L:L,L157),TRUE,G157)</f>
        <v>65000</v>
      </c>
      <c r="I157" s="3" t="s">
        <v>38</v>
      </c>
      <c r="J157" s="3" t="s">
        <v>51</v>
      </c>
      <c r="K157" s="3" t="str">
        <f t="shared" si="9"/>
        <v>Sales</v>
      </c>
      <c r="L157" s="3" t="s">
        <v>89</v>
      </c>
      <c r="M157" s="4">
        <v>43800</v>
      </c>
      <c r="N157" s="4">
        <v>43800</v>
      </c>
      <c r="O157" s="3" t="s">
        <v>59</v>
      </c>
      <c r="P157" s="3">
        <v>97</v>
      </c>
      <c r="Q157" s="3" t="s">
        <v>60</v>
      </c>
      <c r="R157" s="3" t="s">
        <v>43</v>
      </c>
      <c r="S157" s="3" t="s">
        <v>72</v>
      </c>
      <c r="T157" s="3" t="str">
        <f t="shared" si="10"/>
        <v>Part-Time</v>
      </c>
      <c r="V157" s="3">
        <v>3</v>
      </c>
      <c r="X157" s="3">
        <v>17</v>
      </c>
      <c r="Y157" s="4">
        <v>44941</v>
      </c>
      <c r="Z157" s="3">
        <v>19</v>
      </c>
      <c r="AA157" s="3" t="s">
        <v>34</v>
      </c>
      <c r="AB157" s="3" t="str" cm="1">
        <f t="array" ref="AB157">_xlfn.IFS(AA157="N","No",  AA157 = "Y", "Yes", TRUE, PROPER(TRIM(AA157)))</f>
        <v>No</v>
      </c>
      <c r="AC157" s="3">
        <v>1</v>
      </c>
      <c r="AD157" s="3" t="s">
        <v>34</v>
      </c>
      <c r="AE157">
        <f t="shared" si="11"/>
        <v>0</v>
      </c>
    </row>
    <row r="158" spans="1:31" ht="14.25" customHeight="1" x14ac:dyDescent="0.35">
      <c r="A158" s="3" t="s">
        <v>452</v>
      </c>
      <c r="B158" s="3" t="s">
        <v>131</v>
      </c>
      <c r="C158" s="3" t="s">
        <v>137</v>
      </c>
      <c r="E158" s="3">
        <f t="shared" si="8"/>
        <v>31</v>
      </c>
      <c r="F158" s="3">
        <v>1993</v>
      </c>
      <c r="G158" s="3">
        <v>50000</v>
      </c>
      <c r="H158" s="12" cm="1">
        <f t="array" ref="H158">_xlfn.IFS(TRIM(G158)="SIXTY THOUSAND",60000,TRIM(G158)="NAN",AVERAGEIFS(G:G,J:J,J158,L:L,L158),TRUE,G158)</f>
        <v>50000</v>
      </c>
      <c r="I158" s="3" t="s">
        <v>38</v>
      </c>
      <c r="J158" s="3" t="s">
        <v>122</v>
      </c>
      <c r="K158" s="3" t="str">
        <f t="shared" si="9"/>
        <v>IT</v>
      </c>
      <c r="L158" s="3" t="s">
        <v>77</v>
      </c>
      <c r="M158" s="4">
        <v>43549</v>
      </c>
      <c r="N158" s="4">
        <v>43549</v>
      </c>
      <c r="O158" s="3" t="s">
        <v>41</v>
      </c>
      <c r="P158" s="3">
        <v>56</v>
      </c>
      <c r="Q158" s="3" t="s">
        <v>453</v>
      </c>
      <c r="R158" s="3" t="s">
        <v>104</v>
      </c>
      <c r="S158" s="3" t="s">
        <v>72</v>
      </c>
      <c r="T158" s="3" t="str">
        <f t="shared" si="10"/>
        <v>Part-Time</v>
      </c>
      <c r="U158" s="3" t="s">
        <v>106</v>
      </c>
      <c r="V158" s="3">
        <v>2</v>
      </c>
      <c r="Z158" s="3">
        <v>73</v>
      </c>
      <c r="AA158" s="3" t="s">
        <v>46</v>
      </c>
      <c r="AB158" s="3" t="str" cm="1">
        <f t="array" ref="AB158">_xlfn.IFS(AA158="N","No",  AA158 = "Y", "Yes", TRUE, PROPER(TRIM(AA158)))</f>
        <v>Yes</v>
      </c>
      <c r="AC158" s="3">
        <v>3</v>
      </c>
      <c r="AD158" s="3" t="s">
        <v>34</v>
      </c>
      <c r="AE158">
        <f t="shared" si="11"/>
        <v>0</v>
      </c>
    </row>
    <row r="159" spans="1:31" ht="14.25" customHeight="1" x14ac:dyDescent="0.35">
      <c r="A159" s="3" t="s">
        <v>454</v>
      </c>
      <c r="B159" s="3" t="s">
        <v>75</v>
      </c>
      <c r="C159" s="3" t="s">
        <v>132</v>
      </c>
      <c r="D159" s="3">
        <v>40</v>
      </c>
      <c r="E159" s="3">
        <f t="shared" si="8"/>
        <v>40</v>
      </c>
      <c r="F159" s="3">
        <v>1984</v>
      </c>
      <c r="G159" s="3">
        <v>55000</v>
      </c>
      <c r="H159" s="12" cm="1">
        <f t="array" ref="H159">_xlfn.IFS(TRIM(G159)="SIXTY THOUSAND",60000,TRIM(G159)="NAN",AVERAGEIFS(G:G,J:J,J159,L:L,L159),TRUE,G159)</f>
        <v>55000</v>
      </c>
      <c r="I159" s="3" t="s">
        <v>38</v>
      </c>
      <c r="J159" s="3" t="s">
        <v>70</v>
      </c>
      <c r="K159" s="3" t="str">
        <f t="shared" si="9"/>
        <v>Marketing</v>
      </c>
      <c r="L159" s="3" t="s">
        <v>77</v>
      </c>
      <c r="M159" s="4">
        <v>43549</v>
      </c>
      <c r="N159" s="4">
        <v>43549</v>
      </c>
      <c r="O159" s="3" t="s">
        <v>41</v>
      </c>
      <c r="P159" s="3">
        <v>39</v>
      </c>
      <c r="Q159" s="3" t="s">
        <v>455</v>
      </c>
      <c r="R159" s="3" t="s">
        <v>43</v>
      </c>
      <c r="S159" s="3" t="s">
        <v>100</v>
      </c>
      <c r="T159" s="3" t="str">
        <f t="shared" si="10"/>
        <v>Part-Time</v>
      </c>
      <c r="V159" s="3">
        <v>2</v>
      </c>
      <c r="X159" s="3">
        <v>5</v>
      </c>
      <c r="Y159" s="4">
        <v>44990</v>
      </c>
      <c r="Z159" s="3">
        <v>44</v>
      </c>
      <c r="AA159" s="3" t="s">
        <v>33</v>
      </c>
      <c r="AB159" s="3" t="str" cm="1">
        <f t="array" ref="AB159">_xlfn.IFS(AA159="N","No",  AA159 = "Y", "Yes", TRUE, PROPER(TRIM(AA159)))</f>
        <v>Yes</v>
      </c>
      <c r="AC159" s="3">
        <v>1</v>
      </c>
      <c r="AD159" s="3" t="s">
        <v>34</v>
      </c>
      <c r="AE159">
        <f t="shared" si="11"/>
        <v>0</v>
      </c>
    </row>
    <row r="160" spans="1:31" ht="14.25" customHeight="1" x14ac:dyDescent="0.35">
      <c r="A160" s="3" t="s">
        <v>456</v>
      </c>
      <c r="B160" s="3" t="s">
        <v>68</v>
      </c>
      <c r="C160" s="3" t="s">
        <v>176</v>
      </c>
      <c r="E160" s="3">
        <f t="shared" si="8"/>
        <v>33</v>
      </c>
      <c r="F160" s="3">
        <v>1991</v>
      </c>
      <c r="G160" s="3">
        <v>50000</v>
      </c>
      <c r="H160" s="12" cm="1">
        <f t="array" ref="H160">_xlfn.IFS(TRIM(G160)="SIXTY THOUSAND",60000,TRIM(G160)="NAN",AVERAGEIFS(G:G,J:J,J160,L:L,L160),TRUE,G160)</f>
        <v>50000</v>
      </c>
      <c r="I160" s="3" t="s">
        <v>27</v>
      </c>
      <c r="J160" s="3" t="s">
        <v>39</v>
      </c>
      <c r="K160" s="3" t="str">
        <f t="shared" si="9"/>
        <v>Finance</v>
      </c>
      <c r="L160" s="3" t="s">
        <v>89</v>
      </c>
      <c r="M160" s="4">
        <v>43845</v>
      </c>
      <c r="N160" s="4">
        <v>43845</v>
      </c>
      <c r="O160" s="3" t="s">
        <v>30</v>
      </c>
      <c r="P160" s="3">
        <v>60</v>
      </c>
      <c r="Q160" s="3" t="s">
        <v>457</v>
      </c>
      <c r="R160" s="3" t="s">
        <v>61</v>
      </c>
      <c r="S160" s="3" t="s">
        <v>112</v>
      </c>
      <c r="T160" s="3" t="str">
        <f t="shared" si="10"/>
        <v>Full-Time</v>
      </c>
      <c r="V160" s="3">
        <v>2</v>
      </c>
      <c r="W160" s="3" t="s">
        <v>79</v>
      </c>
      <c r="AA160" s="3" t="s">
        <v>169</v>
      </c>
      <c r="AB160" s="3" t="str" cm="1">
        <f t="array" ref="AB160">_xlfn.IFS(AA160="N","No",  AA160 = "Y", "Yes", TRUE, PROPER(TRIM(AA160)))</f>
        <v>Yes</v>
      </c>
      <c r="AC160" s="3">
        <v>2</v>
      </c>
      <c r="AD160" s="3" t="s">
        <v>34</v>
      </c>
      <c r="AE160">
        <f t="shared" si="11"/>
        <v>0</v>
      </c>
    </row>
    <row r="161" spans="1:31" ht="14.25" customHeight="1" x14ac:dyDescent="0.35">
      <c r="A161" s="3" t="s">
        <v>458</v>
      </c>
      <c r="B161" s="3" t="s">
        <v>48</v>
      </c>
      <c r="C161" s="3" t="s">
        <v>459</v>
      </c>
      <c r="D161" s="3" t="s">
        <v>88</v>
      </c>
      <c r="E161" s="3">
        <f t="shared" si="8"/>
        <v>30</v>
      </c>
      <c r="F161" s="3">
        <v>1994</v>
      </c>
      <c r="G161" s="3">
        <v>55000</v>
      </c>
      <c r="H161" s="12" cm="1">
        <f t="array" ref="H161">_xlfn.IFS(TRIM(G161)="SIXTY THOUSAND",60000,TRIM(G161)="NAN",AVERAGEIFS(G:G,J:J,J161,L:L,L161),TRUE,G161)</f>
        <v>55000</v>
      </c>
      <c r="I161" s="3" t="s">
        <v>27</v>
      </c>
      <c r="J161" s="3" t="s">
        <v>58</v>
      </c>
      <c r="K161" s="3" t="str">
        <f t="shared" si="9"/>
        <v>IT</v>
      </c>
      <c r="L161" s="3" t="s">
        <v>29</v>
      </c>
      <c r="M161" s="4">
        <v>43549</v>
      </c>
      <c r="N161" s="4">
        <v>43549</v>
      </c>
      <c r="O161" s="3" t="s">
        <v>30</v>
      </c>
      <c r="P161" s="3">
        <v>63</v>
      </c>
      <c r="Q161" s="3" t="s">
        <v>460</v>
      </c>
      <c r="S161" s="3" t="s">
        <v>44</v>
      </c>
      <c r="T161" s="3" t="str">
        <f t="shared" si="10"/>
        <v>Full-Time</v>
      </c>
      <c r="V161" s="3">
        <v>5</v>
      </c>
      <c r="W161" s="3">
        <v>14</v>
      </c>
      <c r="X161" s="3">
        <v>8</v>
      </c>
      <c r="Y161" s="4">
        <v>45516</v>
      </c>
      <c r="AA161" s="3" t="s">
        <v>33</v>
      </c>
      <c r="AB161" s="3" t="str" cm="1">
        <f t="array" ref="AB161">_xlfn.IFS(AA161="N","No",  AA161 = "Y", "Yes", TRUE, PROPER(TRIM(AA161)))</f>
        <v>Yes</v>
      </c>
      <c r="AC161" s="3">
        <v>5</v>
      </c>
      <c r="AD161" s="3" t="s">
        <v>34</v>
      </c>
      <c r="AE161">
        <f t="shared" si="11"/>
        <v>0</v>
      </c>
    </row>
    <row r="162" spans="1:31" ht="14.25" customHeight="1" x14ac:dyDescent="0.35">
      <c r="A162" s="3" t="s">
        <v>461</v>
      </c>
      <c r="B162" s="3" t="s">
        <v>107</v>
      </c>
      <c r="C162" s="3" t="s">
        <v>462</v>
      </c>
      <c r="D162" s="3" t="s">
        <v>88</v>
      </c>
      <c r="E162" s="3">
        <f t="shared" si="8"/>
        <v>30</v>
      </c>
      <c r="F162" s="3">
        <v>1994</v>
      </c>
      <c r="G162" s="3">
        <v>55000</v>
      </c>
      <c r="H162" s="12" cm="1">
        <f t="array" ref="H162">_xlfn.IFS(TRIM(G162)="SIXTY THOUSAND",60000,TRIM(G162)="NAN",AVERAGEIFS(G:G,J:J,J162,L:L,L162),TRUE,G162)</f>
        <v>55000</v>
      </c>
      <c r="I162" s="3" t="s">
        <v>27</v>
      </c>
      <c r="J162" s="3" t="s">
        <v>82</v>
      </c>
      <c r="K162" s="3" t="str">
        <f t="shared" si="9"/>
        <v>HR</v>
      </c>
      <c r="L162" s="3" t="s">
        <v>94</v>
      </c>
      <c r="M162" s="4">
        <v>43845</v>
      </c>
      <c r="N162" s="4">
        <v>43845</v>
      </c>
      <c r="O162" s="3" t="s">
        <v>30</v>
      </c>
      <c r="P162" s="3">
        <v>69</v>
      </c>
      <c r="Q162" s="3" t="s">
        <v>463</v>
      </c>
      <c r="R162" s="3" t="s">
        <v>61</v>
      </c>
      <c r="S162" s="3" t="s">
        <v>174</v>
      </c>
      <c r="T162" s="3" t="str">
        <f t="shared" si="10"/>
        <v>Full-Time</v>
      </c>
      <c r="U162" s="3" t="s">
        <v>317</v>
      </c>
      <c r="V162" s="3">
        <v>4</v>
      </c>
      <c r="Z162" s="3">
        <v>66</v>
      </c>
      <c r="AA162" s="3" t="s">
        <v>34</v>
      </c>
      <c r="AB162" s="3" t="str" cm="1">
        <f t="array" ref="AB162">_xlfn.IFS(AA162="N","No",  AA162 = "Y", "Yes", TRUE, PROPER(TRIM(AA162)))</f>
        <v>No</v>
      </c>
      <c r="AC162" s="3">
        <v>1</v>
      </c>
      <c r="AD162" s="3" t="s">
        <v>46</v>
      </c>
      <c r="AE162">
        <f t="shared" si="11"/>
        <v>1</v>
      </c>
    </row>
    <row r="163" spans="1:31" ht="14.25" customHeight="1" x14ac:dyDescent="0.35">
      <c r="A163" s="3" t="s">
        <v>464</v>
      </c>
      <c r="B163" s="3" t="s">
        <v>48</v>
      </c>
      <c r="C163" s="3" t="s">
        <v>465</v>
      </c>
      <c r="D163" s="3">
        <v>25</v>
      </c>
      <c r="E163" s="3">
        <f t="shared" si="8"/>
        <v>25</v>
      </c>
      <c r="F163" s="3">
        <v>1999</v>
      </c>
      <c r="G163" s="3">
        <v>50000</v>
      </c>
      <c r="H163" s="12" cm="1">
        <f t="array" ref="H163">_xlfn.IFS(TRIM(G163)="SIXTY THOUSAND",60000,TRIM(G163)="NAN",AVERAGEIFS(G:G,J:J,J163,L:L,L163),TRUE,G163)</f>
        <v>50000</v>
      </c>
      <c r="I163" s="3" t="s">
        <v>38</v>
      </c>
      <c r="J163" s="3" t="s">
        <v>28</v>
      </c>
      <c r="K163" s="3" t="str">
        <f t="shared" si="9"/>
        <v>HR</v>
      </c>
      <c r="L163" s="3" t="s">
        <v>94</v>
      </c>
      <c r="M163" s="4">
        <v>43845</v>
      </c>
      <c r="N163" s="4">
        <v>43845</v>
      </c>
      <c r="O163" s="3" t="s">
        <v>41</v>
      </c>
      <c r="P163" s="3">
        <v>12</v>
      </c>
      <c r="Q163" s="3" t="s">
        <v>466</v>
      </c>
      <c r="R163" s="3" t="s">
        <v>104</v>
      </c>
      <c r="S163" s="3" t="s">
        <v>44</v>
      </c>
      <c r="T163" s="3" t="str">
        <f t="shared" si="10"/>
        <v>Full-Time</v>
      </c>
      <c r="V163" s="3">
        <v>8</v>
      </c>
      <c r="Y163" s="4">
        <v>44470</v>
      </c>
      <c r="AA163" s="3" t="s">
        <v>169</v>
      </c>
      <c r="AB163" s="3" t="str" cm="1">
        <f t="array" ref="AB163">_xlfn.IFS(AA163="N","No",  AA163 = "Y", "Yes", TRUE, PROPER(TRIM(AA163)))</f>
        <v>Yes</v>
      </c>
      <c r="AC163" s="3">
        <v>1</v>
      </c>
      <c r="AD163" s="3" t="s">
        <v>46</v>
      </c>
      <c r="AE163">
        <f t="shared" si="11"/>
        <v>1</v>
      </c>
    </row>
    <row r="164" spans="1:31" ht="14.25" customHeight="1" x14ac:dyDescent="0.35">
      <c r="A164" s="3" t="s">
        <v>467</v>
      </c>
      <c r="B164" s="3" t="s">
        <v>140</v>
      </c>
      <c r="C164" s="3" t="s">
        <v>209</v>
      </c>
      <c r="D164" s="3">
        <v>40</v>
      </c>
      <c r="E164" s="3">
        <f t="shared" si="8"/>
        <v>40</v>
      </c>
      <c r="F164" s="3">
        <v>1984</v>
      </c>
      <c r="G164" s="3">
        <v>70000</v>
      </c>
      <c r="H164" s="12" cm="1">
        <f t="array" ref="H164">_xlfn.IFS(TRIM(G164)="SIXTY THOUSAND",60000,TRIM(G164)="NAN",AVERAGEIFS(G:G,J:J,J164,L:L,L164),TRUE,G164)</f>
        <v>70000</v>
      </c>
      <c r="I164" s="3" t="s">
        <v>27</v>
      </c>
      <c r="J164" s="3" t="s">
        <v>51</v>
      </c>
      <c r="K164" s="3" t="str">
        <f t="shared" si="9"/>
        <v>Sales</v>
      </c>
      <c r="L164" s="3" t="s">
        <v>29</v>
      </c>
      <c r="M164" s="4">
        <v>43881</v>
      </c>
      <c r="N164" s="4">
        <v>43881</v>
      </c>
      <c r="O164" s="3" t="s">
        <v>78</v>
      </c>
      <c r="P164" s="3">
        <v>83</v>
      </c>
      <c r="Q164" s="3" t="s">
        <v>468</v>
      </c>
      <c r="S164" s="3" t="s">
        <v>174</v>
      </c>
      <c r="T164" s="3" t="str">
        <f t="shared" si="10"/>
        <v>Full-Time</v>
      </c>
      <c r="V164" s="3">
        <v>5</v>
      </c>
      <c r="X164" s="3">
        <v>16</v>
      </c>
      <c r="AA164" s="3" t="s">
        <v>33</v>
      </c>
      <c r="AB164" s="3" t="str" cm="1">
        <f t="array" ref="AB164">_xlfn.IFS(AA164="N","No",  AA164 = "Y", "Yes", TRUE, PROPER(TRIM(AA164)))</f>
        <v>Yes</v>
      </c>
      <c r="AC164" s="3">
        <v>5</v>
      </c>
      <c r="AD164" s="3" t="s">
        <v>34</v>
      </c>
      <c r="AE164">
        <f t="shared" si="11"/>
        <v>0</v>
      </c>
    </row>
    <row r="165" spans="1:31" ht="14.25" customHeight="1" x14ac:dyDescent="0.35">
      <c r="A165" s="3" t="s">
        <v>469</v>
      </c>
      <c r="B165" s="3" t="s">
        <v>36</v>
      </c>
      <c r="C165" s="3" t="s">
        <v>49</v>
      </c>
      <c r="E165" s="3">
        <f t="shared" si="8"/>
        <v>38</v>
      </c>
      <c r="F165" s="3">
        <v>1986</v>
      </c>
      <c r="G165" s="3">
        <v>55000</v>
      </c>
      <c r="H165" s="12" cm="1">
        <f t="array" ref="H165">_xlfn.IFS(TRIM(G165)="SIXTY THOUSAND",60000,TRIM(G165)="NAN",AVERAGEIFS(G:G,J:J,J165,L:L,L165),TRUE,G165)</f>
        <v>55000</v>
      </c>
      <c r="I165" s="3" t="s">
        <v>27</v>
      </c>
      <c r="J165" s="3" t="s">
        <v>70</v>
      </c>
      <c r="K165" s="3" t="str">
        <f t="shared" si="9"/>
        <v>Marketing</v>
      </c>
      <c r="L165" s="3" t="s">
        <v>89</v>
      </c>
      <c r="M165" s="4">
        <v>43549</v>
      </c>
      <c r="N165" s="4">
        <v>43549</v>
      </c>
      <c r="O165" s="3" t="s">
        <v>41</v>
      </c>
      <c r="P165" s="3">
        <v>50</v>
      </c>
      <c r="Q165" s="3" t="s">
        <v>470</v>
      </c>
      <c r="R165" s="3" t="s">
        <v>104</v>
      </c>
      <c r="S165" s="3" t="s">
        <v>44</v>
      </c>
      <c r="T165" s="3" t="str">
        <f t="shared" si="10"/>
        <v>Full-Time</v>
      </c>
      <c r="V165" s="3">
        <v>5</v>
      </c>
      <c r="X165" s="3">
        <v>17</v>
      </c>
      <c r="Y165" s="4">
        <v>44990</v>
      </c>
      <c r="AA165" s="3" t="s">
        <v>46</v>
      </c>
      <c r="AB165" s="3" t="str" cm="1">
        <f t="array" ref="AB165">_xlfn.IFS(AA165="N","No",  AA165 = "Y", "Yes", TRUE, PROPER(TRIM(AA165)))</f>
        <v>Yes</v>
      </c>
      <c r="AC165" s="3">
        <v>1</v>
      </c>
      <c r="AD165" s="3" t="s">
        <v>46</v>
      </c>
      <c r="AE165">
        <f t="shared" si="11"/>
        <v>1</v>
      </c>
    </row>
    <row r="166" spans="1:31" ht="14.25" customHeight="1" x14ac:dyDescent="0.35">
      <c r="A166" s="3" t="s">
        <v>471</v>
      </c>
      <c r="B166" s="3" t="s">
        <v>131</v>
      </c>
      <c r="C166" s="3" t="s">
        <v>472</v>
      </c>
      <c r="D166" s="3">
        <v>35</v>
      </c>
      <c r="E166" s="3">
        <f t="shared" si="8"/>
        <v>35</v>
      </c>
      <c r="F166" s="3">
        <v>1989</v>
      </c>
      <c r="G166" s="3">
        <v>50000</v>
      </c>
      <c r="H166" s="12" cm="1">
        <f t="array" ref="H166">_xlfn.IFS(TRIM(G166)="SIXTY THOUSAND",60000,TRIM(G166)="NAN",AVERAGEIFS(G:G,J:J,J166,L:L,L166),TRUE,G166)</f>
        <v>50000</v>
      </c>
      <c r="I166" s="3" t="s">
        <v>27</v>
      </c>
      <c r="J166" s="3" t="s">
        <v>145</v>
      </c>
      <c r="K166" s="3" t="str">
        <f t="shared" si="9"/>
        <v>Sales</v>
      </c>
      <c r="L166" s="3" t="s">
        <v>94</v>
      </c>
      <c r="M166" s="4">
        <v>43845</v>
      </c>
      <c r="N166" s="4">
        <v>43845</v>
      </c>
      <c r="O166" s="3" t="s">
        <v>52</v>
      </c>
      <c r="P166" s="3">
        <v>74</v>
      </c>
      <c r="Q166" s="3" t="s">
        <v>473</v>
      </c>
      <c r="R166" s="3" t="s">
        <v>61</v>
      </c>
      <c r="S166" s="3" t="s">
        <v>72</v>
      </c>
      <c r="T166" s="3" t="str">
        <f t="shared" si="10"/>
        <v>Part-Time</v>
      </c>
      <c r="U166" s="3" t="s">
        <v>474</v>
      </c>
      <c r="V166" s="3">
        <v>8</v>
      </c>
      <c r="AA166" s="3" t="s">
        <v>34</v>
      </c>
      <c r="AB166" s="3" t="str" cm="1">
        <f t="array" ref="AB166">_xlfn.IFS(AA166="N","No",  AA166 = "Y", "Yes", TRUE, PROPER(TRIM(AA166)))</f>
        <v>No</v>
      </c>
      <c r="AC166" s="3">
        <v>4</v>
      </c>
      <c r="AD166" s="3" t="s">
        <v>46</v>
      </c>
      <c r="AE166">
        <f t="shared" si="11"/>
        <v>1</v>
      </c>
    </row>
    <row r="167" spans="1:31" ht="14.25" customHeight="1" x14ac:dyDescent="0.35">
      <c r="A167" s="3" t="s">
        <v>475</v>
      </c>
      <c r="B167" s="3" t="s">
        <v>131</v>
      </c>
      <c r="C167" s="3" t="s">
        <v>216</v>
      </c>
      <c r="D167" s="3" t="s">
        <v>88</v>
      </c>
      <c r="E167" s="3">
        <f t="shared" si="8"/>
        <v>30</v>
      </c>
      <c r="F167" s="3">
        <v>1994</v>
      </c>
      <c r="G167" s="3">
        <v>55000</v>
      </c>
      <c r="H167" s="12" cm="1">
        <f t="array" ref="H167">_xlfn.IFS(TRIM(G167)="SIXTY THOUSAND",60000,TRIM(G167)="NAN",AVERAGEIFS(G:G,J:J,J167,L:L,L167),TRUE,G167)</f>
        <v>55000</v>
      </c>
      <c r="I167" s="3" t="s">
        <v>38</v>
      </c>
      <c r="J167" s="3" t="s">
        <v>51</v>
      </c>
      <c r="K167" s="3" t="str">
        <f t="shared" si="9"/>
        <v>Sales</v>
      </c>
      <c r="L167" s="3" t="s">
        <v>89</v>
      </c>
      <c r="M167" s="4">
        <v>43881</v>
      </c>
      <c r="N167" s="4">
        <v>43881</v>
      </c>
      <c r="O167" s="3" t="s">
        <v>41</v>
      </c>
      <c r="P167" s="3">
        <v>30</v>
      </c>
      <c r="Q167" s="3" t="s">
        <v>217</v>
      </c>
      <c r="R167" s="3" t="s">
        <v>104</v>
      </c>
      <c r="S167" s="3" t="s">
        <v>32</v>
      </c>
      <c r="T167" s="3" t="str">
        <f t="shared" si="10"/>
        <v>Contract</v>
      </c>
      <c r="U167" s="3" t="s">
        <v>476</v>
      </c>
      <c r="V167" s="3">
        <v>1</v>
      </c>
      <c r="Z167" s="3">
        <v>17</v>
      </c>
      <c r="AA167" s="3" t="s">
        <v>34</v>
      </c>
      <c r="AB167" s="3" t="str" cm="1">
        <f t="array" ref="AB167">_xlfn.IFS(AA167="N","No",  AA167 = "Y", "Yes", TRUE, PROPER(TRIM(AA167)))</f>
        <v>No</v>
      </c>
      <c r="AC167" s="3">
        <v>1</v>
      </c>
      <c r="AD167" s="3" t="s">
        <v>46</v>
      </c>
      <c r="AE167">
        <f t="shared" si="11"/>
        <v>1</v>
      </c>
    </row>
    <row r="168" spans="1:31" ht="14.25" customHeight="1" x14ac:dyDescent="0.35">
      <c r="A168" s="3" t="s">
        <v>477</v>
      </c>
      <c r="B168" s="3" t="s">
        <v>68</v>
      </c>
      <c r="C168" s="3" t="s">
        <v>250</v>
      </c>
      <c r="D168" s="3" t="s">
        <v>88</v>
      </c>
      <c r="E168" s="3">
        <f t="shared" si="8"/>
        <v>30</v>
      </c>
      <c r="F168" s="3">
        <v>1994</v>
      </c>
      <c r="G168" s="3" t="s">
        <v>50</v>
      </c>
      <c r="H168" s="12" cm="1">
        <f t="array" ref="H168">_xlfn.IFS(TRIM(G168)="SIXTY THOUSAND",60000,TRIM(G168)="NAN",AVERAGEIFS(G:G,J:J,J168,L:L,L168),TRUE,G168)</f>
        <v>60000</v>
      </c>
      <c r="I168" s="3" t="s">
        <v>27</v>
      </c>
      <c r="J168" s="3" t="s">
        <v>51</v>
      </c>
      <c r="K168" s="3" t="str">
        <f t="shared" si="9"/>
        <v>Sales</v>
      </c>
      <c r="L168" s="3" t="s">
        <v>89</v>
      </c>
      <c r="M168" s="4">
        <v>43195</v>
      </c>
      <c r="N168" s="4">
        <v>43195</v>
      </c>
      <c r="O168" s="3" t="s">
        <v>41</v>
      </c>
      <c r="P168" s="3">
        <v>47</v>
      </c>
      <c r="Q168" s="3" t="s">
        <v>251</v>
      </c>
      <c r="S168" s="3" t="s">
        <v>72</v>
      </c>
      <c r="T168" s="3" t="str">
        <f t="shared" si="10"/>
        <v>Part-Time</v>
      </c>
      <c r="V168" s="3">
        <v>2</v>
      </c>
      <c r="AB168" s="3" t="str" cm="1">
        <f t="array" ref="AB168">_xlfn.IFS(AA168="N","No",  AA168 = "Y", "Yes", TRUE, PROPER(TRIM(AA168)))</f>
        <v/>
      </c>
      <c r="AC168" s="3">
        <v>5</v>
      </c>
      <c r="AD168" s="3" t="s">
        <v>34</v>
      </c>
      <c r="AE168">
        <f t="shared" si="11"/>
        <v>0</v>
      </c>
    </row>
    <row r="169" spans="1:31" ht="14.25" customHeight="1" x14ac:dyDescent="0.35">
      <c r="A169" s="3" t="s">
        <v>478</v>
      </c>
      <c r="B169" s="3" t="s">
        <v>36</v>
      </c>
      <c r="C169" s="3" t="s">
        <v>479</v>
      </c>
      <c r="D169" s="3">
        <v>35</v>
      </c>
      <c r="E169" s="3">
        <f t="shared" si="8"/>
        <v>35</v>
      </c>
      <c r="F169" s="3">
        <v>1989</v>
      </c>
      <c r="G169" s="3">
        <v>70000</v>
      </c>
      <c r="H169" s="12" cm="1">
        <f t="array" ref="H169">_xlfn.IFS(TRIM(G169)="SIXTY THOUSAND",60000,TRIM(G169)="NAN",AVERAGEIFS(G:G,J:J,J169,L:L,L169),TRUE,G169)</f>
        <v>70000</v>
      </c>
      <c r="I169" s="3" t="s">
        <v>27</v>
      </c>
      <c r="J169" s="3" t="s">
        <v>28</v>
      </c>
      <c r="K169" s="3" t="str">
        <f t="shared" si="9"/>
        <v>HR</v>
      </c>
      <c r="L169" s="3" t="s">
        <v>77</v>
      </c>
      <c r="M169" s="4">
        <v>43881</v>
      </c>
      <c r="N169" s="4">
        <v>43881</v>
      </c>
      <c r="O169" s="3" t="s">
        <v>59</v>
      </c>
      <c r="P169" s="3">
        <v>98</v>
      </c>
      <c r="Q169" s="3" t="s">
        <v>480</v>
      </c>
      <c r="S169" s="3" t="s">
        <v>174</v>
      </c>
      <c r="T169" s="3" t="str">
        <f t="shared" si="10"/>
        <v>Full-Time</v>
      </c>
      <c r="U169" s="3" t="s">
        <v>481</v>
      </c>
      <c r="V169" s="3">
        <v>3</v>
      </c>
      <c r="Z169" s="3">
        <v>47</v>
      </c>
      <c r="AA169" s="3" t="s">
        <v>482</v>
      </c>
      <c r="AB169" s="3" t="str" cm="1">
        <f t="array" ref="AB169">_xlfn.IFS(AA169="N","No",  AA169 = "Y", "Yes", TRUE, PROPER(TRIM(AA169)))</f>
        <v>Yes</v>
      </c>
      <c r="AC169" s="3">
        <v>1</v>
      </c>
      <c r="AD169" s="3" t="s">
        <v>46</v>
      </c>
      <c r="AE169">
        <f t="shared" si="11"/>
        <v>1</v>
      </c>
    </row>
    <row r="170" spans="1:31" ht="14.25" customHeight="1" x14ac:dyDescent="0.35">
      <c r="A170" s="3" t="s">
        <v>483</v>
      </c>
      <c r="B170" s="3" t="s">
        <v>25</v>
      </c>
      <c r="C170" s="3" t="s">
        <v>135</v>
      </c>
      <c r="E170" s="3">
        <f t="shared" si="8"/>
        <v>42</v>
      </c>
      <c r="F170" s="3">
        <v>1982</v>
      </c>
      <c r="G170" s="3">
        <v>65000</v>
      </c>
      <c r="H170" s="12" cm="1">
        <f t="array" ref="H170">_xlfn.IFS(TRIM(G170)="SIXTY THOUSAND",60000,TRIM(G170)="NAN",AVERAGEIFS(G:G,J:J,J170,L:L,L170),TRUE,G170)</f>
        <v>65000</v>
      </c>
      <c r="I170" s="3" t="s">
        <v>38</v>
      </c>
      <c r="J170" s="3" t="s">
        <v>82</v>
      </c>
      <c r="K170" s="3" t="str">
        <f t="shared" si="9"/>
        <v>HR</v>
      </c>
      <c r="L170" s="3" t="s">
        <v>29</v>
      </c>
      <c r="M170" s="4">
        <v>43881</v>
      </c>
      <c r="N170" s="4">
        <v>43881</v>
      </c>
      <c r="O170" s="3" t="s">
        <v>59</v>
      </c>
      <c r="P170" s="3">
        <v>94</v>
      </c>
      <c r="Q170" s="3" t="s">
        <v>484</v>
      </c>
      <c r="R170" s="3" t="s">
        <v>104</v>
      </c>
      <c r="S170" s="3" t="s">
        <v>32</v>
      </c>
      <c r="T170" s="3" t="str">
        <f t="shared" si="10"/>
        <v>Contract</v>
      </c>
      <c r="V170" s="3">
        <v>1</v>
      </c>
      <c r="Y170" s="4">
        <v>44732</v>
      </c>
      <c r="AA170" s="3" t="s">
        <v>34</v>
      </c>
      <c r="AB170" s="3" t="str" cm="1">
        <f t="array" ref="AB170">_xlfn.IFS(AA170="N","No",  AA170 = "Y", "Yes", TRUE, PROPER(TRIM(AA170)))</f>
        <v>No</v>
      </c>
      <c r="AC170" s="3">
        <v>4</v>
      </c>
      <c r="AD170" s="3" t="s">
        <v>34</v>
      </c>
      <c r="AE170">
        <f t="shared" si="11"/>
        <v>0</v>
      </c>
    </row>
    <row r="171" spans="1:31" ht="14.25" customHeight="1" x14ac:dyDescent="0.35">
      <c r="A171" s="3" t="s">
        <v>485</v>
      </c>
      <c r="B171" s="3" t="s">
        <v>114</v>
      </c>
      <c r="C171" s="3" t="s">
        <v>380</v>
      </c>
      <c r="E171" s="3">
        <f t="shared" si="8"/>
        <v>30</v>
      </c>
      <c r="F171" s="3">
        <v>1994</v>
      </c>
      <c r="G171" s="3">
        <v>55000</v>
      </c>
      <c r="H171" s="12" cm="1">
        <f t="array" ref="H171">_xlfn.IFS(TRIM(G171)="SIXTY THOUSAND",60000,TRIM(G171)="NAN",AVERAGEIFS(G:G,J:J,J171,L:L,L171),TRUE,G171)</f>
        <v>55000</v>
      </c>
      <c r="I171" s="3" t="s">
        <v>27</v>
      </c>
      <c r="J171" s="3" t="s">
        <v>51</v>
      </c>
      <c r="K171" s="3" t="str">
        <f t="shared" si="9"/>
        <v>Sales</v>
      </c>
      <c r="L171" s="3" t="s">
        <v>89</v>
      </c>
      <c r="M171" s="4">
        <v>43845</v>
      </c>
      <c r="N171" s="4">
        <v>43845</v>
      </c>
      <c r="O171" s="3" t="s">
        <v>59</v>
      </c>
      <c r="P171" s="3">
        <v>93</v>
      </c>
      <c r="Q171" s="3" t="s">
        <v>486</v>
      </c>
      <c r="S171" s="3" t="s">
        <v>112</v>
      </c>
      <c r="T171" s="3" t="str">
        <f t="shared" si="10"/>
        <v>Full-Time</v>
      </c>
      <c r="V171" s="3">
        <v>5</v>
      </c>
      <c r="Y171" s="4">
        <v>45516</v>
      </c>
      <c r="AB171" s="3" t="str" cm="1">
        <f t="array" ref="AB171">_xlfn.IFS(AA171="N","No",  AA171 = "Y", "Yes", TRUE, PROPER(TRIM(AA171)))</f>
        <v/>
      </c>
      <c r="AC171" s="3">
        <v>1</v>
      </c>
      <c r="AD171" s="3" t="s">
        <v>34</v>
      </c>
      <c r="AE171">
        <f t="shared" si="11"/>
        <v>0</v>
      </c>
    </row>
    <row r="172" spans="1:31" ht="14.25" customHeight="1" x14ac:dyDescent="0.35">
      <c r="A172" s="3" t="s">
        <v>487</v>
      </c>
      <c r="B172" s="3" t="s">
        <v>75</v>
      </c>
      <c r="C172" s="3" t="s">
        <v>103</v>
      </c>
      <c r="D172" s="3">
        <v>40</v>
      </c>
      <c r="E172" s="3">
        <f t="shared" si="8"/>
        <v>40</v>
      </c>
      <c r="F172" s="3">
        <v>1984</v>
      </c>
      <c r="G172" s="3" t="s">
        <v>50</v>
      </c>
      <c r="H172" s="12" cm="1">
        <f t="array" ref="H172">_xlfn.IFS(TRIM(G172)="SIXTY THOUSAND",60000,TRIM(G172)="NAN",AVERAGEIFS(G:G,J:J,J172,L:L,L172),TRUE,G172)</f>
        <v>60000</v>
      </c>
      <c r="I172" s="3" t="s">
        <v>27</v>
      </c>
      <c r="J172" s="3" t="s">
        <v>28</v>
      </c>
      <c r="K172" s="3" t="str">
        <f t="shared" si="9"/>
        <v>HR</v>
      </c>
      <c r="L172" s="3" t="s">
        <v>40</v>
      </c>
      <c r="M172" s="4">
        <v>43800</v>
      </c>
      <c r="N172" s="4">
        <v>43800</v>
      </c>
      <c r="O172" s="3" t="s">
        <v>41</v>
      </c>
      <c r="P172" s="3">
        <v>17</v>
      </c>
      <c r="Q172" s="3" t="s">
        <v>308</v>
      </c>
      <c r="S172" s="3" t="s">
        <v>100</v>
      </c>
      <c r="T172" s="3" t="str">
        <f t="shared" si="10"/>
        <v>Part-Time</v>
      </c>
      <c r="V172" s="3">
        <v>6</v>
      </c>
      <c r="X172" s="3">
        <v>4</v>
      </c>
      <c r="Z172" s="3">
        <v>52</v>
      </c>
      <c r="AA172" s="3" t="s">
        <v>33</v>
      </c>
      <c r="AB172" s="3" t="str" cm="1">
        <f t="array" ref="AB172">_xlfn.IFS(AA172="N","No",  AA172 = "Y", "Yes", TRUE, PROPER(TRIM(AA172)))</f>
        <v>Yes</v>
      </c>
      <c r="AC172" s="3">
        <v>5</v>
      </c>
      <c r="AD172" s="3" t="s">
        <v>34</v>
      </c>
      <c r="AE172">
        <f t="shared" si="11"/>
        <v>0</v>
      </c>
    </row>
    <row r="173" spans="1:31" ht="14.25" customHeight="1" x14ac:dyDescent="0.35">
      <c r="A173" s="3" t="s">
        <v>488</v>
      </c>
      <c r="B173" s="3" t="s">
        <v>131</v>
      </c>
      <c r="C173" s="3" t="s">
        <v>26</v>
      </c>
      <c r="D173" s="3">
        <v>40</v>
      </c>
      <c r="E173" s="3">
        <f t="shared" si="8"/>
        <v>40</v>
      </c>
      <c r="F173" s="3">
        <v>1984</v>
      </c>
      <c r="G173" s="3">
        <v>65000</v>
      </c>
      <c r="H173" s="12" cm="1">
        <f t="array" ref="H173">_xlfn.IFS(TRIM(G173)="SIXTY THOUSAND",60000,TRIM(G173)="NAN",AVERAGEIFS(G:G,J:J,J173,L:L,L173),TRUE,G173)</f>
        <v>65000</v>
      </c>
      <c r="I173" s="3" t="s">
        <v>38</v>
      </c>
      <c r="J173" s="3" t="s">
        <v>70</v>
      </c>
      <c r="K173" s="3" t="str">
        <f t="shared" si="9"/>
        <v>Marketing</v>
      </c>
      <c r="L173" s="3" t="s">
        <v>29</v>
      </c>
      <c r="M173" s="4">
        <v>43800</v>
      </c>
      <c r="N173" s="4">
        <v>43800</v>
      </c>
      <c r="O173" s="3" t="s">
        <v>78</v>
      </c>
      <c r="P173" s="3">
        <v>88</v>
      </c>
      <c r="Q173" s="3" t="s">
        <v>489</v>
      </c>
      <c r="R173" s="3" t="s">
        <v>104</v>
      </c>
      <c r="S173" s="3" t="s">
        <v>44</v>
      </c>
      <c r="T173" s="3" t="str">
        <f t="shared" si="10"/>
        <v>Full-Time</v>
      </c>
      <c r="U173" s="3" t="s">
        <v>490</v>
      </c>
      <c r="V173" s="3">
        <v>6</v>
      </c>
      <c r="AA173" s="3" t="s">
        <v>33</v>
      </c>
      <c r="AB173" s="3" t="str" cm="1">
        <f t="array" ref="AB173">_xlfn.IFS(AA173="N","No",  AA173 = "Y", "Yes", TRUE, PROPER(TRIM(AA173)))</f>
        <v>Yes</v>
      </c>
      <c r="AC173" s="3">
        <v>5</v>
      </c>
      <c r="AD173" s="3" t="s">
        <v>34</v>
      </c>
      <c r="AE173">
        <f t="shared" si="11"/>
        <v>0</v>
      </c>
    </row>
    <row r="174" spans="1:31" ht="14.25" customHeight="1" x14ac:dyDescent="0.35">
      <c r="A174" s="3" t="s">
        <v>491</v>
      </c>
      <c r="B174" s="3" t="s">
        <v>56</v>
      </c>
      <c r="C174" s="3" t="s">
        <v>465</v>
      </c>
      <c r="D174" s="3">
        <v>50</v>
      </c>
      <c r="E174" s="3">
        <f t="shared" si="8"/>
        <v>50</v>
      </c>
      <c r="F174" s="3">
        <v>1974</v>
      </c>
      <c r="G174" s="3">
        <v>65000</v>
      </c>
      <c r="H174" s="12" cm="1">
        <f t="array" ref="H174">_xlfn.IFS(TRIM(G174)="SIXTY THOUSAND",60000,TRIM(G174)="NAN",AVERAGEIFS(G:G,J:J,J174,L:L,L174),TRUE,G174)</f>
        <v>65000</v>
      </c>
      <c r="I174" s="3" t="s">
        <v>38</v>
      </c>
      <c r="J174" s="3" t="s">
        <v>145</v>
      </c>
      <c r="K174" s="3" t="str">
        <f t="shared" si="9"/>
        <v>Sales</v>
      </c>
      <c r="L174" s="3" t="s">
        <v>94</v>
      </c>
      <c r="M174" s="4">
        <v>43800</v>
      </c>
      <c r="N174" s="4">
        <v>43800</v>
      </c>
      <c r="O174" s="3" t="s">
        <v>52</v>
      </c>
      <c r="P174" s="3">
        <v>73</v>
      </c>
      <c r="Q174" s="3" t="s">
        <v>492</v>
      </c>
      <c r="R174" s="3" t="s">
        <v>61</v>
      </c>
      <c r="S174" s="3" t="s">
        <v>112</v>
      </c>
      <c r="T174" s="3" t="str">
        <f t="shared" si="10"/>
        <v>Full-Time</v>
      </c>
      <c r="V174" s="3">
        <v>7</v>
      </c>
      <c r="W174" s="3" t="s">
        <v>79</v>
      </c>
      <c r="X174" s="3">
        <v>15</v>
      </c>
      <c r="AA174" s="3" t="s">
        <v>34</v>
      </c>
      <c r="AB174" s="3" t="str" cm="1">
        <f t="array" ref="AB174">_xlfn.IFS(AA174="N","No",  AA174 = "Y", "Yes", TRUE, PROPER(TRIM(AA174)))</f>
        <v>No</v>
      </c>
      <c r="AC174" s="3">
        <v>1</v>
      </c>
      <c r="AD174" s="3" t="s">
        <v>46</v>
      </c>
      <c r="AE174">
        <f t="shared" si="11"/>
        <v>1</v>
      </c>
    </row>
    <row r="175" spans="1:31" ht="14.25" customHeight="1" x14ac:dyDescent="0.35">
      <c r="A175" s="3" t="s">
        <v>493</v>
      </c>
      <c r="B175" s="3" t="s">
        <v>131</v>
      </c>
      <c r="C175" s="3" t="s">
        <v>472</v>
      </c>
      <c r="D175" s="3">
        <v>50</v>
      </c>
      <c r="E175" s="3">
        <f t="shared" si="8"/>
        <v>50</v>
      </c>
      <c r="F175" s="3">
        <v>1974</v>
      </c>
      <c r="G175" s="3">
        <v>55000</v>
      </c>
      <c r="H175" s="12" cm="1">
        <f t="array" ref="H175">_xlfn.IFS(TRIM(G175)="SIXTY THOUSAND",60000,TRIM(G175)="NAN",AVERAGEIFS(G:G,J:J,J175,L:L,L175),TRUE,G175)</f>
        <v>55000</v>
      </c>
      <c r="I175" s="3" t="s">
        <v>27</v>
      </c>
      <c r="J175" s="3" t="s">
        <v>28</v>
      </c>
      <c r="K175" s="3" t="str">
        <f t="shared" si="9"/>
        <v>HR</v>
      </c>
      <c r="L175" s="3" t="s">
        <v>77</v>
      </c>
      <c r="M175" s="4">
        <v>43881</v>
      </c>
      <c r="N175" s="4">
        <v>43881</v>
      </c>
      <c r="O175" s="3" t="s">
        <v>52</v>
      </c>
      <c r="P175" s="3">
        <v>78</v>
      </c>
      <c r="Q175" s="3" t="s">
        <v>473</v>
      </c>
      <c r="S175" s="3" t="s">
        <v>112</v>
      </c>
      <c r="T175" s="3" t="str">
        <f t="shared" si="10"/>
        <v>Full-Time</v>
      </c>
      <c r="U175" s="3" t="s">
        <v>494</v>
      </c>
      <c r="V175" s="3">
        <v>2</v>
      </c>
      <c r="W175" s="3">
        <v>4</v>
      </c>
      <c r="Z175" s="3">
        <v>30</v>
      </c>
      <c r="AA175" s="3" t="s">
        <v>46</v>
      </c>
      <c r="AB175" s="3" t="str" cm="1">
        <f t="array" ref="AB175">_xlfn.IFS(AA175="N","No",  AA175 = "Y", "Yes", TRUE, PROPER(TRIM(AA175)))</f>
        <v>Yes</v>
      </c>
      <c r="AC175" s="3">
        <v>1</v>
      </c>
      <c r="AD175" s="3" t="s">
        <v>34</v>
      </c>
      <c r="AE175">
        <f t="shared" si="11"/>
        <v>0</v>
      </c>
    </row>
    <row r="176" spans="1:31" ht="14.25" customHeight="1" x14ac:dyDescent="0.35">
      <c r="A176" s="3" t="s">
        <v>495</v>
      </c>
      <c r="B176" s="3" t="s">
        <v>48</v>
      </c>
      <c r="C176" s="3" t="s">
        <v>496</v>
      </c>
      <c r="D176" s="3">
        <v>25</v>
      </c>
      <c r="E176" s="3">
        <f t="shared" si="8"/>
        <v>25</v>
      </c>
      <c r="F176" s="3">
        <v>1999</v>
      </c>
      <c r="G176" s="3">
        <v>50000</v>
      </c>
      <c r="H176" s="12" cm="1">
        <f t="array" ref="H176">_xlfn.IFS(TRIM(G176)="SIXTY THOUSAND",60000,TRIM(G176)="NAN",AVERAGEIFS(G:G,J:J,J176,L:L,L176),TRUE,G176)</f>
        <v>50000</v>
      </c>
      <c r="I176" s="3" t="s">
        <v>38</v>
      </c>
      <c r="J176" s="3" t="s">
        <v>122</v>
      </c>
      <c r="K176" s="3" t="str">
        <f t="shared" si="9"/>
        <v>IT</v>
      </c>
      <c r="L176" s="3" t="s">
        <v>94</v>
      </c>
      <c r="M176" s="4">
        <v>43845</v>
      </c>
      <c r="N176" s="4">
        <v>43845</v>
      </c>
      <c r="O176" s="3" t="s">
        <v>78</v>
      </c>
      <c r="P176" s="3">
        <v>80</v>
      </c>
      <c r="Q176" s="3" t="s">
        <v>497</v>
      </c>
      <c r="S176" s="3" t="s">
        <v>100</v>
      </c>
      <c r="T176" s="3" t="str">
        <f t="shared" si="10"/>
        <v>Part-Time</v>
      </c>
      <c r="V176" s="3">
        <v>2</v>
      </c>
      <c r="X176" s="3">
        <v>2</v>
      </c>
      <c r="Y176" s="9">
        <v>44990</v>
      </c>
      <c r="AA176" s="3" t="s">
        <v>46</v>
      </c>
      <c r="AB176" s="3" t="str" cm="1">
        <f t="array" ref="AB176">_xlfn.IFS(AA176="N","No",  AA176 = "Y", "Yes", TRUE, PROPER(TRIM(AA176)))</f>
        <v>Yes</v>
      </c>
      <c r="AC176" s="3">
        <v>1</v>
      </c>
      <c r="AD176" s="3" t="s">
        <v>46</v>
      </c>
      <c r="AE176">
        <f t="shared" si="11"/>
        <v>1</v>
      </c>
    </row>
    <row r="177" spans="1:31" ht="14.25" customHeight="1" x14ac:dyDescent="0.35">
      <c r="A177" s="3" t="s">
        <v>498</v>
      </c>
      <c r="B177" s="3" t="s">
        <v>131</v>
      </c>
      <c r="C177" s="3" t="s">
        <v>499</v>
      </c>
      <c r="D177" s="3" t="s">
        <v>88</v>
      </c>
      <c r="E177" s="3">
        <f t="shared" si="8"/>
        <v>30</v>
      </c>
      <c r="F177" s="3">
        <v>1994</v>
      </c>
      <c r="G177" s="3">
        <v>55000</v>
      </c>
      <c r="H177" s="12" cm="1">
        <f t="array" ref="H177">_xlfn.IFS(TRIM(G177)="SIXTY THOUSAND",60000,TRIM(G177)="NAN",AVERAGEIFS(G:G,J:J,J177,L:L,L177),TRUE,G177)</f>
        <v>55000</v>
      </c>
      <c r="I177" s="3" t="s">
        <v>38</v>
      </c>
      <c r="J177" s="3" t="s">
        <v>51</v>
      </c>
      <c r="K177" s="3" t="str">
        <f t="shared" si="9"/>
        <v>Sales</v>
      </c>
      <c r="L177" s="3" t="s">
        <v>94</v>
      </c>
      <c r="M177" s="4">
        <v>43549</v>
      </c>
      <c r="N177" s="4">
        <v>43549</v>
      </c>
      <c r="O177" s="3" t="s">
        <v>78</v>
      </c>
      <c r="P177" s="3">
        <v>87</v>
      </c>
      <c r="Q177" s="3" t="s">
        <v>500</v>
      </c>
      <c r="S177" s="3" t="s">
        <v>112</v>
      </c>
      <c r="T177" s="3" t="str">
        <f t="shared" si="10"/>
        <v>Full-Time</v>
      </c>
      <c r="V177" s="3">
        <v>1</v>
      </c>
      <c r="Z177" s="3">
        <v>78</v>
      </c>
      <c r="AA177" s="3" t="s">
        <v>33</v>
      </c>
      <c r="AB177" s="3" t="str" cm="1">
        <f t="array" ref="AB177">_xlfn.IFS(AA177="N","No",  AA177 = "Y", "Yes", TRUE, PROPER(TRIM(AA177)))</f>
        <v>Yes</v>
      </c>
      <c r="AC177" s="3">
        <v>2</v>
      </c>
      <c r="AD177" s="3" t="s">
        <v>46</v>
      </c>
      <c r="AE177">
        <f t="shared" si="11"/>
        <v>1</v>
      </c>
    </row>
    <row r="178" spans="1:31" ht="14.25" customHeight="1" x14ac:dyDescent="0.35">
      <c r="A178" s="3" t="s">
        <v>501</v>
      </c>
      <c r="B178" s="3" t="s">
        <v>131</v>
      </c>
      <c r="C178" s="3" t="s">
        <v>305</v>
      </c>
      <c r="D178" s="3">
        <v>40</v>
      </c>
      <c r="E178" s="3">
        <f t="shared" si="8"/>
        <v>40</v>
      </c>
      <c r="F178" s="3">
        <v>1984</v>
      </c>
      <c r="G178" s="3" t="s">
        <v>50</v>
      </c>
      <c r="H178" s="12" cm="1">
        <f t="array" ref="H178">_xlfn.IFS(TRIM(G178)="SIXTY THOUSAND",60000,TRIM(G178)="NAN",AVERAGEIFS(G:G,J:J,J178,L:L,L178),TRUE,G178)</f>
        <v>60000</v>
      </c>
      <c r="I178" s="3" t="s">
        <v>27</v>
      </c>
      <c r="J178" s="3" t="s">
        <v>51</v>
      </c>
      <c r="K178" s="3" t="str">
        <f t="shared" si="9"/>
        <v>Sales</v>
      </c>
      <c r="L178" s="3" t="s">
        <v>29</v>
      </c>
      <c r="M178" s="4">
        <v>43881</v>
      </c>
      <c r="N178" s="4">
        <v>43881</v>
      </c>
      <c r="O178" s="3" t="s">
        <v>52</v>
      </c>
      <c r="P178" s="3">
        <v>77</v>
      </c>
      <c r="Q178" s="3" t="s">
        <v>306</v>
      </c>
      <c r="S178" s="3" t="s">
        <v>100</v>
      </c>
      <c r="T178" s="3" t="str">
        <f t="shared" si="10"/>
        <v>Part-Time</v>
      </c>
      <c r="V178" s="3">
        <v>1</v>
      </c>
      <c r="Z178" s="3">
        <v>29</v>
      </c>
      <c r="AA178" s="3" t="s">
        <v>482</v>
      </c>
      <c r="AB178" s="3" t="str" cm="1">
        <f t="array" ref="AB178">_xlfn.IFS(AA178="N","No",  AA178 = "Y", "Yes", TRUE, PROPER(TRIM(AA178)))</f>
        <v>Yes</v>
      </c>
      <c r="AC178" s="3">
        <v>1</v>
      </c>
      <c r="AD178" s="3" t="s">
        <v>34</v>
      </c>
      <c r="AE178">
        <f t="shared" si="11"/>
        <v>0</v>
      </c>
    </row>
    <row r="179" spans="1:31" ht="14.25" customHeight="1" x14ac:dyDescent="0.35">
      <c r="A179" s="3" t="s">
        <v>502</v>
      </c>
      <c r="B179" s="3" t="s">
        <v>114</v>
      </c>
      <c r="C179" s="3" t="s">
        <v>222</v>
      </c>
      <c r="E179" s="3">
        <f t="shared" si="8"/>
        <v>39</v>
      </c>
      <c r="F179" s="3">
        <v>1985</v>
      </c>
      <c r="G179" s="3">
        <v>65000</v>
      </c>
      <c r="H179" s="12" cm="1">
        <f t="array" ref="H179">_xlfn.IFS(TRIM(G179)="SIXTY THOUSAND",60000,TRIM(G179)="NAN",AVERAGEIFS(G:G,J:J,J179,L:L,L179),TRUE,G179)</f>
        <v>65000</v>
      </c>
      <c r="I179" s="3" t="s">
        <v>27</v>
      </c>
      <c r="J179" s="3" t="s">
        <v>70</v>
      </c>
      <c r="K179" s="3" t="str">
        <f t="shared" si="9"/>
        <v>Marketing</v>
      </c>
      <c r="L179" s="3" t="s">
        <v>94</v>
      </c>
      <c r="M179" s="4">
        <v>43881</v>
      </c>
      <c r="N179" s="4">
        <v>43881</v>
      </c>
      <c r="O179" s="3" t="s">
        <v>30</v>
      </c>
      <c r="P179" s="3">
        <v>67</v>
      </c>
      <c r="Q179" s="3" t="s">
        <v>223</v>
      </c>
      <c r="R179" s="3" t="s">
        <v>104</v>
      </c>
      <c r="S179" s="3" t="s">
        <v>66</v>
      </c>
      <c r="T179" s="3" t="str">
        <f t="shared" si="10"/>
        <v>Contract</v>
      </c>
      <c r="U179" s="3" t="s">
        <v>503</v>
      </c>
      <c r="V179" s="3">
        <v>3</v>
      </c>
      <c r="W179" s="3" t="s">
        <v>79</v>
      </c>
      <c r="X179" s="3">
        <v>11</v>
      </c>
      <c r="AA179" s="3" t="s">
        <v>169</v>
      </c>
      <c r="AB179" s="3" t="str" cm="1">
        <f t="array" ref="AB179">_xlfn.IFS(AA179="N","No",  AA179 = "Y", "Yes", TRUE, PROPER(TRIM(AA179)))</f>
        <v>Yes</v>
      </c>
      <c r="AC179" s="3">
        <v>4</v>
      </c>
      <c r="AD179" s="3" t="s">
        <v>34</v>
      </c>
      <c r="AE179">
        <f t="shared" si="11"/>
        <v>0</v>
      </c>
    </row>
    <row r="180" spans="1:31" ht="14.25" customHeight="1" x14ac:dyDescent="0.35">
      <c r="A180" s="3" t="s">
        <v>504</v>
      </c>
      <c r="B180" s="3" t="s">
        <v>114</v>
      </c>
      <c r="C180" s="3" t="s">
        <v>115</v>
      </c>
      <c r="D180" s="3">
        <v>35</v>
      </c>
      <c r="E180" s="3">
        <f t="shared" si="8"/>
        <v>35</v>
      </c>
      <c r="F180" s="3">
        <v>1989</v>
      </c>
      <c r="G180" s="3">
        <v>55000</v>
      </c>
      <c r="H180" s="12" cm="1">
        <f t="array" ref="H180">_xlfn.IFS(TRIM(G180)="SIXTY THOUSAND",60000,TRIM(G180)="NAN",AVERAGEIFS(G:G,J:J,J180,L:L,L180),TRUE,G180)</f>
        <v>55000</v>
      </c>
      <c r="I180" s="3" t="s">
        <v>38</v>
      </c>
      <c r="J180" s="3" t="s">
        <v>64</v>
      </c>
      <c r="K180" s="3" t="str">
        <f t="shared" si="9"/>
        <v>Finance</v>
      </c>
      <c r="L180" s="3" t="s">
        <v>89</v>
      </c>
      <c r="M180" s="4">
        <v>43845</v>
      </c>
      <c r="N180" s="4">
        <v>43845</v>
      </c>
      <c r="O180" s="3" t="s">
        <v>59</v>
      </c>
      <c r="P180" s="3">
        <v>91</v>
      </c>
      <c r="Q180" s="3" t="s">
        <v>182</v>
      </c>
      <c r="R180" s="3" t="s">
        <v>61</v>
      </c>
      <c r="S180" s="3" t="s">
        <v>100</v>
      </c>
      <c r="T180" s="3" t="str">
        <f t="shared" si="10"/>
        <v>Part-Time</v>
      </c>
      <c r="V180" s="3">
        <v>3</v>
      </c>
      <c r="W180" s="3">
        <v>0</v>
      </c>
      <c r="AA180" s="3" t="s">
        <v>34</v>
      </c>
      <c r="AB180" s="3" t="str" cm="1">
        <f t="array" ref="AB180">_xlfn.IFS(AA180="N","No",  AA180 = "Y", "Yes", TRUE, PROPER(TRIM(AA180)))</f>
        <v>No</v>
      </c>
      <c r="AC180" s="3">
        <v>5</v>
      </c>
      <c r="AD180" s="3" t="s">
        <v>34</v>
      </c>
      <c r="AE180">
        <f t="shared" si="11"/>
        <v>0</v>
      </c>
    </row>
    <row r="181" spans="1:31" ht="14.25" customHeight="1" x14ac:dyDescent="0.35">
      <c r="A181" s="3" t="s">
        <v>505</v>
      </c>
      <c r="B181" s="3" t="s">
        <v>107</v>
      </c>
      <c r="C181" s="3" t="s">
        <v>92</v>
      </c>
      <c r="E181" s="3">
        <f t="shared" si="8"/>
        <v>40</v>
      </c>
      <c r="F181" s="3">
        <v>1984</v>
      </c>
      <c r="G181" s="3">
        <v>50000</v>
      </c>
      <c r="H181" s="12" cm="1">
        <f t="array" ref="H181">_xlfn.IFS(TRIM(G181)="SIXTY THOUSAND",60000,TRIM(G181)="NAN",AVERAGEIFS(G:G,J:J,J181,L:L,L181),TRUE,G181)</f>
        <v>50000</v>
      </c>
      <c r="I181" s="3" t="s">
        <v>38</v>
      </c>
      <c r="J181" s="3" t="s">
        <v>64</v>
      </c>
      <c r="K181" s="3" t="str">
        <f t="shared" si="9"/>
        <v>Finance</v>
      </c>
      <c r="L181" s="3" t="s">
        <v>94</v>
      </c>
      <c r="M181" s="4">
        <v>43195</v>
      </c>
      <c r="N181" s="4">
        <v>43195</v>
      </c>
      <c r="O181" s="3" t="s">
        <v>59</v>
      </c>
      <c r="P181" s="3">
        <v>100</v>
      </c>
      <c r="Q181" s="3" t="s">
        <v>506</v>
      </c>
      <c r="R181" s="3" t="s">
        <v>61</v>
      </c>
      <c r="S181" s="3" t="s">
        <v>174</v>
      </c>
      <c r="T181" s="3" t="str">
        <f t="shared" si="10"/>
        <v>Full-Time</v>
      </c>
      <c r="U181" s="3" t="s">
        <v>166</v>
      </c>
      <c r="V181" s="3">
        <v>6</v>
      </c>
      <c r="X181" s="3">
        <v>5</v>
      </c>
      <c r="Y181" s="4">
        <v>44732</v>
      </c>
      <c r="AA181" s="3" t="s">
        <v>169</v>
      </c>
      <c r="AB181" s="3" t="str" cm="1">
        <f t="array" ref="AB181">_xlfn.IFS(AA181="N","No",  AA181 = "Y", "Yes", TRUE, PROPER(TRIM(AA181)))</f>
        <v>Yes</v>
      </c>
      <c r="AC181" s="3">
        <v>3</v>
      </c>
      <c r="AD181" s="3" t="s">
        <v>46</v>
      </c>
      <c r="AE181">
        <f t="shared" si="11"/>
        <v>1</v>
      </c>
    </row>
    <row r="182" spans="1:31" ht="14.25" customHeight="1" x14ac:dyDescent="0.35">
      <c r="A182" s="3" t="s">
        <v>507</v>
      </c>
      <c r="B182" s="3" t="s">
        <v>25</v>
      </c>
      <c r="C182" s="3" t="s">
        <v>289</v>
      </c>
      <c r="D182" s="3" t="s">
        <v>88</v>
      </c>
      <c r="E182" s="3">
        <f t="shared" si="8"/>
        <v>30</v>
      </c>
      <c r="F182" s="3">
        <v>1994</v>
      </c>
      <c r="G182" s="3">
        <v>55000</v>
      </c>
      <c r="H182" s="12" cm="1">
        <f t="array" ref="H182">_xlfn.IFS(TRIM(G182)="SIXTY THOUSAND",60000,TRIM(G182)="NAN",AVERAGEIFS(G:G,J:J,J182,L:L,L182),TRUE,G182)</f>
        <v>55000</v>
      </c>
      <c r="I182" s="3" t="s">
        <v>27</v>
      </c>
      <c r="J182" s="3" t="s">
        <v>70</v>
      </c>
      <c r="K182" s="3" t="str">
        <f t="shared" si="9"/>
        <v>Marketing</v>
      </c>
      <c r="L182" s="3" t="s">
        <v>77</v>
      </c>
      <c r="M182" s="4">
        <v>43881</v>
      </c>
      <c r="N182" s="4">
        <v>43881</v>
      </c>
      <c r="O182" s="3" t="s">
        <v>52</v>
      </c>
      <c r="P182" s="3">
        <v>71</v>
      </c>
      <c r="Q182" s="3" t="s">
        <v>290</v>
      </c>
      <c r="R182" s="3" t="s">
        <v>43</v>
      </c>
      <c r="S182" s="3" t="s">
        <v>44</v>
      </c>
      <c r="T182" s="3" t="str">
        <f t="shared" si="10"/>
        <v>Full-Time</v>
      </c>
      <c r="U182" s="3" t="s">
        <v>261</v>
      </c>
      <c r="V182" s="3">
        <v>6</v>
      </c>
      <c r="X182" s="3">
        <v>6</v>
      </c>
      <c r="AB182" s="3" t="str" cm="1">
        <f t="array" ref="AB182">_xlfn.IFS(AA182="N","No",  AA182 = "Y", "Yes", TRUE, PROPER(TRIM(AA182)))</f>
        <v/>
      </c>
      <c r="AC182" s="3">
        <v>4</v>
      </c>
      <c r="AD182" s="3" t="s">
        <v>46</v>
      </c>
      <c r="AE182">
        <f t="shared" si="11"/>
        <v>1</v>
      </c>
    </row>
    <row r="183" spans="1:31" ht="14.25" customHeight="1" x14ac:dyDescent="0.35">
      <c r="A183" s="3" t="s">
        <v>508</v>
      </c>
      <c r="B183" s="3" t="s">
        <v>56</v>
      </c>
      <c r="C183" s="3" t="s">
        <v>87</v>
      </c>
      <c r="D183" s="3">
        <v>50</v>
      </c>
      <c r="E183" s="3">
        <f t="shared" si="8"/>
        <v>50</v>
      </c>
      <c r="F183" s="3">
        <v>1974</v>
      </c>
      <c r="G183" s="3">
        <v>70000</v>
      </c>
      <c r="H183" s="12" cm="1">
        <f t="array" ref="H183">_xlfn.IFS(TRIM(G183)="SIXTY THOUSAND",60000,TRIM(G183)="NAN",AVERAGEIFS(G:G,J:J,J183,L:L,L183),TRUE,G183)</f>
        <v>70000</v>
      </c>
      <c r="I183" s="3" t="s">
        <v>38</v>
      </c>
      <c r="J183" s="3" t="s">
        <v>70</v>
      </c>
      <c r="K183" s="3" t="str">
        <f t="shared" si="9"/>
        <v>Marketing</v>
      </c>
      <c r="L183" s="3" t="s">
        <v>77</v>
      </c>
      <c r="M183" s="4">
        <v>43195</v>
      </c>
      <c r="N183" s="4">
        <v>43195</v>
      </c>
      <c r="O183" s="3" t="s">
        <v>78</v>
      </c>
      <c r="P183" s="3">
        <v>86</v>
      </c>
      <c r="Q183" s="3" t="s">
        <v>129</v>
      </c>
      <c r="S183" s="3" t="s">
        <v>32</v>
      </c>
      <c r="T183" s="3" t="str">
        <f t="shared" si="10"/>
        <v>Contract</v>
      </c>
      <c r="V183" s="3">
        <v>8</v>
      </c>
      <c r="Y183" s="4">
        <v>44941</v>
      </c>
      <c r="Z183" s="3">
        <v>75</v>
      </c>
      <c r="AA183" s="3" t="s">
        <v>34</v>
      </c>
      <c r="AB183" s="3" t="str" cm="1">
        <f t="array" ref="AB183">_xlfn.IFS(AA183="N","No",  AA183 = "Y", "Yes", TRUE, PROPER(TRIM(AA183)))</f>
        <v>No</v>
      </c>
      <c r="AC183" s="3">
        <v>5</v>
      </c>
      <c r="AD183" s="3" t="s">
        <v>34</v>
      </c>
      <c r="AE183">
        <f t="shared" si="11"/>
        <v>0</v>
      </c>
    </row>
    <row r="184" spans="1:31" ht="14.25" customHeight="1" x14ac:dyDescent="0.35">
      <c r="A184" s="3" t="s">
        <v>509</v>
      </c>
      <c r="B184" s="3" t="s">
        <v>131</v>
      </c>
      <c r="C184" s="3" t="s">
        <v>343</v>
      </c>
      <c r="E184" s="3">
        <f t="shared" si="8"/>
        <v>54</v>
      </c>
      <c r="F184" s="3">
        <v>1970</v>
      </c>
      <c r="G184" s="3">
        <v>50000</v>
      </c>
      <c r="H184" s="12" cm="1">
        <f t="array" ref="H184">_xlfn.IFS(TRIM(G184)="SIXTY THOUSAND",60000,TRIM(G184)="NAN",AVERAGEIFS(G:G,J:J,J184,L:L,L184),TRUE,G184)</f>
        <v>50000</v>
      </c>
      <c r="I184" s="3" t="s">
        <v>38</v>
      </c>
      <c r="J184" s="3" t="s">
        <v>70</v>
      </c>
      <c r="K184" s="3" t="str">
        <f t="shared" si="9"/>
        <v>Marketing</v>
      </c>
      <c r="L184" s="3" t="s">
        <v>40</v>
      </c>
      <c r="M184" s="4">
        <v>43195</v>
      </c>
      <c r="N184" s="4">
        <v>43195</v>
      </c>
      <c r="O184" s="3" t="s">
        <v>30</v>
      </c>
      <c r="P184" s="3">
        <v>66</v>
      </c>
      <c r="Q184" s="3" t="s">
        <v>510</v>
      </c>
      <c r="S184" s="3" t="s">
        <v>32</v>
      </c>
      <c r="T184" s="3" t="str">
        <f t="shared" si="10"/>
        <v>Contract</v>
      </c>
      <c r="V184" s="3">
        <v>5</v>
      </c>
      <c r="Y184" s="4">
        <v>44732</v>
      </c>
      <c r="AA184" s="3" t="s">
        <v>482</v>
      </c>
      <c r="AB184" s="3" t="str" cm="1">
        <f t="array" ref="AB184">_xlfn.IFS(AA184="N","No",  AA184 = "Y", "Yes", TRUE, PROPER(TRIM(AA184)))</f>
        <v>Yes</v>
      </c>
      <c r="AC184" s="3">
        <v>1</v>
      </c>
      <c r="AD184" s="3" t="s">
        <v>46</v>
      </c>
      <c r="AE184">
        <f t="shared" si="11"/>
        <v>1</v>
      </c>
    </row>
    <row r="185" spans="1:31" ht="14.25" customHeight="1" x14ac:dyDescent="0.35">
      <c r="A185" s="3" t="s">
        <v>511</v>
      </c>
      <c r="B185" s="3" t="s">
        <v>131</v>
      </c>
      <c r="C185" s="3" t="s">
        <v>92</v>
      </c>
      <c r="D185" s="3">
        <v>25</v>
      </c>
      <c r="E185" s="3">
        <f t="shared" si="8"/>
        <v>25</v>
      </c>
      <c r="F185" s="3">
        <v>1999</v>
      </c>
      <c r="G185" s="3" t="s">
        <v>50</v>
      </c>
      <c r="H185" s="12" cm="1">
        <f t="array" ref="H185">_xlfn.IFS(TRIM(G185)="SIXTY THOUSAND",60000,TRIM(G185)="NAN",AVERAGEIFS(G:G,J:J,J185,L:L,L185),TRUE,G185)</f>
        <v>60000</v>
      </c>
      <c r="I185" s="3" t="s">
        <v>38</v>
      </c>
      <c r="J185" s="3" t="s">
        <v>39</v>
      </c>
      <c r="K185" s="3" t="str">
        <f t="shared" si="9"/>
        <v>Finance</v>
      </c>
      <c r="L185" s="3" t="s">
        <v>77</v>
      </c>
      <c r="M185" s="4">
        <v>43800</v>
      </c>
      <c r="N185" s="4">
        <v>43800</v>
      </c>
      <c r="O185" s="3" t="s">
        <v>52</v>
      </c>
      <c r="P185" s="3">
        <v>79</v>
      </c>
      <c r="Q185" s="3" t="s">
        <v>512</v>
      </c>
      <c r="R185" s="3" t="s">
        <v>43</v>
      </c>
      <c r="S185" s="3" t="s">
        <v>44</v>
      </c>
      <c r="T185" s="3" t="str">
        <f t="shared" si="10"/>
        <v>Full-Time</v>
      </c>
      <c r="V185" s="3">
        <v>2</v>
      </c>
      <c r="Z185" s="3">
        <v>71</v>
      </c>
      <c r="AA185" s="3" t="s">
        <v>34</v>
      </c>
      <c r="AB185" s="3" t="str" cm="1">
        <f t="array" ref="AB185">_xlfn.IFS(AA185="N","No",  AA185 = "Y", "Yes", TRUE, PROPER(TRIM(AA185)))</f>
        <v>No</v>
      </c>
      <c r="AC185" s="3">
        <v>4</v>
      </c>
      <c r="AD185" s="3" t="s">
        <v>34</v>
      </c>
      <c r="AE185">
        <f t="shared" si="11"/>
        <v>0</v>
      </c>
    </row>
    <row r="186" spans="1:31" ht="14.25" customHeight="1" x14ac:dyDescent="0.35">
      <c r="A186" s="3" t="s">
        <v>513</v>
      </c>
      <c r="B186" s="3" t="s">
        <v>75</v>
      </c>
      <c r="C186" s="3" t="s">
        <v>213</v>
      </c>
      <c r="D186" s="3" t="s">
        <v>88</v>
      </c>
      <c r="E186" s="3">
        <f t="shared" si="8"/>
        <v>30</v>
      </c>
      <c r="F186" s="3">
        <v>1994</v>
      </c>
      <c r="G186" s="3">
        <v>65000</v>
      </c>
      <c r="H186" s="12" cm="1">
        <f t="array" ref="H186">_xlfn.IFS(TRIM(G186)="SIXTY THOUSAND",60000,TRIM(G186)="NAN",AVERAGEIFS(G:G,J:J,J186,L:L,L186),TRUE,G186)</f>
        <v>65000</v>
      </c>
      <c r="I186" s="3" t="s">
        <v>27</v>
      </c>
      <c r="J186" s="3" t="s">
        <v>70</v>
      </c>
      <c r="K186" s="3" t="str">
        <f t="shared" si="9"/>
        <v>Marketing</v>
      </c>
      <c r="L186" s="3" t="s">
        <v>94</v>
      </c>
      <c r="M186" s="4">
        <v>43845</v>
      </c>
      <c r="N186" s="4">
        <v>43845</v>
      </c>
      <c r="O186" s="3" t="s">
        <v>59</v>
      </c>
      <c r="P186" s="3">
        <v>99</v>
      </c>
      <c r="Q186" s="3" t="s">
        <v>214</v>
      </c>
      <c r="R186" s="3" t="s">
        <v>61</v>
      </c>
      <c r="S186" s="3" t="s">
        <v>32</v>
      </c>
      <c r="T186" s="3" t="str">
        <f t="shared" si="10"/>
        <v>Contract</v>
      </c>
      <c r="V186" s="3">
        <v>6</v>
      </c>
      <c r="X186" s="3">
        <v>15</v>
      </c>
      <c r="Y186" s="4">
        <v>44732</v>
      </c>
      <c r="AA186" s="3" t="s">
        <v>34</v>
      </c>
      <c r="AB186" s="3" t="str" cm="1">
        <f t="array" ref="AB186">_xlfn.IFS(AA186="N","No",  AA186 = "Y", "Yes", TRUE, PROPER(TRIM(AA186)))</f>
        <v>No</v>
      </c>
      <c r="AC186" s="3">
        <v>3</v>
      </c>
      <c r="AD186" s="3" t="s">
        <v>34</v>
      </c>
      <c r="AE186">
        <f t="shared" si="11"/>
        <v>0</v>
      </c>
    </row>
    <row r="187" spans="1:31" ht="14.25" customHeight="1" x14ac:dyDescent="0.35">
      <c r="A187" s="3" t="s">
        <v>514</v>
      </c>
      <c r="B187" s="3" t="s">
        <v>114</v>
      </c>
      <c r="C187" s="3" t="s">
        <v>222</v>
      </c>
      <c r="D187" s="3">
        <v>50</v>
      </c>
      <c r="E187" s="3">
        <f t="shared" si="8"/>
        <v>50</v>
      </c>
      <c r="F187" s="3">
        <v>1974</v>
      </c>
      <c r="G187" s="3">
        <v>55000</v>
      </c>
      <c r="H187" s="12" cm="1">
        <f t="array" ref="H187">_xlfn.IFS(TRIM(G187)="SIXTY THOUSAND",60000,TRIM(G187)="NAN",AVERAGEIFS(G:G,J:J,J187,L:L,L187),TRUE,G187)</f>
        <v>55000</v>
      </c>
      <c r="I187" s="3" t="s">
        <v>38</v>
      </c>
      <c r="J187" s="3" t="s">
        <v>28</v>
      </c>
      <c r="K187" s="3" t="str">
        <f t="shared" si="9"/>
        <v>HR</v>
      </c>
      <c r="L187" s="3" t="s">
        <v>77</v>
      </c>
      <c r="M187" s="4">
        <v>43195</v>
      </c>
      <c r="N187" s="4">
        <v>43195</v>
      </c>
      <c r="O187" s="3" t="s">
        <v>41</v>
      </c>
      <c r="P187" s="3">
        <v>42</v>
      </c>
      <c r="Q187" s="3" t="s">
        <v>223</v>
      </c>
      <c r="R187" s="3" t="s">
        <v>54</v>
      </c>
      <c r="S187" s="3" t="s">
        <v>100</v>
      </c>
      <c r="T187" s="3" t="str">
        <f t="shared" si="10"/>
        <v>Part-Time</v>
      </c>
      <c r="V187" s="3">
        <v>6</v>
      </c>
      <c r="W187" s="3">
        <v>14</v>
      </c>
      <c r="X187" s="3">
        <v>19</v>
      </c>
      <c r="AA187" s="3" t="s">
        <v>33</v>
      </c>
      <c r="AB187" s="3" t="str" cm="1">
        <f t="array" ref="AB187">_xlfn.IFS(AA187="N","No",  AA187 = "Y", "Yes", TRUE, PROPER(TRIM(AA187)))</f>
        <v>Yes</v>
      </c>
      <c r="AC187" s="3">
        <v>5</v>
      </c>
      <c r="AD187" s="3" t="s">
        <v>34</v>
      </c>
      <c r="AE187">
        <f t="shared" si="11"/>
        <v>0</v>
      </c>
    </row>
    <row r="188" spans="1:31" ht="14.25" customHeight="1" x14ac:dyDescent="0.35">
      <c r="A188" s="3" t="s">
        <v>515</v>
      </c>
      <c r="B188" s="3" t="s">
        <v>56</v>
      </c>
      <c r="C188" s="3" t="s">
        <v>137</v>
      </c>
      <c r="D188" s="3">
        <v>35</v>
      </c>
      <c r="E188" s="3">
        <f t="shared" si="8"/>
        <v>35</v>
      </c>
      <c r="F188" s="3">
        <v>1989</v>
      </c>
      <c r="G188" s="3">
        <v>50000</v>
      </c>
      <c r="H188" s="12" cm="1">
        <f t="array" ref="H188">_xlfn.IFS(TRIM(G188)="SIXTY THOUSAND",60000,TRIM(G188)="NAN",AVERAGEIFS(G:G,J:J,J188,L:L,L188),TRUE,G188)</f>
        <v>50000</v>
      </c>
      <c r="I188" s="3" t="s">
        <v>27</v>
      </c>
      <c r="J188" s="3" t="s">
        <v>145</v>
      </c>
      <c r="K188" s="3" t="str">
        <f t="shared" si="9"/>
        <v>Sales</v>
      </c>
      <c r="L188" s="3" t="s">
        <v>29</v>
      </c>
      <c r="M188" s="4">
        <v>43845</v>
      </c>
      <c r="N188" s="4">
        <v>43845</v>
      </c>
      <c r="O188" s="3" t="s">
        <v>78</v>
      </c>
      <c r="P188" s="3">
        <v>82</v>
      </c>
      <c r="Q188" s="3" t="s">
        <v>516</v>
      </c>
      <c r="R188" s="3" t="s">
        <v>54</v>
      </c>
      <c r="S188" s="3" t="s">
        <v>174</v>
      </c>
      <c r="T188" s="3" t="str">
        <f t="shared" si="10"/>
        <v>Full-Time</v>
      </c>
      <c r="U188" s="3" t="s">
        <v>304</v>
      </c>
      <c r="V188" s="3">
        <v>3</v>
      </c>
      <c r="X188" s="3">
        <v>20</v>
      </c>
      <c r="Y188" s="4">
        <v>44470</v>
      </c>
      <c r="Z188" s="3">
        <v>63</v>
      </c>
      <c r="AA188" s="3" t="s">
        <v>482</v>
      </c>
      <c r="AB188" s="3" t="str" cm="1">
        <f t="array" ref="AB188">_xlfn.IFS(AA188="N","No",  AA188 = "Y", "Yes", TRUE, PROPER(TRIM(AA188)))</f>
        <v>Yes</v>
      </c>
      <c r="AC188" s="3">
        <v>5</v>
      </c>
      <c r="AD188" s="3" t="s">
        <v>34</v>
      </c>
      <c r="AE188">
        <f t="shared" si="11"/>
        <v>0</v>
      </c>
    </row>
    <row r="189" spans="1:31" ht="14.25" customHeight="1" x14ac:dyDescent="0.35">
      <c r="A189" s="3" t="s">
        <v>517</v>
      </c>
      <c r="B189" s="3" t="s">
        <v>68</v>
      </c>
      <c r="C189" s="3" t="s">
        <v>49</v>
      </c>
      <c r="D189" s="3">
        <v>50</v>
      </c>
      <c r="E189" s="3">
        <f t="shared" si="8"/>
        <v>50</v>
      </c>
      <c r="F189" s="3">
        <v>1974</v>
      </c>
      <c r="G189" s="3">
        <v>70000</v>
      </c>
      <c r="H189" s="12" cm="1">
        <f t="array" ref="H189">_xlfn.IFS(TRIM(G189)="SIXTY THOUSAND",60000,TRIM(G189)="NAN",AVERAGEIFS(G:G,J:J,J189,L:L,L189),TRUE,G189)</f>
        <v>70000</v>
      </c>
      <c r="I189" s="3" t="s">
        <v>38</v>
      </c>
      <c r="J189" s="3" t="s">
        <v>51</v>
      </c>
      <c r="K189" s="3" t="str">
        <f t="shared" si="9"/>
        <v>Sales</v>
      </c>
      <c r="L189" s="3" t="s">
        <v>77</v>
      </c>
      <c r="M189" s="4">
        <v>43800</v>
      </c>
      <c r="N189" s="4">
        <v>43800</v>
      </c>
      <c r="O189" s="3" t="s">
        <v>41</v>
      </c>
      <c r="P189" s="3">
        <v>28</v>
      </c>
      <c r="Q189" s="3" t="s">
        <v>518</v>
      </c>
      <c r="R189" s="3" t="s">
        <v>61</v>
      </c>
      <c r="S189" s="3" t="s">
        <v>66</v>
      </c>
      <c r="T189" s="3" t="str">
        <f t="shared" si="10"/>
        <v>Contract</v>
      </c>
      <c r="U189" s="3" t="s">
        <v>519</v>
      </c>
      <c r="V189" s="3">
        <v>2</v>
      </c>
      <c r="W189" s="3">
        <v>5</v>
      </c>
      <c r="Y189" s="4">
        <v>44941</v>
      </c>
      <c r="AA189" s="3" t="s">
        <v>482</v>
      </c>
      <c r="AB189" s="3" t="str" cm="1">
        <f t="array" ref="AB189">_xlfn.IFS(AA189="N","No",  AA189 = "Y", "Yes", TRUE, PROPER(TRIM(AA189)))</f>
        <v>Yes</v>
      </c>
      <c r="AC189" s="3">
        <v>4</v>
      </c>
      <c r="AD189" s="3" t="s">
        <v>34</v>
      </c>
      <c r="AE189">
        <f t="shared" si="11"/>
        <v>0</v>
      </c>
    </row>
    <row r="190" spans="1:31" ht="14.25" customHeight="1" x14ac:dyDescent="0.35">
      <c r="A190" s="3" t="s">
        <v>520</v>
      </c>
      <c r="B190" s="3" t="s">
        <v>107</v>
      </c>
      <c r="C190" s="3" t="s">
        <v>148</v>
      </c>
      <c r="D190" s="3">
        <v>25</v>
      </c>
      <c r="E190" s="3">
        <f t="shared" si="8"/>
        <v>25</v>
      </c>
      <c r="F190" s="3">
        <v>1999</v>
      </c>
      <c r="G190" s="3">
        <v>50000</v>
      </c>
      <c r="H190" s="12" cm="1">
        <f t="array" ref="H190">_xlfn.IFS(TRIM(G190)="SIXTY THOUSAND",60000,TRIM(G190)="NAN",AVERAGEIFS(G:G,J:J,J190,L:L,L190),TRUE,G190)</f>
        <v>50000</v>
      </c>
      <c r="I190" s="3" t="s">
        <v>27</v>
      </c>
      <c r="J190" s="3" t="s">
        <v>58</v>
      </c>
      <c r="K190" s="3" t="str">
        <f t="shared" si="9"/>
        <v>IT</v>
      </c>
      <c r="L190" s="3" t="s">
        <v>89</v>
      </c>
      <c r="M190" s="4">
        <v>43845</v>
      </c>
      <c r="N190" s="4">
        <v>43845</v>
      </c>
      <c r="O190" s="3" t="s">
        <v>52</v>
      </c>
      <c r="P190" s="3">
        <v>74</v>
      </c>
      <c r="Q190" s="3" t="s">
        <v>521</v>
      </c>
      <c r="S190" s="3" t="s">
        <v>174</v>
      </c>
      <c r="T190" s="3" t="str">
        <f t="shared" si="10"/>
        <v>Full-Time</v>
      </c>
      <c r="U190" s="3" t="s">
        <v>522</v>
      </c>
      <c r="V190" s="3">
        <v>7</v>
      </c>
      <c r="Y190" s="3" t="s">
        <v>79</v>
      </c>
      <c r="Z190" s="3">
        <v>60</v>
      </c>
      <c r="AA190" s="3" t="s">
        <v>34</v>
      </c>
      <c r="AB190" s="3" t="str" cm="1">
        <f t="array" ref="AB190">_xlfn.IFS(AA190="N","No",  AA190 = "Y", "Yes", TRUE, PROPER(TRIM(AA190)))</f>
        <v>No</v>
      </c>
      <c r="AC190" s="3">
        <v>2</v>
      </c>
      <c r="AD190" s="3" t="s">
        <v>34</v>
      </c>
      <c r="AE190">
        <f t="shared" si="11"/>
        <v>0</v>
      </c>
    </row>
    <row r="191" spans="1:31" ht="14.25" customHeight="1" x14ac:dyDescent="0.35">
      <c r="A191" s="3" t="s">
        <v>523</v>
      </c>
      <c r="B191" s="3" t="s">
        <v>25</v>
      </c>
      <c r="C191" s="3" t="s">
        <v>524</v>
      </c>
      <c r="D191" s="3" t="s">
        <v>88</v>
      </c>
      <c r="E191" s="3">
        <f t="shared" si="8"/>
        <v>30</v>
      </c>
      <c r="F191" s="3">
        <v>1994</v>
      </c>
      <c r="G191" s="3">
        <v>60900</v>
      </c>
      <c r="H191" s="12" cm="1">
        <f t="array" ref="H191">_xlfn.IFS(TRIM(G191)="SIXTY THOUSAND",60000,TRIM(G191)="NAN",AVERAGEIFS(G:G,J:J,J191,L:L,L191),TRUE,G191)</f>
        <v>60900</v>
      </c>
      <c r="I191" s="3" t="s">
        <v>38</v>
      </c>
      <c r="J191" s="3" t="s">
        <v>122</v>
      </c>
      <c r="K191" s="3" t="str">
        <f t="shared" si="9"/>
        <v>IT</v>
      </c>
      <c r="L191" s="3" t="s">
        <v>29</v>
      </c>
      <c r="M191" s="4">
        <v>43881</v>
      </c>
      <c r="N191" s="4">
        <v>43881</v>
      </c>
      <c r="O191" s="3" t="s">
        <v>59</v>
      </c>
      <c r="P191" s="3">
        <v>94</v>
      </c>
      <c r="Q191" s="3" t="s">
        <v>525</v>
      </c>
      <c r="R191" s="3" t="s">
        <v>54</v>
      </c>
      <c r="S191" s="3" t="s">
        <v>32</v>
      </c>
      <c r="T191" s="3" t="str">
        <f t="shared" si="10"/>
        <v>Contract</v>
      </c>
      <c r="V191" s="3">
        <v>7</v>
      </c>
      <c r="AA191" s="3" t="s">
        <v>169</v>
      </c>
      <c r="AB191" s="3" t="str" cm="1">
        <f t="array" ref="AB191">_xlfn.IFS(AA191="N","No",  AA191 = "Y", "Yes", TRUE, PROPER(TRIM(AA191)))</f>
        <v>Yes</v>
      </c>
      <c r="AC191" s="3">
        <v>5</v>
      </c>
      <c r="AD191" s="3" t="s">
        <v>34</v>
      </c>
      <c r="AE191">
        <f t="shared" si="11"/>
        <v>0</v>
      </c>
    </row>
    <row r="192" spans="1:31" ht="14.25" customHeight="1" x14ac:dyDescent="0.35">
      <c r="A192" s="3" t="s">
        <v>526</v>
      </c>
      <c r="B192" s="3" t="s">
        <v>36</v>
      </c>
      <c r="C192" s="3" t="s">
        <v>403</v>
      </c>
      <c r="D192" s="3">
        <v>35</v>
      </c>
      <c r="E192" s="3">
        <f t="shared" si="8"/>
        <v>35</v>
      </c>
      <c r="F192" s="3">
        <v>1989</v>
      </c>
      <c r="G192" s="3">
        <v>70000</v>
      </c>
      <c r="H192" s="12" cm="1">
        <f t="array" ref="H192">_xlfn.IFS(TRIM(G192)="SIXTY THOUSAND",60000,TRIM(G192)="NAN",AVERAGEIFS(G:G,J:J,J192,L:L,L192),TRUE,G192)</f>
        <v>70000</v>
      </c>
      <c r="I192" s="3" t="s">
        <v>38</v>
      </c>
      <c r="J192" s="3" t="s">
        <v>145</v>
      </c>
      <c r="K192" s="3" t="str">
        <f t="shared" si="9"/>
        <v>Sales</v>
      </c>
      <c r="L192" s="3" t="s">
        <v>40</v>
      </c>
      <c r="M192" s="4">
        <v>43195</v>
      </c>
      <c r="N192" s="4">
        <v>43195</v>
      </c>
      <c r="O192" s="3" t="s">
        <v>30</v>
      </c>
      <c r="P192" s="3">
        <v>63</v>
      </c>
      <c r="Q192" s="3" t="s">
        <v>527</v>
      </c>
      <c r="R192" s="3" t="s">
        <v>104</v>
      </c>
      <c r="S192" s="3" t="s">
        <v>66</v>
      </c>
      <c r="T192" s="3" t="str">
        <f t="shared" si="10"/>
        <v>Contract</v>
      </c>
      <c r="V192" s="3">
        <v>8</v>
      </c>
      <c r="Y192" s="4">
        <v>45516</v>
      </c>
      <c r="AA192" s="3" t="s">
        <v>73</v>
      </c>
      <c r="AB192" s="3" t="str" cm="1">
        <f t="array" ref="AB192">_xlfn.IFS(AA192="N","No",  AA192 = "Y", "Yes", TRUE, PROPER(TRIM(AA192)))</f>
        <v>No</v>
      </c>
      <c r="AC192" s="3">
        <v>2</v>
      </c>
      <c r="AD192" s="3" t="s">
        <v>34</v>
      </c>
      <c r="AE192">
        <f t="shared" si="11"/>
        <v>0</v>
      </c>
    </row>
    <row r="193" spans="1:31" ht="14.25" customHeight="1" x14ac:dyDescent="0.35">
      <c r="A193" s="3" t="s">
        <v>528</v>
      </c>
      <c r="B193" s="3" t="s">
        <v>25</v>
      </c>
      <c r="C193" s="3" t="s">
        <v>377</v>
      </c>
      <c r="D193" s="3">
        <v>25</v>
      </c>
      <c r="E193" s="3">
        <f t="shared" si="8"/>
        <v>25</v>
      </c>
      <c r="F193" s="3">
        <v>1999</v>
      </c>
      <c r="G193" s="3" t="s">
        <v>50</v>
      </c>
      <c r="H193" s="12" cm="1">
        <f t="array" ref="H193">_xlfn.IFS(TRIM(G193)="SIXTY THOUSAND",60000,TRIM(G193)="NAN",AVERAGEIFS(G:G,J:J,J193,L:L,L193),TRUE,G193)</f>
        <v>60000</v>
      </c>
      <c r="I193" s="3" t="s">
        <v>38</v>
      </c>
      <c r="J193" s="3" t="s">
        <v>82</v>
      </c>
      <c r="K193" s="3" t="str">
        <f t="shared" si="9"/>
        <v>HR</v>
      </c>
      <c r="L193" s="3" t="s">
        <v>89</v>
      </c>
      <c r="M193" s="4">
        <v>43845</v>
      </c>
      <c r="N193" s="4">
        <v>43845</v>
      </c>
      <c r="O193" s="3" t="s">
        <v>41</v>
      </c>
      <c r="P193" s="3">
        <v>58</v>
      </c>
      <c r="Q193" s="3" t="s">
        <v>378</v>
      </c>
      <c r="R193" s="3" t="s">
        <v>104</v>
      </c>
      <c r="S193" s="3" t="s">
        <v>44</v>
      </c>
      <c r="T193" s="3" t="str">
        <f t="shared" si="10"/>
        <v>Full-Time</v>
      </c>
      <c r="V193" s="3">
        <v>5</v>
      </c>
      <c r="W193" s="3">
        <v>12</v>
      </c>
      <c r="AA193" s="3" t="s">
        <v>34</v>
      </c>
      <c r="AB193" s="3" t="str" cm="1">
        <f t="array" ref="AB193">_xlfn.IFS(AA193="N","No",  AA193 = "Y", "Yes", TRUE, PROPER(TRIM(AA193)))</f>
        <v>No</v>
      </c>
      <c r="AC193" s="3">
        <v>4</v>
      </c>
      <c r="AD193" s="3" t="s">
        <v>34</v>
      </c>
      <c r="AE193">
        <f t="shared" si="11"/>
        <v>0</v>
      </c>
    </row>
    <row r="194" spans="1:31" ht="14.25" customHeight="1" x14ac:dyDescent="0.35">
      <c r="A194" s="3" t="s">
        <v>529</v>
      </c>
      <c r="B194" s="3" t="s">
        <v>48</v>
      </c>
      <c r="C194" s="3" t="s">
        <v>334</v>
      </c>
      <c r="D194" s="3">
        <v>50</v>
      </c>
      <c r="E194" s="3">
        <f t="shared" ref="E194:E257" si="12">2024-F194</f>
        <v>50</v>
      </c>
      <c r="F194" s="3">
        <v>1974</v>
      </c>
      <c r="G194" s="3">
        <v>65000</v>
      </c>
      <c r="H194" s="12" cm="1">
        <f t="array" ref="H194">_xlfn.IFS(TRIM(G194)="SIXTY THOUSAND",60000,TRIM(G194)="NAN",AVERAGEIFS(G:G,J:J,J194,L:L,L194),TRUE,G194)</f>
        <v>65000</v>
      </c>
      <c r="I194" s="3" t="s">
        <v>27</v>
      </c>
      <c r="J194" s="3" t="s">
        <v>39</v>
      </c>
      <c r="K194" s="3" t="str">
        <f t="shared" ref="K194:K257" si="13">IF(OR(J194="HR",J194="IT"),UPPER(J194),PROPER(J194))</f>
        <v>Finance</v>
      </c>
      <c r="L194" s="3" t="s">
        <v>94</v>
      </c>
      <c r="M194" s="4">
        <v>43549</v>
      </c>
      <c r="N194" s="4">
        <v>43549</v>
      </c>
      <c r="O194" s="3" t="s">
        <v>30</v>
      </c>
      <c r="P194" s="3">
        <v>60</v>
      </c>
      <c r="Q194" s="3" t="s">
        <v>335</v>
      </c>
      <c r="R194" s="3" t="s">
        <v>43</v>
      </c>
      <c r="S194" s="3" t="s">
        <v>66</v>
      </c>
      <c r="T194" s="3" t="str">
        <f t="shared" ref="T194:T257" si="14">PROPER(S194)</f>
        <v>Contract</v>
      </c>
      <c r="V194" s="3">
        <v>7</v>
      </c>
      <c r="AA194" s="3" t="s">
        <v>73</v>
      </c>
      <c r="AB194" s="3" t="str" cm="1">
        <f t="array" ref="AB194">_xlfn.IFS(AA194="N","No",  AA194 = "Y", "Yes", TRUE, PROPER(TRIM(AA194)))</f>
        <v>No</v>
      </c>
      <c r="AC194" s="3">
        <v>1</v>
      </c>
      <c r="AD194" s="3" t="s">
        <v>46</v>
      </c>
      <c r="AE194">
        <f t="shared" si="11"/>
        <v>1</v>
      </c>
    </row>
    <row r="195" spans="1:31" ht="14.25" customHeight="1" x14ac:dyDescent="0.35">
      <c r="A195" s="3" t="s">
        <v>530</v>
      </c>
      <c r="B195" s="3" t="s">
        <v>131</v>
      </c>
      <c r="C195" s="3" t="s">
        <v>144</v>
      </c>
      <c r="D195" s="3">
        <v>25</v>
      </c>
      <c r="E195" s="3">
        <f t="shared" si="12"/>
        <v>25</v>
      </c>
      <c r="F195" s="3">
        <v>1999</v>
      </c>
      <c r="G195" s="3" t="s">
        <v>50</v>
      </c>
      <c r="H195" s="12" cm="1">
        <f t="array" ref="H195">_xlfn.IFS(TRIM(G195)="SIXTY THOUSAND",60000,TRIM(G195)="NAN",AVERAGEIFS(G:G,J:J,J195,L:L,L195),TRUE,G195)</f>
        <v>60000</v>
      </c>
      <c r="I195" s="3" t="s">
        <v>38</v>
      </c>
      <c r="J195" s="3" t="s">
        <v>64</v>
      </c>
      <c r="K195" s="3" t="str">
        <f t="shared" si="13"/>
        <v>Finance</v>
      </c>
      <c r="L195" s="3" t="s">
        <v>94</v>
      </c>
      <c r="M195" s="4">
        <v>43845</v>
      </c>
      <c r="N195" s="4">
        <v>43845</v>
      </c>
      <c r="O195" s="3" t="s">
        <v>59</v>
      </c>
      <c r="P195" s="3">
        <v>94</v>
      </c>
      <c r="Q195" s="3" t="s">
        <v>146</v>
      </c>
      <c r="R195" s="3" t="s">
        <v>61</v>
      </c>
      <c r="S195" s="3" t="s">
        <v>112</v>
      </c>
      <c r="T195" s="3" t="str">
        <f t="shared" si="14"/>
        <v>Full-Time</v>
      </c>
      <c r="U195" s="3" t="s">
        <v>314</v>
      </c>
      <c r="V195" s="3">
        <v>8</v>
      </c>
      <c r="X195" s="3">
        <v>0</v>
      </c>
      <c r="Y195" s="4">
        <v>44941</v>
      </c>
      <c r="AA195" s="3" t="s">
        <v>46</v>
      </c>
      <c r="AB195" s="3" t="str" cm="1">
        <f t="array" ref="AB195">_xlfn.IFS(AA195="N","No",  AA195 = "Y", "Yes", TRUE, PROPER(TRIM(AA195)))</f>
        <v>Yes</v>
      </c>
      <c r="AC195" s="3">
        <v>2</v>
      </c>
      <c r="AD195" s="3" t="s">
        <v>46</v>
      </c>
      <c r="AE195">
        <f t="shared" ref="AE195:AE258" si="15">IF(AD195="Yes",1,0)</f>
        <v>1</v>
      </c>
    </row>
    <row r="196" spans="1:31" ht="14.25" customHeight="1" x14ac:dyDescent="0.35">
      <c r="A196" s="3" t="s">
        <v>531</v>
      </c>
      <c r="B196" s="3" t="s">
        <v>107</v>
      </c>
      <c r="C196" s="3" t="s">
        <v>199</v>
      </c>
      <c r="D196" s="3" t="s">
        <v>88</v>
      </c>
      <c r="E196" s="3">
        <f t="shared" si="12"/>
        <v>30</v>
      </c>
      <c r="F196" s="3">
        <v>1994</v>
      </c>
      <c r="G196" s="3">
        <v>55000</v>
      </c>
      <c r="H196" s="12" cm="1">
        <f t="array" ref="H196">_xlfn.IFS(TRIM(G196)="SIXTY THOUSAND",60000,TRIM(G196)="NAN",AVERAGEIFS(G:G,J:J,J196,L:L,L196),TRUE,G196)</f>
        <v>55000</v>
      </c>
      <c r="I196" s="3" t="s">
        <v>27</v>
      </c>
      <c r="J196" s="3" t="s">
        <v>28</v>
      </c>
      <c r="K196" s="3" t="str">
        <f t="shared" si="13"/>
        <v>HR</v>
      </c>
      <c r="L196" s="3" t="s">
        <v>94</v>
      </c>
      <c r="M196" s="4">
        <v>43195</v>
      </c>
      <c r="N196" s="4">
        <v>43195</v>
      </c>
      <c r="O196" s="3" t="s">
        <v>41</v>
      </c>
      <c r="P196" s="3">
        <v>17</v>
      </c>
      <c r="Q196" s="3" t="s">
        <v>532</v>
      </c>
      <c r="R196" s="3" t="s">
        <v>61</v>
      </c>
      <c r="S196" s="3" t="s">
        <v>72</v>
      </c>
      <c r="T196" s="3" t="str">
        <f t="shared" si="14"/>
        <v>Part-Time</v>
      </c>
      <c r="V196" s="3">
        <v>7</v>
      </c>
      <c r="W196" s="3" t="s">
        <v>79</v>
      </c>
      <c r="Y196" s="9">
        <v>44990</v>
      </c>
      <c r="Z196" s="3">
        <v>24</v>
      </c>
      <c r="AA196" s="3" t="s">
        <v>33</v>
      </c>
      <c r="AB196" s="3" t="str" cm="1">
        <f t="array" ref="AB196">_xlfn.IFS(AA196="N","No",  AA196 = "Y", "Yes", TRUE, PROPER(TRIM(AA196)))</f>
        <v>Yes</v>
      </c>
      <c r="AC196" s="3">
        <v>5</v>
      </c>
      <c r="AD196" s="3" t="s">
        <v>34</v>
      </c>
      <c r="AE196">
        <f t="shared" si="15"/>
        <v>0</v>
      </c>
    </row>
    <row r="197" spans="1:31" ht="14.25" customHeight="1" x14ac:dyDescent="0.35">
      <c r="A197" s="3" t="s">
        <v>533</v>
      </c>
      <c r="B197" s="3" t="s">
        <v>48</v>
      </c>
      <c r="C197" s="3" t="s">
        <v>534</v>
      </c>
      <c r="D197" s="3">
        <v>40</v>
      </c>
      <c r="E197" s="3">
        <f t="shared" si="12"/>
        <v>40</v>
      </c>
      <c r="F197" s="3">
        <v>1984</v>
      </c>
      <c r="G197" s="3">
        <v>50000</v>
      </c>
      <c r="H197" s="12" cm="1">
        <f t="array" ref="H197">_xlfn.IFS(TRIM(G197)="SIXTY THOUSAND",60000,TRIM(G197)="NAN",AVERAGEIFS(G:G,J:J,J197,L:L,L197),TRUE,G197)</f>
        <v>50000</v>
      </c>
      <c r="I197" s="3" t="s">
        <v>27</v>
      </c>
      <c r="J197" s="3" t="s">
        <v>64</v>
      </c>
      <c r="K197" s="3" t="str">
        <f t="shared" si="13"/>
        <v>Finance</v>
      </c>
      <c r="L197" s="3" t="s">
        <v>89</v>
      </c>
      <c r="M197" s="4">
        <v>43800</v>
      </c>
      <c r="N197" s="4">
        <v>43800</v>
      </c>
      <c r="O197" s="3" t="s">
        <v>30</v>
      </c>
      <c r="P197" s="3">
        <v>67</v>
      </c>
      <c r="Q197" s="3" t="s">
        <v>535</v>
      </c>
      <c r="R197" s="3" t="s">
        <v>54</v>
      </c>
      <c r="S197" s="3" t="s">
        <v>112</v>
      </c>
      <c r="T197" s="3" t="str">
        <f t="shared" si="14"/>
        <v>Full-Time</v>
      </c>
      <c r="V197" s="3">
        <v>3</v>
      </c>
      <c r="W197" s="3" t="s">
        <v>79</v>
      </c>
      <c r="X197" s="3">
        <v>13</v>
      </c>
      <c r="AA197" s="3" t="s">
        <v>33</v>
      </c>
      <c r="AB197" s="3" t="str" cm="1">
        <f t="array" ref="AB197">_xlfn.IFS(AA197="N","No",  AA197 = "Y", "Yes", TRUE, PROPER(TRIM(AA197)))</f>
        <v>Yes</v>
      </c>
      <c r="AC197" s="3">
        <v>1</v>
      </c>
      <c r="AD197" s="3" t="s">
        <v>46</v>
      </c>
      <c r="AE197">
        <f t="shared" si="15"/>
        <v>1</v>
      </c>
    </row>
    <row r="198" spans="1:31" ht="14.25" customHeight="1" x14ac:dyDescent="0.35">
      <c r="A198" s="3" t="s">
        <v>536</v>
      </c>
      <c r="B198" s="3" t="s">
        <v>56</v>
      </c>
      <c r="C198" s="3" t="s">
        <v>203</v>
      </c>
      <c r="D198" s="3">
        <v>25</v>
      </c>
      <c r="E198" s="3">
        <f t="shared" si="12"/>
        <v>25</v>
      </c>
      <c r="F198" s="3">
        <v>1999</v>
      </c>
      <c r="G198" s="3">
        <v>61600</v>
      </c>
      <c r="H198" s="12" cm="1">
        <f t="array" ref="H198">_xlfn.IFS(TRIM(G198)="SIXTY THOUSAND",60000,TRIM(G198)="NAN",AVERAGEIFS(G:G,J:J,J198,L:L,L198),TRUE,G198)</f>
        <v>61600</v>
      </c>
      <c r="I198" s="3" t="s">
        <v>27</v>
      </c>
      <c r="J198" s="3" t="s">
        <v>70</v>
      </c>
      <c r="K198" s="3" t="str">
        <f t="shared" si="13"/>
        <v>Marketing</v>
      </c>
      <c r="L198" s="3" t="s">
        <v>89</v>
      </c>
      <c r="M198" s="4">
        <v>43800</v>
      </c>
      <c r="N198" s="4">
        <v>43800</v>
      </c>
      <c r="O198" s="3" t="s">
        <v>30</v>
      </c>
      <c r="P198" s="3">
        <v>65</v>
      </c>
      <c r="Q198" s="3" t="s">
        <v>537</v>
      </c>
      <c r="S198" s="3" t="s">
        <v>44</v>
      </c>
      <c r="T198" s="3" t="str">
        <f t="shared" si="14"/>
        <v>Full-Time</v>
      </c>
      <c r="V198" s="3">
        <v>2</v>
      </c>
      <c r="W198" s="3" t="s">
        <v>79</v>
      </c>
      <c r="AB198" s="3" t="str" cm="1">
        <f t="array" ref="AB198">_xlfn.IFS(AA198="N","No",  AA198 = "Y", "Yes", TRUE, PROPER(TRIM(AA198)))</f>
        <v/>
      </c>
      <c r="AC198" s="3">
        <v>4</v>
      </c>
      <c r="AD198" s="3" t="s">
        <v>34</v>
      </c>
      <c r="AE198">
        <f t="shared" si="15"/>
        <v>0</v>
      </c>
    </row>
    <row r="199" spans="1:31" ht="14.25" customHeight="1" x14ac:dyDescent="0.35">
      <c r="A199" s="3" t="s">
        <v>538</v>
      </c>
      <c r="B199" s="3" t="s">
        <v>36</v>
      </c>
      <c r="C199" s="3" t="s">
        <v>156</v>
      </c>
      <c r="D199" s="3">
        <v>25</v>
      </c>
      <c r="E199" s="3">
        <f t="shared" si="12"/>
        <v>25</v>
      </c>
      <c r="F199" s="3">
        <v>1999</v>
      </c>
      <c r="G199" s="3">
        <v>70000</v>
      </c>
      <c r="H199" s="12" cm="1">
        <f t="array" ref="H199">_xlfn.IFS(TRIM(G199)="SIXTY THOUSAND",60000,TRIM(G199)="NAN",AVERAGEIFS(G:G,J:J,J199,L:L,L199),TRUE,G199)</f>
        <v>70000</v>
      </c>
      <c r="I199" s="3" t="s">
        <v>27</v>
      </c>
      <c r="J199" s="3" t="s">
        <v>51</v>
      </c>
      <c r="K199" s="3" t="str">
        <f t="shared" si="13"/>
        <v>Sales</v>
      </c>
      <c r="L199" s="3" t="s">
        <v>89</v>
      </c>
      <c r="M199" s="4">
        <v>43195</v>
      </c>
      <c r="N199" s="4">
        <v>43195</v>
      </c>
      <c r="O199" s="3" t="s">
        <v>41</v>
      </c>
      <c r="P199" s="3">
        <v>43</v>
      </c>
      <c r="Q199" s="3" t="s">
        <v>184</v>
      </c>
      <c r="R199" s="3" t="s">
        <v>61</v>
      </c>
      <c r="S199" s="3" t="s">
        <v>32</v>
      </c>
      <c r="T199" s="3" t="str">
        <f t="shared" si="14"/>
        <v>Contract</v>
      </c>
      <c r="V199" s="3">
        <v>3</v>
      </c>
      <c r="W199" s="3" t="s">
        <v>79</v>
      </c>
      <c r="X199" s="3">
        <v>1</v>
      </c>
      <c r="AB199" s="3" t="str" cm="1">
        <f t="array" ref="AB199">_xlfn.IFS(AA199="N","No",  AA199 = "Y", "Yes", TRUE, PROPER(TRIM(AA199)))</f>
        <v/>
      </c>
      <c r="AC199" s="3">
        <v>1</v>
      </c>
      <c r="AD199" s="3" t="s">
        <v>46</v>
      </c>
      <c r="AE199">
        <f t="shared" si="15"/>
        <v>1</v>
      </c>
    </row>
    <row r="200" spans="1:31" ht="14.25" customHeight="1" x14ac:dyDescent="0.35">
      <c r="A200" s="3" t="s">
        <v>539</v>
      </c>
      <c r="B200" s="3" t="s">
        <v>114</v>
      </c>
      <c r="C200" s="3" t="s">
        <v>540</v>
      </c>
      <c r="D200" s="3">
        <v>50</v>
      </c>
      <c r="E200" s="3">
        <f t="shared" si="12"/>
        <v>50</v>
      </c>
      <c r="F200" s="3">
        <v>1974</v>
      </c>
      <c r="G200" s="3">
        <v>70000</v>
      </c>
      <c r="H200" s="12" cm="1">
        <f t="array" ref="H200">_xlfn.IFS(TRIM(G200)="SIXTY THOUSAND",60000,TRIM(G200)="NAN",AVERAGEIFS(G:G,J:J,J200,L:L,L200),TRUE,G200)</f>
        <v>70000</v>
      </c>
      <c r="I200" s="3" t="s">
        <v>27</v>
      </c>
      <c r="J200" s="3" t="s">
        <v>145</v>
      </c>
      <c r="K200" s="3" t="str">
        <f t="shared" si="13"/>
        <v>Sales</v>
      </c>
      <c r="L200" s="3" t="s">
        <v>29</v>
      </c>
      <c r="M200" s="4">
        <v>43881</v>
      </c>
      <c r="N200" s="4">
        <v>43881</v>
      </c>
      <c r="O200" s="3" t="s">
        <v>59</v>
      </c>
      <c r="P200" s="3">
        <v>99</v>
      </c>
      <c r="Q200" s="3" t="s">
        <v>541</v>
      </c>
      <c r="R200" s="3" t="s">
        <v>54</v>
      </c>
      <c r="S200" s="3" t="s">
        <v>32</v>
      </c>
      <c r="T200" s="3" t="str">
        <f t="shared" si="14"/>
        <v>Contract</v>
      </c>
      <c r="V200" s="3">
        <v>1</v>
      </c>
      <c r="X200" s="3">
        <v>17</v>
      </c>
      <c r="Y200" s="4">
        <v>44941</v>
      </c>
      <c r="AA200" s="3" t="s">
        <v>34</v>
      </c>
      <c r="AB200" s="3" t="str" cm="1">
        <f t="array" ref="AB200">_xlfn.IFS(AA200="N","No",  AA200 = "Y", "Yes", TRUE, PROPER(TRIM(AA200)))</f>
        <v>No</v>
      </c>
      <c r="AC200" s="3">
        <v>4</v>
      </c>
      <c r="AD200" s="3" t="s">
        <v>34</v>
      </c>
      <c r="AE200">
        <f t="shared" si="15"/>
        <v>0</v>
      </c>
    </row>
    <row r="201" spans="1:31" ht="14.25" customHeight="1" x14ac:dyDescent="0.35">
      <c r="A201" s="3" t="s">
        <v>542</v>
      </c>
      <c r="B201" s="3" t="s">
        <v>107</v>
      </c>
      <c r="C201" s="3" t="s">
        <v>543</v>
      </c>
      <c r="D201" s="3">
        <v>50</v>
      </c>
      <c r="E201" s="3">
        <f t="shared" si="12"/>
        <v>50</v>
      </c>
      <c r="F201" s="3">
        <v>1974</v>
      </c>
      <c r="G201" s="3">
        <v>50000</v>
      </c>
      <c r="H201" s="12" cm="1">
        <f t="array" ref="H201">_xlfn.IFS(TRIM(G201)="SIXTY THOUSAND",60000,TRIM(G201)="NAN",AVERAGEIFS(G:G,J:J,J201,L:L,L201),TRUE,G201)</f>
        <v>50000</v>
      </c>
      <c r="I201" s="3" t="s">
        <v>27</v>
      </c>
      <c r="J201" s="3" t="s">
        <v>28</v>
      </c>
      <c r="K201" s="3" t="str">
        <f t="shared" si="13"/>
        <v>HR</v>
      </c>
      <c r="L201" s="3" t="s">
        <v>29</v>
      </c>
      <c r="M201" s="4">
        <v>43881</v>
      </c>
      <c r="N201" s="4">
        <v>43881</v>
      </c>
      <c r="O201" s="3" t="s">
        <v>30</v>
      </c>
      <c r="P201" s="3">
        <v>68</v>
      </c>
      <c r="Q201" s="3" t="s">
        <v>544</v>
      </c>
      <c r="R201" s="3" t="s">
        <v>54</v>
      </c>
      <c r="S201" s="3" t="s">
        <v>66</v>
      </c>
      <c r="T201" s="3" t="str">
        <f t="shared" si="14"/>
        <v>Contract</v>
      </c>
      <c r="U201" s="3" t="s">
        <v>474</v>
      </c>
      <c r="V201" s="3">
        <v>3</v>
      </c>
      <c r="AB201" s="3" t="str" cm="1">
        <f t="array" ref="AB201">_xlfn.IFS(AA201="N","No",  AA201 = "Y", "Yes", TRUE, PROPER(TRIM(AA201)))</f>
        <v/>
      </c>
      <c r="AC201" s="3">
        <v>5</v>
      </c>
      <c r="AD201" s="3" t="s">
        <v>34</v>
      </c>
      <c r="AE201">
        <f t="shared" si="15"/>
        <v>0</v>
      </c>
    </row>
    <row r="202" spans="1:31" ht="14.25" customHeight="1" x14ac:dyDescent="0.35">
      <c r="A202" s="3" t="s">
        <v>545</v>
      </c>
      <c r="B202" s="3" t="s">
        <v>107</v>
      </c>
      <c r="C202" s="3" t="s">
        <v>546</v>
      </c>
      <c r="D202" s="3">
        <v>35</v>
      </c>
      <c r="E202" s="3">
        <f t="shared" si="12"/>
        <v>35</v>
      </c>
      <c r="F202" s="3">
        <v>1989</v>
      </c>
      <c r="G202" s="3">
        <v>60800</v>
      </c>
      <c r="H202" s="12" cm="1">
        <f t="array" ref="H202">_xlfn.IFS(TRIM(G202)="SIXTY THOUSAND",60000,TRIM(G202)="NAN",AVERAGEIFS(G:G,J:J,J202,L:L,L202),TRUE,G202)</f>
        <v>60800</v>
      </c>
      <c r="I202" s="3" t="s">
        <v>27</v>
      </c>
      <c r="J202" s="3" t="s">
        <v>64</v>
      </c>
      <c r="K202" s="3" t="str">
        <f t="shared" si="13"/>
        <v>Finance</v>
      </c>
      <c r="L202" s="3" t="s">
        <v>94</v>
      </c>
      <c r="M202" s="4">
        <v>43800</v>
      </c>
      <c r="N202" s="4">
        <v>43800</v>
      </c>
      <c r="O202" s="3" t="s">
        <v>52</v>
      </c>
      <c r="P202" s="3">
        <v>72</v>
      </c>
      <c r="Q202" s="3" t="s">
        <v>547</v>
      </c>
      <c r="R202" s="3" t="s">
        <v>61</v>
      </c>
      <c r="S202" s="3" t="s">
        <v>100</v>
      </c>
      <c r="T202" s="3" t="str">
        <f t="shared" si="14"/>
        <v>Part-Time</v>
      </c>
      <c r="V202" s="3">
        <v>2</v>
      </c>
      <c r="AB202" s="3" t="str" cm="1">
        <f t="array" ref="AB202">_xlfn.IFS(AA202="N","No",  AA202 = "Y", "Yes", TRUE, PROPER(TRIM(AA202)))</f>
        <v/>
      </c>
      <c r="AC202" s="3">
        <v>3</v>
      </c>
      <c r="AD202" s="3" t="s">
        <v>34</v>
      </c>
      <c r="AE202">
        <f t="shared" si="15"/>
        <v>0</v>
      </c>
    </row>
    <row r="203" spans="1:31" ht="14.25" customHeight="1" x14ac:dyDescent="0.35">
      <c r="A203" s="3" t="s">
        <v>548</v>
      </c>
      <c r="B203" s="3" t="s">
        <v>131</v>
      </c>
      <c r="C203" s="3" t="s">
        <v>209</v>
      </c>
      <c r="D203" s="3">
        <v>50</v>
      </c>
      <c r="E203" s="3">
        <f t="shared" si="12"/>
        <v>50</v>
      </c>
      <c r="F203" s="3">
        <v>1974</v>
      </c>
      <c r="G203" s="3">
        <v>50000</v>
      </c>
      <c r="H203" s="12" cm="1">
        <f t="array" ref="H203">_xlfn.IFS(TRIM(G203)="SIXTY THOUSAND",60000,TRIM(G203)="NAN",AVERAGEIFS(G:G,J:J,J203,L:L,L203),TRUE,G203)</f>
        <v>50000</v>
      </c>
      <c r="I203" s="3" t="s">
        <v>27</v>
      </c>
      <c r="J203" s="3" t="s">
        <v>122</v>
      </c>
      <c r="K203" s="3" t="str">
        <f t="shared" si="13"/>
        <v>IT</v>
      </c>
      <c r="L203" s="3" t="s">
        <v>77</v>
      </c>
      <c r="M203" s="4">
        <v>43800</v>
      </c>
      <c r="N203" s="4">
        <v>43800</v>
      </c>
      <c r="O203" s="3" t="s">
        <v>41</v>
      </c>
      <c r="P203" s="3">
        <v>22</v>
      </c>
      <c r="Q203" s="3" t="s">
        <v>549</v>
      </c>
      <c r="R203" s="3" t="s">
        <v>54</v>
      </c>
      <c r="S203" s="3" t="s">
        <v>174</v>
      </c>
      <c r="T203" s="3" t="str">
        <f t="shared" si="14"/>
        <v>Full-Time</v>
      </c>
      <c r="V203" s="3">
        <v>7</v>
      </c>
      <c r="Z203" s="3">
        <v>42</v>
      </c>
      <c r="AA203" s="3" t="s">
        <v>33</v>
      </c>
      <c r="AB203" s="3" t="str" cm="1">
        <f t="array" ref="AB203">_xlfn.IFS(AA203="N","No",  AA203 = "Y", "Yes", TRUE, PROPER(TRIM(AA203)))</f>
        <v>Yes</v>
      </c>
      <c r="AC203" s="3">
        <v>1</v>
      </c>
      <c r="AD203" s="3" t="s">
        <v>34</v>
      </c>
      <c r="AE203">
        <f t="shared" si="15"/>
        <v>0</v>
      </c>
    </row>
    <row r="204" spans="1:31" ht="14.25" customHeight="1" x14ac:dyDescent="0.35">
      <c r="A204" s="3" t="s">
        <v>550</v>
      </c>
      <c r="B204" s="3" t="s">
        <v>140</v>
      </c>
      <c r="C204" s="3" t="s">
        <v>343</v>
      </c>
      <c r="E204" s="3">
        <f t="shared" si="12"/>
        <v>38</v>
      </c>
      <c r="F204" s="3">
        <v>1986</v>
      </c>
      <c r="G204" s="3">
        <v>55000</v>
      </c>
      <c r="H204" s="12" cm="1">
        <f t="array" ref="H204">_xlfn.IFS(TRIM(G204)="SIXTY THOUSAND",60000,TRIM(G204)="NAN",AVERAGEIFS(G:G,J:J,J204,L:L,L204),TRUE,G204)</f>
        <v>55000</v>
      </c>
      <c r="I204" s="3" t="s">
        <v>27</v>
      </c>
      <c r="J204" s="3" t="s">
        <v>122</v>
      </c>
      <c r="K204" s="3" t="str">
        <f t="shared" si="13"/>
        <v>IT</v>
      </c>
      <c r="L204" s="3" t="s">
        <v>94</v>
      </c>
      <c r="M204" s="4">
        <v>43195</v>
      </c>
      <c r="N204" s="4">
        <v>43195</v>
      </c>
      <c r="O204" s="3" t="s">
        <v>78</v>
      </c>
      <c r="P204" s="3">
        <v>85</v>
      </c>
      <c r="Q204" s="3" t="s">
        <v>551</v>
      </c>
      <c r="R204" s="3" t="s">
        <v>43</v>
      </c>
      <c r="S204" s="3" t="s">
        <v>72</v>
      </c>
      <c r="T204" s="3" t="str">
        <f t="shared" si="14"/>
        <v>Part-Time</v>
      </c>
      <c r="V204" s="3">
        <v>8</v>
      </c>
      <c r="W204" s="3" t="s">
        <v>79</v>
      </c>
      <c r="Y204" s="4">
        <v>44732</v>
      </c>
      <c r="AB204" s="3" t="str" cm="1">
        <f t="array" ref="AB204">_xlfn.IFS(AA204="N","No",  AA204 = "Y", "Yes", TRUE, PROPER(TRIM(AA204)))</f>
        <v/>
      </c>
      <c r="AC204" s="3">
        <v>4</v>
      </c>
      <c r="AD204" s="3" t="s">
        <v>46</v>
      </c>
      <c r="AE204">
        <f t="shared" si="15"/>
        <v>1</v>
      </c>
    </row>
    <row r="205" spans="1:31" ht="14.25" customHeight="1" x14ac:dyDescent="0.35">
      <c r="A205" s="3" t="s">
        <v>552</v>
      </c>
      <c r="B205" s="3" t="s">
        <v>107</v>
      </c>
      <c r="C205" s="3" t="s">
        <v>299</v>
      </c>
      <c r="D205" s="3" t="s">
        <v>88</v>
      </c>
      <c r="E205" s="3">
        <f t="shared" si="12"/>
        <v>30</v>
      </c>
      <c r="F205" s="3">
        <v>1994</v>
      </c>
      <c r="G205" s="3" t="s">
        <v>50</v>
      </c>
      <c r="H205" s="12" cm="1">
        <f t="array" ref="H205">_xlfn.IFS(TRIM(G205)="SIXTY THOUSAND",60000,TRIM(G205)="NAN",AVERAGEIFS(G:G,J:J,J205,L:L,L205),TRUE,G205)</f>
        <v>60000</v>
      </c>
      <c r="I205" s="3" t="s">
        <v>27</v>
      </c>
      <c r="J205" s="3" t="s">
        <v>39</v>
      </c>
      <c r="K205" s="3" t="str">
        <f t="shared" si="13"/>
        <v>Finance</v>
      </c>
      <c r="L205" s="3" t="s">
        <v>40</v>
      </c>
      <c r="M205" s="4">
        <v>43881</v>
      </c>
      <c r="N205" s="4">
        <v>43881</v>
      </c>
      <c r="O205" s="3" t="s">
        <v>78</v>
      </c>
      <c r="P205" s="3">
        <v>85</v>
      </c>
      <c r="Q205" s="3" t="s">
        <v>553</v>
      </c>
      <c r="R205" s="3" t="s">
        <v>43</v>
      </c>
      <c r="S205" s="3" t="s">
        <v>100</v>
      </c>
      <c r="T205" s="3" t="str">
        <f t="shared" si="14"/>
        <v>Part-Time</v>
      </c>
      <c r="V205" s="3">
        <v>8</v>
      </c>
      <c r="X205" s="3">
        <v>9</v>
      </c>
      <c r="AA205" s="3" t="s">
        <v>33</v>
      </c>
      <c r="AB205" s="3" t="str" cm="1">
        <f t="array" ref="AB205">_xlfn.IFS(AA205="N","No",  AA205 = "Y", "Yes", TRUE, PROPER(TRIM(AA205)))</f>
        <v>Yes</v>
      </c>
      <c r="AC205" s="3">
        <v>1</v>
      </c>
      <c r="AD205" s="3" t="s">
        <v>46</v>
      </c>
      <c r="AE205">
        <f t="shared" si="15"/>
        <v>1</v>
      </c>
    </row>
    <row r="206" spans="1:31" ht="14.25" customHeight="1" x14ac:dyDescent="0.35">
      <c r="A206" s="3" t="s">
        <v>554</v>
      </c>
      <c r="B206" s="3" t="s">
        <v>75</v>
      </c>
      <c r="C206" s="3" t="s">
        <v>310</v>
      </c>
      <c r="D206" s="3" t="s">
        <v>88</v>
      </c>
      <c r="E206" s="3">
        <f t="shared" si="12"/>
        <v>30</v>
      </c>
      <c r="F206" s="3">
        <v>1994</v>
      </c>
      <c r="G206" s="3">
        <v>70000</v>
      </c>
      <c r="H206" s="12" cm="1">
        <f t="array" ref="H206">_xlfn.IFS(TRIM(G206)="SIXTY THOUSAND",60000,TRIM(G206)="NAN",AVERAGEIFS(G:G,J:J,J206,L:L,L206),TRUE,G206)</f>
        <v>70000</v>
      </c>
      <c r="I206" s="3" t="s">
        <v>27</v>
      </c>
      <c r="J206" s="3" t="s">
        <v>122</v>
      </c>
      <c r="K206" s="3" t="str">
        <f t="shared" si="13"/>
        <v>IT</v>
      </c>
      <c r="L206" s="3" t="s">
        <v>29</v>
      </c>
      <c r="M206" s="4">
        <v>43800</v>
      </c>
      <c r="N206" s="4">
        <v>43800</v>
      </c>
      <c r="O206" s="3" t="s">
        <v>59</v>
      </c>
      <c r="P206" s="3">
        <v>100</v>
      </c>
      <c r="Q206" s="3" t="s">
        <v>311</v>
      </c>
      <c r="R206" s="3" t="s">
        <v>61</v>
      </c>
      <c r="S206" s="3" t="s">
        <v>44</v>
      </c>
      <c r="T206" s="3" t="str">
        <f t="shared" si="14"/>
        <v>Full-Time</v>
      </c>
      <c r="V206" s="3">
        <v>3</v>
      </c>
      <c r="AA206" s="3" t="s">
        <v>34</v>
      </c>
      <c r="AB206" s="3" t="str" cm="1">
        <f t="array" ref="AB206">_xlfn.IFS(AA206="N","No",  AA206 = "Y", "Yes", TRUE, PROPER(TRIM(AA206)))</f>
        <v>No</v>
      </c>
      <c r="AC206" s="3">
        <v>2</v>
      </c>
      <c r="AD206" s="3" t="s">
        <v>46</v>
      </c>
      <c r="AE206">
        <f t="shared" si="15"/>
        <v>1</v>
      </c>
    </row>
    <row r="207" spans="1:31" ht="14.25" customHeight="1" x14ac:dyDescent="0.35">
      <c r="A207" s="3" t="s">
        <v>555</v>
      </c>
      <c r="B207" s="3" t="s">
        <v>36</v>
      </c>
      <c r="C207" s="3" t="s">
        <v>556</v>
      </c>
      <c r="D207" s="3">
        <v>40</v>
      </c>
      <c r="E207" s="3">
        <f t="shared" si="12"/>
        <v>40</v>
      </c>
      <c r="F207" s="3">
        <v>1984</v>
      </c>
      <c r="G207" s="3">
        <v>55000</v>
      </c>
      <c r="H207" s="12" cm="1">
        <f t="array" ref="H207">_xlfn.IFS(TRIM(G207)="SIXTY THOUSAND",60000,TRIM(G207)="NAN",AVERAGEIFS(G:G,J:J,J207,L:L,L207),TRUE,G207)</f>
        <v>55000</v>
      </c>
      <c r="I207" s="3" t="s">
        <v>27</v>
      </c>
      <c r="J207" s="3" t="s">
        <v>82</v>
      </c>
      <c r="K207" s="3" t="str">
        <f t="shared" si="13"/>
        <v>HR</v>
      </c>
      <c r="L207" s="3" t="s">
        <v>89</v>
      </c>
      <c r="M207" s="4">
        <v>43881</v>
      </c>
      <c r="N207" s="4">
        <v>43881</v>
      </c>
      <c r="O207" s="3" t="s">
        <v>52</v>
      </c>
      <c r="P207" s="3">
        <v>74</v>
      </c>
      <c r="Q207" s="3" t="s">
        <v>557</v>
      </c>
      <c r="S207" s="3" t="s">
        <v>174</v>
      </c>
      <c r="T207" s="3" t="str">
        <f t="shared" si="14"/>
        <v>Full-Time</v>
      </c>
      <c r="V207" s="3">
        <v>7</v>
      </c>
      <c r="Y207" s="4">
        <v>44941</v>
      </c>
      <c r="Z207" s="3">
        <v>22</v>
      </c>
      <c r="AA207" s="3" t="s">
        <v>34</v>
      </c>
      <c r="AB207" s="3" t="str" cm="1">
        <f t="array" ref="AB207">_xlfn.IFS(AA207="N","No",  AA207 = "Y", "Yes", TRUE, PROPER(TRIM(AA207)))</f>
        <v>No</v>
      </c>
      <c r="AC207" s="3">
        <v>4</v>
      </c>
      <c r="AD207" s="3" t="s">
        <v>34</v>
      </c>
      <c r="AE207">
        <f t="shared" si="15"/>
        <v>0</v>
      </c>
    </row>
    <row r="208" spans="1:31" ht="14.25" customHeight="1" x14ac:dyDescent="0.35">
      <c r="A208" s="3" t="s">
        <v>558</v>
      </c>
      <c r="B208" s="3" t="s">
        <v>36</v>
      </c>
      <c r="C208" s="3" t="s">
        <v>462</v>
      </c>
      <c r="D208" s="3">
        <v>40</v>
      </c>
      <c r="E208" s="3">
        <f t="shared" si="12"/>
        <v>40</v>
      </c>
      <c r="F208" s="3">
        <v>1984</v>
      </c>
      <c r="G208" s="3" t="s">
        <v>50</v>
      </c>
      <c r="H208" s="12" cm="1">
        <f t="array" ref="H208">_xlfn.IFS(TRIM(G208)="SIXTY THOUSAND",60000,TRIM(G208)="NAN",AVERAGEIFS(G:G,J:J,J208,L:L,L208),TRUE,G208)</f>
        <v>60000</v>
      </c>
      <c r="I208" s="3" t="s">
        <v>38</v>
      </c>
      <c r="J208" s="3" t="s">
        <v>28</v>
      </c>
      <c r="K208" s="3" t="str">
        <f t="shared" si="13"/>
        <v>HR</v>
      </c>
      <c r="L208" s="3" t="s">
        <v>29</v>
      </c>
      <c r="M208" s="4">
        <v>43800</v>
      </c>
      <c r="N208" s="4">
        <v>43800</v>
      </c>
      <c r="O208" s="3" t="s">
        <v>30</v>
      </c>
      <c r="P208" s="3">
        <v>68</v>
      </c>
      <c r="Q208" s="3" t="s">
        <v>559</v>
      </c>
      <c r="R208" s="3" t="s">
        <v>43</v>
      </c>
      <c r="S208" s="3" t="s">
        <v>32</v>
      </c>
      <c r="T208" s="3" t="str">
        <f t="shared" si="14"/>
        <v>Contract</v>
      </c>
      <c r="V208" s="3">
        <v>6</v>
      </c>
      <c r="Y208" s="4">
        <v>44732</v>
      </c>
      <c r="AA208" s="3" t="s">
        <v>46</v>
      </c>
      <c r="AB208" s="3" t="str" cm="1">
        <f t="array" ref="AB208">_xlfn.IFS(AA208="N","No",  AA208 = "Y", "Yes", TRUE, PROPER(TRIM(AA208)))</f>
        <v>Yes</v>
      </c>
      <c r="AC208" s="3">
        <v>3</v>
      </c>
      <c r="AD208" s="3" t="s">
        <v>34</v>
      </c>
      <c r="AE208">
        <f t="shared" si="15"/>
        <v>0</v>
      </c>
    </row>
    <row r="209" spans="1:31" ht="14.25" customHeight="1" x14ac:dyDescent="0.35">
      <c r="A209" s="3" t="s">
        <v>560</v>
      </c>
      <c r="B209" s="3" t="s">
        <v>75</v>
      </c>
      <c r="C209" s="3" t="s">
        <v>237</v>
      </c>
      <c r="D209" s="3" t="s">
        <v>88</v>
      </c>
      <c r="E209" s="3">
        <f t="shared" si="12"/>
        <v>30</v>
      </c>
      <c r="F209" s="3">
        <v>1994</v>
      </c>
      <c r="G209" s="3">
        <v>55000</v>
      </c>
      <c r="H209" s="12" cm="1">
        <f t="array" ref="H209">_xlfn.IFS(TRIM(G209)="SIXTY THOUSAND",60000,TRIM(G209)="NAN",AVERAGEIFS(G:G,J:J,J209,L:L,L209),TRUE,G209)</f>
        <v>55000</v>
      </c>
      <c r="I209" s="3" t="s">
        <v>27</v>
      </c>
      <c r="J209" s="3" t="s">
        <v>39</v>
      </c>
      <c r="K209" s="3" t="str">
        <f t="shared" si="13"/>
        <v>Finance</v>
      </c>
      <c r="L209" s="3" t="s">
        <v>89</v>
      </c>
      <c r="M209" s="4">
        <v>43845</v>
      </c>
      <c r="N209" s="4">
        <v>43845</v>
      </c>
      <c r="O209" s="3" t="s">
        <v>78</v>
      </c>
      <c r="P209" s="3">
        <v>80</v>
      </c>
      <c r="Q209" s="3" t="s">
        <v>561</v>
      </c>
      <c r="R209" s="3" t="s">
        <v>43</v>
      </c>
      <c r="S209" s="3" t="s">
        <v>66</v>
      </c>
      <c r="T209" s="3" t="str">
        <f t="shared" si="14"/>
        <v>Contract</v>
      </c>
      <c r="V209" s="3">
        <v>1</v>
      </c>
      <c r="W209" s="3">
        <v>4</v>
      </c>
      <c r="Y209" s="9">
        <v>44990</v>
      </c>
      <c r="AA209" s="3" t="s">
        <v>33</v>
      </c>
      <c r="AB209" s="3" t="str" cm="1">
        <f t="array" ref="AB209">_xlfn.IFS(AA209="N","No",  AA209 = "Y", "Yes", TRUE, PROPER(TRIM(AA209)))</f>
        <v>Yes</v>
      </c>
      <c r="AC209" s="3">
        <v>3</v>
      </c>
      <c r="AD209" s="3" t="s">
        <v>34</v>
      </c>
      <c r="AE209">
        <f t="shared" si="15"/>
        <v>0</v>
      </c>
    </row>
    <row r="210" spans="1:31" ht="14.25" customHeight="1" x14ac:dyDescent="0.35">
      <c r="A210" s="3" t="s">
        <v>562</v>
      </c>
      <c r="B210" s="3" t="s">
        <v>68</v>
      </c>
      <c r="C210" s="3" t="s">
        <v>193</v>
      </c>
      <c r="D210" s="3">
        <v>40</v>
      </c>
      <c r="E210" s="3">
        <f t="shared" si="12"/>
        <v>40</v>
      </c>
      <c r="F210" s="3">
        <v>1984</v>
      </c>
      <c r="G210" s="3">
        <v>60100</v>
      </c>
      <c r="H210" s="12" cm="1">
        <f t="array" ref="H210">_xlfn.IFS(TRIM(G210)="SIXTY THOUSAND",60000,TRIM(G210)="NAN",AVERAGEIFS(G:G,J:J,J210,L:L,L210),TRUE,G210)</f>
        <v>60100</v>
      </c>
      <c r="I210" s="3" t="s">
        <v>27</v>
      </c>
      <c r="J210" s="3" t="s">
        <v>122</v>
      </c>
      <c r="K210" s="3" t="str">
        <f t="shared" si="13"/>
        <v>IT</v>
      </c>
      <c r="L210" s="3" t="s">
        <v>40</v>
      </c>
      <c r="M210" s="4">
        <v>43549</v>
      </c>
      <c r="N210" s="4">
        <v>43549</v>
      </c>
      <c r="O210" s="3" t="s">
        <v>59</v>
      </c>
      <c r="P210" s="3">
        <v>99</v>
      </c>
      <c r="Q210" s="3" t="s">
        <v>194</v>
      </c>
      <c r="R210" s="3" t="s">
        <v>61</v>
      </c>
      <c r="S210" s="3" t="s">
        <v>174</v>
      </c>
      <c r="T210" s="3" t="str">
        <f t="shared" si="14"/>
        <v>Full-Time</v>
      </c>
      <c r="U210" s="3" t="s">
        <v>242</v>
      </c>
      <c r="V210" s="3">
        <v>3</v>
      </c>
      <c r="Y210" s="4">
        <v>44941</v>
      </c>
      <c r="Z210" s="3">
        <v>12</v>
      </c>
      <c r="AA210" s="3" t="s">
        <v>34</v>
      </c>
      <c r="AB210" s="3" t="str" cm="1">
        <f t="array" ref="AB210">_xlfn.IFS(AA210="N","No",  AA210 = "Y", "Yes", TRUE, PROPER(TRIM(AA210)))</f>
        <v>No</v>
      </c>
      <c r="AC210" s="3">
        <v>1</v>
      </c>
      <c r="AD210" s="3" t="s">
        <v>34</v>
      </c>
      <c r="AE210">
        <f t="shared" si="15"/>
        <v>0</v>
      </c>
    </row>
    <row r="211" spans="1:31" ht="14.25" customHeight="1" x14ac:dyDescent="0.35">
      <c r="A211" s="3" t="s">
        <v>563</v>
      </c>
      <c r="B211" s="3" t="s">
        <v>75</v>
      </c>
      <c r="C211" s="3" t="s">
        <v>253</v>
      </c>
      <c r="D211" s="3">
        <v>35</v>
      </c>
      <c r="E211" s="3">
        <f t="shared" si="12"/>
        <v>35</v>
      </c>
      <c r="F211" s="3">
        <v>1989</v>
      </c>
      <c r="G211" s="3">
        <v>70000</v>
      </c>
      <c r="H211" s="12" cm="1">
        <f t="array" ref="H211">_xlfn.IFS(TRIM(G211)="SIXTY THOUSAND",60000,TRIM(G211)="NAN",AVERAGEIFS(G:G,J:J,J211,L:L,L211),TRUE,G211)</f>
        <v>70000</v>
      </c>
      <c r="I211" s="3" t="s">
        <v>27</v>
      </c>
      <c r="J211" s="3" t="s">
        <v>28</v>
      </c>
      <c r="K211" s="3" t="str">
        <f t="shared" si="13"/>
        <v>HR</v>
      </c>
      <c r="L211" s="3" t="s">
        <v>40</v>
      </c>
      <c r="M211" s="4">
        <v>43845</v>
      </c>
      <c r="N211" s="4">
        <v>43845</v>
      </c>
      <c r="O211" s="3" t="s">
        <v>52</v>
      </c>
      <c r="P211" s="3">
        <v>72</v>
      </c>
      <c r="Q211" s="3" t="s">
        <v>564</v>
      </c>
      <c r="R211" s="3" t="s">
        <v>104</v>
      </c>
      <c r="S211" s="3" t="s">
        <v>32</v>
      </c>
      <c r="T211" s="3" t="str">
        <f t="shared" si="14"/>
        <v>Contract</v>
      </c>
      <c r="V211" s="3">
        <v>8</v>
      </c>
      <c r="X211" s="3">
        <v>2</v>
      </c>
      <c r="AA211" s="3" t="s">
        <v>34</v>
      </c>
      <c r="AB211" s="3" t="str" cm="1">
        <f t="array" ref="AB211">_xlfn.IFS(AA211="N","No",  AA211 = "Y", "Yes", TRUE, PROPER(TRIM(AA211)))</f>
        <v>No</v>
      </c>
      <c r="AC211" s="3">
        <v>5</v>
      </c>
      <c r="AD211" s="3" t="s">
        <v>34</v>
      </c>
      <c r="AE211">
        <f t="shared" si="15"/>
        <v>0</v>
      </c>
    </row>
    <row r="212" spans="1:31" ht="14.25" customHeight="1" x14ac:dyDescent="0.35">
      <c r="A212" s="3" t="s">
        <v>565</v>
      </c>
      <c r="B212" s="3" t="s">
        <v>75</v>
      </c>
      <c r="C212" s="3" t="s">
        <v>465</v>
      </c>
      <c r="D212" s="3">
        <v>50</v>
      </c>
      <c r="E212" s="3">
        <f t="shared" si="12"/>
        <v>50</v>
      </c>
      <c r="F212" s="3">
        <v>1974</v>
      </c>
      <c r="G212" s="3">
        <v>50000</v>
      </c>
      <c r="H212" s="12" cm="1">
        <f t="array" ref="H212">_xlfn.IFS(TRIM(G212)="SIXTY THOUSAND",60000,TRIM(G212)="NAN",AVERAGEIFS(G:G,J:J,J212,L:L,L212),TRUE,G212)</f>
        <v>50000</v>
      </c>
      <c r="I212" s="3" t="s">
        <v>27</v>
      </c>
      <c r="J212" s="3" t="s">
        <v>82</v>
      </c>
      <c r="K212" s="3" t="str">
        <f t="shared" si="13"/>
        <v>HR</v>
      </c>
      <c r="L212" s="3" t="s">
        <v>29</v>
      </c>
      <c r="M212" s="4">
        <v>43800</v>
      </c>
      <c r="N212" s="4">
        <v>43800</v>
      </c>
      <c r="O212" s="3" t="s">
        <v>52</v>
      </c>
      <c r="P212" s="3">
        <v>70</v>
      </c>
      <c r="Q212" s="3" t="s">
        <v>566</v>
      </c>
      <c r="R212" s="3" t="s">
        <v>54</v>
      </c>
      <c r="S212" s="3" t="s">
        <v>100</v>
      </c>
      <c r="T212" s="3" t="str">
        <f t="shared" si="14"/>
        <v>Part-Time</v>
      </c>
      <c r="U212" s="3" t="s">
        <v>567</v>
      </c>
      <c r="V212" s="3">
        <v>8</v>
      </c>
      <c r="Y212" s="9">
        <v>44990</v>
      </c>
      <c r="Z212" s="3">
        <v>58</v>
      </c>
      <c r="AA212" s="3" t="s">
        <v>482</v>
      </c>
      <c r="AB212" s="3" t="str" cm="1">
        <f t="array" ref="AB212">_xlfn.IFS(AA212="N","No",  AA212 = "Y", "Yes", TRUE, PROPER(TRIM(AA212)))</f>
        <v>Yes</v>
      </c>
      <c r="AC212" s="3">
        <v>1</v>
      </c>
      <c r="AD212" s="3" t="s">
        <v>34</v>
      </c>
      <c r="AE212">
        <f t="shared" si="15"/>
        <v>0</v>
      </c>
    </row>
    <row r="213" spans="1:31" ht="14.25" customHeight="1" x14ac:dyDescent="0.35">
      <c r="A213" s="3" t="s">
        <v>568</v>
      </c>
      <c r="B213" s="3" t="s">
        <v>36</v>
      </c>
      <c r="C213" s="3" t="s">
        <v>240</v>
      </c>
      <c r="D213" s="3" t="s">
        <v>88</v>
      </c>
      <c r="E213" s="3">
        <f t="shared" si="12"/>
        <v>30</v>
      </c>
      <c r="F213" s="3">
        <v>1994</v>
      </c>
      <c r="G213" s="3">
        <v>50000</v>
      </c>
      <c r="H213" s="12" cm="1">
        <f t="array" ref="H213">_xlfn.IFS(TRIM(G213)="SIXTY THOUSAND",60000,TRIM(G213)="NAN",AVERAGEIFS(G:G,J:J,J213,L:L,L213),TRUE,G213)</f>
        <v>50000</v>
      </c>
      <c r="I213" s="3" t="s">
        <v>38</v>
      </c>
      <c r="J213" s="3" t="s">
        <v>70</v>
      </c>
      <c r="K213" s="3" t="str">
        <f t="shared" si="13"/>
        <v>Marketing</v>
      </c>
      <c r="L213" s="3" t="s">
        <v>89</v>
      </c>
      <c r="M213" s="4">
        <v>43549</v>
      </c>
      <c r="N213" s="4">
        <v>43549</v>
      </c>
      <c r="O213" s="3" t="s">
        <v>59</v>
      </c>
      <c r="P213" s="3">
        <v>93</v>
      </c>
      <c r="Q213" s="3" t="s">
        <v>241</v>
      </c>
      <c r="R213" s="3" t="s">
        <v>43</v>
      </c>
      <c r="S213" s="3" t="s">
        <v>100</v>
      </c>
      <c r="T213" s="3" t="str">
        <f t="shared" si="14"/>
        <v>Part-Time</v>
      </c>
      <c r="V213" s="3">
        <v>2</v>
      </c>
      <c r="X213" s="3">
        <v>18</v>
      </c>
      <c r="Z213" s="3">
        <v>36</v>
      </c>
      <c r="AA213" s="3" t="s">
        <v>33</v>
      </c>
      <c r="AB213" s="3" t="str" cm="1">
        <f t="array" ref="AB213">_xlfn.IFS(AA213="N","No",  AA213 = "Y", "Yes", TRUE, PROPER(TRIM(AA213)))</f>
        <v>Yes</v>
      </c>
      <c r="AC213" s="3">
        <v>4</v>
      </c>
      <c r="AD213" s="3" t="s">
        <v>34</v>
      </c>
      <c r="AE213">
        <f t="shared" si="15"/>
        <v>0</v>
      </c>
    </row>
    <row r="214" spans="1:31" ht="14.25" customHeight="1" x14ac:dyDescent="0.35">
      <c r="A214" s="3" t="s">
        <v>569</v>
      </c>
      <c r="B214" s="3" t="s">
        <v>25</v>
      </c>
      <c r="C214" s="3" t="s">
        <v>328</v>
      </c>
      <c r="D214" s="3">
        <v>40</v>
      </c>
      <c r="E214" s="3">
        <f t="shared" si="12"/>
        <v>40</v>
      </c>
      <c r="F214" s="3">
        <v>1984</v>
      </c>
      <c r="G214" s="3" t="s">
        <v>50</v>
      </c>
      <c r="H214" s="12" cm="1">
        <f t="array" ref="H214">_xlfn.IFS(TRIM(G214)="SIXTY THOUSAND",60000,TRIM(G214)="NAN",AVERAGEIFS(G:G,J:J,J214,L:L,L214),TRUE,G214)</f>
        <v>60000</v>
      </c>
      <c r="I214" s="3" t="s">
        <v>38</v>
      </c>
      <c r="J214" s="3" t="s">
        <v>70</v>
      </c>
      <c r="K214" s="3" t="str">
        <f t="shared" si="13"/>
        <v>Marketing</v>
      </c>
      <c r="L214" s="3" t="s">
        <v>40</v>
      </c>
      <c r="M214" s="4">
        <v>43549</v>
      </c>
      <c r="N214" s="4">
        <v>43549</v>
      </c>
      <c r="O214" s="3" t="s">
        <v>59</v>
      </c>
      <c r="P214" s="3">
        <v>98</v>
      </c>
      <c r="Q214" s="3" t="s">
        <v>329</v>
      </c>
      <c r="R214" s="3" t="s">
        <v>104</v>
      </c>
      <c r="S214" s="3" t="s">
        <v>72</v>
      </c>
      <c r="T214" s="3" t="str">
        <f t="shared" si="14"/>
        <v>Part-Time</v>
      </c>
      <c r="V214" s="3">
        <v>7</v>
      </c>
      <c r="Y214" s="4">
        <v>44470</v>
      </c>
      <c r="Z214" s="3">
        <v>22</v>
      </c>
      <c r="AA214" s="3" t="s">
        <v>46</v>
      </c>
      <c r="AB214" s="3" t="str" cm="1">
        <f t="array" ref="AB214">_xlfn.IFS(AA214="N","No",  AA214 = "Y", "Yes", TRUE, PROPER(TRIM(AA214)))</f>
        <v>Yes</v>
      </c>
      <c r="AC214" s="3">
        <v>1</v>
      </c>
      <c r="AD214" s="3" t="s">
        <v>34</v>
      </c>
      <c r="AE214">
        <f t="shared" si="15"/>
        <v>0</v>
      </c>
    </row>
    <row r="215" spans="1:31" ht="14.25" customHeight="1" x14ac:dyDescent="0.35">
      <c r="A215" s="3" t="s">
        <v>570</v>
      </c>
      <c r="B215" s="3" t="s">
        <v>36</v>
      </c>
      <c r="C215" s="3" t="s">
        <v>546</v>
      </c>
      <c r="D215" s="3" t="s">
        <v>88</v>
      </c>
      <c r="E215" s="3">
        <f t="shared" si="12"/>
        <v>30</v>
      </c>
      <c r="F215" s="3">
        <v>1994</v>
      </c>
      <c r="G215" s="3">
        <v>65000</v>
      </c>
      <c r="H215" s="12" cm="1">
        <f t="array" ref="H215">_xlfn.IFS(TRIM(G215)="SIXTY THOUSAND",60000,TRIM(G215)="NAN",AVERAGEIFS(G:G,J:J,J215,L:L,L215),TRUE,G215)</f>
        <v>65000</v>
      </c>
      <c r="I215" s="3" t="s">
        <v>27</v>
      </c>
      <c r="J215" s="3" t="s">
        <v>28</v>
      </c>
      <c r="K215" s="3" t="str">
        <f t="shared" si="13"/>
        <v>HR</v>
      </c>
      <c r="L215" s="3" t="s">
        <v>94</v>
      </c>
      <c r="M215" s="4">
        <v>43800</v>
      </c>
      <c r="N215" s="4">
        <v>43800</v>
      </c>
      <c r="O215" s="3" t="s">
        <v>30</v>
      </c>
      <c r="P215" s="3">
        <v>62</v>
      </c>
      <c r="Q215" s="3" t="s">
        <v>571</v>
      </c>
      <c r="S215" s="3" t="s">
        <v>72</v>
      </c>
      <c r="T215" s="3" t="str">
        <f t="shared" si="14"/>
        <v>Part-Time</v>
      </c>
      <c r="V215" s="3">
        <v>8</v>
      </c>
      <c r="W215" s="3">
        <v>5</v>
      </c>
      <c r="Y215" s="4">
        <v>45516</v>
      </c>
      <c r="AA215" s="3" t="s">
        <v>169</v>
      </c>
      <c r="AB215" s="3" t="str" cm="1">
        <f t="array" ref="AB215">_xlfn.IFS(AA215="N","No",  AA215 = "Y", "Yes", TRUE, PROPER(TRIM(AA215)))</f>
        <v>Yes</v>
      </c>
      <c r="AC215" s="3">
        <v>1</v>
      </c>
      <c r="AD215" s="3" t="s">
        <v>34</v>
      </c>
      <c r="AE215">
        <f t="shared" si="15"/>
        <v>0</v>
      </c>
    </row>
    <row r="216" spans="1:31" ht="14.25" customHeight="1" x14ac:dyDescent="0.35">
      <c r="A216" s="3" t="s">
        <v>572</v>
      </c>
      <c r="B216" s="3" t="s">
        <v>140</v>
      </c>
      <c r="C216" s="3" t="s">
        <v>315</v>
      </c>
      <c r="E216" s="3">
        <f t="shared" si="12"/>
        <v>30</v>
      </c>
      <c r="F216" s="3">
        <v>1994</v>
      </c>
      <c r="G216" s="3">
        <v>60800</v>
      </c>
      <c r="H216" s="12" cm="1">
        <f t="array" ref="H216">_xlfn.IFS(TRIM(G216)="SIXTY THOUSAND",60000,TRIM(G216)="NAN",AVERAGEIFS(G:G,J:J,J216,L:L,L216),TRUE,G216)</f>
        <v>60800</v>
      </c>
      <c r="I216" s="3" t="s">
        <v>38</v>
      </c>
      <c r="J216" s="3" t="s">
        <v>64</v>
      </c>
      <c r="K216" s="3" t="str">
        <f t="shared" si="13"/>
        <v>Finance</v>
      </c>
      <c r="L216" s="3" t="s">
        <v>94</v>
      </c>
      <c r="M216" s="4">
        <v>43800</v>
      </c>
      <c r="N216" s="4">
        <v>43800</v>
      </c>
      <c r="O216" s="3" t="s">
        <v>59</v>
      </c>
      <c r="P216" s="3">
        <v>94</v>
      </c>
      <c r="Q216" s="3" t="s">
        <v>573</v>
      </c>
      <c r="R216" s="3" t="s">
        <v>104</v>
      </c>
      <c r="S216" s="3" t="s">
        <v>66</v>
      </c>
      <c r="T216" s="3" t="str">
        <f t="shared" si="14"/>
        <v>Contract</v>
      </c>
      <c r="V216" s="3">
        <v>1</v>
      </c>
      <c r="X216" s="3">
        <v>2</v>
      </c>
      <c r="Z216" s="3">
        <v>40</v>
      </c>
      <c r="AA216" s="3" t="s">
        <v>34</v>
      </c>
      <c r="AB216" s="3" t="str" cm="1">
        <f t="array" ref="AB216">_xlfn.IFS(AA216="N","No",  AA216 = "Y", "Yes", TRUE, PROPER(TRIM(AA216)))</f>
        <v>No</v>
      </c>
      <c r="AC216" s="3">
        <v>2</v>
      </c>
      <c r="AD216" s="3" t="s">
        <v>34</v>
      </c>
      <c r="AE216">
        <f t="shared" si="15"/>
        <v>0</v>
      </c>
    </row>
    <row r="217" spans="1:31" ht="14.25" customHeight="1" x14ac:dyDescent="0.35">
      <c r="A217" s="3" t="s">
        <v>574</v>
      </c>
      <c r="B217" s="3" t="s">
        <v>131</v>
      </c>
      <c r="C217" s="3" t="s">
        <v>295</v>
      </c>
      <c r="D217" s="3">
        <v>25</v>
      </c>
      <c r="E217" s="3">
        <f t="shared" si="12"/>
        <v>25</v>
      </c>
      <c r="F217" s="3">
        <v>1999</v>
      </c>
      <c r="G217" s="3" t="s">
        <v>50</v>
      </c>
      <c r="H217" s="12" cm="1">
        <f t="array" ref="H217">_xlfn.IFS(TRIM(G217)="SIXTY THOUSAND",60000,TRIM(G217)="NAN",AVERAGEIFS(G:G,J:J,J217,L:L,L217),TRUE,G217)</f>
        <v>60000</v>
      </c>
      <c r="I217" s="3" t="s">
        <v>27</v>
      </c>
      <c r="J217" s="3" t="s">
        <v>145</v>
      </c>
      <c r="K217" s="3" t="str">
        <f t="shared" si="13"/>
        <v>Sales</v>
      </c>
      <c r="L217" s="3" t="s">
        <v>89</v>
      </c>
      <c r="M217" s="4">
        <v>43881</v>
      </c>
      <c r="N217" s="4">
        <v>43881</v>
      </c>
      <c r="O217" s="3" t="s">
        <v>30</v>
      </c>
      <c r="P217" s="3">
        <v>67</v>
      </c>
      <c r="Q217" s="3" t="s">
        <v>575</v>
      </c>
      <c r="R217" s="3" t="s">
        <v>61</v>
      </c>
      <c r="S217" s="3" t="s">
        <v>174</v>
      </c>
      <c r="T217" s="3" t="str">
        <f t="shared" si="14"/>
        <v>Full-Time</v>
      </c>
      <c r="V217" s="3">
        <v>2</v>
      </c>
      <c r="Z217" s="3">
        <v>71</v>
      </c>
      <c r="AA217" s="3" t="s">
        <v>34</v>
      </c>
      <c r="AB217" s="3" t="str" cm="1">
        <f t="array" ref="AB217">_xlfn.IFS(AA217="N","No",  AA217 = "Y", "Yes", TRUE, PROPER(TRIM(AA217)))</f>
        <v>No</v>
      </c>
      <c r="AC217" s="3">
        <v>4</v>
      </c>
      <c r="AD217" s="3" t="s">
        <v>34</v>
      </c>
      <c r="AE217">
        <f t="shared" si="15"/>
        <v>0</v>
      </c>
    </row>
    <row r="218" spans="1:31" ht="14.25" customHeight="1" x14ac:dyDescent="0.35">
      <c r="A218" s="3" t="s">
        <v>576</v>
      </c>
      <c r="B218" s="3" t="s">
        <v>48</v>
      </c>
      <c r="C218" s="3" t="s">
        <v>137</v>
      </c>
      <c r="D218" s="3">
        <v>50</v>
      </c>
      <c r="E218" s="3">
        <f t="shared" si="12"/>
        <v>50</v>
      </c>
      <c r="F218" s="3">
        <v>1974</v>
      </c>
      <c r="G218" s="3">
        <v>65000</v>
      </c>
      <c r="H218" s="12" cm="1">
        <f t="array" ref="H218">_xlfn.IFS(TRIM(G218)="SIXTY THOUSAND",60000,TRIM(G218)="NAN",AVERAGEIFS(G:G,J:J,J218,L:L,L218),TRUE,G218)</f>
        <v>65000</v>
      </c>
      <c r="I218" s="3" t="s">
        <v>38</v>
      </c>
      <c r="J218" s="3" t="s">
        <v>145</v>
      </c>
      <c r="K218" s="3" t="str">
        <f t="shared" si="13"/>
        <v>Sales</v>
      </c>
      <c r="L218" s="3" t="s">
        <v>29</v>
      </c>
      <c r="M218" s="4">
        <v>43800</v>
      </c>
      <c r="N218" s="4">
        <v>43800</v>
      </c>
      <c r="O218" s="3" t="s">
        <v>30</v>
      </c>
      <c r="P218" s="3">
        <v>69</v>
      </c>
      <c r="Q218" s="3" t="s">
        <v>577</v>
      </c>
      <c r="S218" s="3" t="s">
        <v>72</v>
      </c>
      <c r="T218" s="3" t="str">
        <f t="shared" si="14"/>
        <v>Part-Time</v>
      </c>
      <c r="V218" s="3">
        <v>5</v>
      </c>
      <c r="W218" s="3">
        <v>7</v>
      </c>
      <c r="X218" s="3">
        <v>19</v>
      </c>
      <c r="AA218" s="3" t="s">
        <v>46</v>
      </c>
      <c r="AB218" s="3" t="str" cm="1">
        <f t="array" ref="AB218">_xlfn.IFS(AA218="N","No",  AA218 = "Y", "Yes", TRUE, PROPER(TRIM(AA218)))</f>
        <v>Yes</v>
      </c>
      <c r="AC218" s="3">
        <v>4</v>
      </c>
      <c r="AD218" s="3" t="s">
        <v>34</v>
      </c>
      <c r="AE218">
        <f t="shared" si="15"/>
        <v>0</v>
      </c>
    </row>
    <row r="219" spans="1:31" ht="14.25" customHeight="1" x14ac:dyDescent="0.35">
      <c r="A219" s="3" t="s">
        <v>578</v>
      </c>
      <c r="B219" s="3" t="s">
        <v>25</v>
      </c>
      <c r="C219" s="3" t="s">
        <v>171</v>
      </c>
      <c r="D219" s="3" t="s">
        <v>88</v>
      </c>
      <c r="E219" s="3">
        <f t="shared" si="12"/>
        <v>30</v>
      </c>
      <c r="F219" s="3">
        <v>1994</v>
      </c>
      <c r="G219" s="3">
        <v>55000</v>
      </c>
      <c r="H219" s="12" cm="1">
        <f t="array" ref="H219">_xlfn.IFS(TRIM(G219)="SIXTY THOUSAND",60000,TRIM(G219)="NAN",AVERAGEIFS(G:G,J:J,J219,L:L,L219),TRUE,G219)</f>
        <v>55000</v>
      </c>
      <c r="I219" s="3" t="s">
        <v>38</v>
      </c>
      <c r="J219" s="3" t="s">
        <v>28</v>
      </c>
      <c r="K219" s="3" t="str">
        <f t="shared" si="13"/>
        <v>HR</v>
      </c>
      <c r="L219" s="3" t="s">
        <v>40</v>
      </c>
      <c r="M219" s="4">
        <v>43195</v>
      </c>
      <c r="N219" s="4">
        <v>43195</v>
      </c>
      <c r="O219" s="3" t="s">
        <v>41</v>
      </c>
      <c r="P219" s="3">
        <v>21</v>
      </c>
      <c r="Q219" s="3" t="s">
        <v>172</v>
      </c>
      <c r="S219" s="3" t="s">
        <v>100</v>
      </c>
      <c r="T219" s="3" t="str">
        <f t="shared" si="14"/>
        <v>Part-Time</v>
      </c>
      <c r="V219" s="3">
        <v>6</v>
      </c>
      <c r="X219" s="3">
        <v>1</v>
      </c>
      <c r="AA219" s="3" t="s">
        <v>34</v>
      </c>
      <c r="AB219" s="3" t="str" cm="1">
        <f t="array" ref="AB219">_xlfn.IFS(AA219="N","No",  AA219 = "Y", "Yes", TRUE, PROPER(TRIM(AA219)))</f>
        <v>No</v>
      </c>
      <c r="AC219" s="3">
        <v>4</v>
      </c>
      <c r="AD219" s="3" t="s">
        <v>34</v>
      </c>
      <c r="AE219">
        <f t="shared" si="15"/>
        <v>0</v>
      </c>
    </row>
    <row r="220" spans="1:31" ht="14.25" customHeight="1" x14ac:dyDescent="0.35">
      <c r="A220" s="3" t="s">
        <v>579</v>
      </c>
      <c r="B220" s="3" t="s">
        <v>114</v>
      </c>
      <c r="C220" s="3" t="s">
        <v>305</v>
      </c>
      <c r="D220" s="3">
        <v>25</v>
      </c>
      <c r="E220" s="3">
        <f t="shared" si="12"/>
        <v>25</v>
      </c>
      <c r="F220" s="3">
        <v>1999</v>
      </c>
      <c r="G220" s="3">
        <v>59000</v>
      </c>
      <c r="H220" s="12" cm="1">
        <f t="array" ref="H220">_xlfn.IFS(TRIM(G220)="SIXTY THOUSAND",60000,TRIM(G220)="NAN",AVERAGEIFS(G:G,J:J,J220,L:L,L220),TRUE,G220)</f>
        <v>59000</v>
      </c>
      <c r="I220" s="3" t="s">
        <v>27</v>
      </c>
      <c r="J220" s="3" t="s">
        <v>82</v>
      </c>
      <c r="K220" s="3" t="str">
        <f t="shared" si="13"/>
        <v>HR</v>
      </c>
      <c r="L220" s="3" t="s">
        <v>29</v>
      </c>
      <c r="M220" s="4">
        <v>43800</v>
      </c>
      <c r="N220" s="4">
        <v>43800</v>
      </c>
      <c r="O220" s="3" t="s">
        <v>52</v>
      </c>
      <c r="P220" s="3">
        <v>70</v>
      </c>
      <c r="Q220" s="3" t="s">
        <v>580</v>
      </c>
      <c r="R220" s="3" t="s">
        <v>104</v>
      </c>
      <c r="S220" s="3" t="s">
        <v>174</v>
      </c>
      <c r="T220" s="3" t="str">
        <f t="shared" si="14"/>
        <v>Full-Time</v>
      </c>
      <c r="V220" s="3">
        <v>1</v>
      </c>
      <c r="X220" s="3">
        <v>12</v>
      </c>
      <c r="AB220" s="3" t="str" cm="1">
        <f t="array" ref="AB220">_xlfn.IFS(AA220="N","No",  AA220 = "Y", "Yes", TRUE, PROPER(TRIM(AA220)))</f>
        <v/>
      </c>
      <c r="AC220" s="3">
        <v>5</v>
      </c>
      <c r="AD220" s="3" t="s">
        <v>46</v>
      </c>
      <c r="AE220">
        <f t="shared" si="15"/>
        <v>1</v>
      </c>
    </row>
    <row r="221" spans="1:31" ht="14.25" customHeight="1" x14ac:dyDescent="0.35">
      <c r="A221" s="3" t="s">
        <v>581</v>
      </c>
      <c r="B221" s="3" t="s">
        <v>48</v>
      </c>
      <c r="C221" s="3" t="s">
        <v>534</v>
      </c>
      <c r="D221" s="3">
        <v>40</v>
      </c>
      <c r="E221" s="3">
        <f t="shared" si="12"/>
        <v>40</v>
      </c>
      <c r="F221" s="3">
        <v>1984</v>
      </c>
      <c r="G221" s="3">
        <v>55000</v>
      </c>
      <c r="H221" s="12" cm="1">
        <f t="array" ref="H221">_xlfn.IFS(TRIM(G221)="SIXTY THOUSAND",60000,TRIM(G221)="NAN",AVERAGEIFS(G:G,J:J,J221,L:L,L221),TRUE,G221)</f>
        <v>55000</v>
      </c>
      <c r="I221" s="3" t="s">
        <v>38</v>
      </c>
      <c r="J221" s="3" t="s">
        <v>82</v>
      </c>
      <c r="K221" s="3" t="str">
        <f t="shared" si="13"/>
        <v>HR</v>
      </c>
      <c r="L221" s="3" t="s">
        <v>94</v>
      </c>
      <c r="M221" s="4">
        <v>43195</v>
      </c>
      <c r="N221" s="4">
        <v>43195</v>
      </c>
      <c r="O221" s="3" t="s">
        <v>52</v>
      </c>
      <c r="P221" s="3">
        <v>79</v>
      </c>
      <c r="Q221" s="3" t="s">
        <v>535</v>
      </c>
      <c r="R221" s="3" t="s">
        <v>61</v>
      </c>
      <c r="S221" s="3" t="s">
        <v>100</v>
      </c>
      <c r="T221" s="3" t="str">
        <f t="shared" si="14"/>
        <v>Part-Time</v>
      </c>
      <c r="U221" s="3" t="s">
        <v>582</v>
      </c>
      <c r="V221" s="3">
        <v>4</v>
      </c>
      <c r="W221" s="3" t="s">
        <v>79</v>
      </c>
      <c r="X221" s="3">
        <v>13</v>
      </c>
      <c r="Y221" s="4">
        <v>44732</v>
      </c>
      <c r="Z221" s="3">
        <v>63</v>
      </c>
      <c r="AA221" s="3" t="s">
        <v>46</v>
      </c>
      <c r="AB221" s="3" t="str" cm="1">
        <f t="array" ref="AB221">_xlfn.IFS(AA221="N","No",  AA221 = "Y", "Yes", TRUE, PROPER(TRIM(AA221)))</f>
        <v>Yes</v>
      </c>
      <c r="AC221" s="3">
        <v>1</v>
      </c>
      <c r="AD221" s="3" t="s">
        <v>46</v>
      </c>
      <c r="AE221">
        <f t="shared" si="15"/>
        <v>1</v>
      </c>
    </row>
    <row r="222" spans="1:31" ht="14.25" customHeight="1" x14ac:dyDescent="0.35">
      <c r="A222" s="3" t="s">
        <v>583</v>
      </c>
      <c r="B222" s="3" t="s">
        <v>131</v>
      </c>
      <c r="C222" s="3" t="s">
        <v>462</v>
      </c>
      <c r="D222" s="3">
        <v>25</v>
      </c>
      <c r="E222" s="3">
        <f t="shared" si="12"/>
        <v>25</v>
      </c>
      <c r="F222" s="3">
        <v>1999</v>
      </c>
      <c r="G222" s="3">
        <v>70000</v>
      </c>
      <c r="H222" s="12" cm="1">
        <f t="array" ref="H222">_xlfn.IFS(TRIM(G222)="SIXTY THOUSAND",60000,TRIM(G222)="NAN",AVERAGEIFS(G:G,J:J,J222,L:L,L222),TRUE,G222)</f>
        <v>70000</v>
      </c>
      <c r="I222" s="3" t="s">
        <v>27</v>
      </c>
      <c r="J222" s="3" t="s">
        <v>64</v>
      </c>
      <c r="K222" s="3" t="str">
        <f t="shared" si="13"/>
        <v>Finance</v>
      </c>
      <c r="L222" s="3" t="s">
        <v>40</v>
      </c>
      <c r="M222" s="4">
        <v>43800</v>
      </c>
      <c r="N222" s="4">
        <v>43800</v>
      </c>
      <c r="O222" s="3" t="s">
        <v>52</v>
      </c>
      <c r="P222" s="3">
        <v>78</v>
      </c>
      <c r="Q222" s="3" t="s">
        <v>584</v>
      </c>
      <c r="R222" s="3" t="s">
        <v>43</v>
      </c>
      <c r="S222" s="3" t="s">
        <v>44</v>
      </c>
      <c r="T222" s="3" t="str">
        <f t="shared" si="14"/>
        <v>Full-Time</v>
      </c>
      <c r="V222" s="3">
        <v>6</v>
      </c>
      <c r="X222" s="3">
        <v>14</v>
      </c>
      <c r="AB222" s="3" t="str" cm="1">
        <f t="array" ref="AB222">_xlfn.IFS(AA222="N","No",  AA222 = "Y", "Yes", TRUE, PROPER(TRIM(AA222)))</f>
        <v/>
      </c>
      <c r="AC222" s="3">
        <v>4</v>
      </c>
      <c r="AD222" s="3" t="s">
        <v>34</v>
      </c>
      <c r="AE222">
        <f t="shared" si="15"/>
        <v>0</v>
      </c>
    </row>
    <row r="223" spans="1:31" ht="14.25" customHeight="1" x14ac:dyDescent="0.35">
      <c r="A223" s="3" t="s">
        <v>585</v>
      </c>
      <c r="B223" s="3" t="s">
        <v>140</v>
      </c>
      <c r="C223" s="3" t="s">
        <v>305</v>
      </c>
      <c r="D223" s="3">
        <v>50</v>
      </c>
      <c r="E223" s="3">
        <f t="shared" si="12"/>
        <v>50</v>
      </c>
      <c r="F223" s="3">
        <v>1974</v>
      </c>
      <c r="G223" s="3">
        <v>60000</v>
      </c>
      <c r="H223" s="12" cm="1">
        <f t="array" ref="H223">_xlfn.IFS(TRIM(G223)="SIXTY THOUSAND",60000,TRIM(G223)="NAN",AVERAGEIFS(G:G,J:J,J223,L:L,L223),TRUE,G223)</f>
        <v>60000</v>
      </c>
      <c r="I223" s="3" t="s">
        <v>38</v>
      </c>
      <c r="J223" s="3" t="s">
        <v>70</v>
      </c>
      <c r="K223" s="3" t="str">
        <f t="shared" si="13"/>
        <v>Marketing</v>
      </c>
      <c r="L223" s="3" t="s">
        <v>29</v>
      </c>
      <c r="M223" s="4">
        <v>43881</v>
      </c>
      <c r="N223" s="4">
        <v>43881</v>
      </c>
      <c r="O223" s="3" t="s">
        <v>41</v>
      </c>
      <c r="P223" s="3">
        <v>29</v>
      </c>
      <c r="Q223" s="3" t="s">
        <v>586</v>
      </c>
      <c r="R223" s="3" t="s">
        <v>104</v>
      </c>
      <c r="S223" s="3" t="s">
        <v>100</v>
      </c>
      <c r="T223" s="3" t="str">
        <f t="shared" si="14"/>
        <v>Part-Time</v>
      </c>
      <c r="V223" s="3">
        <v>2</v>
      </c>
      <c r="W223" s="3">
        <v>13</v>
      </c>
      <c r="Y223" s="9">
        <v>44990</v>
      </c>
      <c r="AA223" s="3" t="s">
        <v>482</v>
      </c>
      <c r="AB223" s="3" t="str" cm="1">
        <f t="array" ref="AB223">_xlfn.IFS(AA223="N","No",  AA223 = "Y", "Yes", TRUE, PROPER(TRIM(AA223)))</f>
        <v>Yes</v>
      </c>
      <c r="AC223" s="3">
        <v>5</v>
      </c>
      <c r="AD223" s="3" t="s">
        <v>46</v>
      </c>
      <c r="AE223">
        <f t="shared" si="15"/>
        <v>1</v>
      </c>
    </row>
    <row r="224" spans="1:31" ht="14.25" customHeight="1" x14ac:dyDescent="0.35">
      <c r="A224" s="3" t="s">
        <v>587</v>
      </c>
      <c r="B224" s="3" t="s">
        <v>140</v>
      </c>
      <c r="C224" s="3" t="s">
        <v>588</v>
      </c>
      <c r="D224" s="3" t="s">
        <v>88</v>
      </c>
      <c r="E224" s="3">
        <f t="shared" si="12"/>
        <v>30</v>
      </c>
      <c r="F224" s="3">
        <v>1994</v>
      </c>
      <c r="G224" s="3">
        <v>65000</v>
      </c>
      <c r="H224" s="12" cm="1">
        <f t="array" ref="H224">_xlfn.IFS(TRIM(G224)="SIXTY THOUSAND",60000,TRIM(G224)="NAN",AVERAGEIFS(G:G,J:J,J224,L:L,L224),TRUE,G224)</f>
        <v>65000</v>
      </c>
      <c r="I224" s="3" t="s">
        <v>38</v>
      </c>
      <c r="J224" s="3" t="s">
        <v>28</v>
      </c>
      <c r="K224" s="3" t="str">
        <f t="shared" si="13"/>
        <v>HR</v>
      </c>
      <c r="L224" s="3" t="s">
        <v>77</v>
      </c>
      <c r="M224" s="4">
        <v>43195</v>
      </c>
      <c r="N224" s="4">
        <v>43195</v>
      </c>
      <c r="O224" s="3" t="s">
        <v>30</v>
      </c>
      <c r="P224" s="3">
        <v>69</v>
      </c>
      <c r="Q224" s="3" t="s">
        <v>589</v>
      </c>
      <c r="R224" s="3" t="s">
        <v>43</v>
      </c>
      <c r="S224" s="3" t="s">
        <v>66</v>
      </c>
      <c r="T224" s="3" t="str">
        <f t="shared" si="14"/>
        <v>Contract</v>
      </c>
      <c r="V224" s="3">
        <v>7</v>
      </c>
      <c r="X224" s="3">
        <v>3</v>
      </c>
      <c r="AA224" s="3" t="s">
        <v>34</v>
      </c>
      <c r="AB224" s="3" t="str" cm="1">
        <f t="array" ref="AB224">_xlfn.IFS(AA224="N","No",  AA224 = "Y", "Yes", TRUE, PROPER(TRIM(AA224)))</f>
        <v>No</v>
      </c>
      <c r="AC224" s="3">
        <v>5</v>
      </c>
      <c r="AD224" s="3" t="s">
        <v>34</v>
      </c>
      <c r="AE224">
        <f t="shared" si="15"/>
        <v>0</v>
      </c>
    </row>
    <row r="225" spans="1:31" ht="14.25" customHeight="1" x14ac:dyDescent="0.35">
      <c r="A225" s="3" t="s">
        <v>590</v>
      </c>
      <c r="B225" s="3" t="s">
        <v>114</v>
      </c>
      <c r="C225" s="3" t="s">
        <v>591</v>
      </c>
      <c r="E225" s="3">
        <f t="shared" si="12"/>
        <v>33</v>
      </c>
      <c r="F225" s="3">
        <v>1991</v>
      </c>
      <c r="G225" s="3">
        <v>70000</v>
      </c>
      <c r="H225" s="12" cm="1">
        <f t="array" ref="H225">_xlfn.IFS(TRIM(G225)="SIXTY THOUSAND",60000,TRIM(G225)="NAN",AVERAGEIFS(G:G,J:J,J225,L:L,L225),TRUE,G225)</f>
        <v>70000</v>
      </c>
      <c r="I225" s="3" t="s">
        <v>27</v>
      </c>
      <c r="J225" s="3" t="s">
        <v>28</v>
      </c>
      <c r="K225" s="3" t="str">
        <f t="shared" si="13"/>
        <v>HR</v>
      </c>
      <c r="L225" s="3" t="s">
        <v>89</v>
      </c>
      <c r="M225" s="4">
        <v>43845</v>
      </c>
      <c r="N225" s="4">
        <v>43845</v>
      </c>
      <c r="O225" s="3" t="s">
        <v>30</v>
      </c>
      <c r="P225" s="3">
        <v>65</v>
      </c>
      <c r="Q225" s="3" t="s">
        <v>592</v>
      </c>
      <c r="R225" s="3" t="s">
        <v>104</v>
      </c>
      <c r="S225" s="3" t="s">
        <v>112</v>
      </c>
      <c r="T225" s="3" t="str">
        <f t="shared" si="14"/>
        <v>Full-Time</v>
      </c>
      <c r="V225" s="3">
        <v>4</v>
      </c>
      <c r="AB225" s="3" t="str" cm="1">
        <f t="array" ref="AB225">_xlfn.IFS(AA225="N","No",  AA225 = "Y", "Yes", TRUE, PROPER(TRIM(AA225)))</f>
        <v/>
      </c>
      <c r="AC225" s="3">
        <v>2</v>
      </c>
      <c r="AD225" s="3" t="s">
        <v>46</v>
      </c>
      <c r="AE225">
        <f t="shared" si="15"/>
        <v>1</v>
      </c>
    </row>
    <row r="226" spans="1:31" ht="14.25" customHeight="1" x14ac:dyDescent="0.35">
      <c r="A226" s="3" t="s">
        <v>593</v>
      </c>
      <c r="B226" s="3" t="s">
        <v>25</v>
      </c>
      <c r="C226" s="3" t="s">
        <v>265</v>
      </c>
      <c r="D226" s="3">
        <v>40</v>
      </c>
      <c r="E226" s="3">
        <f t="shared" si="12"/>
        <v>40</v>
      </c>
      <c r="F226" s="3">
        <v>1984</v>
      </c>
      <c r="G226" s="3">
        <v>50000</v>
      </c>
      <c r="H226" s="12" cm="1">
        <f t="array" ref="H226">_xlfn.IFS(TRIM(G226)="SIXTY THOUSAND",60000,TRIM(G226)="NAN",AVERAGEIFS(G:G,J:J,J226,L:L,L226),TRUE,G226)</f>
        <v>50000</v>
      </c>
      <c r="I226" s="3" t="s">
        <v>27</v>
      </c>
      <c r="J226" s="3" t="s">
        <v>58</v>
      </c>
      <c r="K226" s="3" t="str">
        <f t="shared" si="13"/>
        <v>IT</v>
      </c>
      <c r="L226" s="3" t="s">
        <v>89</v>
      </c>
      <c r="M226" s="4">
        <v>43195</v>
      </c>
      <c r="N226" s="4">
        <v>43195</v>
      </c>
      <c r="O226" s="3" t="s">
        <v>59</v>
      </c>
      <c r="P226" s="3">
        <v>97</v>
      </c>
      <c r="Q226" s="3" t="s">
        <v>266</v>
      </c>
      <c r="R226" s="3" t="s">
        <v>43</v>
      </c>
      <c r="S226" s="3" t="s">
        <v>44</v>
      </c>
      <c r="T226" s="3" t="str">
        <f t="shared" si="14"/>
        <v>Full-Time</v>
      </c>
      <c r="V226" s="3">
        <v>8</v>
      </c>
      <c r="AA226" s="3" t="s">
        <v>34</v>
      </c>
      <c r="AB226" s="3" t="str" cm="1">
        <f t="array" ref="AB226">_xlfn.IFS(AA226="N","No",  AA226 = "Y", "Yes", TRUE, PROPER(TRIM(AA226)))</f>
        <v>No</v>
      </c>
      <c r="AC226" s="3">
        <v>5</v>
      </c>
      <c r="AD226" s="3" t="s">
        <v>34</v>
      </c>
      <c r="AE226">
        <f t="shared" si="15"/>
        <v>0</v>
      </c>
    </row>
    <row r="227" spans="1:31" ht="14.25" customHeight="1" x14ac:dyDescent="0.35">
      <c r="A227" s="3" t="s">
        <v>594</v>
      </c>
      <c r="B227" s="3" t="s">
        <v>68</v>
      </c>
      <c r="C227" s="3" t="s">
        <v>318</v>
      </c>
      <c r="D227" s="3" t="s">
        <v>88</v>
      </c>
      <c r="E227" s="3">
        <f t="shared" si="12"/>
        <v>30</v>
      </c>
      <c r="F227" s="3">
        <v>1994</v>
      </c>
      <c r="G227" s="3">
        <v>65000</v>
      </c>
      <c r="H227" s="12" cm="1">
        <f t="array" ref="H227">_xlfn.IFS(TRIM(G227)="SIXTY THOUSAND",60000,TRIM(G227)="NAN",AVERAGEIFS(G:G,J:J,J227,L:L,L227),TRUE,G227)</f>
        <v>65000</v>
      </c>
      <c r="I227" s="3" t="s">
        <v>27</v>
      </c>
      <c r="J227" s="3" t="s">
        <v>64</v>
      </c>
      <c r="K227" s="3" t="str">
        <f t="shared" si="13"/>
        <v>Finance</v>
      </c>
      <c r="L227" s="3" t="s">
        <v>77</v>
      </c>
      <c r="M227" s="4">
        <v>43881</v>
      </c>
      <c r="N227" s="4">
        <v>43881</v>
      </c>
      <c r="O227" s="3" t="s">
        <v>41</v>
      </c>
      <c r="P227" s="3">
        <v>21</v>
      </c>
      <c r="Q227" s="3" t="s">
        <v>319</v>
      </c>
      <c r="R227" s="3" t="s">
        <v>104</v>
      </c>
      <c r="S227" s="3" t="s">
        <v>44</v>
      </c>
      <c r="T227" s="3" t="str">
        <f t="shared" si="14"/>
        <v>Full-Time</v>
      </c>
      <c r="V227" s="3">
        <v>6</v>
      </c>
      <c r="W227" s="3" t="s">
        <v>79</v>
      </c>
      <c r="Y227" s="4">
        <v>45516</v>
      </c>
      <c r="Z227" s="3">
        <v>19</v>
      </c>
      <c r="AA227" s="3" t="s">
        <v>33</v>
      </c>
      <c r="AB227" s="3" t="str" cm="1">
        <f t="array" ref="AB227">_xlfn.IFS(AA227="N","No",  AA227 = "Y", "Yes", TRUE, PROPER(TRIM(AA227)))</f>
        <v>Yes</v>
      </c>
      <c r="AC227" s="3">
        <v>1</v>
      </c>
      <c r="AD227" s="3" t="s">
        <v>46</v>
      </c>
      <c r="AE227">
        <f t="shared" si="15"/>
        <v>1</v>
      </c>
    </row>
    <row r="228" spans="1:31" ht="14.25" customHeight="1" x14ac:dyDescent="0.35">
      <c r="A228" s="3" t="s">
        <v>595</v>
      </c>
      <c r="B228" s="3" t="s">
        <v>75</v>
      </c>
      <c r="C228" s="3" t="s">
        <v>148</v>
      </c>
      <c r="D228" s="3">
        <v>50</v>
      </c>
      <c r="E228" s="3">
        <f t="shared" si="12"/>
        <v>50</v>
      </c>
      <c r="F228" s="3">
        <v>1974</v>
      </c>
      <c r="G228" s="3" t="s">
        <v>50</v>
      </c>
      <c r="H228" s="12" cm="1">
        <f t="array" ref="H228">_xlfn.IFS(TRIM(G228)="SIXTY THOUSAND",60000,TRIM(G228)="NAN",AVERAGEIFS(G:G,J:J,J228,L:L,L228),TRUE,G228)</f>
        <v>60000</v>
      </c>
      <c r="I228" s="3" t="s">
        <v>27</v>
      </c>
      <c r="J228" s="3" t="s">
        <v>28</v>
      </c>
      <c r="K228" s="3" t="str">
        <f t="shared" si="13"/>
        <v>HR</v>
      </c>
      <c r="L228" s="3" t="s">
        <v>94</v>
      </c>
      <c r="M228" s="4">
        <v>43195</v>
      </c>
      <c r="N228" s="4">
        <v>43195</v>
      </c>
      <c r="O228" s="3" t="s">
        <v>59</v>
      </c>
      <c r="P228" s="3">
        <v>91</v>
      </c>
      <c r="Q228" s="3" t="s">
        <v>596</v>
      </c>
      <c r="S228" s="3" t="s">
        <v>66</v>
      </c>
      <c r="T228" s="3" t="str">
        <f t="shared" si="14"/>
        <v>Contract</v>
      </c>
      <c r="V228" s="3">
        <v>7</v>
      </c>
      <c r="AA228" s="3" t="s">
        <v>169</v>
      </c>
      <c r="AB228" s="3" t="str" cm="1">
        <f t="array" ref="AB228">_xlfn.IFS(AA228="N","No",  AA228 = "Y", "Yes", TRUE, PROPER(TRIM(AA228)))</f>
        <v>Yes</v>
      </c>
      <c r="AC228" s="3">
        <v>5</v>
      </c>
      <c r="AD228" s="3" t="s">
        <v>34</v>
      </c>
      <c r="AE228">
        <f t="shared" si="15"/>
        <v>0</v>
      </c>
    </row>
    <row r="229" spans="1:31" ht="14.25" customHeight="1" x14ac:dyDescent="0.35">
      <c r="A229" s="3" t="s">
        <v>597</v>
      </c>
      <c r="B229" s="3" t="s">
        <v>25</v>
      </c>
      <c r="C229" s="3" t="s">
        <v>265</v>
      </c>
      <c r="D229" s="3">
        <v>40</v>
      </c>
      <c r="E229" s="3">
        <f t="shared" si="12"/>
        <v>40</v>
      </c>
      <c r="F229" s="3">
        <v>1984</v>
      </c>
      <c r="G229" s="3">
        <v>50000</v>
      </c>
      <c r="H229" s="12" cm="1">
        <f t="array" ref="H229">_xlfn.IFS(TRIM(G229)="SIXTY THOUSAND",60000,TRIM(G229)="NAN",AVERAGEIFS(G:G,J:J,J229,L:L,L229),TRUE,G229)</f>
        <v>50000</v>
      </c>
      <c r="I229" s="3" t="s">
        <v>38</v>
      </c>
      <c r="J229" s="3" t="s">
        <v>122</v>
      </c>
      <c r="K229" s="3" t="str">
        <f t="shared" si="13"/>
        <v>IT</v>
      </c>
      <c r="L229" s="3" t="s">
        <v>40</v>
      </c>
      <c r="M229" s="4">
        <v>43800</v>
      </c>
      <c r="N229" s="4">
        <v>43800</v>
      </c>
      <c r="O229" s="3" t="s">
        <v>41</v>
      </c>
      <c r="P229" s="3">
        <v>55</v>
      </c>
      <c r="Q229" s="3" t="s">
        <v>266</v>
      </c>
      <c r="R229" s="3" t="s">
        <v>54</v>
      </c>
      <c r="S229" s="3" t="s">
        <v>174</v>
      </c>
      <c r="T229" s="3" t="str">
        <f t="shared" si="14"/>
        <v>Full-Time</v>
      </c>
      <c r="U229" s="3" t="s">
        <v>598</v>
      </c>
      <c r="V229" s="3">
        <v>3</v>
      </c>
      <c r="W229" s="3" t="s">
        <v>79</v>
      </c>
      <c r="AB229" s="3" t="str" cm="1">
        <f t="array" ref="AB229">_xlfn.IFS(AA229="N","No",  AA229 = "Y", "Yes", TRUE, PROPER(TRIM(AA229)))</f>
        <v/>
      </c>
      <c r="AC229" s="3">
        <v>2</v>
      </c>
      <c r="AD229" s="3" t="s">
        <v>34</v>
      </c>
      <c r="AE229">
        <f t="shared" si="15"/>
        <v>0</v>
      </c>
    </row>
    <row r="230" spans="1:31" ht="14.25" customHeight="1" x14ac:dyDescent="0.35">
      <c r="A230" s="3" t="s">
        <v>599</v>
      </c>
      <c r="B230" s="3" t="s">
        <v>68</v>
      </c>
      <c r="C230" s="3" t="s">
        <v>318</v>
      </c>
      <c r="D230" s="3">
        <v>35</v>
      </c>
      <c r="E230" s="3">
        <f t="shared" si="12"/>
        <v>35</v>
      </c>
      <c r="F230" s="3">
        <v>1989</v>
      </c>
      <c r="G230" s="3">
        <v>50000</v>
      </c>
      <c r="H230" s="12" cm="1">
        <f t="array" ref="H230">_xlfn.IFS(TRIM(G230)="SIXTY THOUSAND",60000,TRIM(G230)="NAN",AVERAGEIFS(G:G,J:J,J230,L:L,L230),TRUE,G230)</f>
        <v>50000</v>
      </c>
      <c r="I230" s="3" t="s">
        <v>38</v>
      </c>
      <c r="J230" s="3" t="s">
        <v>51</v>
      </c>
      <c r="K230" s="3" t="str">
        <f t="shared" si="13"/>
        <v>Sales</v>
      </c>
      <c r="L230" s="3" t="s">
        <v>89</v>
      </c>
      <c r="M230" s="4">
        <v>43800</v>
      </c>
      <c r="N230" s="4">
        <v>43800</v>
      </c>
      <c r="O230" s="3" t="s">
        <v>59</v>
      </c>
      <c r="P230" s="3">
        <v>100</v>
      </c>
      <c r="Q230" s="3" t="s">
        <v>319</v>
      </c>
      <c r="S230" s="3" t="s">
        <v>174</v>
      </c>
      <c r="T230" s="3" t="str">
        <f t="shared" si="14"/>
        <v>Full-Time</v>
      </c>
      <c r="U230" s="3" t="s">
        <v>150</v>
      </c>
      <c r="V230" s="3">
        <v>1</v>
      </c>
      <c r="Y230" s="9">
        <v>44990</v>
      </c>
      <c r="Z230" s="3">
        <v>60</v>
      </c>
      <c r="AA230" s="3" t="s">
        <v>73</v>
      </c>
      <c r="AB230" s="3" t="str" cm="1">
        <f t="array" ref="AB230">_xlfn.IFS(AA230="N","No",  AA230 = "Y", "Yes", TRUE, PROPER(TRIM(AA230)))</f>
        <v>No</v>
      </c>
      <c r="AC230" s="3">
        <v>5</v>
      </c>
      <c r="AD230" s="3" t="s">
        <v>34</v>
      </c>
      <c r="AE230">
        <f t="shared" si="15"/>
        <v>0</v>
      </c>
    </row>
    <row r="231" spans="1:31" ht="14.25" customHeight="1" x14ac:dyDescent="0.35">
      <c r="A231" s="3" t="s">
        <v>600</v>
      </c>
      <c r="B231" s="3" t="s">
        <v>140</v>
      </c>
      <c r="C231" s="3" t="s">
        <v>436</v>
      </c>
      <c r="D231" s="3">
        <v>25</v>
      </c>
      <c r="E231" s="3">
        <f t="shared" si="12"/>
        <v>25</v>
      </c>
      <c r="F231" s="3">
        <v>1999</v>
      </c>
      <c r="G231" s="3" t="s">
        <v>50</v>
      </c>
      <c r="H231" s="12" cm="1">
        <f t="array" ref="H231">_xlfn.IFS(TRIM(G231)="SIXTY THOUSAND",60000,TRIM(G231)="NAN",AVERAGEIFS(G:G,J:J,J231,L:L,L231),TRUE,G231)</f>
        <v>60000</v>
      </c>
      <c r="I231" s="3" t="s">
        <v>27</v>
      </c>
      <c r="J231" s="3" t="s">
        <v>28</v>
      </c>
      <c r="K231" s="3" t="str">
        <f t="shared" si="13"/>
        <v>HR</v>
      </c>
      <c r="L231" s="3" t="s">
        <v>77</v>
      </c>
      <c r="M231" s="4">
        <v>43881</v>
      </c>
      <c r="N231" s="4">
        <v>43881</v>
      </c>
      <c r="O231" s="3" t="s">
        <v>78</v>
      </c>
      <c r="P231" s="3">
        <v>85</v>
      </c>
      <c r="Q231" s="3" t="s">
        <v>437</v>
      </c>
      <c r="R231" s="3" t="s">
        <v>43</v>
      </c>
      <c r="S231" s="3" t="s">
        <v>66</v>
      </c>
      <c r="T231" s="3" t="str">
        <f t="shared" si="14"/>
        <v>Contract</v>
      </c>
      <c r="U231" s="3" t="s">
        <v>188</v>
      </c>
      <c r="V231" s="3">
        <v>1</v>
      </c>
      <c r="W231" s="3">
        <v>1</v>
      </c>
      <c r="Y231" s="4">
        <v>45516</v>
      </c>
      <c r="AA231" s="3" t="s">
        <v>34</v>
      </c>
      <c r="AB231" s="3" t="str" cm="1">
        <f t="array" ref="AB231">_xlfn.IFS(AA231="N","No",  AA231 = "Y", "Yes", TRUE, PROPER(TRIM(AA231)))</f>
        <v>No</v>
      </c>
      <c r="AC231" s="3">
        <v>5</v>
      </c>
      <c r="AD231" s="3" t="s">
        <v>34</v>
      </c>
      <c r="AE231">
        <f t="shared" si="15"/>
        <v>0</v>
      </c>
    </row>
    <row r="232" spans="1:31" ht="14.25" customHeight="1" x14ac:dyDescent="0.35">
      <c r="A232" s="3" t="s">
        <v>601</v>
      </c>
      <c r="B232" s="3" t="s">
        <v>36</v>
      </c>
      <c r="C232" s="3" t="s">
        <v>148</v>
      </c>
      <c r="D232" s="3">
        <v>50</v>
      </c>
      <c r="E232" s="3">
        <f t="shared" si="12"/>
        <v>50</v>
      </c>
      <c r="F232" s="3">
        <v>1974</v>
      </c>
      <c r="G232" s="3">
        <v>58800</v>
      </c>
      <c r="H232" s="12" cm="1">
        <f t="array" ref="H232">_xlfn.IFS(TRIM(G232)="SIXTY THOUSAND",60000,TRIM(G232)="NAN",AVERAGEIFS(G:G,J:J,J232,L:L,L232),TRUE,G232)</f>
        <v>58800</v>
      </c>
      <c r="I232" s="3" t="s">
        <v>27</v>
      </c>
      <c r="J232" s="3" t="s">
        <v>82</v>
      </c>
      <c r="K232" s="3" t="str">
        <f t="shared" si="13"/>
        <v>HR</v>
      </c>
      <c r="L232" s="3" t="s">
        <v>77</v>
      </c>
      <c r="M232" s="4">
        <v>43549</v>
      </c>
      <c r="N232" s="4">
        <v>43549</v>
      </c>
      <c r="O232" s="3" t="s">
        <v>52</v>
      </c>
      <c r="P232" s="3">
        <v>78</v>
      </c>
      <c r="Q232" s="3" t="s">
        <v>602</v>
      </c>
      <c r="R232" s="3" t="s">
        <v>61</v>
      </c>
      <c r="S232" s="3" t="s">
        <v>72</v>
      </c>
      <c r="T232" s="3" t="str">
        <f t="shared" si="14"/>
        <v>Part-Time</v>
      </c>
      <c r="U232" s="3" t="s">
        <v>603</v>
      </c>
      <c r="V232" s="3">
        <v>3</v>
      </c>
      <c r="Y232" s="4">
        <v>44732</v>
      </c>
      <c r="AA232" s="3" t="s">
        <v>482</v>
      </c>
      <c r="AB232" s="3" t="str" cm="1">
        <f t="array" ref="AB232">_xlfn.IFS(AA232="N","No",  AA232 = "Y", "Yes", TRUE, PROPER(TRIM(AA232)))</f>
        <v>Yes</v>
      </c>
      <c r="AC232" s="3">
        <v>5</v>
      </c>
      <c r="AD232" s="3" t="s">
        <v>34</v>
      </c>
      <c r="AE232">
        <f t="shared" si="15"/>
        <v>0</v>
      </c>
    </row>
    <row r="233" spans="1:31" ht="14.25" customHeight="1" x14ac:dyDescent="0.35">
      <c r="A233" s="3" t="s">
        <v>604</v>
      </c>
      <c r="B233" s="3" t="s">
        <v>131</v>
      </c>
      <c r="C233" s="3" t="s">
        <v>380</v>
      </c>
      <c r="D233" s="3">
        <v>35</v>
      </c>
      <c r="E233" s="3">
        <f t="shared" si="12"/>
        <v>35</v>
      </c>
      <c r="F233" s="3">
        <v>1989</v>
      </c>
      <c r="G233" s="3">
        <v>50000</v>
      </c>
      <c r="H233" s="12" cm="1">
        <f t="array" ref="H233">_xlfn.IFS(TRIM(G233)="SIXTY THOUSAND",60000,TRIM(G233)="NAN",AVERAGEIFS(G:G,J:J,J233,L:L,L233),TRUE,G233)</f>
        <v>50000</v>
      </c>
      <c r="I233" s="3" t="s">
        <v>38</v>
      </c>
      <c r="J233" s="3" t="s">
        <v>58</v>
      </c>
      <c r="K233" s="3" t="str">
        <f t="shared" si="13"/>
        <v>IT</v>
      </c>
      <c r="L233" s="3" t="s">
        <v>94</v>
      </c>
      <c r="M233" s="4">
        <v>43800</v>
      </c>
      <c r="N233" s="4">
        <v>43800</v>
      </c>
      <c r="O233" s="3" t="s">
        <v>52</v>
      </c>
      <c r="P233" s="3">
        <v>78</v>
      </c>
      <c r="Q233" s="3" t="s">
        <v>605</v>
      </c>
      <c r="S233" s="3" t="s">
        <v>44</v>
      </c>
      <c r="T233" s="3" t="str">
        <f t="shared" si="14"/>
        <v>Full-Time</v>
      </c>
      <c r="U233" s="3" t="s">
        <v>606</v>
      </c>
      <c r="V233" s="3">
        <v>8</v>
      </c>
      <c r="W233" s="3">
        <v>12</v>
      </c>
      <c r="AA233" s="3" t="s">
        <v>169</v>
      </c>
      <c r="AB233" s="3" t="str" cm="1">
        <f t="array" ref="AB233">_xlfn.IFS(AA233="N","No",  AA233 = "Y", "Yes", TRUE, PROPER(TRIM(AA233)))</f>
        <v>Yes</v>
      </c>
      <c r="AC233" s="3">
        <v>2</v>
      </c>
      <c r="AD233" s="3" t="s">
        <v>46</v>
      </c>
      <c r="AE233">
        <f t="shared" si="15"/>
        <v>1</v>
      </c>
    </row>
    <row r="234" spans="1:31" ht="14.25" customHeight="1" x14ac:dyDescent="0.35">
      <c r="A234" s="3" t="s">
        <v>607</v>
      </c>
      <c r="B234" s="3" t="s">
        <v>114</v>
      </c>
      <c r="C234" s="3" t="s">
        <v>608</v>
      </c>
      <c r="D234" s="3" t="s">
        <v>88</v>
      </c>
      <c r="E234" s="3">
        <f t="shared" si="12"/>
        <v>30</v>
      </c>
      <c r="F234" s="3">
        <v>1994</v>
      </c>
      <c r="G234" s="3">
        <v>65000</v>
      </c>
      <c r="H234" s="12" cm="1">
        <f t="array" ref="H234">_xlfn.IFS(TRIM(G234)="SIXTY THOUSAND",60000,TRIM(G234)="NAN",AVERAGEIFS(G:G,J:J,J234,L:L,L234),TRUE,G234)</f>
        <v>65000</v>
      </c>
      <c r="I234" s="3" t="s">
        <v>38</v>
      </c>
      <c r="J234" s="3" t="s">
        <v>64</v>
      </c>
      <c r="K234" s="3" t="str">
        <f t="shared" si="13"/>
        <v>Finance</v>
      </c>
      <c r="L234" s="3" t="s">
        <v>94</v>
      </c>
      <c r="M234" s="4">
        <v>43845</v>
      </c>
      <c r="N234" s="4">
        <v>43845</v>
      </c>
      <c r="O234" s="3" t="s">
        <v>30</v>
      </c>
      <c r="P234" s="3">
        <v>63</v>
      </c>
      <c r="Q234" s="3" t="s">
        <v>609</v>
      </c>
      <c r="R234" s="3" t="s">
        <v>54</v>
      </c>
      <c r="S234" s="3" t="s">
        <v>72</v>
      </c>
      <c r="T234" s="3" t="str">
        <f t="shared" si="14"/>
        <v>Part-Time</v>
      </c>
      <c r="U234" s="3" t="s">
        <v>481</v>
      </c>
      <c r="V234" s="3">
        <v>8</v>
      </c>
      <c r="X234" s="3">
        <v>16</v>
      </c>
      <c r="AA234" s="3" t="s">
        <v>169</v>
      </c>
      <c r="AB234" s="3" t="str" cm="1">
        <f t="array" ref="AB234">_xlfn.IFS(AA234="N","No",  AA234 = "Y", "Yes", TRUE, PROPER(TRIM(AA234)))</f>
        <v>Yes</v>
      </c>
      <c r="AC234" s="3">
        <v>1</v>
      </c>
      <c r="AD234" s="3" t="s">
        <v>46</v>
      </c>
      <c r="AE234">
        <f t="shared" si="15"/>
        <v>1</v>
      </c>
    </row>
    <row r="235" spans="1:31" ht="14.25" customHeight="1" x14ac:dyDescent="0.35">
      <c r="A235" s="3" t="s">
        <v>610</v>
      </c>
      <c r="B235" s="3" t="s">
        <v>131</v>
      </c>
      <c r="C235" s="3" t="s">
        <v>144</v>
      </c>
      <c r="E235" s="3">
        <f t="shared" si="12"/>
        <v>46</v>
      </c>
      <c r="F235" s="3">
        <v>1978</v>
      </c>
      <c r="G235" s="3">
        <v>70000</v>
      </c>
      <c r="H235" s="12" cm="1">
        <f t="array" ref="H235">_xlfn.IFS(TRIM(G235)="SIXTY THOUSAND",60000,TRIM(G235)="NAN",AVERAGEIFS(G:G,J:J,J235,L:L,L235),TRUE,G235)</f>
        <v>70000</v>
      </c>
      <c r="I235" s="3" t="s">
        <v>38</v>
      </c>
      <c r="J235" s="3" t="s">
        <v>28</v>
      </c>
      <c r="K235" s="3" t="str">
        <f t="shared" si="13"/>
        <v>HR</v>
      </c>
      <c r="L235" s="3" t="s">
        <v>29</v>
      </c>
      <c r="M235" s="4">
        <v>43881</v>
      </c>
      <c r="N235" s="4">
        <v>43881</v>
      </c>
      <c r="O235" s="3" t="s">
        <v>78</v>
      </c>
      <c r="P235" s="3">
        <v>86</v>
      </c>
      <c r="Q235" s="3" t="s">
        <v>146</v>
      </c>
      <c r="R235" s="3" t="s">
        <v>43</v>
      </c>
      <c r="S235" s="3" t="s">
        <v>100</v>
      </c>
      <c r="T235" s="3" t="str">
        <f t="shared" si="14"/>
        <v>Part-Time</v>
      </c>
      <c r="V235" s="3">
        <v>3</v>
      </c>
      <c r="AA235" s="3" t="s">
        <v>34</v>
      </c>
      <c r="AB235" s="3" t="str" cm="1">
        <f t="array" ref="AB235">_xlfn.IFS(AA235="N","No",  AA235 = "Y", "Yes", TRUE, PROPER(TRIM(AA235)))</f>
        <v>No</v>
      </c>
      <c r="AC235" s="3">
        <v>2</v>
      </c>
      <c r="AD235" s="3" t="s">
        <v>46</v>
      </c>
      <c r="AE235">
        <f t="shared" si="15"/>
        <v>1</v>
      </c>
    </row>
    <row r="236" spans="1:31" ht="14.25" customHeight="1" x14ac:dyDescent="0.35">
      <c r="A236" s="3" t="s">
        <v>611</v>
      </c>
      <c r="B236" s="3" t="s">
        <v>56</v>
      </c>
      <c r="C236" s="3" t="s">
        <v>612</v>
      </c>
      <c r="D236" s="3">
        <v>40</v>
      </c>
      <c r="E236" s="3">
        <f t="shared" si="12"/>
        <v>40</v>
      </c>
      <c r="F236" s="3">
        <v>1984</v>
      </c>
      <c r="G236" s="3">
        <v>50000</v>
      </c>
      <c r="H236" s="12" cm="1">
        <f t="array" ref="H236">_xlfn.IFS(TRIM(G236)="SIXTY THOUSAND",60000,TRIM(G236)="NAN",AVERAGEIFS(G:G,J:J,J236,L:L,L236),TRUE,G236)</f>
        <v>50000</v>
      </c>
      <c r="I236" s="3" t="s">
        <v>38</v>
      </c>
      <c r="J236" s="3" t="s">
        <v>51</v>
      </c>
      <c r="K236" s="3" t="str">
        <f t="shared" si="13"/>
        <v>Sales</v>
      </c>
      <c r="L236" s="3" t="s">
        <v>89</v>
      </c>
      <c r="M236" s="4">
        <v>43195</v>
      </c>
      <c r="N236" s="4">
        <v>43195</v>
      </c>
      <c r="O236" s="3" t="s">
        <v>52</v>
      </c>
      <c r="P236" s="3">
        <v>70</v>
      </c>
      <c r="Q236" s="3" t="s">
        <v>613</v>
      </c>
      <c r="S236" s="3" t="s">
        <v>44</v>
      </c>
      <c r="T236" s="3" t="str">
        <f t="shared" si="14"/>
        <v>Full-Time</v>
      </c>
      <c r="V236" s="3">
        <v>2</v>
      </c>
      <c r="Y236" s="9">
        <v>44990</v>
      </c>
      <c r="Z236" s="3">
        <v>80</v>
      </c>
      <c r="AA236" s="3" t="s">
        <v>46</v>
      </c>
      <c r="AB236" s="3" t="str" cm="1">
        <f t="array" ref="AB236">_xlfn.IFS(AA236="N","No",  AA236 = "Y", "Yes", TRUE, PROPER(TRIM(AA236)))</f>
        <v>Yes</v>
      </c>
      <c r="AC236" s="3">
        <v>3</v>
      </c>
      <c r="AD236" s="3" t="s">
        <v>34</v>
      </c>
      <c r="AE236">
        <f t="shared" si="15"/>
        <v>0</v>
      </c>
    </row>
    <row r="237" spans="1:31" ht="14.25" customHeight="1" x14ac:dyDescent="0.35">
      <c r="A237" s="3" t="s">
        <v>614</v>
      </c>
      <c r="B237" s="3" t="s">
        <v>56</v>
      </c>
      <c r="C237" s="3" t="s">
        <v>359</v>
      </c>
      <c r="D237" s="3">
        <v>25</v>
      </c>
      <c r="E237" s="3">
        <f t="shared" si="12"/>
        <v>25</v>
      </c>
      <c r="F237" s="3">
        <v>1999</v>
      </c>
      <c r="G237" s="3">
        <v>65000</v>
      </c>
      <c r="H237" s="12" cm="1">
        <f t="array" ref="H237">_xlfn.IFS(TRIM(G237)="SIXTY THOUSAND",60000,TRIM(G237)="NAN",AVERAGEIFS(G:G,J:J,J237,L:L,L237),TRUE,G237)</f>
        <v>65000</v>
      </c>
      <c r="I237" s="3" t="s">
        <v>38</v>
      </c>
      <c r="J237" s="3" t="s">
        <v>82</v>
      </c>
      <c r="K237" s="3" t="str">
        <f t="shared" si="13"/>
        <v>HR</v>
      </c>
      <c r="L237" s="3" t="s">
        <v>29</v>
      </c>
      <c r="M237" s="4">
        <v>43195</v>
      </c>
      <c r="N237" s="4">
        <v>43195</v>
      </c>
      <c r="O237" s="3" t="s">
        <v>30</v>
      </c>
      <c r="P237" s="3">
        <v>65</v>
      </c>
      <c r="Q237" s="3" t="s">
        <v>615</v>
      </c>
      <c r="R237" s="3" t="s">
        <v>104</v>
      </c>
      <c r="S237" s="3" t="s">
        <v>44</v>
      </c>
      <c r="T237" s="3" t="str">
        <f t="shared" si="14"/>
        <v>Full-Time</v>
      </c>
      <c r="V237" s="3">
        <v>8</v>
      </c>
      <c r="W237" s="3" t="s">
        <v>79</v>
      </c>
      <c r="AB237" s="3" t="str" cm="1">
        <f t="array" ref="AB237">_xlfn.IFS(AA237="N","No",  AA237 = "Y", "Yes", TRUE, PROPER(TRIM(AA237)))</f>
        <v/>
      </c>
      <c r="AC237" s="3">
        <v>5</v>
      </c>
      <c r="AD237" s="3" t="s">
        <v>34</v>
      </c>
      <c r="AE237">
        <f t="shared" si="15"/>
        <v>0</v>
      </c>
    </row>
    <row r="238" spans="1:31" ht="14.25" customHeight="1" x14ac:dyDescent="0.35">
      <c r="A238" s="3" t="s">
        <v>616</v>
      </c>
      <c r="B238" s="3" t="s">
        <v>25</v>
      </c>
      <c r="C238" s="3" t="s">
        <v>84</v>
      </c>
      <c r="D238" s="3">
        <v>40</v>
      </c>
      <c r="E238" s="3">
        <f t="shared" si="12"/>
        <v>40</v>
      </c>
      <c r="F238" s="3">
        <v>1984</v>
      </c>
      <c r="G238" s="3">
        <v>55000</v>
      </c>
      <c r="H238" s="12" cm="1">
        <f t="array" ref="H238">_xlfn.IFS(TRIM(G238)="SIXTY THOUSAND",60000,TRIM(G238)="NAN",AVERAGEIFS(G:G,J:J,J238,L:L,L238),TRUE,G238)</f>
        <v>55000</v>
      </c>
      <c r="I238" s="3" t="s">
        <v>27</v>
      </c>
      <c r="J238" s="3" t="s">
        <v>145</v>
      </c>
      <c r="K238" s="3" t="str">
        <f t="shared" si="13"/>
        <v>Sales</v>
      </c>
      <c r="L238" s="3" t="s">
        <v>77</v>
      </c>
      <c r="M238" s="4">
        <v>43845</v>
      </c>
      <c r="N238" s="4">
        <v>43845</v>
      </c>
      <c r="O238" s="3" t="s">
        <v>78</v>
      </c>
      <c r="P238" s="3">
        <v>83</v>
      </c>
      <c r="Q238" s="3" t="s">
        <v>617</v>
      </c>
      <c r="R238" s="3" t="s">
        <v>61</v>
      </c>
      <c r="S238" s="3" t="s">
        <v>32</v>
      </c>
      <c r="T238" s="3" t="str">
        <f t="shared" si="14"/>
        <v>Contract</v>
      </c>
      <c r="U238" s="3" t="s">
        <v>618</v>
      </c>
      <c r="V238" s="3">
        <v>6</v>
      </c>
      <c r="Z238" s="3">
        <v>76</v>
      </c>
      <c r="AA238" s="3" t="s">
        <v>73</v>
      </c>
      <c r="AB238" s="3" t="str" cm="1">
        <f t="array" ref="AB238">_xlfn.IFS(AA238="N","No",  AA238 = "Y", "Yes", TRUE, PROPER(TRIM(AA238)))</f>
        <v>No</v>
      </c>
      <c r="AC238" s="3">
        <v>1</v>
      </c>
      <c r="AD238" s="3" t="s">
        <v>46</v>
      </c>
      <c r="AE238">
        <f t="shared" si="15"/>
        <v>1</v>
      </c>
    </row>
    <row r="239" spans="1:31" ht="14.25" customHeight="1" x14ac:dyDescent="0.35">
      <c r="A239" s="3" t="s">
        <v>619</v>
      </c>
      <c r="B239" s="3" t="s">
        <v>140</v>
      </c>
      <c r="C239" s="3" t="s">
        <v>620</v>
      </c>
      <c r="D239" s="3" t="s">
        <v>88</v>
      </c>
      <c r="E239" s="3">
        <f t="shared" si="12"/>
        <v>30</v>
      </c>
      <c r="F239" s="3">
        <v>1994</v>
      </c>
      <c r="G239" s="3">
        <v>65000</v>
      </c>
      <c r="H239" s="12" cm="1">
        <f t="array" ref="H239">_xlfn.IFS(TRIM(G239)="SIXTY THOUSAND",60000,TRIM(G239)="NAN",AVERAGEIFS(G:G,J:J,J239,L:L,L239),TRUE,G239)</f>
        <v>65000</v>
      </c>
      <c r="I239" s="3" t="s">
        <v>27</v>
      </c>
      <c r="J239" s="3" t="s">
        <v>93</v>
      </c>
      <c r="K239" s="3" t="str">
        <f t="shared" si="13"/>
        <v>Marketing</v>
      </c>
      <c r="L239" s="3" t="s">
        <v>40</v>
      </c>
      <c r="M239" s="4">
        <v>43800</v>
      </c>
      <c r="N239" s="4">
        <v>43800</v>
      </c>
      <c r="O239" s="3" t="s">
        <v>52</v>
      </c>
      <c r="P239" s="3">
        <v>72</v>
      </c>
      <c r="Q239" s="3" t="s">
        <v>621</v>
      </c>
      <c r="R239" s="3" t="s">
        <v>43</v>
      </c>
      <c r="S239" s="3" t="s">
        <v>112</v>
      </c>
      <c r="T239" s="3" t="str">
        <f t="shared" si="14"/>
        <v>Full-Time</v>
      </c>
      <c r="V239" s="3">
        <v>4</v>
      </c>
      <c r="W239" s="3">
        <v>14</v>
      </c>
      <c r="Y239" s="4">
        <v>45516</v>
      </c>
      <c r="Z239" s="3">
        <v>53</v>
      </c>
      <c r="AA239" s="3" t="s">
        <v>169</v>
      </c>
      <c r="AB239" s="3" t="str" cm="1">
        <f t="array" ref="AB239">_xlfn.IFS(AA239="N","No",  AA239 = "Y", "Yes", TRUE, PROPER(TRIM(AA239)))</f>
        <v>Yes</v>
      </c>
      <c r="AC239" s="3">
        <v>5</v>
      </c>
      <c r="AD239" s="3" t="s">
        <v>34</v>
      </c>
      <c r="AE239">
        <f t="shared" si="15"/>
        <v>0</v>
      </c>
    </row>
    <row r="240" spans="1:31" ht="14.25" customHeight="1" x14ac:dyDescent="0.35">
      <c r="A240" s="3" t="s">
        <v>622</v>
      </c>
      <c r="B240" s="3" t="s">
        <v>140</v>
      </c>
      <c r="C240" s="3" t="s">
        <v>196</v>
      </c>
      <c r="D240" s="3">
        <v>40</v>
      </c>
      <c r="E240" s="3">
        <f t="shared" si="12"/>
        <v>40</v>
      </c>
      <c r="F240" s="3">
        <v>1984</v>
      </c>
      <c r="G240" s="3">
        <v>70000</v>
      </c>
      <c r="H240" s="12" cm="1">
        <f t="array" ref="H240">_xlfn.IFS(TRIM(G240)="SIXTY THOUSAND",60000,TRIM(G240)="NAN",AVERAGEIFS(G:G,J:J,J240,L:L,L240),TRUE,G240)</f>
        <v>70000</v>
      </c>
      <c r="I240" s="3" t="s">
        <v>38</v>
      </c>
      <c r="J240" s="3" t="s">
        <v>70</v>
      </c>
      <c r="K240" s="3" t="str">
        <f t="shared" si="13"/>
        <v>Marketing</v>
      </c>
      <c r="L240" s="3" t="s">
        <v>40</v>
      </c>
      <c r="M240" s="4">
        <v>43881</v>
      </c>
      <c r="N240" s="4">
        <v>43881</v>
      </c>
      <c r="O240" s="3" t="s">
        <v>59</v>
      </c>
      <c r="P240" s="3">
        <v>99</v>
      </c>
      <c r="Q240" s="3" t="s">
        <v>197</v>
      </c>
      <c r="S240" s="3" t="s">
        <v>174</v>
      </c>
      <c r="T240" s="3" t="str">
        <f t="shared" si="14"/>
        <v>Full-Time</v>
      </c>
      <c r="V240" s="3">
        <v>6</v>
      </c>
      <c r="X240" s="3">
        <v>3</v>
      </c>
      <c r="Z240" s="3">
        <v>17</v>
      </c>
      <c r="AA240" s="3" t="s">
        <v>169</v>
      </c>
      <c r="AB240" s="3" t="str" cm="1">
        <f t="array" ref="AB240">_xlfn.IFS(AA240="N","No",  AA240 = "Y", "Yes", TRUE, PROPER(TRIM(AA240)))</f>
        <v>Yes</v>
      </c>
      <c r="AC240" s="3">
        <v>4</v>
      </c>
      <c r="AD240" s="3" t="s">
        <v>34</v>
      </c>
      <c r="AE240">
        <f t="shared" si="15"/>
        <v>0</v>
      </c>
    </row>
    <row r="241" spans="1:31" ht="14.25" customHeight="1" x14ac:dyDescent="0.35">
      <c r="A241" s="3" t="s">
        <v>623</v>
      </c>
      <c r="B241" s="3" t="s">
        <v>75</v>
      </c>
      <c r="C241" s="3" t="s">
        <v>103</v>
      </c>
      <c r="D241" s="3">
        <v>25</v>
      </c>
      <c r="E241" s="3">
        <f t="shared" si="12"/>
        <v>25</v>
      </c>
      <c r="F241" s="3">
        <v>1999</v>
      </c>
      <c r="G241" s="3">
        <v>65000</v>
      </c>
      <c r="H241" s="12" cm="1">
        <f t="array" ref="H241">_xlfn.IFS(TRIM(G241)="SIXTY THOUSAND",60000,TRIM(G241)="NAN",AVERAGEIFS(G:G,J:J,J241,L:L,L241),TRUE,G241)</f>
        <v>65000</v>
      </c>
      <c r="I241" s="3" t="s">
        <v>38</v>
      </c>
      <c r="J241" s="3" t="s">
        <v>145</v>
      </c>
      <c r="K241" s="3" t="str">
        <f t="shared" si="13"/>
        <v>Sales</v>
      </c>
      <c r="L241" s="3" t="s">
        <v>94</v>
      </c>
      <c r="M241" s="4">
        <v>43845</v>
      </c>
      <c r="N241" s="4">
        <v>43845</v>
      </c>
      <c r="O241" s="3" t="s">
        <v>41</v>
      </c>
      <c r="P241" s="3">
        <v>40</v>
      </c>
      <c r="Q241" s="3" t="s">
        <v>308</v>
      </c>
      <c r="R241" s="3" t="s">
        <v>43</v>
      </c>
      <c r="S241" s="3" t="s">
        <v>44</v>
      </c>
      <c r="T241" s="3" t="str">
        <f t="shared" si="14"/>
        <v>Full-Time</v>
      </c>
      <c r="V241" s="3">
        <v>5</v>
      </c>
      <c r="W241" s="3" t="s">
        <v>79</v>
      </c>
      <c r="Z241" s="3">
        <v>51</v>
      </c>
      <c r="AB241" s="3" t="str" cm="1">
        <f t="array" ref="AB241">_xlfn.IFS(AA241="N","No",  AA241 = "Y", "Yes", TRUE, PROPER(TRIM(AA241)))</f>
        <v/>
      </c>
      <c r="AC241" s="3">
        <v>4</v>
      </c>
      <c r="AD241" s="3" t="s">
        <v>34</v>
      </c>
      <c r="AE241">
        <f t="shared" si="15"/>
        <v>0</v>
      </c>
    </row>
    <row r="242" spans="1:31" ht="14.25" customHeight="1" x14ac:dyDescent="0.35">
      <c r="A242" s="3" t="s">
        <v>624</v>
      </c>
      <c r="B242" s="3" t="s">
        <v>75</v>
      </c>
      <c r="C242" s="3" t="s">
        <v>625</v>
      </c>
      <c r="D242" s="3" t="s">
        <v>88</v>
      </c>
      <c r="E242" s="3">
        <f t="shared" si="12"/>
        <v>30</v>
      </c>
      <c r="F242" s="3">
        <v>1994</v>
      </c>
      <c r="G242" s="3" t="s">
        <v>50</v>
      </c>
      <c r="H242" s="12" cm="1">
        <f t="array" ref="H242">_xlfn.IFS(TRIM(G242)="SIXTY THOUSAND",60000,TRIM(G242)="NAN",AVERAGEIFS(G:G,J:J,J242,L:L,L242),TRUE,G242)</f>
        <v>60000</v>
      </c>
      <c r="I242" s="3" t="s">
        <v>38</v>
      </c>
      <c r="J242" s="3" t="s">
        <v>64</v>
      </c>
      <c r="K242" s="3" t="str">
        <f t="shared" si="13"/>
        <v>Finance</v>
      </c>
      <c r="L242" s="3" t="s">
        <v>40</v>
      </c>
      <c r="M242" s="4">
        <v>43800</v>
      </c>
      <c r="N242" s="4">
        <v>43800</v>
      </c>
      <c r="O242" s="3" t="s">
        <v>78</v>
      </c>
      <c r="P242" s="3">
        <v>87</v>
      </c>
      <c r="Q242" s="3" t="s">
        <v>626</v>
      </c>
      <c r="R242" s="3" t="s">
        <v>104</v>
      </c>
      <c r="S242" s="3" t="s">
        <v>174</v>
      </c>
      <c r="T242" s="3" t="str">
        <f t="shared" si="14"/>
        <v>Full-Time</v>
      </c>
      <c r="V242" s="3">
        <v>1</v>
      </c>
      <c r="W242" s="3">
        <v>14</v>
      </c>
      <c r="AA242" s="3" t="s">
        <v>73</v>
      </c>
      <c r="AB242" s="3" t="str" cm="1">
        <f t="array" ref="AB242">_xlfn.IFS(AA242="N","No",  AA242 = "Y", "Yes", TRUE, PROPER(TRIM(AA242)))</f>
        <v>No</v>
      </c>
      <c r="AC242" s="3">
        <v>5</v>
      </c>
      <c r="AD242" s="3" t="s">
        <v>34</v>
      </c>
      <c r="AE242">
        <f t="shared" si="15"/>
        <v>0</v>
      </c>
    </row>
    <row r="243" spans="1:31" ht="14.25" customHeight="1" x14ac:dyDescent="0.35">
      <c r="A243" s="3" t="s">
        <v>627</v>
      </c>
      <c r="B243" s="3" t="s">
        <v>75</v>
      </c>
      <c r="C243" s="3" t="s">
        <v>141</v>
      </c>
      <c r="D243" s="3">
        <v>40</v>
      </c>
      <c r="E243" s="3">
        <f t="shared" si="12"/>
        <v>40</v>
      </c>
      <c r="F243" s="3">
        <v>1984</v>
      </c>
      <c r="G243" s="3">
        <v>70000</v>
      </c>
      <c r="H243" s="12" cm="1">
        <f t="array" ref="H243">_xlfn.IFS(TRIM(G243)="SIXTY THOUSAND",60000,TRIM(G243)="NAN",AVERAGEIFS(G:G,J:J,J243,L:L,L243),TRUE,G243)</f>
        <v>70000</v>
      </c>
      <c r="I243" s="3" t="s">
        <v>38</v>
      </c>
      <c r="J243" s="3" t="s">
        <v>28</v>
      </c>
      <c r="K243" s="3" t="str">
        <f t="shared" si="13"/>
        <v>HR</v>
      </c>
      <c r="L243" s="3" t="s">
        <v>40</v>
      </c>
      <c r="M243" s="4">
        <v>43881</v>
      </c>
      <c r="N243" s="4">
        <v>43881</v>
      </c>
      <c r="O243" s="3" t="s">
        <v>30</v>
      </c>
      <c r="P243" s="3">
        <v>62</v>
      </c>
      <c r="Q243" s="3" t="s">
        <v>628</v>
      </c>
      <c r="R243" s="3" t="s">
        <v>54</v>
      </c>
      <c r="S243" s="3" t="s">
        <v>100</v>
      </c>
      <c r="T243" s="3" t="str">
        <f t="shared" si="14"/>
        <v>Part-Time</v>
      </c>
      <c r="V243" s="3">
        <v>4</v>
      </c>
      <c r="W243" s="3" t="s">
        <v>79</v>
      </c>
      <c r="AA243" s="3" t="s">
        <v>34</v>
      </c>
      <c r="AB243" s="3" t="str" cm="1">
        <f t="array" ref="AB243">_xlfn.IFS(AA243="N","No",  AA243 = "Y", "Yes", TRUE, PROPER(TRIM(AA243)))</f>
        <v>No</v>
      </c>
      <c r="AC243" s="3">
        <v>3</v>
      </c>
      <c r="AD243" s="3" t="s">
        <v>46</v>
      </c>
      <c r="AE243">
        <f t="shared" si="15"/>
        <v>1</v>
      </c>
    </row>
    <row r="244" spans="1:31" ht="14.25" customHeight="1" x14ac:dyDescent="0.35">
      <c r="A244" s="3" t="s">
        <v>629</v>
      </c>
      <c r="B244" s="3" t="s">
        <v>36</v>
      </c>
      <c r="C244" s="3" t="s">
        <v>556</v>
      </c>
      <c r="E244" s="3">
        <f t="shared" si="12"/>
        <v>56</v>
      </c>
      <c r="F244" s="3">
        <v>1968</v>
      </c>
      <c r="G244" s="3">
        <v>60900</v>
      </c>
      <c r="H244" s="12" cm="1">
        <f t="array" ref="H244">_xlfn.IFS(TRIM(G244)="SIXTY THOUSAND",60000,TRIM(G244)="NAN",AVERAGEIFS(G:G,J:J,J244,L:L,L244),TRUE,G244)</f>
        <v>60900</v>
      </c>
      <c r="I244" s="3" t="s">
        <v>27</v>
      </c>
      <c r="J244" s="3" t="s">
        <v>28</v>
      </c>
      <c r="K244" s="3" t="str">
        <f t="shared" si="13"/>
        <v>HR</v>
      </c>
      <c r="L244" s="3" t="s">
        <v>40</v>
      </c>
      <c r="M244" s="4">
        <v>43195</v>
      </c>
      <c r="N244" s="4">
        <v>43195</v>
      </c>
      <c r="O244" s="3" t="s">
        <v>78</v>
      </c>
      <c r="P244" s="3">
        <v>85</v>
      </c>
      <c r="Q244" s="3" t="s">
        <v>557</v>
      </c>
      <c r="S244" s="3" t="s">
        <v>174</v>
      </c>
      <c r="T244" s="3" t="str">
        <f t="shared" si="14"/>
        <v>Full-Time</v>
      </c>
      <c r="V244" s="3">
        <v>7</v>
      </c>
      <c r="Y244" s="4">
        <v>44990</v>
      </c>
      <c r="Z244" s="3">
        <v>61</v>
      </c>
      <c r="AA244" s="3" t="s">
        <v>46</v>
      </c>
      <c r="AB244" s="3" t="str" cm="1">
        <f t="array" ref="AB244">_xlfn.IFS(AA244="N","No",  AA244 = "Y", "Yes", TRUE, PROPER(TRIM(AA244)))</f>
        <v>Yes</v>
      </c>
      <c r="AC244" s="3">
        <v>4</v>
      </c>
      <c r="AD244" s="3" t="s">
        <v>34</v>
      </c>
      <c r="AE244">
        <f t="shared" si="15"/>
        <v>0</v>
      </c>
    </row>
    <row r="245" spans="1:31" ht="14.25" customHeight="1" x14ac:dyDescent="0.35">
      <c r="A245" s="3" t="s">
        <v>630</v>
      </c>
      <c r="B245" s="3" t="s">
        <v>48</v>
      </c>
      <c r="C245" s="3" t="s">
        <v>189</v>
      </c>
      <c r="D245" s="3">
        <v>50</v>
      </c>
      <c r="E245" s="3">
        <f t="shared" si="12"/>
        <v>50</v>
      </c>
      <c r="F245" s="3">
        <v>1974</v>
      </c>
      <c r="G245" s="3">
        <v>55000</v>
      </c>
      <c r="H245" s="12" cm="1">
        <f t="array" ref="H245">_xlfn.IFS(TRIM(G245)="SIXTY THOUSAND",60000,TRIM(G245)="NAN",AVERAGEIFS(G:G,J:J,J245,L:L,L245),TRUE,G245)</f>
        <v>55000</v>
      </c>
      <c r="I245" s="3" t="s">
        <v>38</v>
      </c>
      <c r="J245" s="3" t="s">
        <v>70</v>
      </c>
      <c r="K245" s="3" t="str">
        <f t="shared" si="13"/>
        <v>Marketing</v>
      </c>
      <c r="L245" s="3" t="s">
        <v>77</v>
      </c>
      <c r="M245" s="4">
        <v>43881</v>
      </c>
      <c r="N245" s="4">
        <v>43881</v>
      </c>
      <c r="O245" s="3" t="s">
        <v>30</v>
      </c>
      <c r="P245" s="3">
        <v>64</v>
      </c>
      <c r="Q245" s="3" t="s">
        <v>631</v>
      </c>
      <c r="R245" s="3" t="s">
        <v>43</v>
      </c>
      <c r="S245" s="3" t="s">
        <v>72</v>
      </c>
      <c r="T245" s="3" t="str">
        <f t="shared" si="14"/>
        <v>Part-Time</v>
      </c>
      <c r="U245" s="3" t="s">
        <v>494</v>
      </c>
      <c r="V245" s="3">
        <v>7</v>
      </c>
      <c r="AB245" s="3" t="str" cm="1">
        <f t="array" ref="AB245">_xlfn.IFS(AA245="N","No",  AA245 = "Y", "Yes", TRUE, PROPER(TRIM(AA245)))</f>
        <v/>
      </c>
      <c r="AC245" s="3">
        <v>1</v>
      </c>
      <c r="AD245" s="3" t="s">
        <v>46</v>
      </c>
      <c r="AE245">
        <f t="shared" si="15"/>
        <v>1</v>
      </c>
    </row>
    <row r="246" spans="1:31" ht="14.25" customHeight="1" x14ac:dyDescent="0.35">
      <c r="A246" s="3" t="s">
        <v>632</v>
      </c>
      <c r="B246" s="3" t="s">
        <v>107</v>
      </c>
      <c r="C246" s="3" t="s">
        <v>355</v>
      </c>
      <c r="D246" s="3" t="s">
        <v>88</v>
      </c>
      <c r="E246" s="3">
        <f t="shared" si="12"/>
        <v>30</v>
      </c>
      <c r="F246" s="3">
        <v>1994</v>
      </c>
      <c r="G246" s="3" t="s">
        <v>50</v>
      </c>
      <c r="H246" s="12" cm="1">
        <f t="array" ref="H246">_xlfn.IFS(TRIM(G246)="SIXTY THOUSAND",60000,TRIM(G246)="NAN",AVERAGEIFS(G:G,J:J,J246,L:L,L246),TRUE,G246)</f>
        <v>60000</v>
      </c>
      <c r="I246" s="3" t="s">
        <v>27</v>
      </c>
      <c r="J246" s="3" t="s">
        <v>51</v>
      </c>
      <c r="K246" s="3" t="str">
        <f t="shared" si="13"/>
        <v>Sales</v>
      </c>
      <c r="L246" s="3" t="s">
        <v>40</v>
      </c>
      <c r="M246" s="4">
        <v>43549</v>
      </c>
      <c r="N246" s="4">
        <v>43549</v>
      </c>
      <c r="O246" s="3" t="s">
        <v>78</v>
      </c>
      <c r="P246" s="3">
        <v>87</v>
      </c>
      <c r="Q246" s="3" t="s">
        <v>356</v>
      </c>
      <c r="R246" s="3" t="s">
        <v>43</v>
      </c>
      <c r="S246" s="3" t="s">
        <v>72</v>
      </c>
      <c r="T246" s="3" t="str">
        <f t="shared" si="14"/>
        <v>Part-Time</v>
      </c>
      <c r="V246" s="3">
        <v>4</v>
      </c>
      <c r="W246" s="3" t="s">
        <v>79</v>
      </c>
      <c r="X246" s="3">
        <v>0</v>
      </c>
      <c r="AA246" s="3" t="s">
        <v>33</v>
      </c>
      <c r="AB246" s="3" t="str" cm="1">
        <f t="array" ref="AB246">_xlfn.IFS(AA246="N","No",  AA246 = "Y", "Yes", TRUE, PROPER(TRIM(AA246)))</f>
        <v>Yes</v>
      </c>
      <c r="AC246" s="3">
        <v>1</v>
      </c>
      <c r="AD246" s="3" t="s">
        <v>34</v>
      </c>
      <c r="AE246">
        <f t="shared" si="15"/>
        <v>0</v>
      </c>
    </row>
    <row r="247" spans="1:31" ht="14.25" customHeight="1" x14ac:dyDescent="0.35">
      <c r="A247" s="3" t="s">
        <v>633</v>
      </c>
      <c r="B247" s="3" t="s">
        <v>48</v>
      </c>
      <c r="C247" s="3" t="s">
        <v>459</v>
      </c>
      <c r="D247" s="3">
        <v>50</v>
      </c>
      <c r="E247" s="3">
        <f t="shared" si="12"/>
        <v>50</v>
      </c>
      <c r="F247" s="3">
        <v>1974</v>
      </c>
      <c r="G247" s="3">
        <v>60900</v>
      </c>
      <c r="H247" s="12" cm="1">
        <f t="array" ref="H247">_xlfn.IFS(TRIM(G247)="SIXTY THOUSAND",60000,TRIM(G247)="NAN",AVERAGEIFS(G:G,J:J,J247,L:L,L247),TRUE,G247)</f>
        <v>60900</v>
      </c>
      <c r="I247" s="3" t="s">
        <v>27</v>
      </c>
      <c r="J247" s="3" t="s">
        <v>28</v>
      </c>
      <c r="K247" s="3" t="str">
        <f t="shared" si="13"/>
        <v>HR</v>
      </c>
      <c r="L247" s="3" t="s">
        <v>40</v>
      </c>
      <c r="M247" s="4">
        <v>43881</v>
      </c>
      <c r="N247" s="4">
        <v>43881</v>
      </c>
      <c r="O247" s="3" t="s">
        <v>30</v>
      </c>
      <c r="P247" s="3">
        <v>64</v>
      </c>
      <c r="Q247" s="3" t="s">
        <v>460</v>
      </c>
      <c r="R247" s="3" t="s">
        <v>43</v>
      </c>
      <c r="S247" s="3" t="s">
        <v>32</v>
      </c>
      <c r="T247" s="3" t="str">
        <f t="shared" si="14"/>
        <v>Contract</v>
      </c>
      <c r="V247" s="3">
        <v>2</v>
      </c>
      <c r="W247" s="3" t="s">
        <v>79</v>
      </c>
      <c r="X247" s="3">
        <v>0</v>
      </c>
      <c r="Y247" s="4">
        <v>44732</v>
      </c>
      <c r="AA247" s="3" t="s">
        <v>73</v>
      </c>
      <c r="AB247" s="3" t="str" cm="1">
        <f t="array" ref="AB247">_xlfn.IFS(AA247="N","No",  AA247 = "Y", "Yes", TRUE, PROPER(TRIM(AA247)))</f>
        <v>No</v>
      </c>
      <c r="AC247" s="3">
        <v>1</v>
      </c>
      <c r="AD247" s="3" t="s">
        <v>34</v>
      </c>
      <c r="AE247">
        <f t="shared" si="15"/>
        <v>0</v>
      </c>
    </row>
    <row r="248" spans="1:31" ht="14.25" customHeight="1" x14ac:dyDescent="0.35">
      <c r="A248" s="3" t="s">
        <v>634</v>
      </c>
      <c r="B248" s="3" t="s">
        <v>131</v>
      </c>
      <c r="C248" s="3" t="s">
        <v>635</v>
      </c>
      <c r="D248" s="3" t="s">
        <v>88</v>
      </c>
      <c r="E248" s="3">
        <f t="shared" si="12"/>
        <v>30</v>
      </c>
      <c r="F248" s="3">
        <v>1994</v>
      </c>
      <c r="G248" s="3">
        <v>65000</v>
      </c>
      <c r="H248" s="12" cm="1">
        <f t="array" ref="H248">_xlfn.IFS(TRIM(G248)="SIXTY THOUSAND",60000,TRIM(G248)="NAN",AVERAGEIFS(G:G,J:J,J248,L:L,L248),TRUE,G248)</f>
        <v>65000</v>
      </c>
      <c r="I248" s="3" t="s">
        <v>38</v>
      </c>
      <c r="J248" s="3" t="s">
        <v>82</v>
      </c>
      <c r="K248" s="3" t="str">
        <f t="shared" si="13"/>
        <v>HR</v>
      </c>
      <c r="L248" s="3" t="s">
        <v>40</v>
      </c>
      <c r="M248" s="4">
        <v>43549</v>
      </c>
      <c r="N248" s="4">
        <v>43549</v>
      </c>
      <c r="O248" s="3" t="s">
        <v>52</v>
      </c>
      <c r="P248" s="3">
        <v>76</v>
      </c>
      <c r="Q248" s="3" t="s">
        <v>636</v>
      </c>
      <c r="R248" s="3" t="s">
        <v>54</v>
      </c>
      <c r="S248" s="3" t="s">
        <v>112</v>
      </c>
      <c r="T248" s="3" t="str">
        <f t="shared" si="14"/>
        <v>Full-Time</v>
      </c>
      <c r="V248" s="3">
        <v>8</v>
      </c>
      <c r="Y248" s="4">
        <v>44941</v>
      </c>
      <c r="Z248" s="3">
        <v>8</v>
      </c>
      <c r="AB248" s="3" t="str" cm="1">
        <f t="array" ref="AB248">_xlfn.IFS(AA248="N","No",  AA248 = "Y", "Yes", TRUE, PROPER(TRIM(AA248)))</f>
        <v/>
      </c>
      <c r="AC248" s="3">
        <v>4</v>
      </c>
      <c r="AD248" s="3" t="s">
        <v>34</v>
      </c>
      <c r="AE248">
        <f t="shared" si="15"/>
        <v>0</v>
      </c>
    </row>
    <row r="249" spans="1:31" ht="14.25" customHeight="1" x14ac:dyDescent="0.35">
      <c r="A249" s="3" t="s">
        <v>637</v>
      </c>
      <c r="B249" s="3" t="s">
        <v>48</v>
      </c>
      <c r="C249" s="3" t="s">
        <v>459</v>
      </c>
      <c r="E249" s="3">
        <f t="shared" si="12"/>
        <v>43</v>
      </c>
      <c r="F249" s="3">
        <v>1981</v>
      </c>
      <c r="G249" s="3">
        <v>70000</v>
      </c>
      <c r="H249" s="12" cm="1">
        <f t="array" ref="H249">_xlfn.IFS(TRIM(G249)="SIXTY THOUSAND",60000,TRIM(G249)="NAN",AVERAGEIFS(G:G,J:J,J249,L:L,L249),TRUE,G249)</f>
        <v>70000</v>
      </c>
      <c r="I249" s="3" t="s">
        <v>38</v>
      </c>
      <c r="J249" s="3" t="s">
        <v>64</v>
      </c>
      <c r="K249" s="3" t="str">
        <f t="shared" si="13"/>
        <v>Finance</v>
      </c>
      <c r="L249" s="3" t="s">
        <v>29</v>
      </c>
      <c r="M249" s="4">
        <v>43881</v>
      </c>
      <c r="N249" s="4">
        <v>43881</v>
      </c>
      <c r="O249" s="3" t="s">
        <v>59</v>
      </c>
      <c r="P249" s="3">
        <v>99</v>
      </c>
      <c r="Q249" s="3" t="s">
        <v>460</v>
      </c>
      <c r="R249" s="3" t="s">
        <v>43</v>
      </c>
      <c r="S249" s="3" t="s">
        <v>100</v>
      </c>
      <c r="T249" s="3" t="str">
        <f t="shared" si="14"/>
        <v>Part-Time</v>
      </c>
      <c r="U249" s="3" t="s">
        <v>638</v>
      </c>
      <c r="V249" s="3">
        <v>8</v>
      </c>
      <c r="Z249" s="3">
        <v>8</v>
      </c>
      <c r="AB249" s="3" t="str" cm="1">
        <f t="array" ref="AB249">_xlfn.IFS(AA249="N","No",  AA249 = "Y", "Yes", TRUE, PROPER(TRIM(AA249)))</f>
        <v/>
      </c>
      <c r="AC249" s="3">
        <v>5</v>
      </c>
      <c r="AD249" s="3" t="s">
        <v>46</v>
      </c>
      <c r="AE249">
        <f t="shared" si="15"/>
        <v>1</v>
      </c>
    </row>
    <row r="250" spans="1:31" ht="14.25" customHeight="1" x14ac:dyDescent="0.35">
      <c r="A250" s="3" t="s">
        <v>639</v>
      </c>
      <c r="B250" s="3" t="s">
        <v>36</v>
      </c>
      <c r="C250" s="3" t="s">
        <v>318</v>
      </c>
      <c r="D250" s="3">
        <v>50</v>
      </c>
      <c r="E250" s="3">
        <f t="shared" si="12"/>
        <v>50</v>
      </c>
      <c r="F250" s="3">
        <v>1974</v>
      </c>
      <c r="G250" s="3">
        <v>55000</v>
      </c>
      <c r="H250" s="12" cm="1">
        <f t="array" ref="H250">_xlfn.IFS(TRIM(G250)="SIXTY THOUSAND",60000,TRIM(G250)="NAN",AVERAGEIFS(G:G,J:J,J250,L:L,L250),TRUE,G250)</f>
        <v>55000</v>
      </c>
      <c r="I250" s="3" t="s">
        <v>27</v>
      </c>
      <c r="J250" s="3" t="s">
        <v>122</v>
      </c>
      <c r="K250" s="3" t="str">
        <f t="shared" si="13"/>
        <v>IT</v>
      </c>
      <c r="L250" s="3" t="s">
        <v>77</v>
      </c>
      <c r="M250" s="4">
        <v>43549</v>
      </c>
      <c r="N250" s="4">
        <v>43549</v>
      </c>
      <c r="O250" s="3" t="s">
        <v>52</v>
      </c>
      <c r="P250" s="3">
        <v>79</v>
      </c>
      <c r="Q250" s="3" t="s">
        <v>419</v>
      </c>
      <c r="R250" s="3" t="s">
        <v>61</v>
      </c>
      <c r="S250" s="3" t="s">
        <v>72</v>
      </c>
      <c r="T250" s="3" t="str">
        <f t="shared" si="14"/>
        <v>Part-Time</v>
      </c>
      <c r="V250" s="3">
        <v>8</v>
      </c>
      <c r="W250" s="3" t="s">
        <v>79</v>
      </c>
      <c r="Y250" s="4">
        <v>44732</v>
      </c>
      <c r="AA250" s="3" t="s">
        <v>73</v>
      </c>
      <c r="AB250" s="3" t="str" cm="1">
        <f t="array" ref="AB250">_xlfn.IFS(AA250="N","No",  AA250 = "Y", "Yes", TRUE, PROPER(TRIM(AA250)))</f>
        <v>No</v>
      </c>
      <c r="AC250" s="3">
        <v>2</v>
      </c>
      <c r="AD250" s="3" t="s">
        <v>46</v>
      </c>
      <c r="AE250">
        <f t="shared" si="15"/>
        <v>1</v>
      </c>
    </row>
    <row r="251" spans="1:31" ht="14.25" customHeight="1" x14ac:dyDescent="0.35">
      <c r="A251" s="3" t="s">
        <v>640</v>
      </c>
      <c r="B251" s="3" t="s">
        <v>131</v>
      </c>
      <c r="C251" s="3" t="s">
        <v>305</v>
      </c>
      <c r="D251" s="3">
        <v>35</v>
      </c>
      <c r="E251" s="3">
        <f t="shared" si="12"/>
        <v>35</v>
      </c>
      <c r="F251" s="3">
        <v>1989</v>
      </c>
      <c r="G251" s="3" t="s">
        <v>50</v>
      </c>
      <c r="H251" s="12" cm="1">
        <f t="array" ref="H251">_xlfn.IFS(TRIM(G251)="SIXTY THOUSAND",60000,TRIM(G251)="NAN",AVERAGEIFS(G:G,J:J,J251,L:L,L251),TRUE,G251)</f>
        <v>60000</v>
      </c>
      <c r="I251" s="3" t="s">
        <v>38</v>
      </c>
      <c r="J251" s="3" t="s">
        <v>93</v>
      </c>
      <c r="K251" s="3" t="str">
        <f t="shared" si="13"/>
        <v>Marketing</v>
      </c>
      <c r="L251" s="3" t="s">
        <v>94</v>
      </c>
      <c r="M251" s="4">
        <v>43195</v>
      </c>
      <c r="N251" s="4">
        <v>43195</v>
      </c>
      <c r="O251" s="3" t="s">
        <v>59</v>
      </c>
      <c r="P251" s="3">
        <v>100</v>
      </c>
      <c r="Q251" s="3" t="s">
        <v>306</v>
      </c>
      <c r="R251" s="3" t="s">
        <v>61</v>
      </c>
      <c r="S251" s="3" t="s">
        <v>66</v>
      </c>
      <c r="T251" s="3" t="str">
        <f t="shared" si="14"/>
        <v>Contract</v>
      </c>
      <c r="U251" s="3" t="s">
        <v>86</v>
      </c>
      <c r="V251" s="3">
        <v>2</v>
      </c>
      <c r="AA251" s="3" t="s">
        <v>46</v>
      </c>
      <c r="AB251" s="3" t="str" cm="1">
        <f t="array" ref="AB251">_xlfn.IFS(AA251="N","No",  AA251 = "Y", "Yes", TRUE, PROPER(TRIM(AA251)))</f>
        <v>Yes</v>
      </c>
      <c r="AC251" s="3">
        <v>2</v>
      </c>
      <c r="AD251" s="3" t="s">
        <v>46</v>
      </c>
      <c r="AE251">
        <f t="shared" si="15"/>
        <v>1</v>
      </c>
    </row>
    <row r="252" spans="1:31" ht="14.25" customHeight="1" x14ac:dyDescent="0.35">
      <c r="A252" s="3" t="s">
        <v>641</v>
      </c>
      <c r="B252" s="3" t="s">
        <v>48</v>
      </c>
      <c r="C252" s="3" t="s">
        <v>225</v>
      </c>
      <c r="D252" s="3">
        <v>25</v>
      </c>
      <c r="E252" s="3">
        <f t="shared" si="12"/>
        <v>25</v>
      </c>
      <c r="F252" s="3">
        <v>1999</v>
      </c>
      <c r="G252" s="3">
        <v>60000</v>
      </c>
      <c r="H252" s="12" cm="1">
        <f t="array" ref="H252">_xlfn.IFS(TRIM(G252)="SIXTY THOUSAND",60000,TRIM(G252)="NAN",AVERAGEIFS(G:G,J:J,J252,L:L,L252),TRUE,G252)</f>
        <v>60000</v>
      </c>
      <c r="I252" s="3" t="s">
        <v>38</v>
      </c>
      <c r="J252" s="3" t="s">
        <v>70</v>
      </c>
      <c r="K252" s="3" t="str">
        <f t="shared" si="13"/>
        <v>Marketing</v>
      </c>
      <c r="L252" s="3" t="s">
        <v>29</v>
      </c>
      <c r="M252" s="4">
        <v>43800</v>
      </c>
      <c r="N252" s="4">
        <v>43800</v>
      </c>
      <c r="O252" s="3" t="s">
        <v>52</v>
      </c>
      <c r="P252" s="3">
        <v>71</v>
      </c>
      <c r="Q252" s="3" t="s">
        <v>226</v>
      </c>
      <c r="R252" s="3" t="s">
        <v>43</v>
      </c>
      <c r="S252" s="3" t="s">
        <v>100</v>
      </c>
      <c r="T252" s="3" t="str">
        <f t="shared" si="14"/>
        <v>Part-Time</v>
      </c>
      <c r="V252" s="3">
        <v>8</v>
      </c>
      <c r="X252" s="3">
        <v>5</v>
      </c>
      <c r="Z252" s="3">
        <v>46</v>
      </c>
      <c r="AA252" s="3" t="s">
        <v>34</v>
      </c>
      <c r="AB252" s="3" t="str" cm="1">
        <f t="array" ref="AB252">_xlfn.IFS(AA252="N","No",  AA252 = "Y", "Yes", TRUE, PROPER(TRIM(AA252)))</f>
        <v>No</v>
      </c>
      <c r="AC252" s="3">
        <v>3</v>
      </c>
      <c r="AD252" s="3" t="s">
        <v>34</v>
      </c>
      <c r="AE252">
        <f t="shared" si="15"/>
        <v>0</v>
      </c>
    </row>
    <row r="253" spans="1:31" ht="14.25" customHeight="1" x14ac:dyDescent="0.35">
      <c r="A253" s="3" t="s">
        <v>642</v>
      </c>
      <c r="B253" s="3" t="s">
        <v>36</v>
      </c>
      <c r="C253" s="3" t="s">
        <v>179</v>
      </c>
      <c r="D253" s="3">
        <v>35</v>
      </c>
      <c r="E253" s="3">
        <f t="shared" si="12"/>
        <v>35</v>
      </c>
      <c r="F253" s="3">
        <v>1989</v>
      </c>
      <c r="G253" s="3">
        <v>59800</v>
      </c>
      <c r="H253" s="12" cm="1">
        <f t="array" ref="H253">_xlfn.IFS(TRIM(G253)="SIXTY THOUSAND",60000,TRIM(G253)="NAN",AVERAGEIFS(G:G,J:J,J253,L:L,L253),TRUE,G253)</f>
        <v>59800</v>
      </c>
      <c r="I253" s="3" t="s">
        <v>27</v>
      </c>
      <c r="J253" s="3" t="s">
        <v>122</v>
      </c>
      <c r="K253" s="3" t="str">
        <f t="shared" si="13"/>
        <v>IT</v>
      </c>
      <c r="L253" s="3" t="s">
        <v>89</v>
      </c>
      <c r="M253" s="4">
        <v>43549</v>
      </c>
      <c r="N253" s="4">
        <v>43549</v>
      </c>
      <c r="O253" s="3" t="s">
        <v>52</v>
      </c>
      <c r="P253" s="3">
        <v>79</v>
      </c>
      <c r="Q253" s="3" t="s">
        <v>643</v>
      </c>
      <c r="R253" s="3" t="s">
        <v>61</v>
      </c>
      <c r="S253" s="3" t="s">
        <v>174</v>
      </c>
      <c r="T253" s="3" t="str">
        <f t="shared" si="14"/>
        <v>Full-Time</v>
      </c>
      <c r="V253" s="3">
        <v>8</v>
      </c>
      <c r="X253" s="3">
        <v>4</v>
      </c>
      <c r="Y253" s="4">
        <v>44941</v>
      </c>
      <c r="AA253" s="3" t="s">
        <v>73</v>
      </c>
      <c r="AB253" s="3" t="str" cm="1">
        <f t="array" ref="AB253">_xlfn.IFS(AA253="N","No",  AA253 = "Y", "Yes", TRUE, PROPER(TRIM(AA253)))</f>
        <v>No</v>
      </c>
      <c r="AC253" s="3">
        <v>2</v>
      </c>
      <c r="AD253" s="3" t="s">
        <v>34</v>
      </c>
      <c r="AE253">
        <f t="shared" si="15"/>
        <v>0</v>
      </c>
    </row>
    <row r="254" spans="1:31" ht="14.25" customHeight="1" x14ac:dyDescent="0.35">
      <c r="A254" s="3" t="s">
        <v>644</v>
      </c>
      <c r="B254" s="3" t="s">
        <v>107</v>
      </c>
      <c r="C254" s="3" t="s">
        <v>121</v>
      </c>
      <c r="D254" s="3">
        <v>40</v>
      </c>
      <c r="E254" s="3">
        <f t="shared" si="12"/>
        <v>40</v>
      </c>
      <c r="F254" s="3">
        <v>1984</v>
      </c>
      <c r="G254" s="3">
        <v>55000</v>
      </c>
      <c r="H254" s="12" cm="1">
        <f t="array" ref="H254">_xlfn.IFS(TRIM(G254)="SIXTY THOUSAND",60000,TRIM(G254)="NAN",AVERAGEIFS(G:G,J:J,J254,L:L,L254),TRUE,G254)</f>
        <v>55000</v>
      </c>
      <c r="I254" s="3" t="s">
        <v>27</v>
      </c>
      <c r="J254" s="3" t="s">
        <v>82</v>
      </c>
      <c r="K254" s="3" t="str">
        <f t="shared" si="13"/>
        <v>HR</v>
      </c>
      <c r="L254" s="3" t="s">
        <v>77</v>
      </c>
      <c r="M254" s="4">
        <v>43549</v>
      </c>
      <c r="N254" s="4">
        <v>43549</v>
      </c>
      <c r="O254" s="3" t="s">
        <v>78</v>
      </c>
      <c r="P254" s="3">
        <v>81</v>
      </c>
      <c r="Q254" s="3" t="s">
        <v>123</v>
      </c>
      <c r="S254" s="3" t="s">
        <v>100</v>
      </c>
      <c r="T254" s="3" t="str">
        <f t="shared" si="14"/>
        <v>Part-Time</v>
      </c>
      <c r="V254" s="3">
        <v>6</v>
      </c>
      <c r="X254" s="3">
        <v>9</v>
      </c>
      <c r="AA254" s="3" t="s">
        <v>34</v>
      </c>
      <c r="AB254" s="3" t="str" cm="1">
        <f t="array" ref="AB254">_xlfn.IFS(AA254="N","No",  AA254 = "Y", "Yes", TRUE, PROPER(TRIM(AA254)))</f>
        <v>No</v>
      </c>
      <c r="AC254" s="3">
        <v>4</v>
      </c>
      <c r="AD254" s="3" t="s">
        <v>46</v>
      </c>
      <c r="AE254">
        <f t="shared" si="15"/>
        <v>1</v>
      </c>
    </row>
    <row r="255" spans="1:31" ht="14.25" customHeight="1" x14ac:dyDescent="0.35">
      <c r="A255" s="3" t="s">
        <v>645</v>
      </c>
      <c r="B255" s="3" t="s">
        <v>48</v>
      </c>
      <c r="C255" s="3" t="s">
        <v>179</v>
      </c>
      <c r="E255" s="3">
        <f t="shared" si="12"/>
        <v>26</v>
      </c>
      <c r="F255" s="3">
        <v>1998</v>
      </c>
      <c r="G255" s="3">
        <v>65000</v>
      </c>
      <c r="H255" s="12" cm="1">
        <f t="array" ref="H255">_xlfn.IFS(TRIM(G255)="SIXTY THOUSAND",60000,TRIM(G255)="NAN",AVERAGEIFS(G:G,J:J,J255,L:L,L255),TRUE,G255)</f>
        <v>65000</v>
      </c>
      <c r="I255" s="3" t="s">
        <v>27</v>
      </c>
      <c r="J255" s="3" t="s">
        <v>64</v>
      </c>
      <c r="K255" s="3" t="str">
        <f t="shared" si="13"/>
        <v>Finance</v>
      </c>
      <c r="L255" s="3" t="s">
        <v>77</v>
      </c>
      <c r="M255" s="4">
        <v>43195</v>
      </c>
      <c r="N255" s="4">
        <v>43195</v>
      </c>
      <c r="O255" s="3" t="s">
        <v>41</v>
      </c>
      <c r="P255" s="3">
        <v>50</v>
      </c>
      <c r="Q255" s="3" t="s">
        <v>646</v>
      </c>
      <c r="R255" s="3" t="s">
        <v>61</v>
      </c>
      <c r="S255" s="3" t="s">
        <v>112</v>
      </c>
      <c r="T255" s="3" t="str">
        <f t="shared" si="14"/>
        <v>Full-Time</v>
      </c>
      <c r="V255" s="3">
        <v>2</v>
      </c>
      <c r="W255" s="3" t="s">
        <v>79</v>
      </c>
      <c r="X255" s="3">
        <v>5</v>
      </c>
      <c r="AA255" s="3" t="s">
        <v>73</v>
      </c>
      <c r="AB255" s="3" t="str" cm="1">
        <f t="array" ref="AB255">_xlfn.IFS(AA255="N","No",  AA255 = "Y", "Yes", TRUE, PROPER(TRIM(AA255)))</f>
        <v>No</v>
      </c>
      <c r="AC255" s="3">
        <v>3</v>
      </c>
      <c r="AD255" s="3" t="s">
        <v>46</v>
      </c>
      <c r="AE255">
        <f t="shared" si="15"/>
        <v>1</v>
      </c>
    </row>
    <row r="256" spans="1:31" ht="14.25" customHeight="1" x14ac:dyDescent="0.35">
      <c r="A256" s="3" t="s">
        <v>647</v>
      </c>
      <c r="B256" s="3" t="s">
        <v>36</v>
      </c>
      <c r="C256" s="3" t="s">
        <v>524</v>
      </c>
      <c r="D256" s="3">
        <v>35</v>
      </c>
      <c r="E256" s="3">
        <f t="shared" si="12"/>
        <v>35</v>
      </c>
      <c r="F256" s="3">
        <v>1989</v>
      </c>
      <c r="G256" s="3">
        <v>55000</v>
      </c>
      <c r="H256" s="12" cm="1">
        <f t="array" ref="H256">_xlfn.IFS(TRIM(G256)="SIXTY THOUSAND",60000,TRIM(G256)="NAN",AVERAGEIFS(G:G,J:J,J256,L:L,L256),TRUE,G256)</f>
        <v>55000</v>
      </c>
      <c r="I256" s="3" t="s">
        <v>27</v>
      </c>
      <c r="J256" s="3" t="s">
        <v>64</v>
      </c>
      <c r="K256" s="3" t="str">
        <f t="shared" si="13"/>
        <v>Finance</v>
      </c>
      <c r="L256" s="3" t="s">
        <v>89</v>
      </c>
      <c r="M256" s="4">
        <v>43549</v>
      </c>
      <c r="N256" s="4">
        <v>43549</v>
      </c>
      <c r="O256" s="3" t="s">
        <v>30</v>
      </c>
      <c r="P256" s="3">
        <v>68</v>
      </c>
      <c r="Q256" s="3" t="s">
        <v>648</v>
      </c>
      <c r="R256" s="3" t="s">
        <v>43</v>
      </c>
      <c r="S256" s="3" t="s">
        <v>72</v>
      </c>
      <c r="T256" s="3" t="str">
        <f t="shared" si="14"/>
        <v>Part-Time</v>
      </c>
      <c r="V256" s="3">
        <v>8</v>
      </c>
      <c r="Y256" s="4">
        <v>45516</v>
      </c>
      <c r="AB256" s="3" t="str" cm="1">
        <f t="array" ref="AB256">_xlfn.IFS(AA256="N","No",  AA256 = "Y", "Yes", TRUE, PROPER(TRIM(AA256)))</f>
        <v/>
      </c>
      <c r="AC256" s="3">
        <v>3</v>
      </c>
      <c r="AD256" s="3" t="s">
        <v>34</v>
      </c>
      <c r="AE256">
        <f t="shared" si="15"/>
        <v>0</v>
      </c>
    </row>
    <row r="257" spans="1:31" ht="14.25" customHeight="1" x14ac:dyDescent="0.35">
      <c r="A257" s="3" t="s">
        <v>649</v>
      </c>
      <c r="B257" s="3" t="s">
        <v>75</v>
      </c>
      <c r="C257" s="3" t="s">
        <v>625</v>
      </c>
      <c r="D257" s="3" t="s">
        <v>88</v>
      </c>
      <c r="E257" s="3">
        <f t="shared" si="12"/>
        <v>30</v>
      </c>
      <c r="F257" s="3">
        <v>1994</v>
      </c>
      <c r="G257" s="3">
        <v>61600</v>
      </c>
      <c r="H257" s="12" cm="1">
        <f t="array" ref="H257">_xlfn.IFS(TRIM(G257)="SIXTY THOUSAND",60000,TRIM(G257)="NAN",AVERAGEIFS(G:G,J:J,J257,L:L,L257),TRUE,G257)</f>
        <v>61600</v>
      </c>
      <c r="I257" s="3" t="s">
        <v>27</v>
      </c>
      <c r="J257" s="3" t="s">
        <v>70</v>
      </c>
      <c r="K257" s="3" t="str">
        <f t="shared" si="13"/>
        <v>Marketing</v>
      </c>
      <c r="L257" s="3" t="s">
        <v>89</v>
      </c>
      <c r="M257" s="4">
        <v>43845</v>
      </c>
      <c r="N257" s="4">
        <v>43845</v>
      </c>
      <c r="O257" s="3" t="s">
        <v>30</v>
      </c>
      <c r="P257" s="3">
        <v>67</v>
      </c>
      <c r="Q257" s="3" t="s">
        <v>626</v>
      </c>
      <c r="R257" s="3" t="s">
        <v>104</v>
      </c>
      <c r="S257" s="3" t="s">
        <v>100</v>
      </c>
      <c r="T257" s="3" t="str">
        <f t="shared" si="14"/>
        <v>Part-Time</v>
      </c>
      <c r="V257" s="3">
        <v>1</v>
      </c>
      <c r="AA257" s="3" t="s">
        <v>33</v>
      </c>
      <c r="AB257" s="3" t="str" cm="1">
        <f t="array" ref="AB257">_xlfn.IFS(AA257="N","No",  AA257 = "Y", "Yes", TRUE, PROPER(TRIM(AA257)))</f>
        <v>Yes</v>
      </c>
      <c r="AC257" s="3">
        <v>3</v>
      </c>
      <c r="AD257" s="3" t="s">
        <v>46</v>
      </c>
      <c r="AE257">
        <f t="shared" si="15"/>
        <v>1</v>
      </c>
    </row>
    <row r="258" spans="1:31" ht="14.25" customHeight="1" x14ac:dyDescent="0.35">
      <c r="A258" s="3" t="s">
        <v>650</v>
      </c>
      <c r="B258" s="3" t="s">
        <v>140</v>
      </c>
      <c r="C258" s="3" t="s">
        <v>110</v>
      </c>
      <c r="D258" s="3">
        <v>40</v>
      </c>
      <c r="E258" s="3">
        <f t="shared" ref="E258:E321" si="16">2024-F258</f>
        <v>40</v>
      </c>
      <c r="F258" s="3">
        <v>1984</v>
      </c>
      <c r="G258" s="3">
        <v>50000</v>
      </c>
      <c r="H258" s="12" cm="1">
        <f t="array" ref="H258">_xlfn.IFS(TRIM(G258)="SIXTY THOUSAND",60000,TRIM(G258)="NAN",AVERAGEIFS(G:G,J:J,J258,L:L,L258),TRUE,G258)</f>
        <v>50000</v>
      </c>
      <c r="I258" s="3" t="s">
        <v>38</v>
      </c>
      <c r="J258" s="3" t="s">
        <v>39</v>
      </c>
      <c r="K258" s="3" t="str">
        <f t="shared" ref="K258:K321" si="17">IF(OR(J258="HR",J258="IT"),UPPER(J258),PROPER(J258))</f>
        <v>Finance</v>
      </c>
      <c r="L258" s="3" t="s">
        <v>89</v>
      </c>
      <c r="M258" s="4">
        <v>43195</v>
      </c>
      <c r="N258" s="4">
        <v>43195</v>
      </c>
      <c r="O258" s="3" t="s">
        <v>30</v>
      </c>
      <c r="P258" s="3">
        <v>67</v>
      </c>
      <c r="Q258" s="3" t="s">
        <v>651</v>
      </c>
      <c r="S258" s="3" t="s">
        <v>174</v>
      </c>
      <c r="T258" s="3" t="str">
        <f t="shared" ref="T258:T321" si="18">PROPER(S258)</f>
        <v>Full-Time</v>
      </c>
      <c r="V258" s="3">
        <v>2</v>
      </c>
      <c r="AA258" s="3" t="s">
        <v>482</v>
      </c>
      <c r="AB258" s="3" t="str" cm="1">
        <f t="array" ref="AB258">_xlfn.IFS(AA258="N","No",  AA258 = "Y", "Yes", TRUE, PROPER(TRIM(AA258)))</f>
        <v>Yes</v>
      </c>
      <c r="AC258" s="3">
        <v>2</v>
      </c>
      <c r="AD258" s="3" t="s">
        <v>46</v>
      </c>
      <c r="AE258">
        <f t="shared" si="15"/>
        <v>1</v>
      </c>
    </row>
    <row r="259" spans="1:31" ht="14.25" customHeight="1" x14ac:dyDescent="0.35">
      <c r="A259" s="3" t="s">
        <v>652</v>
      </c>
      <c r="B259" s="3" t="s">
        <v>75</v>
      </c>
      <c r="C259" s="3" t="s">
        <v>76</v>
      </c>
      <c r="D259" s="3">
        <v>40</v>
      </c>
      <c r="E259" s="3">
        <f t="shared" si="16"/>
        <v>40</v>
      </c>
      <c r="F259" s="3">
        <v>1984</v>
      </c>
      <c r="G259" s="3" t="s">
        <v>50</v>
      </c>
      <c r="H259" s="12" cm="1">
        <f t="array" ref="H259">_xlfn.IFS(TRIM(G259)="SIXTY THOUSAND",60000,TRIM(G259)="NAN",AVERAGEIFS(G:G,J:J,J259,L:L,L259),TRUE,G259)</f>
        <v>60000</v>
      </c>
      <c r="I259" s="3" t="s">
        <v>38</v>
      </c>
      <c r="J259" s="3" t="s">
        <v>58</v>
      </c>
      <c r="K259" s="3" t="str">
        <f t="shared" si="17"/>
        <v>IT</v>
      </c>
      <c r="L259" s="3" t="s">
        <v>94</v>
      </c>
      <c r="M259" s="4">
        <v>43845</v>
      </c>
      <c r="N259" s="4">
        <v>43845</v>
      </c>
      <c r="O259" s="3" t="s">
        <v>59</v>
      </c>
      <c r="P259" s="3">
        <v>92</v>
      </c>
      <c r="Q259" s="3" t="s">
        <v>653</v>
      </c>
      <c r="R259" s="3" t="s">
        <v>54</v>
      </c>
      <c r="S259" s="3" t="s">
        <v>32</v>
      </c>
      <c r="T259" s="3" t="str">
        <f t="shared" si="18"/>
        <v>Contract</v>
      </c>
      <c r="V259" s="3">
        <v>7</v>
      </c>
      <c r="W259" s="3">
        <v>8</v>
      </c>
      <c r="X259" s="3">
        <v>20</v>
      </c>
      <c r="AA259" s="3" t="s">
        <v>169</v>
      </c>
      <c r="AB259" s="3" t="str" cm="1">
        <f t="array" ref="AB259">_xlfn.IFS(AA259="N","No",  AA259 = "Y", "Yes", TRUE, PROPER(TRIM(AA259)))</f>
        <v>Yes</v>
      </c>
      <c r="AC259" s="3">
        <v>1</v>
      </c>
      <c r="AD259" s="3" t="s">
        <v>34</v>
      </c>
      <c r="AE259">
        <f t="shared" ref="AE259:AE322" si="19">IF(AD259="Yes",1,0)</f>
        <v>0</v>
      </c>
    </row>
    <row r="260" spans="1:31" ht="14.25" customHeight="1" x14ac:dyDescent="0.35">
      <c r="A260" s="3" t="s">
        <v>654</v>
      </c>
      <c r="B260" s="3" t="s">
        <v>140</v>
      </c>
      <c r="C260" s="3" t="s">
        <v>148</v>
      </c>
      <c r="D260" s="3">
        <v>35</v>
      </c>
      <c r="E260" s="3">
        <f t="shared" si="16"/>
        <v>35</v>
      </c>
      <c r="F260" s="3">
        <v>1989</v>
      </c>
      <c r="G260" s="3">
        <v>55000</v>
      </c>
      <c r="H260" s="12" cm="1">
        <f t="array" ref="H260">_xlfn.IFS(TRIM(G260)="SIXTY THOUSAND",60000,TRIM(G260)="NAN",AVERAGEIFS(G:G,J:J,J260,L:L,L260),TRUE,G260)</f>
        <v>55000</v>
      </c>
      <c r="I260" s="3" t="s">
        <v>38</v>
      </c>
      <c r="J260" s="3" t="s">
        <v>82</v>
      </c>
      <c r="K260" s="3" t="str">
        <f t="shared" si="17"/>
        <v>HR</v>
      </c>
      <c r="L260" s="3" t="s">
        <v>40</v>
      </c>
      <c r="M260" s="4">
        <v>43195</v>
      </c>
      <c r="N260" s="4">
        <v>43195</v>
      </c>
      <c r="O260" s="3" t="s">
        <v>30</v>
      </c>
      <c r="P260" s="3">
        <v>64</v>
      </c>
      <c r="Q260" s="3" t="s">
        <v>655</v>
      </c>
      <c r="R260" s="3" t="s">
        <v>43</v>
      </c>
      <c r="S260" s="3" t="s">
        <v>32</v>
      </c>
      <c r="T260" s="3" t="str">
        <f t="shared" si="18"/>
        <v>Contract</v>
      </c>
      <c r="U260" s="3" t="s">
        <v>656</v>
      </c>
      <c r="V260" s="3">
        <v>7</v>
      </c>
      <c r="W260" s="3">
        <v>15</v>
      </c>
      <c r="AA260" s="3" t="s">
        <v>34</v>
      </c>
      <c r="AB260" s="3" t="str" cm="1">
        <f t="array" ref="AB260">_xlfn.IFS(AA260="N","No",  AA260 = "Y", "Yes", TRUE, PROPER(TRIM(AA260)))</f>
        <v>No</v>
      </c>
      <c r="AC260" s="3">
        <v>2</v>
      </c>
      <c r="AD260" s="3" t="s">
        <v>46</v>
      </c>
      <c r="AE260">
        <f t="shared" si="19"/>
        <v>1</v>
      </c>
    </row>
    <row r="261" spans="1:31" ht="14.25" customHeight="1" x14ac:dyDescent="0.35">
      <c r="A261" s="3" t="s">
        <v>657</v>
      </c>
      <c r="B261" s="3" t="s">
        <v>114</v>
      </c>
      <c r="C261" s="3" t="s">
        <v>403</v>
      </c>
      <c r="D261" s="3">
        <v>35</v>
      </c>
      <c r="E261" s="3">
        <f t="shared" si="16"/>
        <v>35</v>
      </c>
      <c r="F261" s="3">
        <v>1989</v>
      </c>
      <c r="G261" s="3">
        <v>58600</v>
      </c>
      <c r="H261" s="12" cm="1">
        <f t="array" ref="H261">_xlfn.IFS(TRIM(G261)="SIXTY THOUSAND",60000,TRIM(G261)="NAN",AVERAGEIFS(G:G,J:J,J261,L:L,L261),TRUE,G261)</f>
        <v>58600</v>
      </c>
      <c r="I261" s="3" t="s">
        <v>27</v>
      </c>
      <c r="J261" s="3" t="s">
        <v>122</v>
      </c>
      <c r="K261" s="3" t="str">
        <f t="shared" si="17"/>
        <v>IT</v>
      </c>
      <c r="L261" s="3" t="s">
        <v>77</v>
      </c>
      <c r="M261" s="4">
        <v>43549</v>
      </c>
      <c r="N261" s="4">
        <v>43549</v>
      </c>
      <c r="O261" s="3" t="s">
        <v>30</v>
      </c>
      <c r="P261" s="3">
        <v>64</v>
      </c>
      <c r="Q261" s="3" t="s">
        <v>658</v>
      </c>
      <c r="R261" s="3" t="s">
        <v>54</v>
      </c>
      <c r="S261" s="3" t="s">
        <v>72</v>
      </c>
      <c r="T261" s="3" t="str">
        <f t="shared" si="18"/>
        <v>Part-Time</v>
      </c>
      <c r="V261" s="3">
        <v>1</v>
      </c>
      <c r="Y261" s="4">
        <v>45516</v>
      </c>
      <c r="AA261" s="3" t="s">
        <v>34</v>
      </c>
      <c r="AB261" s="3" t="str" cm="1">
        <f t="array" ref="AB261">_xlfn.IFS(AA261="N","No",  AA261 = "Y", "Yes", TRUE, PROPER(TRIM(AA261)))</f>
        <v>No</v>
      </c>
      <c r="AC261" s="3">
        <v>4</v>
      </c>
      <c r="AD261" s="3" t="s">
        <v>34</v>
      </c>
      <c r="AE261">
        <f t="shared" si="19"/>
        <v>0</v>
      </c>
    </row>
    <row r="262" spans="1:31" ht="14.25" customHeight="1" x14ac:dyDescent="0.35">
      <c r="A262" s="3" t="s">
        <v>659</v>
      </c>
      <c r="B262" s="3" t="s">
        <v>114</v>
      </c>
      <c r="C262" s="3" t="s">
        <v>524</v>
      </c>
      <c r="E262" s="3">
        <f t="shared" si="16"/>
        <v>51</v>
      </c>
      <c r="F262" s="3">
        <v>1973</v>
      </c>
      <c r="G262" s="3">
        <v>65000</v>
      </c>
      <c r="H262" s="12" cm="1">
        <f t="array" ref="H262">_xlfn.IFS(TRIM(G262)="SIXTY THOUSAND",60000,TRIM(G262)="NAN",AVERAGEIFS(G:G,J:J,J262,L:L,L262),TRUE,G262)</f>
        <v>65000</v>
      </c>
      <c r="I262" s="3" t="s">
        <v>27</v>
      </c>
      <c r="J262" s="3" t="s">
        <v>145</v>
      </c>
      <c r="K262" s="3" t="str">
        <f t="shared" si="17"/>
        <v>Sales</v>
      </c>
      <c r="L262" s="3" t="s">
        <v>40</v>
      </c>
      <c r="M262" s="4">
        <v>43845</v>
      </c>
      <c r="N262" s="4">
        <v>43845</v>
      </c>
      <c r="O262" s="3" t="s">
        <v>78</v>
      </c>
      <c r="P262" s="3">
        <v>85</v>
      </c>
      <c r="Q262" s="3" t="s">
        <v>660</v>
      </c>
      <c r="R262" s="3" t="s">
        <v>104</v>
      </c>
      <c r="S262" s="3" t="s">
        <v>32</v>
      </c>
      <c r="T262" s="3" t="str">
        <f t="shared" si="18"/>
        <v>Contract</v>
      </c>
      <c r="V262" s="3">
        <v>1</v>
      </c>
      <c r="W262" s="3" t="s">
        <v>79</v>
      </c>
      <c r="AA262" s="3" t="s">
        <v>33</v>
      </c>
      <c r="AB262" s="3" t="str" cm="1">
        <f t="array" ref="AB262">_xlfn.IFS(AA262="N","No",  AA262 = "Y", "Yes", TRUE, PROPER(TRIM(AA262)))</f>
        <v>Yes</v>
      </c>
      <c r="AC262" s="3">
        <v>3</v>
      </c>
      <c r="AD262" s="3" t="s">
        <v>34</v>
      </c>
      <c r="AE262">
        <f t="shared" si="19"/>
        <v>0</v>
      </c>
    </row>
    <row r="263" spans="1:31" ht="14.25" customHeight="1" x14ac:dyDescent="0.35">
      <c r="A263" s="3" t="s">
        <v>661</v>
      </c>
      <c r="B263" s="3" t="s">
        <v>114</v>
      </c>
      <c r="C263" s="3" t="s">
        <v>662</v>
      </c>
      <c r="D263" s="3">
        <v>25</v>
      </c>
      <c r="E263" s="3">
        <f t="shared" si="16"/>
        <v>25</v>
      </c>
      <c r="F263" s="3">
        <v>1999</v>
      </c>
      <c r="G263" s="3">
        <v>60500</v>
      </c>
      <c r="H263" s="12" cm="1">
        <f t="array" ref="H263">_xlfn.IFS(TRIM(G263)="SIXTY THOUSAND",60000,TRIM(G263)="NAN",AVERAGEIFS(G:G,J:J,J263,L:L,L263),TRUE,G263)</f>
        <v>60500</v>
      </c>
      <c r="I263" s="3" t="s">
        <v>27</v>
      </c>
      <c r="J263" s="3" t="s">
        <v>70</v>
      </c>
      <c r="K263" s="3" t="str">
        <f t="shared" si="17"/>
        <v>Marketing</v>
      </c>
      <c r="L263" s="3" t="s">
        <v>40</v>
      </c>
      <c r="M263" s="4">
        <v>43549</v>
      </c>
      <c r="N263" s="4">
        <v>43549</v>
      </c>
      <c r="O263" s="3" t="s">
        <v>52</v>
      </c>
      <c r="P263" s="3">
        <v>78</v>
      </c>
      <c r="Q263" s="3" t="s">
        <v>663</v>
      </c>
      <c r="R263" s="3" t="s">
        <v>54</v>
      </c>
      <c r="S263" s="3" t="s">
        <v>66</v>
      </c>
      <c r="T263" s="3" t="str">
        <f t="shared" si="18"/>
        <v>Contract</v>
      </c>
      <c r="V263" s="3">
        <v>2</v>
      </c>
      <c r="W263" s="3">
        <v>2</v>
      </c>
      <c r="Y263" s="4">
        <v>44941</v>
      </c>
      <c r="AA263" s="3" t="s">
        <v>33</v>
      </c>
      <c r="AB263" s="3" t="str" cm="1">
        <f t="array" ref="AB263">_xlfn.IFS(AA263="N","No",  AA263 = "Y", "Yes", TRUE, PROPER(TRIM(AA263)))</f>
        <v>Yes</v>
      </c>
      <c r="AC263" s="3">
        <v>2</v>
      </c>
      <c r="AD263" s="3" t="s">
        <v>46</v>
      </c>
      <c r="AE263">
        <f t="shared" si="19"/>
        <v>1</v>
      </c>
    </row>
    <row r="264" spans="1:31" ht="14.25" customHeight="1" x14ac:dyDescent="0.35">
      <c r="A264" s="3" t="s">
        <v>664</v>
      </c>
      <c r="B264" s="3" t="s">
        <v>107</v>
      </c>
      <c r="C264" s="3" t="s">
        <v>158</v>
      </c>
      <c r="D264" s="3">
        <v>35</v>
      </c>
      <c r="E264" s="3">
        <f t="shared" si="16"/>
        <v>35</v>
      </c>
      <c r="F264" s="3">
        <v>1989</v>
      </c>
      <c r="G264" s="3">
        <v>65000</v>
      </c>
      <c r="H264" s="12" cm="1">
        <f t="array" ref="H264">_xlfn.IFS(TRIM(G264)="SIXTY THOUSAND",60000,TRIM(G264)="NAN",AVERAGEIFS(G:G,J:J,J264,L:L,L264),TRUE,G264)</f>
        <v>65000</v>
      </c>
      <c r="I264" s="3" t="s">
        <v>27</v>
      </c>
      <c r="J264" s="3" t="s">
        <v>64</v>
      </c>
      <c r="K264" s="3" t="str">
        <f t="shared" si="17"/>
        <v>Finance</v>
      </c>
      <c r="L264" s="3" t="s">
        <v>89</v>
      </c>
      <c r="M264" s="4">
        <v>43195</v>
      </c>
      <c r="N264" s="4">
        <v>43195</v>
      </c>
      <c r="O264" s="3" t="s">
        <v>30</v>
      </c>
      <c r="P264" s="3">
        <v>67</v>
      </c>
      <c r="Q264" s="3" t="s">
        <v>665</v>
      </c>
      <c r="R264" s="3" t="s">
        <v>43</v>
      </c>
      <c r="S264" s="3" t="s">
        <v>112</v>
      </c>
      <c r="T264" s="3" t="str">
        <f t="shared" si="18"/>
        <v>Full-Time</v>
      </c>
      <c r="V264" s="3">
        <v>5</v>
      </c>
      <c r="AA264" s="3" t="s">
        <v>73</v>
      </c>
      <c r="AB264" s="3" t="str" cm="1">
        <f t="array" ref="AB264">_xlfn.IFS(AA264="N","No",  AA264 = "Y", "Yes", TRUE, PROPER(TRIM(AA264)))</f>
        <v>No</v>
      </c>
      <c r="AC264" s="3">
        <v>1</v>
      </c>
      <c r="AD264" s="3" t="s">
        <v>34</v>
      </c>
      <c r="AE264">
        <f t="shared" si="19"/>
        <v>0</v>
      </c>
    </row>
    <row r="265" spans="1:31" ht="14.25" customHeight="1" x14ac:dyDescent="0.35">
      <c r="A265" s="3" t="s">
        <v>666</v>
      </c>
      <c r="B265" s="3" t="s">
        <v>75</v>
      </c>
      <c r="C265" s="3" t="s">
        <v>76</v>
      </c>
      <c r="D265" s="3">
        <v>35</v>
      </c>
      <c r="E265" s="3">
        <f t="shared" si="16"/>
        <v>35</v>
      </c>
      <c r="F265" s="3">
        <v>1989</v>
      </c>
      <c r="G265" s="3">
        <v>55000</v>
      </c>
      <c r="H265" s="12" cm="1">
        <f t="array" ref="H265">_xlfn.IFS(TRIM(G265)="SIXTY THOUSAND",60000,TRIM(G265)="NAN",AVERAGEIFS(G:G,J:J,J265,L:L,L265),TRUE,G265)</f>
        <v>55000</v>
      </c>
      <c r="I265" s="3" t="s">
        <v>38</v>
      </c>
      <c r="J265" s="3" t="s">
        <v>51</v>
      </c>
      <c r="K265" s="3" t="str">
        <f t="shared" si="17"/>
        <v>Sales</v>
      </c>
      <c r="L265" s="3" t="s">
        <v>94</v>
      </c>
      <c r="M265" s="4">
        <v>43549</v>
      </c>
      <c r="N265" s="4">
        <v>43549</v>
      </c>
      <c r="O265" s="3" t="s">
        <v>41</v>
      </c>
      <c r="P265" s="3">
        <v>2</v>
      </c>
      <c r="Q265" s="3" t="s">
        <v>653</v>
      </c>
      <c r="R265" s="3" t="s">
        <v>43</v>
      </c>
      <c r="S265" s="3" t="s">
        <v>32</v>
      </c>
      <c r="T265" s="3" t="str">
        <f t="shared" si="18"/>
        <v>Contract</v>
      </c>
      <c r="V265" s="3">
        <v>4</v>
      </c>
      <c r="W265" s="3">
        <v>4</v>
      </c>
      <c r="AA265" s="3" t="s">
        <v>34</v>
      </c>
      <c r="AB265" s="3" t="str" cm="1">
        <f t="array" ref="AB265">_xlfn.IFS(AA265="N","No",  AA265 = "Y", "Yes", TRUE, PROPER(TRIM(AA265)))</f>
        <v>No</v>
      </c>
      <c r="AC265" s="3">
        <v>2</v>
      </c>
      <c r="AD265" s="3" t="s">
        <v>34</v>
      </c>
      <c r="AE265">
        <f t="shared" si="19"/>
        <v>0</v>
      </c>
    </row>
    <row r="266" spans="1:31" ht="14.25" customHeight="1" x14ac:dyDescent="0.35">
      <c r="A266" s="3" t="s">
        <v>667</v>
      </c>
      <c r="B266" s="3" t="s">
        <v>140</v>
      </c>
      <c r="C266" s="3" t="s">
        <v>268</v>
      </c>
      <c r="D266" s="3">
        <v>50</v>
      </c>
      <c r="E266" s="3">
        <f t="shared" si="16"/>
        <v>50</v>
      </c>
      <c r="F266" s="3">
        <v>1974</v>
      </c>
      <c r="G266" s="3">
        <v>65000</v>
      </c>
      <c r="H266" s="12" cm="1">
        <f t="array" ref="H266">_xlfn.IFS(TRIM(G266)="SIXTY THOUSAND",60000,TRIM(G266)="NAN",AVERAGEIFS(G:G,J:J,J266,L:L,L266),TRUE,G266)</f>
        <v>65000</v>
      </c>
      <c r="I266" s="3" t="s">
        <v>27</v>
      </c>
      <c r="J266" s="3" t="s">
        <v>64</v>
      </c>
      <c r="K266" s="3" t="str">
        <f t="shared" si="17"/>
        <v>Finance</v>
      </c>
      <c r="L266" s="3" t="s">
        <v>29</v>
      </c>
      <c r="M266" s="4">
        <v>43845</v>
      </c>
      <c r="N266" s="4">
        <v>43845</v>
      </c>
      <c r="O266" s="3" t="s">
        <v>30</v>
      </c>
      <c r="P266" s="3">
        <v>61</v>
      </c>
      <c r="Q266" s="3" t="s">
        <v>269</v>
      </c>
      <c r="R266" s="3" t="s">
        <v>104</v>
      </c>
      <c r="S266" s="3" t="s">
        <v>32</v>
      </c>
      <c r="T266" s="3" t="str">
        <f t="shared" si="18"/>
        <v>Contract</v>
      </c>
      <c r="U266" s="3" t="s">
        <v>312</v>
      </c>
      <c r="V266" s="3">
        <v>8</v>
      </c>
      <c r="AA266" s="3" t="s">
        <v>34</v>
      </c>
      <c r="AB266" s="3" t="str" cm="1">
        <f t="array" ref="AB266">_xlfn.IFS(AA266="N","No",  AA266 = "Y", "Yes", TRUE, PROPER(TRIM(AA266)))</f>
        <v>No</v>
      </c>
      <c r="AC266" s="3">
        <v>4</v>
      </c>
      <c r="AD266" s="3" t="s">
        <v>34</v>
      </c>
      <c r="AE266">
        <f t="shared" si="19"/>
        <v>0</v>
      </c>
    </row>
    <row r="267" spans="1:31" ht="14.25" customHeight="1" x14ac:dyDescent="0.35">
      <c r="A267" s="3" t="s">
        <v>668</v>
      </c>
      <c r="B267" s="3" t="s">
        <v>36</v>
      </c>
      <c r="C267" s="3" t="s">
        <v>256</v>
      </c>
      <c r="D267" s="3" t="s">
        <v>88</v>
      </c>
      <c r="E267" s="3">
        <f t="shared" si="16"/>
        <v>30</v>
      </c>
      <c r="F267" s="3">
        <v>1994</v>
      </c>
      <c r="G267" s="3">
        <v>70000</v>
      </c>
      <c r="H267" s="12" cm="1">
        <f t="array" ref="H267">_xlfn.IFS(TRIM(G267)="SIXTY THOUSAND",60000,TRIM(G267)="NAN",AVERAGEIFS(G:G,J:J,J267,L:L,L267),TRUE,G267)</f>
        <v>70000</v>
      </c>
      <c r="I267" s="3" t="s">
        <v>38</v>
      </c>
      <c r="J267" s="3" t="s">
        <v>28</v>
      </c>
      <c r="K267" s="3" t="str">
        <f t="shared" si="17"/>
        <v>HR</v>
      </c>
      <c r="L267" s="3" t="s">
        <v>94</v>
      </c>
      <c r="M267" s="4">
        <v>43845</v>
      </c>
      <c r="N267" s="4">
        <v>43845</v>
      </c>
      <c r="O267" s="3" t="s">
        <v>59</v>
      </c>
      <c r="P267" s="3">
        <v>93</v>
      </c>
      <c r="Q267" s="3" t="s">
        <v>669</v>
      </c>
      <c r="R267" s="3" t="s">
        <v>43</v>
      </c>
      <c r="S267" s="3" t="s">
        <v>66</v>
      </c>
      <c r="T267" s="3" t="str">
        <f t="shared" si="18"/>
        <v>Contract</v>
      </c>
      <c r="U267" s="3" t="s">
        <v>670</v>
      </c>
      <c r="V267" s="3">
        <v>6</v>
      </c>
      <c r="X267" s="3">
        <v>2</v>
      </c>
      <c r="AA267" s="3" t="s">
        <v>33</v>
      </c>
      <c r="AB267" s="3" t="str" cm="1">
        <f t="array" ref="AB267">_xlfn.IFS(AA267="N","No",  AA267 = "Y", "Yes", TRUE, PROPER(TRIM(AA267)))</f>
        <v>Yes</v>
      </c>
      <c r="AC267" s="3">
        <v>2</v>
      </c>
      <c r="AD267" s="3" t="s">
        <v>46</v>
      </c>
      <c r="AE267">
        <f t="shared" si="19"/>
        <v>1</v>
      </c>
    </row>
    <row r="268" spans="1:31" ht="14.25" customHeight="1" x14ac:dyDescent="0.35">
      <c r="A268" s="3" t="s">
        <v>671</v>
      </c>
      <c r="B268" s="3" t="s">
        <v>131</v>
      </c>
      <c r="C268" s="3" t="s">
        <v>259</v>
      </c>
      <c r="D268" s="3">
        <v>50</v>
      </c>
      <c r="E268" s="3">
        <f t="shared" si="16"/>
        <v>50</v>
      </c>
      <c r="F268" s="3">
        <v>1974</v>
      </c>
      <c r="G268" s="3">
        <v>70000</v>
      </c>
      <c r="H268" s="12" cm="1">
        <f t="array" ref="H268">_xlfn.IFS(TRIM(G268)="SIXTY THOUSAND",60000,TRIM(G268)="NAN",AVERAGEIFS(G:G,J:J,J268,L:L,L268),TRUE,G268)</f>
        <v>70000</v>
      </c>
      <c r="I268" s="3" t="s">
        <v>27</v>
      </c>
      <c r="J268" s="3" t="s">
        <v>28</v>
      </c>
      <c r="K268" s="3" t="str">
        <f t="shared" si="17"/>
        <v>HR</v>
      </c>
      <c r="L268" s="3" t="s">
        <v>40</v>
      </c>
      <c r="M268" s="4">
        <v>43549</v>
      </c>
      <c r="N268" s="4">
        <v>43549</v>
      </c>
      <c r="O268" s="3" t="s">
        <v>59</v>
      </c>
      <c r="P268" s="3">
        <v>95</v>
      </c>
      <c r="Q268" s="3" t="s">
        <v>672</v>
      </c>
      <c r="R268" s="3" t="s">
        <v>104</v>
      </c>
      <c r="S268" s="3" t="s">
        <v>112</v>
      </c>
      <c r="T268" s="3" t="str">
        <f t="shared" si="18"/>
        <v>Full-Time</v>
      </c>
      <c r="V268" s="3">
        <v>6</v>
      </c>
      <c r="AB268" s="3" t="str" cm="1">
        <f t="array" ref="AB268">_xlfn.IFS(AA268="N","No",  AA268 = "Y", "Yes", TRUE, PROPER(TRIM(AA268)))</f>
        <v/>
      </c>
      <c r="AC268" s="3">
        <v>1</v>
      </c>
      <c r="AD268" s="3" t="s">
        <v>46</v>
      </c>
      <c r="AE268">
        <f t="shared" si="19"/>
        <v>1</v>
      </c>
    </row>
    <row r="269" spans="1:31" ht="14.25" customHeight="1" x14ac:dyDescent="0.35">
      <c r="A269" s="3" t="s">
        <v>673</v>
      </c>
      <c r="B269" s="3" t="s">
        <v>36</v>
      </c>
      <c r="C269" s="3" t="s">
        <v>240</v>
      </c>
      <c r="D269" s="3">
        <v>50</v>
      </c>
      <c r="E269" s="3">
        <f t="shared" si="16"/>
        <v>50</v>
      </c>
      <c r="F269" s="3">
        <v>1974</v>
      </c>
      <c r="G269" s="3">
        <v>70000</v>
      </c>
      <c r="H269" s="12" cm="1">
        <f t="array" ref="H269">_xlfn.IFS(TRIM(G269)="SIXTY THOUSAND",60000,TRIM(G269)="NAN",AVERAGEIFS(G:G,J:J,J269,L:L,L269),TRUE,G269)</f>
        <v>70000</v>
      </c>
      <c r="I269" s="3" t="s">
        <v>38</v>
      </c>
      <c r="J269" s="3" t="s">
        <v>28</v>
      </c>
      <c r="K269" s="3" t="str">
        <f t="shared" si="17"/>
        <v>HR</v>
      </c>
      <c r="L269" s="3" t="s">
        <v>94</v>
      </c>
      <c r="M269" s="4">
        <v>43881</v>
      </c>
      <c r="N269" s="4">
        <v>43881</v>
      </c>
      <c r="O269" s="3" t="s">
        <v>59</v>
      </c>
      <c r="P269" s="3">
        <v>92</v>
      </c>
      <c r="Q269" s="3" t="s">
        <v>241</v>
      </c>
      <c r="R269" s="3" t="s">
        <v>104</v>
      </c>
      <c r="S269" s="3" t="s">
        <v>100</v>
      </c>
      <c r="T269" s="3" t="str">
        <f t="shared" si="18"/>
        <v>Part-Time</v>
      </c>
      <c r="V269" s="3">
        <v>1</v>
      </c>
      <c r="AA269" s="3" t="s">
        <v>46</v>
      </c>
      <c r="AB269" s="3" t="str" cm="1">
        <f t="array" ref="AB269">_xlfn.IFS(AA269="N","No",  AA269 = "Y", "Yes", TRUE, PROPER(TRIM(AA269)))</f>
        <v>Yes</v>
      </c>
      <c r="AC269" s="3">
        <v>4</v>
      </c>
      <c r="AD269" s="3" t="s">
        <v>34</v>
      </c>
      <c r="AE269">
        <f t="shared" si="19"/>
        <v>0</v>
      </c>
    </row>
    <row r="270" spans="1:31" ht="14.25" customHeight="1" x14ac:dyDescent="0.35">
      <c r="A270" s="3" t="s">
        <v>674</v>
      </c>
      <c r="B270" s="3" t="s">
        <v>131</v>
      </c>
      <c r="C270" s="3" t="s">
        <v>285</v>
      </c>
      <c r="D270" s="3">
        <v>40</v>
      </c>
      <c r="E270" s="3">
        <f t="shared" si="16"/>
        <v>40</v>
      </c>
      <c r="F270" s="3">
        <v>1984</v>
      </c>
      <c r="G270" s="3">
        <v>50000</v>
      </c>
      <c r="H270" s="12" cm="1">
        <f t="array" ref="H270">_xlfn.IFS(TRIM(G270)="SIXTY THOUSAND",60000,TRIM(G270)="NAN",AVERAGEIFS(G:G,J:J,J270,L:L,L270),TRUE,G270)</f>
        <v>50000</v>
      </c>
      <c r="I270" s="3" t="s">
        <v>38</v>
      </c>
      <c r="J270" s="3" t="s">
        <v>64</v>
      </c>
      <c r="K270" s="3" t="str">
        <f t="shared" si="17"/>
        <v>Finance</v>
      </c>
      <c r="L270" s="3" t="s">
        <v>89</v>
      </c>
      <c r="M270" s="4">
        <v>43195</v>
      </c>
      <c r="N270" s="4">
        <v>43195</v>
      </c>
      <c r="O270" s="3" t="s">
        <v>30</v>
      </c>
      <c r="P270" s="3">
        <v>65</v>
      </c>
      <c r="Q270" s="3" t="s">
        <v>286</v>
      </c>
      <c r="R270" s="3" t="s">
        <v>43</v>
      </c>
      <c r="S270" s="3" t="s">
        <v>112</v>
      </c>
      <c r="T270" s="3" t="str">
        <f t="shared" si="18"/>
        <v>Full-Time</v>
      </c>
      <c r="V270" s="3">
        <v>4</v>
      </c>
      <c r="X270" s="3">
        <v>15</v>
      </c>
      <c r="Y270" s="4">
        <v>45516</v>
      </c>
      <c r="AA270" s="3" t="s">
        <v>34</v>
      </c>
      <c r="AB270" s="3" t="str" cm="1">
        <f t="array" ref="AB270">_xlfn.IFS(AA270="N","No",  AA270 = "Y", "Yes", TRUE, PROPER(TRIM(AA270)))</f>
        <v>No</v>
      </c>
      <c r="AC270" s="3">
        <v>2</v>
      </c>
      <c r="AD270" s="3" t="s">
        <v>46</v>
      </c>
      <c r="AE270">
        <f t="shared" si="19"/>
        <v>1</v>
      </c>
    </row>
    <row r="271" spans="1:31" ht="14.25" customHeight="1" x14ac:dyDescent="0.35">
      <c r="A271" s="3" t="s">
        <v>675</v>
      </c>
      <c r="B271" s="3" t="s">
        <v>56</v>
      </c>
      <c r="C271" s="3" t="s">
        <v>676</v>
      </c>
      <c r="D271" s="3">
        <v>25</v>
      </c>
      <c r="E271" s="3">
        <f t="shared" si="16"/>
        <v>25</v>
      </c>
      <c r="F271" s="3">
        <v>1999</v>
      </c>
      <c r="G271" s="3">
        <v>55000</v>
      </c>
      <c r="H271" s="12" cm="1">
        <f t="array" ref="H271">_xlfn.IFS(TRIM(G271)="SIXTY THOUSAND",60000,TRIM(G271)="NAN",AVERAGEIFS(G:G,J:J,J271,L:L,L271),TRUE,G271)</f>
        <v>55000</v>
      </c>
      <c r="I271" s="3" t="s">
        <v>27</v>
      </c>
      <c r="J271" s="3" t="s">
        <v>51</v>
      </c>
      <c r="K271" s="3" t="str">
        <f t="shared" si="17"/>
        <v>Sales</v>
      </c>
      <c r="L271" s="3" t="s">
        <v>29</v>
      </c>
      <c r="M271" s="4">
        <v>43195</v>
      </c>
      <c r="N271" s="4">
        <v>43195</v>
      </c>
      <c r="O271" s="3" t="s">
        <v>78</v>
      </c>
      <c r="P271" s="3">
        <v>87</v>
      </c>
      <c r="Q271" s="3" t="s">
        <v>677</v>
      </c>
      <c r="R271" s="3" t="s">
        <v>61</v>
      </c>
      <c r="S271" s="3" t="s">
        <v>44</v>
      </c>
      <c r="T271" s="3" t="str">
        <f t="shared" si="18"/>
        <v>Full-Time</v>
      </c>
      <c r="V271" s="3">
        <v>8</v>
      </c>
      <c r="X271" s="3">
        <v>18</v>
      </c>
      <c r="AA271" s="3" t="s">
        <v>34</v>
      </c>
      <c r="AB271" s="3" t="str" cm="1">
        <f t="array" ref="AB271">_xlfn.IFS(AA271="N","No",  AA271 = "Y", "Yes", TRUE, PROPER(TRIM(AA271)))</f>
        <v>No</v>
      </c>
      <c r="AC271" s="3">
        <v>1</v>
      </c>
      <c r="AD271" s="3" t="s">
        <v>46</v>
      </c>
      <c r="AE271">
        <f t="shared" si="19"/>
        <v>1</v>
      </c>
    </row>
    <row r="272" spans="1:31" ht="14.25" customHeight="1" x14ac:dyDescent="0.35">
      <c r="A272" s="3" t="s">
        <v>678</v>
      </c>
      <c r="B272" s="3" t="s">
        <v>36</v>
      </c>
      <c r="C272" s="3" t="s">
        <v>135</v>
      </c>
      <c r="D272" s="3" t="s">
        <v>88</v>
      </c>
      <c r="E272" s="3">
        <f t="shared" si="16"/>
        <v>30</v>
      </c>
      <c r="F272" s="3">
        <v>1994</v>
      </c>
      <c r="G272" s="3">
        <v>61500</v>
      </c>
      <c r="H272" s="12" cm="1">
        <f t="array" ref="H272">_xlfn.IFS(TRIM(G272)="SIXTY THOUSAND",60000,TRIM(G272)="NAN",AVERAGEIFS(G:G,J:J,J272,L:L,L272),TRUE,G272)</f>
        <v>61500</v>
      </c>
      <c r="I272" s="3" t="s">
        <v>38</v>
      </c>
      <c r="J272" s="3" t="s">
        <v>28</v>
      </c>
      <c r="K272" s="3" t="str">
        <f t="shared" si="17"/>
        <v>HR</v>
      </c>
      <c r="L272" s="3" t="s">
        <v>89</v>
      </c>
      <c r="M272" s="4">
        <v>43549</v>
      </c>
      <c r="N272" s="4">
        <v>43549</v>
      </c>
      <c r="O272" s="3" t="s">
        <v>41</v>
      </c>
      <c r="P272" s="3">
        <v>3</v>
      </c>
      <c r="Q272" s="3" t="s">
        <v>679</v>
      </c>
      <c r="R272" s="3" t="s">
        <v>104</v>
      </c>
      <c r="S272" s="3" t="s">
        <v>72</v>
      </c>
      <c r="T272" s="3" t="str">
        <f t="shared" si="18"/>
        <v>Part-Time</v>
      </c>
      <c r="V272" s="3">
        <v>6</v>
      </c>
      <c r="Z272" s="3">
        <v>14</v>
      </c>
      <c r="AA272" s="3" t="s">
        <v>73</v>
      </c>
      <c r="AB272" s="3" t="str" cm="1">
        <f t="array" ref="AB272">_xlfn.IFS(AA272="N","No",  AA272 = "Y", "Yes", TRUE, PROPER(TRIM(AA272)))</f>
        <v>No</v>
      </c>
      <c r="AC272" s="3">
        <v>3</v>
      </c>
      <c r="AD272" s="3" t="s">
        <v>46</v>
      </c>
      <c r="AE272">
        <f t="shared" si="19"/>
        <v>1</v>
      </c>
    </row>
    <row r="273" spans="1:31" ht="14.25" customHeight="1" x14ac:dyDescent="0.35">
      <c r="A273" s="3" t="s">
        <v>680</v>
      </c>
      <c r="B273" s="3" t="s">
        <v>48</v>
      </c>
      <c r="C273" s="3" t="s">
        <v>681</v>
      </c>
      <c r="E273" s="3">
        <f t="shared" si="16"/>
        <v>50</v>
      </c>
      <c r="F273" s="3">
        <v>1974</v>
      </c>
      <c r="G273" s="3">
        <v>61500</v>
      </c>
      <c r="H273" s="12" cm="1">
        <f t="array" ref="H273">_xlfn.IFS(TRIM(G273)="SIXTY THOUSAND",60000,TRIM(G273)="NAN",AVERAGEIFS(G:G,J:J,J273,L:L,L273),TRUE,G273)</f>
        <v>61500</v>
      </c>
      <c r="I273" s="3" t="s">
        <v>38</v>
      </c>
      <c r="J273" s="3" t="s">
        <v>51</v>
      </c>
      <c r="K273" s="3" t="str">
        <f t="shared" si="17"/>
        <v>Sales</v>
      </c>
      <c r="L273" s="3" t="s">
        <v>29</v>
      </c>
      <c r="M273" s="4">
        <v>43881</v>
      </c>
      <c r="N273" s="4">
        <v>43881</v>
      </c>
      <c r="O273" s="3" t="s">
        <v>30</v>
      </c>
      <c r="P273" s="3">
        <v>61</v>
      </c>
      <c r="Q273" s="3" t="s">
        <v>682</v>
      </c>
      <c r="R273" s="3" t="s">
        <v>43</v>
      </c>
      <c r="S273" s="3" t="s">
        <v>72</v>
      </c>
      <c r="T273" s="3" t="str">
        <f t="shared" si="18"/>
        <v>Part-Time</v>
      </c>
      <c r="V273" s="3">
        <v>8</v>
      </c>
      <c r="X273" s="3">
        <v>13</v>
      </c>
      <c r="Y273" s="4">
        <v>45516</v>
      </c>
      <c r="AA273" s="3" t="s">
        <v>33</v>
      </c>
      <c r="AB273" s="3" t="str" cm="1">
        <f t="array" ref="AB273">_xlfn.IFS(AA273="N","No",  AA273 = "Y", "Yes", TRUE, PROPER(TRIM(AA273)))</f>
        <v>Yes</v>
      </c>
      <c r="AC273" s="3">
        <v>2</v>
      </c>
      <c r="AD273" s="3" t="s">
        <v>34</v>
      </c>
      <c r="AE273">
        <f t="shared" si="19"/>
        <v>0</v>
      </c>
    </row>
    <row r="274" spans="1:31" ht="14.25" customHeight="1" x14ac:dyDescent="0.35">
      <c r="A274" s="3" t="s">
        <v>683</v>
      </c>
      <c r="B274" s="3" t="s">
        <v>48</v>
      </c>
      <c r="C274" s="3" t="s">
        <v>135</v>
      </c>
      <c r="E274" s="3">
        <f t="shared" si="16"/>
        <v>51</v>
      </c>
      <c r="F274" s="3">
        <v>1973</v>
      </c>
      <c r="G274" s="3">
        <v>50000</v>
      </c>
      <c r="H274" s="12" cm="1">
        <f t="array" ref="H274">_xlfn.IFS(TRIM(G274)="SIXTY THOUSAND",60000,TRIM(G274)="NAN",AVERAGEIFS(G:G,J:J,J274,L:L,L274),TRUE,G274)</f>
        <v>50000</v>
      </c>
      <c r="I274" s="3" t="s">
        <v>27</v>
      </c>
      <c r="J274" s="3" t="s">
        <v>64</v>
      </c>
      <c r="K274" s="3" t="str">
        <f t="shared" si="17"/>
        <v>Finance</v>
      </c>
      <c r="L274" s="3" t="s">
        <v>40</v>
      </c>
      <c r="M274" s="4">
        <v>43845</v>
      </c>
      <c r="N274" s="4">
        <v>43845</v>
      </c>
      <c r="O274" s="3" t="s">
        <v>78</v>
      </c>
      <c r="P274" s="3">
        <v>81</v>
      </c>
      <c r="Q274" s="3" t="s">
        <v>684</v>
      </c>
      <c r="R274" s="3" t="s">
        <v>61</v>
      </c>
      <c r="S274" s="3" t="s">
        <v>44</v>
      </c>
      <c r="T274" s="3" t="str">
        <f t="shared" si="18"/>
        <v>Full-Time</v>
      </c>
      <c r="V274" s="3">
        <v>6</v>
      </c>
      <c r="W274" s="3">
        <v>1</v>
      </c>
      <c r="X274" s="3">
        <v>11</v>
      </c>
      <c r="AA274" s="3" t="s">
        <v>169</v>
      </c>
      <c r="AB274" s="3" t="str" cm="1">
        <f t="array" ref="AB274">_xlfn.IFS(AA274="N","No",  AA274 = "Y", "Yes", TRUE, PROPER(TRIM(AA274)))</f>
        <v>Yes</v>
      </c>
      <c r="AC274" s="3">
        <v>4</v>
      </c>
      <c r="AD274" s="3" t="s">
        <v>34</v>
      </c>
      <c r="AE274">
        <f t="shared" si="19"/>
        <v>0</v>
      </c>
    </row>
    <row r="275" spans="1:31" ht="14.25" customHeight="1" x14ac:dyDescent="0.35">
      <c r="A275" s="3" t="s">
        <v>685</v>
      </c>
      <c r="B275" s="3" t="s">
        <v>25</v>
      </c>
      <c r="C275" s="3" t="s">
        <v>377</v>
      </c>
      <c r="D275" s="3">
        <v>35</v>
      </c>
      <c r="E275" s="3">
        <f t="shared" si="16"/>
        <v>35</v>
      </c>
      <c r="F275" s="3">
        <v>1989</v>
      </c>
      <c r="G275" s="3">
        <v>65000</v>
      </c>
      <c r="H275" s="12" cm="1">
        <f t="array" ref="H275">_xlfn.IFS(TRIM(G275)="SIXTY THOUSAND",60000,TRIM(G275)="NAN",AVERAGEIFS(G:G,J:J,J275,L:L,L275),TRUE,G275)</f>
        <v>65000</v>
      </c>
      <c r="I275" s="3" t="s">
        <v>27</v>
      </c>
      <c r="J275" s="3" t="s">
        <v>145</v>
      </c>
      <c r="K275" s="3" t="str">
        <f t="shared" si="17"/>
        <v>Sales</v>
      </c>
      <c r="L275" s="3" t="s">
        <v>29</v>
      </c>
      <c r="M275" s="4">
        <v>43800</v>
      </c>
      <c r="N275" s="4">
        <v>43800</v>
      </c>
      <c r="O275" s="3" t="s">
        <v>78</v>
      </c>
      <c r="P275" s="3">
        <v>85</v>
      </c>
      <c r="Q275" s="3" t="s">
        <v>378</v>
      </c>
      <c r="R275" s="3" t="s">
        <v>104</v>
      </c>
      <c r="S275" s="3" t="s">
        <v>66</v>
      </c>
      <c r="T275" s="3" t="str">
        <f t="shared" si="18"/>
        <v>Contract</v>
      </c>
      <c r="U275" s="3" t="s">
        <v>494</v>
      </c>
      <c r="V275" s="3">
        <v>8</v>
      </c>
      <c r="X275" s="3">
        <v>9</v>
      </c>
      <c r="Y275" s="4">
        <v>44990</v>
      </c>
      <c r="Z275" s="3">
        <v>22</v>
      </c>
      <c r="AA275" s="3" t="s">
        <v>169</v>
      </c>
      <c r="AB275" s="3" t="str" cm="1">
        <f t="array" ref="AB275">_xlfn.IFS(AA275="N","No",  AA275 = "Y", "Yes", TRUE, PROPER(TRIM(AA275)))</f>
        <v>Yes</v>
      </c>
      <c r="AC275" s="3">
        <v>2</v>
      </c>
      <c r="AD275" s="3" t="s">
        <v>46</v>
      </c>
      <c r="AE275">
        <f t="shared" si="19"/>
        <v>1</v>
      </c>
    </row>
    <row r="276" spans="1:31" ht="14.25" customHeight="1" x14ac:dyDescent="0.35">
      <c r="A276" s="3" t="s">
        <v>686</v>
      </c>
      <c r="B276" s="3" t="s">
        <v>75</v>
      </c>
      <c r="C276" s="3" t="s">
        <v>247</v>
      </c>
      <c r="D276" s="3">
        <v>35</v>
      </c>
      <c r="E276" s="3">
        <f t="shared" si="16"/>
        <v>35</v>
      </c>
      <c r="F276" s="3">
        <v>1989</v>
      </c>
      <c r="G276" s="3">
        <v>50000</v>
      </c>
      <c r="H276" s="12" cm="1">
        <f t="array" ref="H276">_xlfn.IFS(TRIM(G276)="SIXTY THOUSAND",60000,TRIM(G276)="NAN",AVERAGEIFS(G:G,J:J,J276,L:L,L276),TRUE,G276)</f>
        <v>50000</v>
      </c>
      <c r="I276" s="3" t="s">
        <v>27</v>
      </c>
      <c r="J276" s="3" t="s">
        <v>39</v>
      </c>
      <c r="K276" s="3" t="str">
        <f t="shared" si="17"/>
        <v>Finance</v>
      </c>
      <c r="L276" s="3" t="s">
        <v>29</v>
      </c>
      <c r="M276" s="4">
        <v>43800</v>
      </c>
      <c r="N276" s="4">
        <v>43800</v>
      </c>
      <c r="O276" s="3" t="s">
        <v>30</v>
      </c>
      <c r="P276" s="3">
        <v>68</v>
      </c>
      <c r="Q276" s="3" t="s">
        <v>687</v>
      </c>
      <c r="R276" s="3" t="s">
        <v>61</v>
      </c>
      <c r="S276" s="3" t="s">
        <v>44</v>
      </c>
      <c r="T276" s="3" t="str">
        <f t="shared" si="18"/>
        <v>Full-Time</v>
      </c>
      <c r="V276" s="3">
        <v>2</v>
      </c>
      <c r="W276" s="3">
        <v>12</v>
      </c>
      <c r="X276" s="3">
        <v>7</v>
      </c>
      <c r="Y276" s="4">
        <v>44941</v>
      </c>
      <c r="Z276" s="3">
        <v>42</v>
      </c>
      <c r="AA276" s="3" t="s">
        <v>34</v>
      </c>
      <c r="AB276" s="3" t="str" cm="1">
        <f t="array" ref="AB276">_xlfn.IFS(AA276="N","No",  AA276 = "Y", "Yes", TRUE, PROPER(TRIM(AA276)))</f>
        <v>No</v>
      </c>
      <c r="AC276" s="3">
        <v>3</v>
      </c>
      <c r="AD276" s="3" t="s">
        <v>34</v>
      </c>
      <c r="AE276">
        <f t="shared" si="19"/>
        <v>0</v>
      </c>
    </row>
    <row r="277" spans="1:31" ht="14.25" customHeight="1" x14ac:dyDescent="0.35">
      <c r="A277" s="3" t="s">
        <v>688</v>
      </c>
      <c r="B277" s="3" t="s">
        <v>131</v>
      </c>
      <c r="C277" s="3" t="s">
        <v>689</v>
      </c>
      <c r="E277" s="3">
        <f t="shared" si="16"/>
        <v>39</v>
      </c>
      <c r="F277" s="3">
        <v>1985</v>
      </c>
      <c r="G277" s="3">
        <v>65000</v>
      </c>
      <c r="H277" s="12" cm="1">
        <f t="array" ref="H277">_xlfn.IFS(TRIM(G277)="SIXTY THOUSAND",60000,TRIM(G277)="NAN",AVERAGEIFS(G:G,J:J,J277,L:L,L277),TRUE,G277)</f>
        <v>65000</v>
      </c>
      <c r="I277" s="3" t="s">
        <v>38</v>
      </c>
      <c r="J277" s="3" t="s">
        <v>39</v>
      </c>
      <c r="K277" s="3" t="str">
        <f t="shared" si="17"/>
        <v>Finance</v>
      </c>
      <c r="L277" s="3" t="s">
        <v>29</v>
      </c>
      <c r="M277" s="4">
        <v>43549</v>
      </c>
      <c r="N277" s="4">
        <v>43549</v>
      </c>
      <c r="O277" s="3" t="s">
        <v>30</v>
      </c>
      <c r="P277" s="3">
        <v>65</v>
      </c>
      <c r="Q277" s="3" t="s">
        <v>690</v>
      </c>
      <c r="S277" s="3" t="s">
        <v>100</v>
      </c>
      <c r="T277" s="3" t="str">
        <f t="shared" si="18"/>
        <v>Part-Time</v>
      </c>
      <c r="V277" s="3">
        <v>2</v>
      </c>
      <c r="X277" s="3">
        <v>10</v>
      </c>
      <c r="Y277" s="4">
        <v>45516</v>
      </c>
      <c r="Z277" s="3">
        <v>33</v>
      </c>
      <c r="AA277" s="3" t="s">
        <v>73</v>
      </c>
      <c r="AB277" s="3" t="str" cm="1">
        <f t="array" ref="AB277">_xlfn.IFS(AA277="N","No",  AA277 = "Y", "Yes", TRUE, PROPER(TRIM(AA277)))</f>
        <v>No</v>
      </c>
      <c r="AC277" s="3">
        <v>3</v>
      </c>
      <c r="AD277" s="3" t="s">
        <v>34</v>
      </c>
      <c r="AE277">
        <f t="shared" si="19"/>
        <v>0</v>
      </c>
    </row>
    <row r="278" spans="1:31" ht="14.25" customHeight="1" x14ac:dyDescent="0.35">
      <c r="A278" s="3" t="s">
        <v>691</v>
      </c>
      <c r="B278" s="3" t="s">
        <v>131</v>
      </c>
      <c r="C278" s="3" t="s">
        <v>692</v>
      </c>
      <c r="D278" s="3">
        <v>35</v>
      </c>
      <c r="E278" s="3">
        <f t="shared" si="16"/>
        <v>35</v>
      </c>
      <c r="F278" s="3">
        <v>1989</v>
      </c>
      <c r="G278" s="3">
        <v>65000</v>
      </c>
      <c r="H278" s="12" cm="1">
        <f t="array" ref="H278">_xlfn.IFS(TRIM(G278)="SIXTY THOUSAND",60000,TRIM(G278)="NAN",AVERAGEIFS(G:G,J:J,J278,L:L,L278),TRUE,G278)</f>
        <v>65000</v>
      </c>
      <c r="I278" s="3" t="s">
        <v>38</v>
      </c>
      <c r="J278" s="3" t="s">
        <v>93</v>
      </c>
      <c r="K278" s="3" t="str">
        <f t="shared" si="17"/>
        <v>Marketing</v>
      </c>
      <c r="L278" s="3" t="s">
        <v>94</v>
      </c>
      <c r="M278" s="4">
        <v>43881</v>
      </c>
      <c r="N278" s="4">
        <v>43881</v>
      </c>
      <c r="O278" s="3" t="s">
        <v>78</v>
      </c>
      <c r="P278" s="3">
        <v>89</v>
      </c>
      <c r="Q278" s="3" t="s">
        <v>693</v>
      </c>
      <c r="S278" s="3" t="s">
        <v>100</v>
      </c>
      <c r="T278" s="3" t="str">
        <f t="shared" si="18"/>
        <v>Part-Time</v>
      </c>
      <c r="V278" s="3">
        <v>4</v>
      </c>
      <c r="Y278" s="4">
        <v>44990</v>
      </c>
      <c r="Z278" s="3">
        <v>24</v>
      </c>
      <c r="AA278" s="3" t="s">
        <v>169</v>
      </c>
      <c r="AB278" s="3" t="str" cm="1">
        <f t="array" ref="AB278">_xlfn.IFS(AA278="N","No",  AA278 = "Y", "Yes", TRUE, PROPER(TRIM(AA278)))</f>
        <v>Yes</v>
      </c>
      <c r="AC278" s="3">
        <v>1</v>
      </c>
      <c r="AD278" s="3" t="s">
        <v>46</v>
      </c>
      <c r="AE278">
        <f t="shared" si="19"/>
        <v>1</v>
      </c>
    </row>
    <row r="279" spans="1:31" ht="14.25" customHeight="1" x14ac:dyDescent="0.35">
      <c r="A279" s="3" t="s">
        <v>694</v>
      </c>
      <c r="B279" s="3" t="s">
        <v>75</v>
      </c>
      <c r="C279" s="3" t="s">
        <v>310</v>
      </c>
      <c r="D279" s="3">
        <v>25</v>
      </c>
      <c r="E279" s="3">
        <f t="shared" si="16"/>
        <v>25</v>
      </c>
      <c r="F279" s="3">
        <v>1999</v>
      </c>
      <c r="G279" s="3" t="s">
        <v>50</v>
      </c>
      <c r="H279" s="12" cm="1">
        <f t="array" ref="H279">_xlfn.IFS(TRIM(G279)="SIXTY THOUSAND",60000,TRIM(G279)="NAN",AVERAGEIFS(G:G,J:J,J279,L:L,L279),TRUE,G279)</f>
        <v>60000</v>
      </c>
      <c r="I279" s="3" t="s">
        <v>27</v>
      </c>
      <c r="J279" s="3" t="s">
        <v>64</v>
      </c>
      <c r="K279" s="3" t="str">
        <f t="shared" si="17"/>
        <v>Finance</v>
      </c>
      <c r="L279" s="3" t="s">
        <v>94</v>
      </c>
      <c r="M279" s="4">
        <v>43881</v>
      </c>
      <c r="N279" s="4">
        <v>43881</v>
      </c>
      <c r="O279" s="3" t="s">
        <v>78</v>
      </c>
      <c r="P279" s="3">
        <v>82</v>
      </c>
      <c r="Q279" s="3" t="s">
        <v>311</v>
      </c>
      <c r="R279" s="3" t="s">
        <v>61</v>
      </c>
      <c r="S279" s="3" t="s">
        <v>72</v>
      </c>
      <c r="T279" s="3" t="str">
        <f t="shared" si="18"/>
        <v>Part-Time</v>
      </c>
      <c r="V279" s="3">
        <v>1</v>
      </c>
      <c r="AA279" s="3" t="s">
        <v>46</v>
      </c>
      <c r="AB279" s="3" t="str" cm="1">
        <f t="array" ref="AB279">_xlfn.IFS(AA279="N","No",  AA279 = "Y", "Yes", TRUE, PROPER(TRIM(AA279)))</f>
        <v>Yes</v>
      </c>
      <c r="AC279" s="3">
        <v>4</v>
      </c>
      <c r="AD279" s="3" t="s">
        <v>34</v>
      </c>
      <c r="AE279">
        <f t="shared" si="19"/>
        <v>0</v>
      </c>
    </row>
    <row r="280" spans="1:31" ht="14.25" customHeight="1" x14ac:dyDescent="0.35">
      <c r="A280" s="3" t="s">
        <v>695</v>
      </c>
      <c r="B280" s="3" t="s">
        <v>107</v>
      </c>
      <c r="C280" s="3" t="s">
        <v>355</v>
      </c>
      <c r="D280" s="3">
        <v>50</v>
      </c>
      <c r="E280" s="3">
        <f t="shared" si="16"/>
        <v>50</v>
      </c>
      <c r="F280" s="3">
        <v>1974</v>
      </c>
      <c r="G280" s="3">
        <v>60300</v>
      </c>
      <c r="H280" s="12" cm="1">
        <f t="array" ref="H280">_xlfn.IFS(TRIM(G280)="SIXTY THOUSAND",60000,TRIM(G280)="NAN",AVERAGEIFS(G:G,J:J,J280,L:L,L280),TRUE,G280)</f>
        <v>60300</v>
      </c>
      <c r="I280" s="3" t="s">
        <v>38</v>
      </c>
      <c r="J280" s="3" t="s">
        <v>39</v>
      </c>
      <c r="K280" s="3" t="str">
        <f t="shared" si="17"/>
        <v>Finance</v>
      </c>
      <c r="L280" s="3" t="s">
        <v>40</v>
      </c>
      <c r="M280" s="4">
        <v>43195</v>
      </c>
      <c r="N280" s="4">
        <v>43195</v>
      </c>
      <c r="O280" s="3" t="s">
        <v>78</v>
      </c>
      <c r="P280" s="3">
        <v>81</v>
      </c>
      <c r="Q280" s="3" t="s">
        <v>356</v>
      </c>
      <c r="R280" s="3" t="s">
        <v>104</v>
      </c>
      <c r="S280" s="3" t="s">
        <v>100</v>
      </c>
      <c r="T280" s="3" t="str">
        <f t="shared" si="18"/>
        <v>Part-Time</v>
      </c>
      <c r="V280" s="3">
        <v>6</v>
      </c>
      <c r="Z280" s="3">
        <v>32</v>
      </c>
      <c r="AA280" s="3" t="s">
        <v>73</v>
      </c>
      <c r="AB280" s="3" t="str" cm="1">
        <f t="array" ref="AB280">_xlfn.IFS(AA280="N","No",  AA280 = "Y", "Yes", TRUE, PROPER(TRIM(AA280)))</f>
        <v>No</v>
      </c>
      <c r="AC280" s="3">
        <v>1</v>
      </c>
      <c r="AD280" s="3" t="s">
        <v>46</v>
      </c>
      <c r="AE280">
        <f t="shared" si="19"/>
        <v>1</v>
      </c>
    </row>
    <row r="281" spans="1:31" ht="14.25" customHeight="1" x14ac:dyDescent="0.35">
      <c r="A281" s="3" t="s">
        <v>696</v>
      </c>
      <c r="B281" s="3" t="s">
        <v>25</v>
      </c>
      <c r="C281" s="3" t="s">
        <v>171</v>
      </c>
      <c r="D281" s="3">
        <v>35</v>
      </c>
      <c r="E281" s="3">
        <f t="shared" si="16"/>
        <v>35</v>
      </c>
      <c r="F281" s="3">
        <v>1989</v>
      </c>
      <c r="G281" s="3">
        <v>70000</v>
      </c>
      <c r="H281" s="12" cm="1">
        <f t="array" ref="H281">_xlfn.IFS(TRIM(G281)="SIXTY THOUSAND",60000,TRIM(G281)="NAN",AVERAGEIFS(G:G,J:J,J281,L:L,L281),TRUE,G281)</f>
        <v>70000</v>
      </c>
      <c r="I281" s="3" t="s">
        <v>38</v>
      </c>
      <c r="J281" s="3" t="s">
        <v>122</v>
      </c>
      <c r="K281" s="3" t="str">
        <f t="shared" si="17"/>
        <v>IT</v>
      </c>
      <c r="L281" s="3" t="s">
        <v>29</v>
      </c>
      <c r="M281" s="4">
        <v>43845</v>
      </c>
      <c r="N281" s="4">
        <v>43845</v>
      </c>
      <c r="O281" s="3" t="s">
        <v>30</v>
      </c>
      <c r="P281" s="3">
        <v>65</v>
      </c>
      <c r="Q281" s="3" t="s">
        <v>172</v>
      </c>
      <c r="R281" s="3" t="s">
        <v>43</v>
      </c>
      <c r="S281" s="3" t="s">
        <v>72</v>
      </c>
      <c r="T281" s="3" t="str">
        <f t="shared" si="18"/>
        <v>Part-Time</v>
      </c>
      <c r="V281" s="3">
        <v>6</v>
      </c>
      <c r="X281" s="3">
        <v>8</v>
      </c>
      <c r="Y281" s="4">
        <v>45516</v>
      </c>
      <c r="Z281" s="3">
        <v>66</v>
      </c>
      <c r="AA281" s="3" t="s">
        <v>73</v>
      </c>
      <c r="AB281" s="3" t="str" cm="1">
        <f t="array" ref="AB281">_xlfn.IFS(AA281="N","No",  AA281 = "Y", "Yes", TRUE, PROPER(TRIM(AA281)))</f>
        <v>No</v>
      </c>
      <c r="AC281" s="3">
        <v>2</v>
      </c>
      <c r="AD281" s="3" t="s">
        <v>46</v>
      </c>
      <c r="AE281">
        <f t="shared" si="19"/>
        <v>1</v>
      </c>
    </row>
    <row r="282" spans="1:31" ht="14.25" customHeight="1" x14ac:dyDescent="0.35">
      <c r="A282" s="3" t="s">
        <v>697</v>
      </c>
      <c r="B282" s="3" t="s">
        <v>107</v>
      </c>
      <c r="C282" s="3" t="s">
        <v>99</v>
      </c>
      <c r="D282" s="3">
        <v>40</v>
      </c>
      <c r="E282" s="3">
        <f t="shared" si="16"/>
        <v>40</v>
      </c>
      <c r="F282" s="3">
        <v>1984</v>
      </c>
      <c r="G282" s="3">
        <v>65000</v>
      </c>
      <c r="H282" s="12" cm="1">
        <f t="array" ref="H282">_xlfn.IFS(TRIM(G282)="SIXTY THOUSAND",60000,TRIM(G282)="NAN",AVERAGEIFS(G:G,J:J,J282,L:L,L282),TRUE,G282)</f>
        <v>65000</v>
      </c>
      <c r="I282" s="3" t="s">
        <v>27</v>
      </c>
      <c r="J282" s="3" t="s">
        <v>28</v>
      </c>
      <c r="K282" s="3" t="str">
        <f t="shared" si="17"/>
        <v>HR</v>
      </c>
      <c r="L282" s="3" t="s">
        <v>77</v>
      </c>
      <c r="M282" s="4">
        <v>43881</v>
      </c>
      <c r="N282" s="4">
        <v>43881</v>
      </c>
      <c r="O282" s="3" t="s">
        <v>78</v>
      </c>
      <c r="P282" s="3">
        <v>84</v>
      </c>
      <c r="Q282" s="3" t="s">
        <v>698</v>
      </c>
      <c r="R282" s="3" t="s">
        <v>54</v>
      </c>
      <c r="S282" s="3" t="s">
        <v>44</v>
      </c>
      <c r="T282" s="3" t="str">
        <f t="shared" si="18"/>
        <v>Full-Time</v>
      </c>
      <c r="V282" s="3">
        <v>5</v>
      </c>
      <c r="W282" s="3">
        <v>3</v>
      </c>
      <c r="X282" s="3">
        <v>2</v>
      </c>
      <c r="Y282" s="4">
        <v>45516</v>
      </c>
      <c r="AA282" s="3" t="s">
        <v>46</v>
      </c>
      <c r="AB282" s="3" t="str" cm="1">
        <f t="array" ref="AB282">_xlfn.IFS(AA282="N","No",  AA282 = "Y", "Yes", TRUE, PROPER(TRIM(AA282)))</f>
        <v>Yes</v>
      </c>
      <c r="AC282" s="3">
        <v>2</v>
      </c>
      <c r="AD282" s="3" t="s">
        <v>46</v>
      </c>
      <c r="AE282">
        <f t="shared" si="19"/>
        <v>1</v>
      </c>
    </row>
    <row r="283" spans="1:31" ht="14.25" customHeight="1" x14ac:dyDescent="0.35">
      <c r="A283" s="3" t="s">
        <v>699</v>
      </c>
      <c r="B283" s="3" t="s">
        <v>107</v>
      </c>
      <c r="C283" s="3" t="s">
        <v>315</v>
      </c>
      <c r="D283" s="3">
        <v>35</v>
      </c>
      <c r="E283" s="3">
        <f t="shared" si="16"/>
        <v>35</v>
      </c>
      <c r="F283" s="3">
        <v>1989</v>
      </c>
      <c r="G283" s="3" t="s">
        <v>50</v>
      </c>
      <c r="H283" s="12" cm="1">
        <f t="array" ref="H283">_xlfn.IFS(TRIM(G283)="SIXTY THOUSAND",60000,TRIM(G283)="NAN",AVERAGEIFS(G:G,J:J,J283,L:L,L283),TRUE,G283)</f>
        <v>60000</v>
      </c>
      <c r="I283" s="3" t="s">
        <v>27</v>
      </c>
      <c r="J283" s="3" t="s">
        <v>93</v>
      </c>
      <c r="K283" s="3" t="str">
        <f t="shared" si="17"/>
        <v>Marketing</v>
      </c>
      <c r="L283" s="3" t="s">
        <v>40</v>
      </c>
      <c r="M283" s="4">
        <v>43800</v>
      </c>
      <c r="N283" s="4">
        <v>43800</v>
      </c>
      <c r="O283" s="3" t="s">
        <v>59</v>
      </c>
      <c r="P283" s="3">
        <v>96</v>
      </c>
      <c r="Q283" s="3" t="s">
        <v>700</v>
      </c>
      <c r="R283" s="3" t="s">
        <v>43</v>
      </c>
      <c r="S283" s="3" t="s">
        <v>44</v>
      </c>
      <c r="T283" s="3" t="str">
        <f t="shared" si="18"/>
        <v>Full-Time</v>
      </c>
      <c r="U283" s="3" t="s">
        <v>701</v>
      </c>
      <c r="V283" s="3">
        <v>6</v>
      </c>
      <c r="W283" s="3" t="s">
        <v>79</v>
      </c>
      <c r="Z283" s="3">
        <v>79</v>
      </c>
      <c r="AA283" s="3" t="s">
        <v>34</v>
      </c>
      <c r="AB283" s="3" t="str" cm="1">
        <f t="array" ref="AB283">_xlfn.IFS(AA283="N","No",  AA283 = "Y", "Yes", TRUE, PROPER(TRIM(AA283)))</f>
        <v>No</v>
      </c>
      <c r="AC283" s="3">
        <v>3</v>
      </c>
      <c r="AD283" s="3" t="s">
        <v>34</v>
      </c>
      <c r="AE283">
        <f t="shared" si="19"/>
        <v>0</v>
      </c>
    </row>
    <row r="284" spans="1:31" ht="14.25" customHeight="1" x14ac:dyDescent="0.35">
      <c r="A284" s="3" t="s">
        <v>702</v>
      </c>
      <c r="B284" s="3" t="s">
        <v>107</v>
      </c>
      <c r="C284" s="3" t="s">
        <v>244</v>
      </c>
      <c r="D284" s="3" t="s">
        <v>88</v>
      </c>
      <c r="E284" s="3">
        <f t="shared" si="16"/>
        <v>30</v>
      </c>
      <c r="F284" s="3">
        <v>1994</v>
      </c>
      <c r="G284" s="3">
        <v>60000</v>
      </c>
      <c r="H284" s="12" cm="1">
        <f t="array" ref="H284">_xlfn.IFS(TRIM(G284)="SIXTY THOUSAND",60000,TRIM(G284)="NAN",AVERAGEIFS(G:G,J:J,J284,L:L,L284),TRUE,G284)</f>
        <v>60000</v>
      </c>
      <c r="I284" s="3" t="s">
        <v>27</v>
      </c>
      <c r="J284" s="3" t="s">
        <v>70</v>
      </c>
      <c r="K284" s="3" t="str">
        <f t="shared" si="17"/>
        <v>Marketing</v>
      </c>
      <c r="L284" s="3" t="s">
        <v>29</v>
      </c>
      <c r="M284" s="4">
        <v>43845</v>
      </c>
      <c r="N284" s="4">
        <v>43845</v>
      </c>
      <c r="O284" s="3" t="s">
        <v>30</v>
      </c>
      <c r="P284" s="3">
        <v>69</v>
      </c>
      <c r="Q284" s="3" t="s">
        <v>245</v>
      </c>
      <c r="R284" s="3" t="s">
        <v>54</v>
      </c>
      <c r="S284" s="3" t="s">
        <v>32</v>
      </c>
      <c r="T284" s="3" t="str">
        <f t="shared" si="18"/>
        <v>Contract</v>
      </c>
      <c r="V284" s="3">
        <v>2</v>
      </c>
      <c r="AA284" s="3" t="s">
        <v>34</v>
      </c>
      <c r="AB284" s="3" t="str" cm="1">
        <f t="array" ref="AB284">_xlfn.IFS(AA284="N","No",  AA284 = "Y", "Yes", TRUE, PROPER(TRIM(AA284)))</f>
        <v>No</v>
      </c>
      <c r="AC284" s="3">
        <v>5</v>
      </c>
      <c r="AD284" s="3" t="s">
        <v>34</v>
      </c>
      <c r="AE284">
        <f t="shared" si="19"/>
        <v>0</v>
      </c>
    </row>
    <row r="285" spans="1:31" ht="14.25" customHeight="1" x14ac:dyDescent="0.35">
      <c r="A285" s="3" t="s">
        <v>703</v>
      </c>
      <c r="B285" s="3" t="s">
        <v>75</v>
      </c>
      <c r="C285" s="3" t="s">
        <v>524</v>
      </c>
      <c r="D285" s="3">
        <v>25</v>
      </c>
      <c r="E285" s="3">
        <f t="shared" si="16"/>
        <v>25</v>
      </c>
      <c r="F285" s="3">
        <v>1999</v>
      </c>
      <c r="G285" s="3">
        <v>70000</v>
      </c>
      <c r="H285" s="12" cm="1">
        <f t="array" ref="H285">_xlfn.IFS(TRIM(G285)="SIXTY THOUSAND",60000,TRIM(G285)="NAN",AVERAGEIFS(G:G,J:J,J285,L:L,L285),TRUE,G285)</f>
        <v>70000</v>
      </c>
      <c r="I285" s="3" t="s">
        <v>27</v>
      </c>
      <c r="J285" s="3" t="s">
        <v>93</v>
      </c>
      <c r="K285" s="3" t="str">
        <f t="shared" si="17"/>
        <v>Marketing</v>
      </c>
      <c r="L285" s="3" t="s">
        <v>29</v>
      </c>
      <c r="M285" s="4">
        <v>43845</v>
      </c>
      <c r="N285" s="4">
        <v>43845</v>
      </c>
      <c r="O285" s="3" t="s">
        <v>59</v>
      </c>
      <c r="P285" s="3">
        <v>97</v>
      </c>
      <c r="Q285" s="3" t="s">
        <v>704</v>
      </c>
      <c r="R285" s="3" t="s">
        <v>54</v>
      </c>
      <c r="S285" s="3" t="s">
        <v>32</v>
      </c>
      <c r="T285" s="3" t="str">
        <f t="shared" si="18"/>
        <v>Contract</v>
      </c>
      <c r="U285" s="3" t="s">
        <v>705</v>
      </c>
      <c r="V285" s="3">
        <v>1</v>
      </c>
      <c r="X285" s="3">
        <v>2</v>
      </c>
      <c r="AA285" s="3" t="s">
        <v>169</v>
      </c>
      <c r="AB285" s="3" t="str" cm="1">
        <f t="array" ref="AB285">_xlfn.IFS(AA285="N","No",  AA285 = "Y", "Yes", TRUE, PROPER(TRIM(AA285)))</f>
        <v>Yes</v>
      </c>
      <c r="AC285" s="3">
        <v>5</v>
      </c>
      <c r="AD285" s="3" t="s">
        <v>46</v>
      </c>
      <c r="AE285">
        <f t="shared" si="19"/>
        <v>1</v>
      </c>
    </row>
    <row r="286" spans="1:31" ht="14.25" customHeight="1" x14ac:dyDescent="0.35">
      <c r="A286" s="3" t="s">
        <v>706</v>
      </c>
      <c r="B286" s="3" t="s">
        <v>107</v>
      </c>
      <c r="C286" s="3" t="s">
        <v>395</v>
      </c>
      <c r="D286" s="3" t="s">
        <v>88</v>
      </c>
      <c r="E286" s="3">
        <f t="shared" si="16"/>
        <v>30</v>
      </c>
      <c r="F286" s="3">
        <v>1994</v>
      </c>
      <c r="G286" s="3">
        <v>65000</v>
      </c>
      <c r="H286" s="12" cm="1">
        <f t="array" ref="H286">_xlfn.IFS(TRIM(G286)="SIXTY THOUSAND",60000,TRIM(G286)="NAN",AVERAGEIFS(G:G,J:J,J286,L:L,L286),TRUE,G286)</f>
        <v>65000</v>
      </c>
      <c r="I286" s="3" t="s">
        <v>27</v>
      </c>
      <c r="J286" s="3" t="s">
        <v>122</v>
      </c>
      <c r="K286" s="3" t="str">
        <f t="shared" si="17"/>
        <v>IT</v>
      </c>
      <c r="L286" s="3" t="s">
        <v>94</v>
      </c>
      <c r="M286" s="4">
        <v>43549</v>
      </c>
      <c r="N286" s="4">
        <v>43549</v>
      </c>
      <c r="O286" s="3" t="s">
        <v>52</v>
      </c>
      <c r="P286" s="3">
        <v>74</v>
      </c>
      <c r="Q286" s="3" t="s">
        <v>707</v>
      </c>
      <c r="R286" s="3" t="s">
        <v>104</v>
      </c>
      <c r="S286" s="3" t="s">
        <v>44</v>
      </c>
      <c r="T286" s="3" t="str">
        <f t="shared" si="18"/>
        <v>Full-Time</v>
      </c>
      <c r="V286" s="3">
        <v>3</v>
      </c>
      <c r="W286" s="3" t="s">
        <v>79</v>
      </c>
      <c r="AA286" s="3" t="s">
        <v>73</v>
      </c>
      <c r="AB286" s="3" t="str" cm="1">
        <f t="array" ref="AB286">_xlfn.IFS(AA286="N","No",  AA286 = "Y", "Yes", TRUE, PROPER(TRIM(AA286)))</f>
        <v>No</v>
      </c>
      <c r="AC286" s="3">
        <v>1</v>
      </c>
      <c r="AD286" s="3" t="s">
        <v>34</v>
      </c>
      <c r="AE286">
        <f t="shared" si="19"/>
        <v>0</v>
      </c>
    </row>
    <row r="287" spans="1:31" ht="14.25" customHeight="1" x14ac:dyDescent="0.35">
      <c r="A287" s="3" t="s">
        <v>708</v>
      </c>
      <c r="B287" s="3" t="s">
        <v>48</v>
      </c>
      <c r="C287" s="3" t="s">
        <v>681</v>
      </c>
      <c r="D287" s="3" t="s">
        <v>88</v>
      </c>
      <c r="E287" s="3">
        <f t="shared" si="16"/>
        <v>30</v>
      </c>
      <c r="F287" s="3">
        <v>1994</v>
      </c>
      <c r="G287" s="3">
        <v>65000</v>
      </c>
      <c r="H287" s="12" cm="1">
        <f t="array" ref="H287">_xlfn.IFS(TRIM(G287)="SIXTY THOUSAND",60000,TRIM(G287)="NAN",AVERAGEIFS(G:G,J:J,J287,L:L,L287),TRUE,G287)</f>
        <v>65000</v>
      </c>
      <c r="I287" s="3" t="s">
        <v>27</v>
      </c>
      <c r="J287" s="3" t="s">
        <v>64</v>
      </c>
      <c r="K287" s="3" t="str">
        <f t="shared" si="17"/>
        <v>Finance</v>
      </c>
      <c r="L287" s="3" t="s">
        <v>40</v>
      </c>
      <c r="M287" s="4">
        <v>43881</v>
      </c>
      <c r="N287" s="4">
        <v>43881</v>
      </c>
      <c r="O287" s="3" t="s">
        <v>30</v>
      </c>
      <c r="P287" s="3">
        <v>66</v>
      </c>
      <c r="Q287" s="3" t="s">
        <v>682</v>
      </c>
      <c r="R287" s="3" t="s">
        <v>61</v>
      </c>
      <c r="S287" s="3" t="s">
        <v>72</v>
      </c>
      <c r="T287" s="3" t="str">
        <f t="shared" si="18"/>
        <v>Part-Time</v>
      </c>
      <c r="V287" s="3">
        <v>8</v>
      </c>
      <c r="AA287" s="3" t="s">
        <v>33</v>
      </c>
      <c r="AB287" s="3" t="str" cm="1">
        <f t="array" ref="AB287">_xlfn.IFS(AA287="N","No",  AA287 = "Y", "Yes", TRUE, PROPER(TRIM(AA287)))</f>
        <v>Yes</v>
      </c>
      <c r="AC287" s="3">
        <v>3</v>
      </c>
      <c r="AD287" s="3" t="s">
        <v>34</v>
      </c>
      <c r="AE287">
        <f t="shared" si="19"/>
        <v>0</v>
      </c>
    </row>
    <row r="288" spans="1:31" ht="14.25" customHeight="1" x14ac:dyDescent="0.35">
      <c r="A288" s="3" t="s">
        <v>709</v>
      </c>
      <c r="B288" s="3" t="s">
        <v>114</v>
      </c>
      <c r="C288" s="3" t="s">
        <v>710</v>
      </c>
      <c r="D288" s="3">
        <v>40</v>
      </c>
      <c r="E288" s="3">
        <f t="shared" si="16"/>
        <v>40</v>
      </c>
      <c r="F288" s="3">
        <v>1984</v>
      </c>
      <c r="G288" s="3">
        <v>50000</v>
      </c>
      <c r="H288" s="12" cm="1">
        <f t="array" ref="H288">_xlfn.IFS(TRIM(G288)="SIXTY THOUSAND",60000,TRIM(G288)="NAN",AVERAGEIFS(G:G,J:J,J288,L:L,L288),TRUE,G288)</f>
        <v>50000</v>
      </c>
      <c r="I288" s="3" t="s">
        <v>27</v>
      </c>
      <c r="J288" s="3" t="s">
        <v>28</v>
      </c>
      <c r="K288" s="3" t="str">
        <f t="shared" si="17"/>
        <v>HR</v>
      </c>
      <c r="L288" s="3" t="s">
        <v>29</v>
      </c>
      <c r="M288" s="4">
        <v>43549</v>
      </c>
      <c r="N288" s="4">
        <v>43549</v>
      </c>
      <c r="O288" s="3" t="s">
        <v>52</v>
      </c>
      <c r="P288" s="3">
        <v>77</v>
      </c>
      <c r="Q288" s="3" t="s">
        <v>711</v>
      </c>
      <c r="R288" s="3" t="s">
        <v>43</v>
      </c>
      <c r="S288" s="3" t="s">
        <v>44</v>
      </c>
      <c r="T288" s="3" t="str">
        <f t="shared" si="18"/>
        <v>Full-Time</v>
      </c>
      <c r="U288" s="3" t="s">
        <v>712</v>
      </c>
      <c r="V288" s="3">
        <v>3</v>
      </c>
      <c r="AA288" s="3" t="s">
        <v>34</v>
      </c>
      <c r="AB288" s="3" t="str" cm="1">
        <f t="array" ref="AB288">_xlfn.IFS(AA288="N","No",  AA288 = "Y", "Yes", TRUE, PROPER(TRIM(AA288)))</f>
        <v>No</v>
      </c>
      <c r="AC288" s="3">
        <v>1</v>
      </c>
      <c r="AD288" s="3" t="s">
        <v>46</v>
      </c>
      <c r="AE288">
        <f t="shared" si="19"/>
        <v>1</v>
      </c>
    </row>
    <row r="289" spans="1:31" ht="14.25" customHeight="1" x14ac:dyDescent="0.35">
      <c r="A289" s="3" t="s">
        <v>713</v>
      </c>
      <c r="B289" s="3" t="s">
        <v>56</v>
      </c>
      <c r="C289" s="3" t="s">
        <v>380</v>
      </c>
      <c r="D289" s="3">
        <v>25</v>
      </c>
      <c r="E289" s="3">
        <f t="shared" si="16"/>
        <v>25</v>
      </c>
      <c r="F289" s="3">
        <v>1999</v>
      </c>
      <c r="G289" s="3">
        <v>50000</v>
      </c>
      <c r="H289" s="12" cm="1">
        <f t="array" ref="H289">_xlfn.IFS(TRIM(G289)="SIXTY THOUSAND",60000,TRIM(G289)="NAN",AVERAGEIFS(G:G,J:J,J289,L:L,L289),TRUE,G289)</f>
        <v>50000</v>
      </c>
      <c r="I289" s="3" t="s">
        <v>38</v>
      </c>
      <c r="J289" s="3" t="s">
        <v>51</v>
      </c>
      <c r="K289" s="3" t="str">
        <f t="shared" si="17"/>
        <v>Sales</v>
      </c>
      <c r="L289" s="3" t="s">
        <v>29</v>
      </c>
      <c r="M289" s="4">
        <v>43881</v>
      </c>
      <c r="N289" s="4">
        <v>43881</v>
      </c>
      <c r="O289" s="3" t="s">
        <v>78</v>
      </c>
      <c r="P289" s="3">
        <v>85</v>
      </c>
      <c r="Q289" s="3" t="s">
        <v>714</v>
      </c>
      <c r="R289" s="3" t="s">
        <v>61</v>
      </c>
      <c r="S289" s="3" t="s">
        <v>44</v>
      </c>
      <c r="T289" s="3" t="str">
        <f t="shared" si="18"/>
        <v>Full-Time</v>
      </c>
      <c r="V289" s="3">
        <v>7</v>
      </c>
      <c r="Y289" s="4">
        <v>44941</v>
      </c>
      <c r="AA289" s="3" t="s">
        <v>46</v>
      </c>
      <c r="AB289" s="3" t="str" cm="1">
        <f t="array" ref="AB289">_xlfn.IFS(AA289="N","No",  AA289 = "Y", "Yes", TRUE, PROPER(TRIM(AA289)))</f>
        <v>Yes</v>
      </c>
      <c r="AC289" s="3">
        <v>1</v>
      </c>
      <c r="AD289" s="3" t="s">
        <v>46</v>
      </c>
      <c r="AE289">
        <f t="shared" si="19"/>
        <v>1</v>
      </c>
    </row>
    <row r="290" spans="1:31" ht="14.25" customHeight="1" x14ac:dyDescent="0.35">
      <c r="A290" s="3" t="s">
        <v>715</v>
      </c>
      <c r="B290" s="3" t="s">
        <v>131</v>
      </c>
      <c r="C290" s="3" t="s">
        <v>305</v>
      </c>
      <c r="D290" s="3">
        <v>25</v>
      </c>
      <c r="E290" s="3">
        <f t="shared" si="16"/>
        <v>25</v>
      </c>
      <c r="F290" s="3">
        <v>1999</v>
      </c>
      <c r="G290" s="3">
        <v>60300</v>
      </c>
      <c r="H290" s="12" cm="1">
        <f t="array" ref="H290">_xlfn.IFS(TRIM(G290)="SIXTY THOUSAND",60000,TRIM(G290)="NAN",AVERAGEIFS(G:G,J:J,J290,L:L,L290),TRUE,G290)</f>
        <v>60300</v>
      </c>
      <c r="I290" s="3" t="s">
        <v>38</v>
      </c>
      <c r="J290" s="3" t="s">
        <v>64</v>
      </c>
      <c r="K290" s="3" t="str">
        <f t="shared" si="17"/>
        <v>Finance</v>
      </c>
      <c r="L290" s="3" t="s">
        <v>40</v>
      </c>
      <c r="M290" s="4">
        <v>43195</v>
      </c>
      <c r="N290" s="4">
        <v>43195</v>
      </c>
      <c r="O290" s="3" t="s">
        <v>78</v>
      </c>
      <c r="P290" s="3">
        <v>84</v>
      </c>
      <c r="Q290" s="3" t="s">
        <v>306</v>
      </c>
      <c r="S290" s="3" t="s">
        <v>174</v>
      </c>
      <c r="T290" s="3" t="str">
        <f t="shared" si="18"/>
        <v>Full-Time</v>
      </c>
      <c r="V290" s="3">
        <v>2</v>
      </c>
      <c r="W290" s="3" t="s">
        <v>79</v>
      </c>
      <c r="Y290" s="3" t="s">
        <v>79</v>
      </c>
      <c r="AA290" s="3" t="s">
        <v>73</v>
      </c>
      <c r="AB290" s="3" t="str" cm="1">
        <f t="array" ref="AB290">_xlfn.IFS(AA290="N","No",  AA290 = "Y", "Yes", TRUE, PROPER(TRIM(AA290)))</f>
        <v>No</v>
      </c>
      <c r="AC290" s="3">
        <v>4</v>
      </c>
      <c r="AD290" s="3" t="s">
        <v>34</v>
      </c>
      <c r="AE290">
        <f t="shared" si="19"/>
        <v>0</v>
      </c>
    </row>
    <row r="291" spans="1:31" ht="14.25" customHeight="1" x14ac:dyDescent="0.35">
      <c r="A291" s="3" t="s">
        <v>716</v>
      </c>
      <c r="B291" s="3" t="s">
        <v>131</v>
      </c>
      <c r="C291" s="3" t="s">
        <v>216</v>
      </c>
      <c r="D291" s="3">
        <v>25</v>
      </c>
      <c r="E291" s="3">
        <f t="shared" si="16"/>
        <v>25</v>
      </c>
      <c r="F291" s="3">
        <v>1999</v>
      </c>
      <c r="G291" s="3">
        <v>70000</v>
      </c>
      <c r="H291" s="12" cm="1">
        <f t="array" ref="H291">_xlfn.IFS(TRIM(G291)="SIXTY THOUSAND",60000,TRIM(G291)="NAN",AVERAGEIFS(G:G,J:J,J291,L:L,L291),TRUE,G291)</f>
        <v>70000</v>
      </c>
      <c r="I291" s="3" t="s">
        <v>38</v>
      </c>
      <c r="J291" s="3" t="s">
        <v>58</v>
      </c>
      <c r="K291" s="3" t="str">
        <f t="shared" si="17"/>
        <v>IT</v>
      </c>
      <c r="L291" s="3" t="s">
        <v>77</v>
      </c>
      <c r="M291" s="4">
        <v>43549</v>
      </c>
      <c r="N291" s="4">
        <v>43549</v>
      </c>
      <c r="O291" s="3" t="s">
        <v>41</v>
      </c>
      <c r="P291" s="3">
        <v>18</v>
      </c>
      <c r="Q291" s="3" t="s">
        <v>217</v>
      </c>
      <c r="R291" s="3" t="s">
        <v>104</v>
      </c>
      <c r="S291" s="3" t="s">
        <v>66</v>
      </c>
      <c r="T291" s="3" t="str">
        <f t="shared" si="18"/>
        <v>Contract</v>
      </c>
      <c r="V291" s="3">
        <v>5</v>
      </c>
      <c r="X291" s="3">
        <v>12</v>
      </c>
      <c r="Z291" s="3">
        <v>11</v>
      </c>
      <c r="AA291" s="3" t="s">
        <v>34</v>
      </c>
      <c r="AB291" s="3" t="str" cm="1">
        <f t="array" ref="AB291">_xlfn.IFS(AA291="N","No",  AA291 = "Y", "Yes", TRUE, PROPER(TRIM(AA291)))</f>
        <v>No</v>
      </c>
      <c r="AC291" s="3">
        <v>5</v>
      </c>
      <c r="AD291" s="3" t="s">
        <v>46</v>
      </c>
      <c r="AE291">
        <f t="shared" si="19"/>
        <v>1</v>
      </c>
    </row>
    <row r="292" spans="1:31" ht="14.25" customHeight="1" x14ac:dyDescent="0.35">
      <c r="A292" s="3" t="s">
        <v>717</v>
      </c>
      <c r="B292" s="3" t="s">
        <v>56</v>
      </c>
      <c r="C292" s="3" t="s">
        <v>253</v>
      </c>
      <c r="D292" s="3">
        <v>25</v>
      </c>
      <c r="E292" s="3">
        <f t="shared" si="16"/>
        <v>25</v>
      </c>
      <c r="F292" s="3">
        <v>1999</v>
      </c>
      <c r="G292" s="3">
        <v>65000</v>
      </c>
      <c r="H292" s="12" cm="1">
        <f t="array" ref="H292">_xlfn.IFS(TRIM(G292)="SIXTY THOUSAND",60000,TRIM(G292)="NAN",AVERAGEIFS(G:G,J:J,J292,L:L,L292),TRUE,G292)</f>
        <v>65000</v>
      </c>
      <c r="I292" s="3" t="s">
        <v>38</v>
      </c>
      <c r="J292" s="3" t="s">
        <v>39</v>
      </c>
      <c r="K292" s="3" t="str">
        <f t="shared" si="17"/>
        <v>Finance</v>
      </c>
      <c r="L292" s="3" t="s">
        <v>40</v>
      </c>
      <c r="M292" s="4">
        <v>43549</v>
      </c>
      <c r="N292" s="4">
        <v>43549</v>
      </c>
      <c r="O292" s="3" t="s">
        <v>78</v>
      </c>
      <c r="P292" s="3">
        <v>88</v>
      </c>
      <c r="Q292" s="3" t="s">
        <v>718</v>
      </c>
      <c r="R292" s="3" t="s">
        <v>104</v>
      </c>
      <c r="S292" s="3" t="s">
        <v>44</v>
      </c>
      <c r="T292" s="3" t="str">
        <f t="shared" si="18"/>
        <v>Full-Time</v>
      </c>
      <c r="V292" s="3">
        <v>4</v>
      </c>
      <c r="Y292" s="4">
        <v>44990</v>
      </c>
      <c r="Z292" s="3">
        <v>80</v>
      </c>
      <c r="AA292" s="3" t="s">
        <v>46</v>
      </c>
      <c r="AB292" s="3" t="str" cm="1">
        <f t="array" ref="AB292">_xlfn.IFS(AA292="N","No",  AA292 = "Y", "Yes", TRUE, PROPER(TRIM(AA292)))</f>
        <v>Yes</v>
      </c>
      <c r="AC292" s="3">
        <v>3</v>
      </c>
      <c r="AD292" s="3" t="s">
        <v>34</v>
      </c>
      <c r="AE292">
        <f t="shared" si="19"/>
        <v>0</v>
      </c>
    </row>
    <row r="293" spans="1:31" ht="14.25" customHeight="1" x14ac:dyDescent="0.35">
      <c r="A293" s="3" t="s">
        <v>719</v>
      </c>
      <c r="B293" s="3" t="s">
        <v>75</v>
      </c>
      <c r="C293" s="3" t="s">
        <v>69</v>
      </c>
      <c r="D293" s="3">
        <v>25</v>
      </c>
      <c r="E293" s="3">
        <f t="shared" si="16"/>
        <v>25</v>
      </c>
      <c r="F293" s="3">
        <v>1999</v>
      </c>
      <c r="G293" s="3">
        <v>60300</v>
      </c>
      <c r="H293" s="12" cm="1">
        <f t="array" ref="H293">_xlfn.IFS(TRIM(G293)="SIXTY THOUSAND",60000,TRIM(G293)="NAN",AVERAGEIFS(G:G,J:J,J293,L:L,L293),TRUE,G293)</f>
        <v>60300</v>
      </c>
      <c r="I293" s="3" t="s">
        <v>27</v>
      </c>
      <c r="J293" s="3" t="s">
        <v>64</v>
      </c>
      <c r="K293" s="3" t="str">
        <f t="shared" si="17"/>
        <v>Finance</v>
      </c>
      <c r="L293" s="3" t="s">
        <v>40</v>
      </c>
      <c r="M293" s="4">
        <v>43800</v>
      </c>
      <c r="N293" s="4">
        <v>43800</v>
      </c>
      <c r="O293" s="3" t="s">
        <v>52</v>
      </c>
      <c r="P293" s="3">
        <v>73</v>
      </c>
      <c r="Q293" s="3" t="s">
        <v>720</v>
      </c>
      <c r="S293" s="3" t="s">
        <v>100</v>
      </c>
      <c r="T293" s="3" t="str">
        <f t="shared" si="18"/>
        <v>Part-Time</v>
      </c>
      <c r="V293" s="3">
        <v>4</v>
      </c>
      <c r="Y293" s="4">
        <v>44732</v>
      </c>
      <c r="Z293" s="3">
        <v>7</v>
      </c>
      <c r="AA293" s="3" t="s">
        <v>34</v>
      </c>
      <c r="AB293" s="3" t="str" cm="1">
        <f t="array" ref="AB293">_xlfn.IFS(AA293="N","No",  AA293 = "Y", "Yes", TRUE, PROPER(TRIM(AA293)))</f>
        <v>No</v>
      </c>
      <c r="AC293" s="3">
        <v>3</v>
      </c>
      <c r="AD293" s="3" t="s">
        <v>34</v>
      </c>
      <c r="AE293">
        <f t="shared" si="19"/>
        <v>0</v>
      </c>
    </row>
    <row r="294" spans="1:31" ht="14.25" customHeight="1" x14ac:dyDescent="0.35">
      <c r="A294" s="3" t="s">
        <v>721</v>
      </c>
      <c r="B294" s="3" t="s">
        <v>36</v>
      </c>
      <c r="C294" s="3" t="s">
        <v>26</v>
      </c>
      <c r="D294" s="3">
        <v>40</v>
      </c>
      <c r="E294" s="3">
        <f t="shared" si="16"/>
        <v>40</v>
      </c>
      <c r="F294" s="3">
        <v>1984</v>
      </c>
      <c r="G294" s="3">
        <v>58600</v>
      </c>
      <c r="H294" s="12" cm="1">
        <f t="array" ref="H294">_xlfn.IFS(TRIM(G294)="SIXTY THOUSAND",60000,TRIM(G294)="NAN",AVERAGEIFS(G:G,J:J,J294,L:L,L294),TRUE,G294)</f>
        <v>58600</v>
      </c>
      <c r="I294" s="3" t="s">
        <v>27</v>
      </c>
      <c r="J294" s="3" t="s">
        <v>122</v>
      </c>
      <c r="K294" s="3" t="str">
        <f t="shared" si="17"/>
        <v>IT</v>
      </c>
      <c r="L294" s="3" t="s">
        <v>77</v>
      </c>
      <c r="M294" s="4">
        <v>43549</v>
      </c>
      <c r="N294" s="4">
        <v>43549</v>
      </c>
      <c r="O294" s="3" t="s">
        <v>78</v>
      </c>
      <c r="P294" s="3">
        <v>86</v>
      </c>
      <c r="Q294" s="3" t="s">
        <v>722</v>
      </c>
      <c r="R294" s="3" t="s">
        <v>43</v>
      </c>
      <c r="S294" s="3" t="s">
        <v>72</v>
      </c>
      <c r="T294" s="3" t="str">
        <f t="shared" si="18"/>
        <v>Part-Time</v>
      </c>
      <c r="V294" s="3">
        <v>2</v>
      </c>
      <c r="Z294" s="3">
        <v>49</v>
      </c>
      <c r="AA294" s="3" t="s">
        <v>34</v>
      </c>
      <c r="AB294" s="3" t="str" cm="1">
        <f t="array" ref="AB294">_xlfn.IFS(AA294="N","No",  AA294 = "Y", "Yes", TRUE, PROPER(TRIM(AA294)))</f>
        <v>No</v>
      </c>
      <c r="AC294" s="3">
        <v>5</v>
      </c>
      <c r="AD294" s="3" t="s">
        <v>34</v>
      </c>
      <c r="AE294">
        <f t="shared" si="19"/>
        <v>0</v>
      </c>
    </row>
    <row r="295" spans="1:31" ht="14.25" customHeight="1" x14ac:dyDescent="0.35">
      <c r="A295" s="3" t="s">
        <v>723</v>
      </c>
      <c r="B295" s="3" t="s">
        <v>75</v>
      </c>
      <c r="C295" s="3" t="s">
        <v>310</v>
      </c>
      <c r="D295" s="3">
        <v>35</v>
      </c>
      <c r="E295" s="3">
        <f t="shared" si="16"/>
        <v>35</v>
      </c>
      <c r="F295" s="3">
        <v>1989</v>
      </c>
      <c r="G295" s="3">
        <v>55000</v>
      </c>
      <c r="H295" s="12" cm="1">
        <f t="array" ref="H295">_xlfn.IFS(TRIM(G295)="SIXTY THOUSAND",60000,TRIM(G295)="NAN",AVERAGEIFS(G:G,J:J,J295,L:L,L295),TRUE,G295)</f>
        <v>55000</v>
      </c>
      <c r="I295" s="3" t="s">
        <v>27</v>
      </c>
      <c r="J295" s="3" t="s">
        <v>93</v>
      </c>
      <c r="K295" s="3" t="str">
        <f t="shared" si="17"/>
        <v>Marketing</v>
      </c>
      <c r="L295" s="3" t="s">
        <v>40</v>
      </c>
      <c r="M295" s="4">
        <v>43881</v>
      </c>
      <c r="N295" s="4">
        <v>43881</v>
      </c>
      <c r="O295" s="3" t="s">
        <v>30</v>
      </c>
      <c r="P295" s="3">
        <v>66</v>
      </c>
      <c r="Q295" s="3" t="s">
        <v>311</v>
      </c>
      <c r="S295" s="3" t="s">
        <v>66</v>
      </c>
      <c r="T295" s="3" t="str">
        <f t="shared" si="18"/>
        <v>Contract</v>
      </c>
      <c r="V295" s="3">
        <v>7</v>
      </c>
      <c r="W295" s="3">
        <v>6</v>
      </c>
      <c r="AA295" s="3" t="s">
        <v>482</v>
      </c>
      <c r="AB295" s="3" t="str" cm="1">
        <f t="array" ref="AB295">_xlfn.IFS(AA295="N","No",  AA295 = "Y", "Yes", TRUE, PROPER(TRIM(AA295)))</f>
        <v>Yes</v>
      </c>
      <c r="AC295" s="3">
        <v>5</v>
      </c>
      <c r="AD295" s="3" t="s">
        <v>34</v>
      </c>
      <c r="AE295">
        <f t="shared" si="19"/>
        <v>0</v>
      </c>
    </row>
    <row r="296" spans="1:31" ht="14.25" customHeight="1" x14ac:dyDescent="0.35">
      <c r="A296" s="3" t="s">
        <v>724</v>
      </c>
      <c r="B296" s="3" t="s">
        <v>131</v>
      </c>
      <c r="C296" s="3" t="s">
        <v>216</v>
      </c>
      <c r="D296" s="3" t="s">
        <v>88</v>
      </c>
      <c r="E296" s="3">
        <f t="shared" si="16"/>
        <v>30</v>
      </c>
      <c r="F296" s="3">
        <v>1994</v>
      </c>
      <c r="G296" s="3">
        <v>50000</v>
      </c>
      <c r="H296" s="12" cm="1">
        <f t="array" ref="H296">_xlfn.IFS(TRIM(G296)="SIXTY THOUSAND",60000,TRIM(G296)="NAN",AVERAGEIFS(G:G,J:J,J296,L:L,L296),TRUE,G296)</f>
        <v>50000</v>
      </c>
      <c r="I296" s="3" t="s">
        <v>38</v>
      </c>
      <c r="J296" s="3" t="s">
        <v>70</v>
      </c>
      <c r="K296" s="3" t="str">
        <f t="shared" si="17"/>
        <v>Marketing</v>
      </c>
      <c r="L296" s="3" t="s">
        <v>29</v>
      </c>
      <c r="M296" s="4">
        <v>43800</v>
      </c>
      <c r="N296" s="4">
        <v>43800</v>
      </c>
      <c r="O296" s="3" t="s">
        <v>78</v>
      </c>
      <c r="P296" s="3">
        <v>84</v>
      </c>
      <c r="Q296" s="3" t="s">
        <v>217</v>
      </c>
      <c r="R296" s="3" t="s">
        <v>43</v>
      </c>
      <c r="S296" s="3" t="s">
        <v>32</v>
      </c>
      <c r="T296" s="3" t="str">
        <f t="shared" si="18"/>
        <v>Contract</v>
      </c>
      <c r="V296" s="3">
        <v>4</v>
      </c>
      <c r="Y296" s="4">
        <v>45516</v>
      </c>
      <c r="AA296" s="3" t="s">
        <v>73</v>
      </c>
      <c r="AB296" s="3" t="str" cm="1">
        <f t="array" ref="AB296">_xlfn.IFS(AA296="N","No",  AA296 = "Y", "Yes", TRUE, PROPER(TRIM(AA296)))</f>
        <v>No</v>
      </c>
      <c r="AC296" s="3">
        <v>5</v>
      </c>
      <c r="AD296" s="3" t="s">
        <v>46</v>
      </c>
      <c r="AE296">
        <f t="shared" si="19"/>
        <v>1</v>
      </c>
    </row>
    <row r="297" spans="1:31" ht="14.25" customHeight="1" x14ac:dyDescent="0.35">
      <c r="A297" s="3" t="s">
        <v>725</v>
      </c>
      <c r="B297" s="3" t="s">
        <v>131</v>
      </c>
      <c r="C297" s="3" t="s">
        <v>144</v>
      </c>
      <c r="D297" s="3">
        <v>25</v>
      </c>
      <c r="E297" s="3">
        <f t="shared" si="16"/>
        <v>25</v>
      </c>
      <c r="F297" s="3">
        <v>1999</v>
      </c>
      <c r="G297" s="3">
        <v>70000</v>
      </c>
      <c r="H297" s="12" cm="1">
        <f t="array" ref="H297">_xlfn.IFS(TRIM(G297)="SIXTY THOUSAND",60000,TRIM(G297)="NAN",AVERAGEIFS(G:G,J:J,J297,L:L,L297),TRUE,G297)</f>
        <v>70000</v>
      </c>
      <c r="I297" s="3" t="s">
        <v>38</v>
      </c>
      <c r="J297" s="3" t="s">
        <v>28</v>
      </c>
      <c r="K297" s="3" t="str">
        <f t="shared" si="17"/>
        <v>HR</v>
      </c>
      <c r="L297" s="3" t="s">
        <v>40</v>
      </c>
      <c r="M297" s="4">
        <v>43549</v>
      </c>
      <c r="N297" s="4">
        <v>43549</v>
      </c>
      <c r="O297" s="3" t="s">
        <v>41</v>
      </c>
      <c r="P297" s="3">
        <v>5</v>
      </c>
      <c r="Q297" s="3" t="s">
        <v>146</v>
      </c>
      <c r="R297" s="3" t="s">
        <v>54</v>
      </c>
      <c r="S297" s="3" t="s">
        <v>112</v>
      </c>
      <c r="T297" s="3" t="str">
        <f t="shared" si="18"/>
        <v>Full-Time</v>
      </c>
      <c r="V297" s="3">
        <v>8</v>
      </c>
      <c r="X297" s="3">
        <v>14</v>
      </c>
      <c r="Z297" s="3">
        <v>67</v>
      </c>
      <c r="AB297" s="3" t="str" cm="1">
        <f t="array" ref="AB297">_xlfn.IFS(AA297="N","No",  AA297 = "Y", "Yes", TRUE, PROPER(TRIM(AA297)))</f>
        <v/>
      </c>
      <c r="AC297" s="3">
        <v>3</v>
      </c>
      <c r="AD297" s="3" t="s">
        <v>34</v>
      </c>
      <c r="AE297">
        <f t="shared" si="19"/>
        <v>0</v>
      </c>
    </row>
    <row r="298" spans="1:31" ht="14.25" customHeight="1" x14ac:dyDescent="0.35">
      <c r="A298" s="3" t="s">
        <v>726</v>
      </c>
      <c r="B298" s="3" t="s">
        <v>56</v>
      </c>
      <c r="C298" s="3" t="s">
        <v>132</v>
      </c>
      <c r="D298" s="3">
        <v>35</v>
      </c>
      <c r="E298" s="3">
        <f t="shared" si="16"/>
        <v>35</v>
      </c>
      <c r="F298" s="3">
        <v>1989</v>
      </c>
      <c r="G298" s="3">
        <v>65000</v>
      </c>
      <c r="H298" s="12" cm="1">
        <f t="array" ref="H298">_xlfn.IFS(TRIM(G298)="SIXTY THOUSAND",60000,TRIM(G298)="NAN",AVERAGEIFS(G:G,J:J,J298,L:L,L298),TRUE,G298)</f>
        <v>65000</v>
      </c>
      <c r="I298" s="3" t="s">
        <v>38</v>
      </c>
      <c r="J298" s="3" t="s">
        <v>28</v>
      </c>
      <c r="K298" s="3" t="str">
        <f t="shared" si="17"/>
        <v>HR</v>
      </c>
      <c r="L298" s="3" t="s">
        <v>77</v>
      </c>
      <c r="M298" s="4">
        <v>43549</v>
      </c>
      <c r="N298" s="4">
        <v>43549</v>
      </c>
      <c r="O298" s="3" t="s">
        <v>78</v>
      </c>
      <c r="P298" s="3">
        <v>81</v>
      </c>
      <c r="Q298" s="3" t="s">
        <v>727</v>
      </c>
      <c r="R298" s="3" t="s">
        <v>104</v>
      </c>
      <c r="S298" s="3" t="s">
        <v>72</v>
      </c>
      <c r="T298" s="3" t="str">
        <f t="shared" si="18"/>
        <v>Part-Time</v>
      </c>
      <c r="V298" s="3">
        <v>4</v>
      </c>
      <c r="W298" s="3">
        <v>10</v>
      </c>
      <c r="Y298" s="3" t="s">
        <v>79</v>
      </c>
      <c r="AA298" s="3" t="s">
        <v>169</v>
      </c>
      <c r="AB298" s="3" t="str" cm="1">
        <f t="array" ref="AB298">_xlfn.IFS(AA298="N","No",  AA298 = "Y", "Yes", TRUE, PROPER(TRIM(AA298)))</f>
        <v>Yes</v>
      </c>
      <c r="AC298" s="3">
        <v>5</v>
      </c>
      <c r="AD298" s="3" t="s">
        <v>34</v>
      </c>
      <c r="AE298">
        <f t="shared" si="19"/>
        <v>0</v>
      </c>
    </row>
    <row r="299" spans="1:31" ht="14.25" customHeight="1" x14ac:dyDescent="0.35">
      <c r="A299" s="3" t="s">
        <v>728</v>
      </c>
      <c r="B299" s="3" t="s">
        <v>107</v>
      </c>
      <c r="C299" s="3" t="s">
        <v>729</v>
      </c>
      <c r="D299" s="3">
        <v>35</v>
      </c>
      <c r="E299" s="3">
        <f t="shared" si="16"/>
        <v>35</v>
      </c>
      <c r="F299" s="3">
        <v>1989</v>
      </c>
      <c r="G299" s="3">
        <v>61600</v>
      </c>
      <c r="H299" s="12" cm="1">
        <f t="array" ref="H299">_xlfn.IFS(TRIM(G299)="SIXTY THOUSAND",60000,TRIM(G299)="NAN",AVERAGEIFS(G:G,J:J,J299,L:L,L299),TRUE,G299)</f>
        <v>61600</v>
      </c>
      <c r="I299" s="3" t="s">
        <v>27</v>
      </c>
      <c r="J299" s="3" t="s">
        <v>93</v>
      </c>
      <c r="K299" s="3" t="str">
        <f t="shared" si="17"/>
        <v>Marketing</v>
      </c>
      <c r="L299" s="3" t="s">
        <v>89</v>
      </c>
      <c r="M299" s="4">
        <v>43195</v>
      </c>
      <c r="N299" s="4">
        <v>43195</v>
      </c>
      <c r="O299" s="3" t="s">
        <v>52</v>
      </c>
      <c r="P299" s="3">
        <v>78</v>
      </c>
      <c r="Q299" s="3" t="s">
        <v>730</v>
      </c>
      <c r="R299" s="3" t="s">
        <v>43</v>
      </c>
      <c r="S299" s="3" t="s">
        <v>100</v>
      </c>
      <c r="T299" s="3" t="str">
        <f t="shared" si="18"/>
        <v>Part-Time</v>
      </c>
      <c r="V299" s="3">
        <v>6</v>
      </c>
      <c r="X299" s="3">
        <v>6</v>
      </c>
      <c r="Y299" s="4">
        <v>44470</v>
      </c>
      <c r="AA299" s="3" t="s">
        <v>169</v>
      </c>
      <c r="AB299" s="3" t="str" cm="1">
        <f t="array" ref="AB299">_xlfn.IFS(AA299="N","No",  AA299 = "Y", "Yes", TRUE, PROPER(TRIM(AA299)))</f>
        <v>Yes</v>
      </c>
      <c r="AC299" s="3">
        <v>3</v>
      </c>
      <c r="AD299" s="3" t="s">
        <v>34</v>
      </c>
      <c r="AE299">
        <f t="shared" si="19"/>
        <v>0</v>
      </c>
    </row>
    <row r="300" spans="1:31" ht="14.25" customHeight="1" x14ac:dyDescent="0.35">
      <c r="A300" s="3" t="s">
        <v>731</v>
      </c>
      <c r="B300" s="3" t="s">
        <v>75</v>
      </c>
      <c r="C300" s="3" t="s">
        <v>732</v>
      </c>
      <c r="D300" s="3" t="s">
        <v>88</v>
      </c>
      <c r="E300" s="3">
        <f t="shared" si="16"/>
        <v>30</v>
      </c>
      <c r="F300" s="3">
        <v>1994</v>
      </c>
      <c r="G300" s="3">
        <v>65000</v>
      </c>
      <c r="H300" s="12" cm="1">
        <f t="array" ref="H300">_xlfn.IFS(TRIM(G300)="SIXTY THOUSAND",60000,TRIM(G300)="NAN",AVERAGEIFS(G:G,J:J,J300,L:L,L300),TRUE,G300)</f>
        <v>65000</v>
      </c>
      <c r="I300" s="3" t="s">
        <v>27</v>
      </c>
      <c r="J300" s="3" t="s">
        <v>51</v>
      </c>
      <c r="K300" s="3" t="str">
        <f t="shared" si="17"/>
        <v>Sales</v>
      </c>
      <c r="L300" s="3" t="s">
        <v>40</v>
      </c>
      <c r="M300" s="4">
        <v>43549</v>
      </c>
      <c r="N300" s="4">
        <v>43549</v>
      </c>
      <c r="O300" s="3" t="s">
        <v>52</v>
      </c>
      <c r="P300" s="3">
        <v>76</v>
      </c>
      <c r="Q300" s="3" t="s">
        <v>733</v>
      </c>
      <c r="R300" s="3" t="s">
        <v>61</v>
      </c>
      <c r="S300" s="3" t="s">
        <v>72</v>
      </c>
      <c r="T300" s="3" t="str">
        <f t="shared" si="18"/>
        <v>Part-Time</v>
      </c>
      <c r="U300" s="3" t="s">
        <v>734</v>
      </c>
      <c r="V300" s="3">
        <v>2</v>
      </c>
      <c r="Y300" s="4">
        <v>44941</v>
      </c>
      <c r="AA300" s="3" t="s">
        <v>34</v>
      </c>
      <c r="AB300" s="3" t="str" cm="1">
        <f t="array" ref="AB300">_xlfn.IFS(AA300="N","No",  AA300 = "Y", "Yes", TRUE, PROPER(TRIM(AA300)))</f>
        <v>No</v>
      </c>
      <c r="AC300" s="3">
        <v>1</v>
      </c>
      <c r="AD300" s="3" t="s">
        <v>46</v>
      </c>
      <c r="AE300">
        <f t="shared" si="19"/>
        <v>1</v>
      </c>
    </row>
    <row r="301" spans="1:31" ht="14.25" customHeight="1" x14ac:dyDescent="0.35">
      <c r="A301" s="3" t="s">
        <v>735</v>
      </c>
      <c r="B301" s="3" t="s">
        <v>140</v>
      </c>
      <c r="C301" s="3" t="s">
        <v>499</v>
      </c>
      <c r="D301" s="3">
        <v>40</v>
      </c>
      <c r="E301" s="3">
        <f t="shared" si="16"/>
        <v>40</v>
      </c>
      <c r="F301" s="3">
        <v>1984</v>
      </c>
      <c r="G301" s="3">
        <v>55000</v>
      </c>
      <c r="H301" s="12" cm="1">
        <f t="array" ref="H301">_xlfn.IFS(TRIM(G301)="SIXTY THOUSAND",60000,TRIM(G301)="NAN",AVERAGEIFS(G:G,J:J,J301,L:L,L301),TRUE,G301)</f>
        <v>55000</v>
      </c>
      <c r="I301" s="3" t="s">
        <v>38</v>
      </c>
      <c r="J301" s="3" t="s">
        <v>64</v>
      </c>
      <c r="K301" s="3" t="str">
        <f t="shared" si="17"/>
        <v>Finance</v>
      </c>
      <c r="L301" s="3" t="s">
        <v>94</v>
      </c>
      <c r="M301" s="4">
        <v>43845</v>
      </c>
      <c r="N301" s="4">
        <v>43845</v>
      </c>
      <c r="O301" s="3" t="s">
        <v>78</v>
      </c>
      <c r="P301" s="3">
        <v>86</v>
      </c>
      <c r="Q301" s="3" t="s">
        <v>736</v>
      </c>
      <c r="R301" s="3" t="s">
        <v>61</v>
      </c>
      <c r="S301" s="3" t="s">
        <v>32</v>
      </c>
      <c r="T301" s="3" t="str">
        <f t="shared" si="18"/>
        <v>Contract</v>
      </c>
      <c r="V301" s="3">
        <v>7</v>
      </c>
      <c r="W301" s="3" t="s">
        <v>79</v>
      </c>
      <c r="X301" s="3">
        <v>4</v>
      </c>
      <c r="Y301" s="4">
        <v>44941</v>
      </c>
      <c r="AA301" s="3" t="s">
        <v>482</v>
      </c>
      <c r="AB301" s="3" t="str" cm="1">
        <f t="array" ref="AB301">_xlfn.IFS(AA301="N","No",  AA301 = "Y", "Yes", TRUE, PROPER(TRIM(AA301)))</f>
        <v>Yes</v>
      </c>
      <c r="AC301" s="3">
        <v>4</v>
      </c>
      <c r="AD301" s="3" t="s">
        <v>34</v>
      </c>
      <c r="AE301">
        <f t="shared" si="19"/>
        <v>0</v>
      </c>
    </row>
    <row r="302" spans="1:31" ht="14.25" customHeight="1" x14ac:dyDescent="0.35">
      <c r="A302" s="3" t="s">
        <v>737</v>
      </c>
      <c r="B302" s="3" t="s">
        <v>56</v>
      </c>
      <c r="C302" s="3" t="s">
        <v>612</v>
      </c>
      <c r="E302" s="3">
        <f t="shared" si="16"/>
        <v>36</v>
      </c>
      <c r="F302" s="3">
        <v>1988</v>
      </c>
      <c r="G302" s="3">
        <v>70000</v>
      </c>
      <c r="H302" s="12" cm="1">
        <f t="array" ref="H302">_xlfn.IFS(TRIM(G302)="SIXTY THOUSAND",60000,TRIM(G302)="NAN",AVERAGEIFS(G:G,J:J,J302,L:L,L302),TRUE,G302)</f>
        <v>70000</v>
      </c>
      <c r="I302" s="3" t="s">
        <v>38</v>
      </c>
      <c r="J302" s="3" t="s">
        <v>145</v>
      </c>
      <c r="K302" s="3" t="str">
        <f t="shared" si="17"/>
        <v>Sales</v>
      </c>
      <c r="L302" s="3" t="s">
        <v>29</v>
      </c>
      <c r="M302" s="4">
        <v>43800</v>
      </c>
      <c r="N302" s="4">
        <v>43800</v>
      </c>
      <c r="O302" s="3" t="s">
        <v>52</v>
      </c>
      <c r="P302" s="3">
        <v>71</v>
      </c>
      <c r="Q302" s="3" t="s">
        <v>613</v>
      </c>
      <c r="R302" s="3" t="s">
        <v>104</v>
      </c>
      <c r="S302" s="3" t="s">
        <v>100</v>
      </c>
      <c r="T302" s="3" t="str">
        <f t="shared" si="18"/>
        <v>Part-Time</v>
      </c>
      <c r="V302" s="3">
        <v>1</v>
      </c>
      <c r="Y302" s="3" t="s">
        <v>79</v>
      </c>
      <c r="Z302" s="3">
        <v>70</v>
      </c>
      <c r="AA302" s="3" t="s">
        <v>482</v>
      </c>
      <c r="AB302" s="3" t="str" cm="1">
        <f t="array" ref="AB302">_xlfn.IFS(AA302="N","No",  AA302 = "Y", "Yes", TRUE, PROPER(TRIM(AA302)))</f>
        <v>Yes</v>
      </c>
      <c r="AC302" s="3">
        <v>3</v>
      </c>
      <c r="AD302" s="3" t="s">
        <v>46</v>
      </c>
      <c r="AE302">
        <f t="shared" si="19"/>
        <v>1</v>
      </c>
    </row>
    <row r="303" spans="1:31" ht="14.25" customHeight="1" x14ac:dyDescent="0.35">
      <c r="A303" s="3" t="s">
        <v>738</v>
      </c>
      <c r="B303" s="3" t="s">
        <v>48</v>
      </c>
      <c r="C303" s="3" t="s">
        <v>225</v>
      </c>
      <c r="E303" s="3">
        <f t="shared" si="16"/>
        <v>39</v>
      </c>
      <c r="F303" s="3">
        <v>1985</v>
      </c>
      <c r="G303" s="3">
        <v>59500</v>
      </c>
      <c r="H303" s="12" cm="1">
        <f t="array" ref="H303">_xlfn.IFS(TRIM(G303)="SIXTY THOUSAND",60000,TRIM(G303)="NAN",AVERAGEIFS(G:G,J:J,J303,L:L,L303),TRUE,G303)</f>
        <v>59500</v>
      </c>
      <c r="I303" s="3" t="s">
        <v>27</v>
      </c>
      <c r="J303" s="3" t="s">
        <v>64</v>
      </c>
      <c r="K303" s="3" t="str">
        <f t="shared" si="17"/>
        <v>Finance</v>
      </c>
      <c r="L303" s="3" t="s">
        <v>29</v>
      </c>
      <c r="M303" s="4">
        <v>43845</v>
      </c>
      <c r="N303" s="4">
        <v>43845</v>
      </c>
      <c r="O303" s="3" t="s">
        <v>52</v>
      </c>
      <c r="P303" s="3">
        <v>77</v>
      </c>
      <c r="Q303" s="3" t="s">
        <v>226</v>
      </c>
      <c r="S303" s="3" t="s">
        <v>100</v>
      </c>
      <c r="T303" s="3" t="str">
        <f t="shared" si="18"/>
        <v>Part-Time</v>
      </c>
      <c r="V303" s="3">
        <v>2</v>
      </c>
      <c r="Y303" s="4">
        <v>44941</v>
      </c>
      <c r="AA303" s="3" t="s">
        <v>34</v>
      </c>
      <c r="AB303" s="3" t="str" cm="1">
        <f t="array" ref="AB303">_xlfn.IFS(AA303="N","No",  AA303 = "Y", "Yes", TRUE, PROPER(TRIM(AA303)))</f>
        <v>No</v>
      </c>
      <c r="AC303" s="3">
        <v>4</v>
      </c>
      <c r="AD303" s="3" t="s">
        <v>34</v>
      </c>
      <c r="AE303">
        <f t="shared" si="19"/>
        <v>0</v>
      </c>
    </row>
    <row r="304" spans="1:31" ht="14.25" customHeight="1" x14ac:dyDescent="0.35">
      <c r="A304" s="3" t="s">
        <v>739</v>
      </c>
      <c r="B304" s="3" t="s">
        <v>131</v>
      </c>
      <c r="C304" s="3" t="s">
        <v>740</v>
      </c>
      <c r="D304" s="3">
        <v>35</v>
      </c>
      <c r="E304" s="3">
        <f t="shared" si="16"/>
        <v>35</v>
      </c>
      <c r="F304" s="3">
        <v>1989</v>
      </c>
      <c r="G304" s="3">
        <v>65000</v>
      </c>
      <c r="H304" s="12" cm="1">
        <f t="array" ref="H304">_xlfn.IFS(TRIM(G304)="SIXTY THOUSAND",60000,TRIM(G304)="NAN",AVERAGEIFS(G:G,J:J,J304,L:L,L304),TRUE,G304)</f>
        <v>65000</v>
      </c>
      <c r="I304" s="3" t="s">
        <v>27</v>
      </c>
      <c r="J304" s="3" t="s">
        <v>70</v>
      </c>
      <c r="K304" s="3" t="str">
        <f t="shared" si="17"/>
        <v>Marketing</v>
      </c>
      <c r="L304" s="3" t="s">
        <v>94</v>
      </c>
      <c r="M304" s="4">
        <v>43800</v>
      </c>
      <c r="N304" s="4">
        <v>43800</v>
      </c>
      <c r="O304" s="3" t="s">
        <v>41</v>
      </c>
      <c r="P304" s="3">
        <v>7</v>
      </c>
      <c r="Q304" s="3" t="s">
        <v>741</v>
      </c>
      <c r="S304" s="3" t="s">
        <v>112</v>
      </c>
      <c r="T304" s="3" t="str">
        <f t="shared" si="18"/>
        <v>Full-Time</v>
      </c>
      <c r="U304" s="3" t="s">
        <v>95</v>
      </c>
      <c r="V304" s="3">
        <v>8</v>
      </c>
      <c r="X304" s="3">
        <v>0</v>
      </c>
      <c r="Y304" s="4">
        <v>44990</v>
      </c>
      <c r="AA304" s="3" t="s">
        <v>34</v>
      </c>
      <c r="AB304" s="3" t="str" cm="1">
        <f t="array" ref="AB304">_xlfn.IFS(AA304="N","No",  AA304 = "Y", "Yes", TRUE, PROPER(TRIM(AA304)))</f>
        <v>No</v>
      </c>
      <c r="AC304" s="3">
        <v>1</v>
      </c>
      <c r="AD304" s="3" t="s">
        <v>46</v>
      </c>
      <c r="AE304">
        <f t="shared" si="19"/>
        <v>1</v>
      </c>
    </row>
    <row r="305" spans="1:31" ht="14.25" customHeight="1" x14ac:dyDescent="0.35">
      <c r="A305" s="3" t="s">
        <v>742</v>
      </c>
      <c r="B305" s="3" t="s">
        <v>56</v>
      </c>
      <c r="C305" s="3" t="s">
        <v>546</v>
      </c>
      <c r="D305" s="3">
        <v>50</v>
      </c>
      <c r="E305" s="3">
        <f t="shared" si="16"/>
        <v>50</v>
      </c>
      <c r="F305" s="3">
        <v>1974</v>
      </c>
      <c r="G305" s="3">
        <v>50000</v>
      </c>
      <c r="H305" s="12" cm="1">
        <f t="array" ref="H305">_xlfn.IFS(TRIM(G305)="SIXTY THOUSAND",60000,TRIM(G305)="NAN",AVERAGEIFS(G:G,J:J,J305,L:L,L305),TRUE,G305)</f>
        <v>50000</v>
      </c>
      <c r="I305" s="3" t="s">
        <v>38</v>
      </c>
      <c r="J305" s="3" t="s">
        <v>28</v>
      </c>
      <c r="K305" s="3" t="str">
        <f t="shared" si="17"/>
        <v>HR</v>
      </c>
      <c r="L305" s="3" t="s">
        <v>94</v>
      </c>
      <c r="M305" s="4">
        <v>43195</v>
      </c>
      <c r="N305" s="4">
        <v>43195</v>
      </c>
      <c r="O305" s="3" t="s">
        <v>30</v>
      </c>
      <c r="P305" s="3">
        <v>66</v>
      </c>
      <c r="Q305" s="3" t="s">
        <v>743</v>
      </c>
      <c r="R305" s="3" t="s">
        <v>43</v>
      </c>
      <c r="S305" s="3" t="s">
        <v>72</v>
      </c>
      <c r="T305" s="3" t="str">
        <f t="shared" si="18"/>
        <v>Part-Time</v>
      </c>
      <c r="V305" s="3">
        <v>8</v>
      </c>
      <c r="W305" s="3" t="s">
        <v>79</v>
      </c>
      <c r="Y305" s="4">
        <v>45516</v>
      </c>
      <c r="AB305" s="3" t="str" cm="1">
        <f t="array" ref="AB305">_xlfn.IFS(AA305="N","No",  AA305 = "Y", "Yes", TRUE, PROPER(TRIM(AA305)))</f>
        <v/>
      </c>
      <c r="AC305" s="3">
        <v>4</v>
      </c>
      <c r="AD305" s="3" t="s">
        <v>34</v>
      </c>
      <c r="AE305">
        <f t="shared" si="19"/>
        <v>0</v>
      </c>
    </row>
    <row r="306" spans="1:31" ht="14.25" customHeight="1" x14ac:dyDescent="0.35">
      <c r="A306" s="3" t="s">
        <v>744</v>
      </c>
      <c r="B306" s="3" t="s">
        <v>75</v>
      </c>
      <c r="C306" s="3" t="s">
        <v>108</v>
      </c>
      <c r="D306" s="3">
        <v>50</v>
      </c>
      <c r="E306" s="3">
        <f t="shared" si="16"/>
        <v>50</v>
      </c>
      <c r="F306" s="3">
        <v>1974</v>
      </c>
      <c r="G306" s="3">
        <v>55000</v>
      </c>
      <c r="H306" s="12" cm="1">
        <f t="array" ref="H306">_xlfn.IFS(TRIM(G306)="SIXTY THOUSAND",60000,TRIM(G306)="NAN",AVERAGEIFS(G:G,J:J,J306,L:L,L306),TRUE,G306)</f>
        <v>55000</v>
      </c>
      <c r="I306" s="3" t="s">
        <v>27</v>
      </c>
      <c r="J306" s="3" t="s">
        <v>82</v>
      </c>
      <c r="K306" s="3" t="str">
        <f t="shared" si="17"/>
        <v>HR</v>
      </c>
      <c r="L306" s="3" t="s">
        <v>40</v>
      </c>
      <c r="M306" s="4">
        <v>43549</v>
      </c>
      <c r="N306" s="4">
        <v>43549</v>
      </c>
      <c r="O306" s="3" t="s">
        <v>41</v>
      </c>
      <c r="P306" s="3">
        <v>1</v>
      </c>
      <c r="Q306" s="3" t="s">
        <v>745</v>
      </c>
      <c r="S306" s="3" t="s">
        <v>174</v>
      </c>
      <c r="T306" s="3" t="str">
        <f t="shared" si="18"/>
        <v>Full-Time</v>
      </c>
      <c r="U306" s="3" t="s">
        <v>474</v>
      </c>
      <c r="V306" s="3">
        <v>3</v>
      </c>
      <c r="W306" s="3">
        <v>5</v>
      </c>
      <c r="X306" s="3">
        <v>18</v>
      </c>
      <c r="Z306" s="3">
        <v>50</v>
      </c>
      <c r="AA306" s="3" t="s">
        <v>33</v>
      </c>
      <c r="AB306" s="3" t="str" cm="1">
        <f t="array" ref="AB306">_xlfn.IFS(AA306="N","No",  AA306 = "Y", "Yes", TRUE, PROPER(TRIM(AA306)))</f>
        <v>Yes</v>
      </c>
      <c r="AC306" s="3">
        <v>3</v>
      </c>
      <c r="AD306" s="3" t="s">
        <v>34</v>
      </c>
      <c r="AE306">
        <f t="shared" si="19"/>
        <v>0</v>
      </c>
    </row>
    <row r="307" spans="1:31" ht="14.25" customHeight="1" x14ac:dyDescent="0.35">
      <c r="A307" s="3" t="s">
        <v>746</v>
      </c>
      <c r="B307" s="3" t="s">
        <v>131</v>
      </c>
      <c r="C307" s="3" t="s">
        <v>747</v>
      </c>
      <c r="D307" s="3" t="s">
        <v>88</v>
      </c>
      <c r="E307" s="3">
        <f t="shared" si="16"/>
        <v>30</v>
      </c>
      <c r="F307" s="3">
        <v>1994</v>
      </c>
      <c r="G307" s="3">
        <v>70000</v>
      </c>
      <c r="H307" s="12" cm="1">
        <f t="array" ref="H307">_xlfn.IFS(TRIM(G307)="SIXTY THOUSAND",60000,TRIM(G307)="NAN",AVERAGEIFS(G:G,J:J,J307,L:L,L307),TRUE,G307)</f>
        <v>70000</v>
      </c>
      <c r="I307" s="3" t="s">
        <v>27</v>
      </c>
      <c r="J307" s="3" t="s">
        <v>51</v>
      </c>
      <c r="K307" s="3" t="str">
        <f t="shared" si="17"/>
        <v>Sales</v>
      </c>
      <c r="L307" s="3" t="s">
        <v>94</v>
      </c>
      <c r="M307" s="4">
        <v>43549</v>
      </c>
      <c r="N307" s="4">
        <v>43549</v>
      </c>
      <c r="O307" s="3" t="s">
        <v>59</v>
      </c>
      <c r="P307" s="3">
        <v>99</v>
      </c>
      <c r="Q307" s="3" t="s">
        <v>748</v>
      </c>
      <c r="R307" s="3" t="s">
        <v>104</v>
      </c>
      <c r="S307" s="3" t="s">
        <v>112</v>
      </c>
      <c r="T307" s="3" t="str">
        <f t="shared" si="18"/>
        <v>Full-Time</v>
      </c>
      <c r="U307" s="3" t="s">
        <v>749</v>
      </c>
      <c r="V307" s="3">
        <v>8</v>
      </c>
      <c r="AB307" s="3" t="str" cm="1">
        <f t="array" ref="AB307">_xlfn.IFS(AA307="N","No",  AA307 = "Y", "Yes", TRUE, PROPER(TRIM(AA307)))</f>
        <v/>
      </c>
      <c r="AC307" s="3">
        <v>4</v>
      </c>
      <c r="AD307" s="3" t="s">
        <v>34</v>
      </c>
      <c r="AE307">
        <f t="shared" si="19"/>
        <v>0</v>
      </c>
    </row>
    <row r="308" spans="1:31" ht="14.25" customHeight="1" x14ac:dyDescent="0.35">
      <c r="A308" s="3" t="s">
        <v>750</v>
      </c>
      <c r="B308" s="3" t="s">
        <v>36</v>
      </c>
      <c r="C308" s="3" t="s">
        <v>240</v>
      </c>
      <c r="E308" s="3">
        <f t="shared" si="16"/>
        <v>37</v>
      </c>
      <c r="F308" s="3">
        <v>1987</v>
      </c>
      <c r="G308" s="3">
        <v>55000</v>
      </c>
      <c r="H308" s="12" cm="1">
        <f t="array" ref="H308">_xlfn.IFS(TRIM(G308)="SIXTY THOUSAND",60000,TRIM(G308)="NAN",AVERAGEIFS(G:G,J:J,J308,L:L,L308),TRUE,G308)</f>
        <v>55000</v>
      </c>
      <c r="I308" s="3" t="s">
        <v>27</v>
      </c>
      <c r="J308" s="3" t="s">
        <v>28</v>
      </c>
      <c r="K308" s="3" t="str">
        <f t="shared" si="17"/>
        <v>HR</v>
      </c>
      <c r="L308" s="3" t="s">
        <v>89</v>
      </c>
      <c r="M308" s="4">
        <v>43549</v>
      </c>
      <c r="N308" s="4">
        <v>43549</v>
      </c>
      <c r="O308" s="3" t="s">
        <v>41</v>
      </c>
      <c r="P308" s="3">
        <v>11</v>
      </c>
      <c r="Q308" s="3" t="s">
        <v>241</v>
      </c>
      <c r="R308" s="3" t="s">
        <v>43</v>
      </c>
      <c r="S308" s="3" t="s">
        <v>174</v>
      </c>
      <c r="T308" s="3" t="str">
        <f t="shared" si="18"/>
        <v>Full-Time</v>
      </c>
      <c r="V308" s="3">
        <v>1</v>
      </c>
      <c r="W308" s="3">
        <v>10</v>
      </c>
      <c r="X308" s="3">
        <v>2</v>
      </c>
      <c r="Y308" s="4">
        <v>44941</v>
      </c>
      <c r="Z308" s="3">
        <v>72</v>
      </c>
      <c r="AA308" s="3" t="s">
        <v>73</v>
      </c>
      <c r="AB308" s="3" t="str" cm="1">
        <f t="array" ref="AB308">_xlfn.IFS(AA308="N","No",  AA308 = "Y", "Yes", TRUE, PROPER(TRIM(AA308)))</f>
        <v>No</v>
      </c>
      <c r="AC308" s="3">
        <v>4</v>
      </c>
      <c r="AD308" s="3" t="s">
        <v>34</v>
      </c>
      <c r="AE308">
        <f t="shared" si="19"/>
        <v>0</v>
      </c>
    </row>
    <row r="309" spans="1:31" ht="14.25" customHeight="1" x14ac:dyDescent="0.35">
      <c r="A309" s="3" t="s">
        <v>751</v>
      </c>
      <c r="B309" s="3" t="s">
        <v>56</v>
      </c>
      <c r="C309" s="3" t="s">
        <v>305</v>
      </c>
      <c r="D309" s="3">
        <v>35</v>
      </c>
      <c r="E309" s="3">
        <f t="shared" si="16"/>
        <v>35</v>
      </c>
      <c r="F309" s="3">
        <v>1989</v>
      </c>
      <c r="G309" s="3">
        <v>50000</v>
      </c>
      <c r="H309" s="12" cm="1">
        <f t="array" ref="H309">_xlfn.IFS(TRIM(G309)="SIXTY THOUSAND",60000,TRIM(G309)="NAN",AVERAGEIFS(G:G,J:J,J309,L:L,L309),TRUE,G309)</f>
        <v>50000</v>
      </c>
      <c r="I309" s="3" t="s">
        <v>27</v>
      </c>
      <c r="J309" s="3" t="s">
        <v>70</v>
      </c>
      <c r="K309" s="3" t="str">
        <f t="shared" si="17"/>
        <v>Marketing</v>
      </c>
      <c r="L309" s="3" t="s">
        <v>77</v>
      </c>
      <c r="M309" s="4">
        <v>43800</v>
      </c>
      <c r="N309" s="4">
        <v>43800</v>
      </c>
      <c r="O309" s="3" t="s">
        <v>78</v>
      </c>
      <c r="P309" s="3">
        <v>89</v>
      </c>
      <c r="Q309" s="3" t="s">
        <v>752</v>
      </c>
      <c r="R309" s="3" t="s">
        <v>54</v>
      </c>
      <c r="S309" s="3" t="s">
        <v>112</v>
      </c>
      <c r="T309" s="3" t="str">
        <f t="shared" si="18"/>
        <v>Full-Time</v>
      </c>
      <c r="U309" s="3" t="s">
        <v>116</v>
      </c>
      <c r="V309" s="3">
        <v>1</v>
      </c>
      <c r="W309" s="3">
        <v>3</v>
      </c>
      <c r="X309" s="3">
        <v>10</v>
      </c>
      <c r="AA309" s="3" t="s">
        <v>169</v>
      </c>
      <c r="AB309" s="3" t="str" cm="1">
        <f t="array" ref="AB309">_xlfn.IFS(AA309="N","No",  AA309 = "Y", "Yes", TRUE, PROPER(TRIM(AA309)))</f>
        <v>Yes</v>
      </c>
      <c r="AC309" s="3">
        <v>4</v>
      </c>
      <c r="AD309" s="3" t="s">
        <v>34</v>
      </c>
      <c r="AE309">
        <f t="shared" si="19"/>
        <v>0</v>
      </c>
    </row>
    <row r="310" spans="1:31" ht="14.25" customHeight="1" x14ac:dyDescent="0.35">
      <c r="A310" s="3" t="s">
        <v>753</v>
      </c>
      <c r="B310" s="3" t="s">
        <v>25</v>
      </c>
      <c r="C310" s="3" t="s">
        <v>271</v>
      </c>
      <c r="D310" s="3">
        <v>40</v>
      </c>
      <c r="E310" s="3">
        <f t="shared" si="16"/>
        <v>40</v>
      </c>
      <c r="F310" s="3">
        <v>1984</v>
      </c>
      <c r="G310" s="3">
        <v>70000</v>
      </c>
      <c r="H310" s="12" cm="1">
        <f t="array" ref="H310">_xlfn.IFS(TRIM(G310)="SIXTY THOUSAND",60000,TRIM(G310)="NAN",AVERAGEIFS(G:G,J:J,J310,L:L,L310),TRUE,G310)</f>
        <v>70000</v>
      </c>
      <c r="I310" s="3" t="s">
        <v>27</v>
      </c>
      <c r="J310" s="3" t="s">
        <v>145</v>
      </c>
      <c r="K310" s="3" t="str">
        <f t="shared" si="17"/>
        <v>Sales</v>
      </c>
      <c r="L310" s="3" t="s">
        <v>94</v>
      </c>
      <c r="M310" s="4">
        <v>43549</v>
      </c>
      <c r="N310" s="4">
        <v>43549</v>
      </c>
      <c r="O310" s="3" t="s">
        <v>30</v>
      </c>
      <c r="P310" s="3">
        <v>68</v>
      </c>
      <c r="Q310" s="3" t="s">
        <v>754</v>
      </c>
      <c r="S310" s="3" t="s">
        <v>72</v>
      </c>
      <c r="T310" s="3" t="str">
        <f t="shared" si="18"/>
        <v>Part-Time</v>
      </c>
      <c r="U310" s="3" t="s">
        <v>307</v>
      </c>
      <c r="V310" s="3">
        <v>7</v>
      </c>
      <c r="Y310" s="4">
        <v>44732</v>
      </c>
      <c r="AA310" s="3" t="s">
        <v>73</v>
      </c>
      <c r="AB310" s="3" t="str" cm="1">
        <f t="array" ref="AB310">_xlfn.IFS(AA310="N","No",  AA310 = "Y", "Yes", TRUE, PROPER(TRIM(AA310)))</f>
        <v>No</v>
      </c>
      <c r="AC310" s="3">
        <v>3</v>
      </c>
      <c r="AD310" s="3" t="s">
        <v>34</v>
      </c>
      <c r="AE310">
        <f t="shared" si="19"/>
        <v>0</v>
      </c>
    </row>
    <row r="311" spans="1:31" ht="14.25" customHeight="1" x14ac:dyDescent="0.35">
      <c r="A311" s="3" t="s">
        <v>755</v>
      </c>
      <c r="B311" s="3" t="s">
        <v>131</v>
      </c>
      <c r="C311" s="3" t="s">
        <v>756</v>
      </c>
      <c r="E311" s="3">
        <f t="shared" si="16"/>
        <v>33</v>
      </c>
      <c r="F311" s="3">
        <v>1991</v>
      </c>
      <c r="G311" s="3">
        <v>55000</v>
      </c>
      <c r="H311" s="12" cm="1">
        <f t="array" ref="H311">_xlfn.IFS(TRIM(G311)="SIXTY THOUSAND",60000,TRIM(G311)="NAN",AVERAGEIFS(G:G,J:J,J311,L:L,L311),TRUE,G311)</f>
        <v>55000</v>
      </c>
      <c r="I311" s="3" t="s">
        <v>27</v>
      </c>
      <c r="J311" s="3" t="s">
        <v>64</v>
      </c>
      <c r="K311" s="3" t="str">
        <f t="shared" si="17"/>
        <v>Finance</v>
      </c>
      <c r="L311" s="3" t="s">
        <v>94</v>
      </c>
      <c r="M311" s="4">
        <v>43845</v>
      </c>
      <c r="N311" s="4">
        <v>43845</v>
      </c>
      <c r="O311" s="3" t="s">
        <v>78</v>
      </c>
      <c r="P311" s="3">
        <v>86</v>
      </c>
      <c r="Q311" s="3" t="s">
        <v>757</v>
      </c>
      <c r="S311" s="3" t="s">
        <v>44</v>
      </c>
      <c r="T311" s="3" t="str">
        <f t="shared" si="18"/>
        <v>Full-Time</v>
      </c>
      <c r="V311" s="3">
        <v>8</v>
      </c>
      <c r="X311" s="3">
        <v>17</v>
      </c>
      <c r="Y311" s="4">
        <v>44732</v>
      </c>
      <c r="Z311" s="3">
        <v>27</v>
      </c>
      <c r="AA311" s="3" t="s">
        <v>34</v>
      </c>
      <c r="AB311" s="3" t="str" cm="1">
        <f t="array" ref="AB311">_xlfn.IFS(AA311="N","No",  AA311 = "Y", "Yes", TRUE, PROPER(TRIM(AA311)))</f>
        <v>No</v>
      </c>
      <c r="AC311" s="3">
        <v>3</v>
      </c>
      <c r="AD311" s="3" t="s">
        <v>46</v>
      </c>
      <c r="AE311">
        <f t="shared" si="19"/>
        <v>1</v>
      </c>
    </row>
    <row r="312" spans="1:31" ht="14.25" customHeight="1" x14ac:dyDescent="0.35">
      <c r="A312" s="3" t="s">
        <v>758</v>
      </c>
      <c r="B312" s="3" t="s">
        <v>75</v>
      </c>
      <c r="C312" s="3" t="s">
        <v>625</v>
      </c>
      <c r="D312" s="3">
        <v>35</v>
      </c>
      <c r="E312" s="3">
        <f t="shared" si="16"/>
        <v>35</v>
      </c>
      <c r="F312" s="3">
        <v>1989</v>
      </c>
      <c r="G312" s="3" t="s">
        <v>50</v>
      </c>
      <c r="H312" s="12" cm="1">
        <f t="array" ref="H312">_xlfn.IFS(TRIM(G312)="SIXTY THOUSAND",60000,TRIM(G312)="NAN",AVERAGEIFS(G:G,J:J,J312,L:L,L312),TRUE,G312)</f>
        <v>60000</v>
      </c>
      <c r="I312" s="3" t="s">
        <v>38</v>
      </c>
      <c r="J312" s="3" t="s">
        <v>28</v>
      </c>
      <c r="K312" s="3" t="str">
        <f t="shared" si="17"/>
        <v>HR</v>
      </c>
      <c r="L312" s="3" t="s">
        <v>89</v>
      </c>
      <c r="M312" s="4">
        <v>43549</v>
      </c>
      <c r="N312" s="4">
        <v>43549</v>
      </c>
      <c r="O312" s="3" t="s">
        <v>59</v>
      </c>
      <c r="P312" s="3">
        <v>95</v>
      </c>
      <c r="Q312" s="3" t="s">
        <v>626</v>
      </c>
      <c r="R312" s="3" t="s">
        <v>43</v>
      </c>
      <c r="S312" s="3" t="s">
        <v>44</v>
      </c>
      <c r="T312" s="3" t="str">
        <f t="shared" si="18"/>
        <v>Full-Time</v>
      </c>
      <c r="V312" s="3">
        <v>3</v>
      </c>
      <c r="Y312" s="4">
        <v>44990</v>
      </c>
      <c r="AA312" s="3" t="s">
        <v>482</v>
      </c>
      <c r="AB312" s="3" t="str" cm="1">
        <f t="array" ref="AB312">_xlfn.IFS(AA312="N","No",  AA312 = "Y", "Yes", TRUE, PROPER(TRIM(AA312)))</f>
        <v>Yes</v>
      </c>
      <c r="AC312" s="3">
        <v>2</v>
      </c>
      <c r="AD312" s="3" t="s">
        <v>46</v>
      </c>
      <c r="AE312">
        <f t="shared" si="19"/>
        <v>1</v>
      </c>
    </row>
    <row r="313" spans="1:31" ht="14.25" customHeight="1" x14ac:dyDescent="0.35">
      <c r="A313" s="3" t="s">
        <v>759</v>
      </c>
      <c r="B313" s="3" t="s">
        <v>114</v>
      </c>
      <c r="C313" s="3" t="s">
        <v>222</v>
      </c>
      <c r="D313" s="3">
        <v>35</v>
      </c>
      <c r="E313" s="3">
        <f t="shared" si="16"/>
        <v>35</v>
      </c>
      <c r="F313" s="3">
        <v>1989</v>
      </c>
      <c r="G313" s="3">
        <v>50000</v>
      </c>
      <c r="H313" s="12" cm="1">
        <f t="array" ref="H313">_xlfn.IFS(TRIM(G313)="SIXTY THOUSAND",60000,TRIM(G313)="NAN",AVERAGEIFS(G:G,J:J,J313,L:L,L313),TRUE,G313)</f>
        <v>50000</v>
      </c>
      <c r="I313" s="3" t="s">
        <v>27</v>
      </c>
      <c r="J313" s="3" t="s">
        <v>58</v>
      </c>
      <c r="K313" s="3" t="str">
        <f t="shared" si="17"/>
        <v>IT</v>
      </c>
      <c r="L313" s="3" t="s">
        <v>29</v>
      </c>
      <c r="M313" s="4">
        <v>43195</v>
      </c>
      <c r="N313" s="4">
        <v>43195</v>
      </c>
      <c r="O313" s="3" t="s">
        <v>30</v>
      </c>
      <c r="P313" s="3">
        <v>62</v>
      </c>
      <c r="Q313" s="3" t="s">
        <v>223</v>
      </c>
      <c r="R313" s="3" t="s">
        <v>61</v>
      </c>
      <c r="S313" s="3" t="s">
        <v>32</v>
      </c>
      <c r="T313" s="3" t="str">
        <f t="shared" si="18"/>
        <v>Contract</v>
      </c>
      <c r="V313" s="3">
        <v>3</v>
      </c>
      <c r="Z313" s="3">
        <v>78</v>
      </c>
      <c r="AA313" s="3" t="s">
        <v>73</v>
      </c>
      <c r="AB313" s="3" t="str" cm="1">
        <f t="array" ref="AB313">_xlfn.IFS(AA313="N","No",  AA313 = "Y", "Yes", TRUE, PROPER(TRIM(AA313)))</f>
        <v>No</v>
      </c>
      <c r="AC313" s="3">
        <v>4</v>
      </c>
      <c r="AD313" s="3" t="s">
        <v>46</v>
      </c>
      <c r="AE313">
        <f t="shared" si="19"/>
        <v>1</v>
      </c>
    </row>
    <row r="314" spans="1:31" ht="14.25" customHeight="1" x14ac:dyDescent="0.35">
      <c r="A314" s="3" t="s">
        <v>760</v>
      </c>
      <c r="B314" s="3" t="s">
        <v>140</v>
      </c>
      <c r="C314" s="3" t="s">
        <v>268</v>
      </c>
      <c r="D314" s="3">
        <v>25</v>
      </c>
      <c r="E314" s="3">
        <f t="shared" si="16"/>
        <v>25</v>
      </c>
      <c r="F314" s="3">
        <v>1999</v>
      </c>
      <c r="G314" s="3">
        <v>50000</v>
      </c>
      <c r="H314" s="12" cm="1">
        <f t="array" ref="H314">_xlfn.IFS(TRIM(G314)="SIXTY THOUSAND",60000,TRIM(G314)="NAN",AVERAGEIFS(G:G,J:J,J314,L:L,L314),TRUE,G314)</f>
        <v>50000</v>
      </c>
      <c r="I314" s="3" t="s">
        <v>38</v>
      </c>
      <c r="J314" s="3" t="s">
        <v>82</v>
      </c>
      <c r="K314" s="3" t="str">
        <f t="shared" si="17"/>
        <v>HR</v>
      </c>
      <c r="L314" s="3" t="s">
        <v>29</v>
      </c>
      <c r="M314" s="4">
        <v>43845</v>
      </c>
      <c r="N314" s="4">
        <v>43845</v>
      </c>
      <c r="O314" s="3" t="s">
        <v>52</v>
      </c>
      <c r="P314" s="3">
        <v>71</v>
      </c>
      <c r="Q314" s="3" t="s">
        <v>269</v>
      </c>
      <c r="S314" s="3" t="s">
        <v>112</v>
      </c>
      <c r="T314" s="3" t="str">
        <f t="shared" si="18"/>
        <v>Full-Time</v>
      </c>
      <c r="V314" s="3">
        <v>3</v>
      </c>
      <c r="AA314" s="3" t="s">
        <v>73</v>
      </c>
      <c r="AB314" s="3" t="str" cm="1">
        <f t="array" ref="AB314">_xlfn.IFS(AA314="N","No",  AA314 = "Y", "Yes", TRUE, PROPER(TRIM(AA314)))</f>
        <v>No</v>
      </c>
      <c r="AC314" s="3">
        <v>3</v>
      </c>
      <c r="AD314" s="3" t="s">
        <v>46</v>
      </c>
      <c r="AE314">
        <f t="shared" si="19"/>
        <v>1</v>
      </c>
    </row>
    <row r="315" spans="1:31" ht="14.25" customHeight="1" x14ac:dyDescent="0.35">
      <c r="A315" s="3" t="s">
        <v>761</v>
      </c>
      <c r="B315" s="3" t="s">
        <v>68</v>
      </c>
      <c r="C315" s="3" t="s">
        <v>524</v>
      </c>
      <c r="D315" s="3">
        <v>40</v>
      </c>
      <c r="E315" s="3">
        <f t="shared" si="16"/>
        <v>40</v>
      </c>
      <c r="F315" s="3">
        <v>1984</v>
      </c>
      <c r="G315" s="3">
        <v>50000</v>
      </c>
      <c r="H315" s="12" cm="1">
        <f t="array" ref="H315">_xlfn.IFS(TRIM(G315)="SIXTY THOUSAND",60000,TRIM(G315)="NAN",AVERAGEIFS(G:G,J:J,J315,L:L,L315),TRUE,G315)</f>
        <v>50000</v>
      </c>
      <c r="I315" s="3" t="s">
        <v>27</v>
      </c>
      <c r="J315" s="3" t="s">
        <v>39</v>
      </c>
      <c r="K315" s="3" t="str">
        <f t="shared" si="17"/>
        <v>Finance</v>
      </c>
      <c r="L315" s="3" t="s">
        <v>40</v>
      </c>
      <c r="M315" s="4">
        <v>43549</v>
      </c>
      <c r="N315" s="4">
        <v>43549</v>
      </c>
      <c r="O315" s="3" t="s">
        <v>41</v>
      </c>
      <c r="P315" s="3">
        <v>28</v>
      </c>
      <c r="Q315" s="3" t="s">
        <v>762</v>
      </c>
      <c r="R315" s="3" t="s">
        <v>104</v>
      </c>
      <c r="S315" s="3" t="s">
        <v>66</v>
      </c>
      <c r="T315" s="3" t="str">
        <f t="shared" si="18"/>
        <v>Contract</v>
      </c>
      <c r="U315" s="3" t="s">
        <v>763</v>
      </c>
      <c r="V315" s="3">
        <v>2</v>
      </c>
      <c r="X315" s="3">
        <v>2</v>
      </c>
      <c r="AB315" s="3" t="str" cm="1">
        <f t="array" ref="AB315">_xlfn.IFS(AA315="N","No",  AA315 = "Y", "Yes", TRUE, PROPER(TRIM(AA315)))</f>
        <v/>
      </c>
      <c r="AC315" s="3">
        <v>5</v>
      </c>
      <c r="AD315" s="3" t="s">
        <v>34</v>
      </c>
      <c r="AE315">
        <f t="shared" si="19"/>
        <v>0</v>
      </c>
    </row>
    <row r="316" spans="1:31" ht="14.25" customHeight="1" x14ac:dyDescent="0.35">
      <c r="A316" s="3" t="s">
        <v>764</v>
      </c>
      <c r="B316" s="3" t="s">
        <v>107</v>
      </c>
      <c r="C316" s="3" t="s">
        <v>343</v>
      </c>
      <c r="D316" s="3">
        <v>25</v>
      </c>
      <c r="E316" s="3">
        <f t="shared" si="16"/>
        <v>25</v>
      </c>
      <c r="F316" s="3">
        <v>1999</v>
      </c>
      <c r="G316" s="3" t="s">
        <v>50</v>
      </c>
      <c r="H316" s="12" cm="1">
        <f t="array" ref="H316">_xlfn.IFS(TRIM(G316)="SIXTY THOUSAND",60000,TRIM(G316)="NAN",AVERAGEIFS(G:G,J:J,J316,L:L,L316),TRUE,G316)</f>
        <v>60000</v>
      </c>
      <c r="I316" s="3" t="s">
        <v>27</v>
      </c>
      <c r="J316" s="3" t="s">
        <v>145</v>
      </c>
      <c r="K316" s="3" t="str">
        <f t="shared" si="17"/>
        <v>Sales</v>
      </c>
      <c r="L316" s="3" t="s">
        <v>89</v>
      </c>
      <c r="M316" s="4">
        <v>43549</v>
      </c>
      <c r="N316" s="4">
        <v>43549</v>
      </c>
      <c r="O316" s="3" t="s">
        <v>78</v>
      </c>
      <c r="P316" s="3">
        <v>84</v>
      </c>
      <c r="Q316" s="3" t="s">
        <v>765</v>
      </c>
      <c r="S316" s="3" t="s">
        <v>112</v>
      </c>
      <c r="T316" s="3" t="str">
        <f t="shared" si="18"/>
        <v>Full-Time</v>
      </c>
      <c r="U316" s="3" t="s">
        <v>766</v>
      </c>
      <c r="V316" s="3">
        <v>7</v>
      </c>
      <c r="W316" s="3" t="s">
        <v>79</v>
      </c>
      <c r="AB316" s="3" t="str" cm="1">
        <f t="array" ref="AB316">_xlfn.IFS(AA316="N","No",  AA316 = "Y", "Yes", TRUE, PROPER(TRIM(AA316)))</f>
        <v/>
      </c>
      <c r="AC316" s="3">
        <v>5</v>
      </c>
      <c r="AD316" s="3" t="s">
        <v>34</v>
      </c>
      <c r="AE316">
        <f t="shared" si="19"/>
        <v>0</v>
      </c>
    </row>
    <row r="317" spans="1:31" ht="14.25" customHeight="1" x14ac:dyDescent="0.35">
      <c r="A317" s="3" t="s">
        <v>767</v>
      </c>
      <c r="B317" s="3" t="s">
        <v>68</v>
      </c>
      <c r="C317" s="3" t="s">
        <v>479</v>
      </c>
      <c r="D317" s="3" t="s">
        <v>88</v>
      </c>
      <c r="E317" s="3">
        <f t="shared" si="16"/>
        <v>30</v>
      </c>
      <c r="F317" s="3">
        <v>1994</v>
      </c>
      <c r="G317" s="3" t="s">
        <v>50</v>
      </c>
      <c r="H317" s="12" cm="1">
        <f t="array" ref="H317">_xlfn.IFS(TRIM(G317)="SIXTY THOUSAND",60000,TRIM(G317)="NAN",AVERAGEIFS(G:G,J:J,J317,L:L,L317),TRUE,G317)</f>
        <v>60000</v>
      </c>
      <c r="I317" s="3" t="s">
        <v>27</v>
      </c>
      <c r="J317" s="3" t="s">
        <v>64</v>
      </c>
      <c r="K317" s="3" t="str">
        <f t="shared" si="17"/>
        <v>Finance</v>
      </c>
      <c r="L317" s="3" t="s">
        <v>77</v>
      </c>
      <c r="M317" s="4">
        <v>43881</v>
      </c>
      <c r="N317" s="4">
        <v>43881</v>
      </c>
      <c r="O317" s="3" t="s">
        <v>59</v>
      </c>
      <c r="P317" s="3">
        <v>95</v>
      </c>
      <c r="Q317" s="3" t="s">
        <v>768</v>
      </c>
      <c r="R317" s="3" t="s">
        <v>54</v>
      </c>
      <c r="S317" s="3" t="s">
        <v>112</v>
      </c>
      <c r="T317" s="3" t="str">
        <f t="shared" si="18"/>
        <v>Full-Time</v>
      </c>
      <c r="V317" s="3">
        <v>6</v>
      </c>
      <c r="AA317" s="3" t="s">
        <v>33</v>
      </c>
      <c r="AB317" s="3" t="str" cm="1">
        <f t="array" ref="AB317">_xlfn.IFS(AA317="N","No",  AA317 = "Y", "Yes", TRUE, PROPER(TRIM(AA317)))</f>
        <v>Yes</v>
      </c>
      <c r="AC317" s="3">
        <v>1</v>
      </c>
      <c r="AD317" s="3" t="s">
        <v>34</v>
      </c>
      <c r="AE317">
        <f t="shared" si="19"/>
        <v>0</v>
      </c>
    </row>
    <row r="318" spans="1:31" ht="14.25" customHeight="1" x14ac:dyDescent="0.35">
      <c r="A318" s="3" t="s">
        <v>769</v>
      </c>
      <c r="B318" s="3" t="s">
        <v>75</v>
      </c>
      <c r="C318" s="3" t="s">
        <v>213</v>
      </c>
      <c r="D318" s="3">
        <v>25</v>
      </c>
      <c r="E318" s="3">
        <f t="shared" si="16"/>
        <v>25</v>
      </c>
      <c r="F318" s="3">
        <v>1999</v>
      </c>
      <c r="G318" s="3">
        <v>65000</v>
      </c>
      <c r="H318" s="12" cm="1">
        <f t="array" ref="H318">_xlfn.IFS(TRIM(G318)="SIXTY THOUSAND",60000,TRIM(G318)="NAN",AVERAGEIFS(G:G,J:J,J318,L:L,L318),TRUE,G318)</f>
        <v>65000</v>
      </c>
      <c r="I318" s="3" t="s">
        <v>38</v>
      </c>
      <c r="J318" s="3" t="s">
        <v>122</v>
      </c>
      <c r="K318" s="3" t="str">
        <f t="shared" si="17"/>
        <v>IT</v>
      </c>
      <c r="L318" s="3" t="s">
        <v>77</v>
      </c>
      <c r="M318" s="4">
        <v>43800</v>
      </c>
      <c r="N318" s="4">
        <v>43800</v>
      </c>
      <c r="O318" s="3" t="s">
        <v>52</v>
      </c>
      <c r="P318" s="3">
        <v>77</v>
      </c>
      <c r="Q318" s="3" t="s">
        <v>214</v>
      </c>
      <c r="S318" s="3" t="s">
        <v>112</v>
      </c>
      <c r="T318" s="3" t="str">
        <f t="shared" si="18"/>
        <v>Full-Time</v>
      </c>
      <c r="U318" s="3" t="s">
        <v>770</v>
      </c>
      <c r="V318" s="3">
        <v>7</v>
      </c>
      <c r="AA318" s="3" t="s">
        <v>34</v>
      </c>
      <c r="AB318" s="3" t="str" cm="1">
        <f t="array" ref="AB318">_xlfn.IFS(AA318="N","No",  AA318 = "Y", "Yes", TRUE, PROPER(TRIM(AA318)))</f>
        <v>No</v>
      </c>
      <c r="AC318" s="3">
        <v>1</v>
      </c>
      <c r="AD318" s="3" t="s">
        <v>46</v>
      </c>
      <c r="AE318">
        <f t="shared" si="19"/>
        <v>1</v>
      </c>
    </row>
    <row r="319" spans="1:31" ht="14.25" customHeight="1" x14ac:dyDescent="0.35">
      <c r="A319" s="3" t="s">
        <v>771</v>
      </c>
      <c r="B319" s="3" t="s">
        <v>48</v>
      </c>
      <c r="C319" s="3" t="s">
        <v>462</v>
      </c>
      <c r="D319" s="3">
        <v>25</v>
      </c>
      <c r="E319" s="3">
        <f t="shared" si="16"/>
        <v>25</v>
      </c>
      <c r="F319" s="3">
        <v>1999</v>
      </c>
      <c r="G319" s="3">
        <v>61600</v>
      </c>
      <c r="H319" s="12" cm="1">
        <f t="array" ref="H319">_xlfn.IFS(TRIM(G319)="SIXTY THOUSAND",60000,TRIM(G319)="NAN",AVERAGEIFS(G:G,J:J,J319,L:L,L319),TRUE,G319)</f>
        <v>61600</v>
      </c>
      <c r="I319" s="3" t="s">
        <v>38</v>
      </c>
      <c r="J319" s="3" t="s">
        <v>70</v>
      </c>
      <c r="K319" s="3" t="str">
        <f t="shared" si="17"/>
        <v>Marketing</v>
      </c>
      <c r="L319" s="3" t="s">
        <v>89</v>
      </c>
      <c r="M319" s="4">
        <v>43845</v>
      </c>
      <c r="N319" s="4">
        <v>43845</v>
      </c>
      <c r="O319" s="3" t="s">
        <v>41</v>
      </c>
      <c r="P319" s="3">
        <v>38</v>
      </c>
      <c r="Q319" s="3" t="s">
        <v>772</v>
      </c>
      <c r="R319" s="3" t="s">
        <v>61</v>
      </c>
      <c r="S319" s="3" t="s">
        <v>174</v>
      </c>
      <c r="T319" s="3" t="str">
        <f t="shared" si="18"/>
        <v>Full-Time</v>
      </c>
      <c r="U319" s="3" t="s">
        <v>224</v>
      </c>
      <c r="V319" s="3">
        <v>7</v>
      </c>
      <c r="W319" s="3">
        <v>5</v>
      </c>
      <c r="X319" s="3">
        <v>13</v>
      </c>
      <c r="Z319" s="3">
        <v>38</v>
      </c>
      <c r="AA319" s="3" t="s">
        <v>46</v>
      </c>
      <c r="AB319" s="3" t="str" cm="1">
        <f t="array" ref="AB319">_xlfn.IFS(AA319="N","No",  AA319 = "Y", "Yes", TRUE, PROPER(TRIM(AA319)))</f>
        <v>Yes</v>
      </c>
      <c r="AC319" s="3">
        <v>3</v>
      </c>
      <c r="AD319" s="3" t="s">
        <v>34</v>
      </c>
      <c r="AE319">
        <f t="shared" si="19"/>
        <v>0</v>
      </c>
    </row>
    <row r="320" spans="1:31" ht="14.25" customHeight="1" x14ac:dyDescent="0.35">
      <c r="A320" s="3" t="s">
        <v>773</v>
      </c>
      <c r="B320" s="3" t="s">
        <v>48</v>
      </c>
      <c r="C320" s="3" t="s">
        <v>459</v>
      </c>
      <c r="E320" s="3">
        <f t="shared" si="16"/>
        <v>33</v>
      </c>
      <c r="F320" s="3">
        <v>1991</v>
      </c>
      <c r="G320" s="3">
        <v>55000</v>
      </c>
      <c r="H320" s="12" cm="1">
        <f t="array" ref="H320">_xlfn.IFS(TRIM(G320)="SIXTY THOUSAND",60000,TRIM(G320)="NAN",AVERAGEIFS(G:G,J:J,J320,L:L,L320),TRUE,G320)</f>
        <v>55000</v>
      </c>
      <c r="I320" s="3" t="s">
        <v>38</v>
      </c>
      <c r="J320" s="3" t="s">
        <v>82</v>
      </c>
      <c r="K320" s="3" t="str">
        <f t="shared" si="17"/>
        <v>HR</v>
      </c>
      <c r="L320" s="3" t="s">
        <v>77</v>
      </c>
      <c r="M320" s="4">
        <v>43881</v>
      </c>
      <c r="N320" s="4">
        <v>43881</v>
      </c>
      <c r="O320" s="3" t="s">
        <v>52</v>
      </c>
      <c r="P320" s="3">
        <v>73</v>
      </c>
      <c r="Q320" s="3" t="s">
        <v>460</v>
      </c>
      <c r="S320" s="3" t="s">
        <v>32</v>
      </c>
      <c r="T320" s="3" t="str">
        <f t="shared" si="18"/>
        <v>Contract</v>
      </c>
      <c r="V320" s="3">
        <v>4</v>
      </c>
      <c r="AA320" s="3" t="s">
        <v>33</v>
      </c>
      <c r="AB320" s="3" t="str" cm="1">
        <f t="array" ref="AB320">_xlfn.IFS(AA320="N","No",  AA320 = "Y", "Yes", TRUE, PROPER(TRIM(AA320)))</f>
        <v>Yes</v>
      </c>
      <c r="AC320" s="3">
        <v>1</v>
      </c>
      <c r="AD320" s="3" t="s">
        <v>46</v>
      </c>
      <c r="AE320">
        <f t="shared" si="19"/>
        <v>1</v>
      </c>
    </row>
    <row r="321" spans="1:31" ht="14.25" customHeight="1" x14ac:dyDescent="0.35">
      <c r="A321" s="3" t="s">
        <v>774</v>
      </c>
      <c r="B321" s="3" t="s">
        <v>114</v>
      </c>
      <c r="C321" s="3" t="s">
        <v>219</v>
      </c>
      <c r="D321" s="3">
        <v>50</v>
      </c>
      <c r="E321" s="3">
        <f t="shared" si="16"/>
        <v>50</v>
      </c>
      <c r="F321" s="3">
        <v>1974</v>
      </c>
      <c r="G321" s="3">
        <v>65000</v>
      </c>
      <c r="H321" s="12" cm="1">
        <f t="array" ref="H321">_xlfn.IFS(TRIM(G321)="SIXTY THOUSAND",60000,TRIM(G321)="NAN",AVERAGEIFS(G:G,J:J,J321,L:L,L321),TRUE,G321)</f>
        <v>65000</v>
      </c>
      <c r="I321" s="3" t="s">
        <v>27</v>
      </c>
      <c r="J321" s="3" t="s">
        <v>145</v>
      </c>
      <c r="K321" s="3" t="str">
        <f t="shared" si="17"/>
        <v>Sales</v>
      </c>
      <c r="L321" s="3" t="s">
        <v>29</v>
      </c>
      <c r="M321" s="4">
        <v>43195</v>
      </c>
      <c r="N321" s="4">
        <v>43195</v>
      </c>
      <c r="O321" s="3" t="s">
        <v>41</v>
      </c>
      <c r="P321" s="3">
        <v>7</v>
      </c>
      <c r="Q321" s="3" t="s">
        <v>775</v>
      </c>
      <c r="R321" s="3" t="s">
        <v>43</v>
      </c>
      <c r="S321" s="3" t="s">
        <v>44</v>
      </c>
      <c r="T321" s="3" t="str">
        <f t="shared" si="18"/>
        <v>Full-Time</v>
      </c>
      <c r="V321" s="3">
        <v>5</v>
      </c>
      <c r="AA321" s="3" t="s">
        <v>46</v>
      </c>
      <c r="AB321" s="3" t="str" cm="1">
        <f t="array" ref="AB321">_xlfn.IFS(AA321="N","No",  AA321 = "Y", "Yes", TRUE, PROPER(TRIM(AA321)))</f>
        <v>Yes</v>
      </c>
      <c r="AC321" s="3">
        <v>5</v>
      </c>
      <c r="AD321" s="3" t="s">
        <v>34</v>
      </c>
      <c r="AE321">
        <f t="shared" si="19"/>
        <v>0</v>
      </c>
    </row>
    <row r="322" spans="1:31" ht="14.25" customHeight="1" x14ac:dyDescent="0.35">
      <c r="A322" s="3" t="s">
        <v>776</v>
      </c>
      <c r="B322" s="3" t="s">
        <v>107</v>
      </c>
      <c r="C322" s="3" t="s">
        <v>777</v>
      </c>
      <c r="D322" s="3">
        <v>35</v>
      </c>
      <c r="E322" s="3">
        <f t="shared" ref="E322:E385" si="20">2024-F322</f>
        <v>35</v>
      </c>
      <c r="F322" s="3">
        <v>1989</v>
      </c>
      <c r="G322" s="3">
        <v>55000</v>
      </c>
      <c r="H322" s="12" cm="1">
        <f t="array" ref="H322">_xlfn.IFS(TRIM(G322)="SIXTY THOUSAND",60000,TRIM(G322)="NAN",AVERAGEIFS(G:G,J:J,J322,L:L,L322),TRUE,G322)</f>
        <v>55000</v>
      </c>
      <c r="I322" s="3" t="s">
        <v>27</v>
      </c>
      <c r="J322" s="3" t="s">
        <v>70</v>
      </c>
      <c r="K322" s="3" t="str">
        <f t="shared" ref="K322:K385" si="21">IF(OR(J322="HR",J322="IT"),UPPER(J322),PROPER(J322))</f>
        <v>Marketing</v>
      </c>
      <c r="L322" s="3" t="s">
        <v>77</v>
      </c>
      <c r="M322" s="4">
        <v>43800</v>
      </c>
      <c r="N322" s="4">
        <v>43800</v>
      </c>
      <c r="O322" s="3" t="s">
        <v>30</v>
      </c>
      <c r="P322" s="3">
        <v>62</v>
      </c>
      <c r="Q322" s="3" t="s">
        <v>778</v>
      </c>
      <c r="S322" s="3" t="s">
        <v>32</v>
      </c>
      <c r="T322" s="3" t="str">
        <f t="shared" ref="T322:T385" si="22">PROPER(S322)</f>
        <v>Contract</v>
      </c>
      <c r="V322" s="3">
        <v>7</v>
      </c>
      <c r="W322" s="3" t="s">
        <v>79</v>
      </c>
      <c r="Y322" s="4">
        <v>45516</v>
      </c>
      <c r="Z322" s="3">
        <v>12</v>
      </c>
      <c r="AA322" s="3" t="s">
        <v>34</v>
      </c>
      <c r="AB322" s="3" t="str" cm="1">
        <f t="array" ref="AB322">_xlfn.IFS(AA322="N","No",  AA322 = "Y", "Yes", TRUE, PROPER(TRIM(AA322)))</f>
        <v>No</v>
      </c>
      <c r="AC322" s="3">
        <v>3</v>
      </c>
      <c r="AD322" s="3" t="s">
        <v>46</v>
      </c>
      <c r="AE322">
        <f t="shared" si="19"/>
        <v>1</v>
      </c>
    </row>
    <row r="323" spans="1:31" ht="14.25" customHeight="1" x14ac:dyDescent="0.35">
      <c r="A323" s="3" t="s">
        <v>779</v>
      </c>
      <c r="B323" s="3" t="s">
        <v>25</v>
      </c>
      <c r="C323" s="3" t="s">
        <v>295</v>
      </c>
      <c r="D323" s="3">
        <v>40</v>
      </c>
      <c r="E323" s="3">
        <f t="shared" si="20"/>
        <v>40</v>
      </c>
      <c r="F323" s="3">
        <v>1984</v>
      </c>
      <c r="G323" s="3">
        <v>61300</v>
      </c>
      <c r="H323" s="12" cm="1">
        <f t="array" ref="H323">_xlfn.IFS(TRIM(G323)="SIXTY THOUSAND",60000,TRIM(G323)="NAN",AVERAGEIFS(G:G,J:J,J323,L:L,L323),TRUE,G323)</f>
        <v>61300</v>
      </c>
      <c r="I323" s="3" t="s">
        <v>38</v>
      </c>
      <c r="J323" s="3" t="s">
        <v>64</v>
      </c>
      <c r="K323" s="3" t="str">
        <f t="shared" si="21"/>
        <v>Finance</v>
      </c>
      <c r="L323" s="3" t="s">
        <v>77</v>
      </c>
      <c r="M323" s="4">
        <v>43845</v>
      </c>
      <c r="N323" s="4">
        <v>43845</v>
      </c>
      <c r="O323" s="3" t="s">
        <v>52</v>
      </c>
      <c r="P323" s="3">
        <v>73</v>
      </c>
      <c r="Q323" s="3" t="s">
        <v>780</v>
      </c>
      <c r="R323" s="3" t="s">
        <v>61</v>
      </c>
      <c r="S323" s="3" t="s">
        <v>32</v>
      </c>
      <c r="T323" s="3" t="str">
        <f t="shared" si="22"/>
        <v>Contract</v>
      </c>
      <c r="V323" s="3">
        <v>6</v>
      </c>
      <c r="X323" s="3">
        <v>4</v>
      </c>
      <c r="AB323" s="3" t="str" cm="1">
        <f t="array" ref="AB323">_xlfn.IFS(AA323="N","No",  AA323 = "Y", "Yes", TRUE, PROPER(TRIM(AA323)))</f>
        <v/>
      </c>
      <c r="AC323" s="3">
        <v>1</v>
      </c>
      <c r="AD323" s="3" t="s">
        <v>34</v>
      </c>
      <c r="AE323">
        <f t="shared" ref="AE323:AE386" si="23">IF(AD323="Yes",1,0)</f>
        <v>0</v>
      </c>
    </row>
    <row r="324" spans="1:31" ht="14.25" customHeight="1" x14ac:dyDescent="0.35">
      <c r="A324" s="3" t="s">
        <v>781</v>
      </c>
      <c r="B324" s="3" t="s">
        <v>114</v>
      </c>
      <c r="C324" s="3" t="s">
        <v>710</v>
      </c>
      <c r="D324" s="3">
        <v>25</v>
      </c>
      <c r="E324" s="3">
        <f t="shared" si="20"/>
        <v>25</v>
      </c>
      <c r="F324" s="3">
        <v>1999</v>
      </c>
      <c r="G324" s="3" t="s">
        <v>50</v>
      </c>
      <c r="H324" s="12" cm="1">
        <f t="array" ref="H324">_xlfn.IFS(TRIM(G324)="SIXTY THOUSAND",60000,TRIM(G324)="NAN",AVERAGEIFS(G:G,J:J,J324,L:L,L324),TRUE,G324)</f>
        <v>60000</v>
      </c>
      <c r="I324" s="3" t="s">
        <v>27</v>
      </c>
      <c r="J324" s="3" t="s">
        <v>145</v>
      </c>
      <c r="K324" s="3" t="str">
        <f t="shared" si="21"/>
        <v>Sales</v>
      </c>
      <c r="L324" s="3" t="s">
        <v>89</v>
      </c>
      <c r="M324" s="4">
        <v>43549</v>
      </c>
      <c r="N324" s="4">
        <v>43549</v>
      </c>
      <c r="O324" s="3" t="s">
        <v>52</v>
      </c>
      <c r="P324" s="3">
        <v>71</v>
      </c>
      <c r="Q324" s="3" t="s">
        <v>711</v>
      </c>
      <c r="R324" s="3" t="s">
        <v>43</v>
      </c>
      <c r="S324" s="3" t="s">
        <v>32</v>
      </c>
      <c r="T324" s="3" t="str">
        <f t="shared" si="22"/>
        <v>Contract</v>
      </c>
      <c r="U324" s="3" t="s">
        <v>270</v>
      </c>
      <c r="V324" s="3">
        <v>5</v>
      </c>
      <c r="W324" s="3" t="s">
        <v>79</v>
      </c>
      <c r="Y324" s="4">
        <v>44941</v>
      </c>
      <c r="Z324" s="3">
        <v>5</v>
      </c>
      <c r="AA324" s="3" t="s">
        <v>169</v>
      </c>
      <c r="AB324" s="3" t="str" cm="1">
        <f t="array" ref="AB324">_xlfn.IFS(AA324="N","No",  AA324 = "Y", "Yes", TRUE, PROPER(TRIM(AA324)))</f>
        <v>Yes</v>
      </c>
      <c r="AC324" s="3">
        <v>1</v>
      </c>
      <c r="AD324" s="3" t="s">
        <v>46</v>
      </c>
      <c r="AE324">
        <f t="shared" si="23"/>
        <v>1</v>
      </c>
    </row>
    <row r="325" spans="1:31" ht="14.25" customHeight="1" x14ac:dyDescent="0.35">
      <c r="A325" s="3" t="s">
        <v>782</v>
      </c>
      <c r="B325" s="3" t="s">
        <v>68</v>
      </c>
      <c r="C325" s="3" t="s">
        <v>783</v>
      </c>
      <c r="D325" s="3">
        <v>40</v>
      </c>
      <c r="E325" s="3">
        <f t="shared" si="20"/>
        <v>40</v>
      </c>
      <c r="F325" s="3">
        <v>1984</v>
      </c>
      <c r="G325" s="3">
        <v>61600</v>
      </c>
      <c r="H325" s="12" cm="1">
        <f t="array" ref="H325">_xlfn.IFS(TRIM(G325)="SIXTY THOUSAND",60000,TRIM(G325)="NAN",AVERAGEIFS(G:G,J:J,J325,L:L,L325),TRUE,G325)</f>
        <v>61600</v>
      </c>
      <c r="I325" s="3" t="s">
        <v>27</v>
      </c>
      <c r="J325" s="3" t="s">
        <v>70</v>
      </c>
      <c r="K325" s="3" t="str">
        <f t="shared" si="21"/>
        <v>Marketing</v>
      </c>
      <c r="L325" s="3" t="s">
        <v>89</v>
      </c>
      <c r="M325" s="4">
        <v>43845</v>
      </c>
      <c r="N325" s="4">
        <v>43845</v>
      </c>
      <c r="O325" s="3" t="s">
        <v>52</v>
      </c>
      <c r="P325" s="3">
        <v>70</v>
      </c>
      <c r="Q325" s="3" t="s">
        <v>784</v>
      </c>
      <c r="R325" s="3" t="s">
        <v>104</v>
      </c>
      <c r="S325" s="3" t="s">
        <v>44</v>
      </c>
      <c r="T325" s="3" t="str">
        <f t="shared" si="22"/>
        <v>Full-Time</v>
      </c>
      <c r="V325" s="3">
        <v>8</v>
      </c>
      <c r="Y325" s="4">
        <v>44470</v>
      </c>
      <c r="Z325" s="3">
        <v>54</v>
      </c>
      <c r="AA325" s="3" t="s">
        <v>46</v>
      </c>
      <c r="AB325" s="3" t="str" cm="1">
        <f t="array" ref="AB325">_xlfn.IFS(AA325="N","No",  AA325 = "Y", "Yes", TRUE, PROPER(TRIM(AA325)))</f>
        <v>Yes</v>
      </c>
      <c r="AC325" s="3">
        <v>2</v>
      </c>
      <c r="AD325" s="3" t="s">
        <v>46</v>
      </c>
      <c r="AE325">
        <f t="shared" si="23"/>
        <v>1</v>
      </c>
    </row>
    <row r="326" spans="1:31" ht="14.25" customHeight="1" x14ac:dyDescent="0.35">
      <c r="A326" s="3" t="s">
        <v>785</v>
      </c>
      <c r="B326" s="3" t="s">
        <v>114</v>
      </c>
      <c r="C326" s="3" t="s">
        <v>179</v>
      </c>
      <c r="D326" s="3">
        <v>50</v>
      </c>
      <c r="E326" s="3">
        <f t="shared" si="20"/>
        <v>50</v>
      </c>
      <c r="F326" s="3">
        <v>1974</v>
      </c>
      <c r="G326" s="3" t="s">
        <v>50</v>
      </c>
      <c r="H326" s="12" cm="1">
        <f t="array" ref="H326">_xlfn.IFS(TRIM(G326)="SIXTY THOUSAND",60000,TRIM(G326)="NAN",AVERAGEIFS(G:G,J:J,J326,L:L,L326),TRUE,G326)</f>
        <v>60000</v>
      </c>
      <c r="I326" s="3" t="s">
        <v>38</v>
      </c>
      <c r="J326" s="3" t="s">
        <v>51</v>
      </c>
      <c r="K326" s="3" t="str">
        <f t="shared" si="21"/>
        <v>Sales</v>
      </c>
      <c r="L326" s="3" t="s">
        <v>77</v>
      </c>
      <c r="M326" s="4">
        <v>43549</v>
      </c>
      <c r="N326" s="4">
        <v>43549</v>
      </c>
      <c r="O326" s="3" t="s">
        <v>30</v>
      </c>
      <c r="P326" s="3">
        <v>66</v>
      </c>
      <c r="Q326" s="3" t="s">
        <v>786</v>
      </c>
      <c r="R326" s="3" t="s">
        <v>43</v>
      </c>
      <c r="S326" s="3" t="s">
        <v>44</v>
      </c>
      <c r="T326" s="3" t="str">
        <f t="shared" si="22"/>
        <v>Full-Time</v>
      </c>
      <c r="V326" s="3">
        <v>3</v>
      </c>
      <c r="AA326" s="3" t="s">
        <v>46</v>
      </c>
      <c r="AB326" s="3" t="str" cm="1">
        <f t="array" ref="AB326">_xlfn.IFS(AA326="N","No",  AA326 = "Y", "Yes", TRUE, PROPER(TRIM(AA326)))</f>
        <v>Yes</v>
      </c>
      <c r="AC326" s="3">
        <v>4</v>
      </c>
      <c r="AD326" s="3" t="s">
        <v>34</v>
      </c>
      <c r="AE326">
        <f t="shared" si="23"/>
        <v>0</v>
      </c>
    </row>
    <row r="327" spans="1:31" ht="14.25" customHeight="1" x14ac:dyDescent="0.35">
      <c r="A327" s="3" t="s">
        <v>787</v>
      </c>
      <c r="B327" s="3" t="s">
        <v>68</v>
      </c>
      <c r="C327" s="3" t="s">
        <v>421</v>
      </c>
      <c r="D327" s="3">
        <v>50</v>
      </c>
      <c r="E327" s="3">
        <f t="shared" si="20"/>
        <v>50</v>
      </c>
      <c r="F327" s="3">
        <v>1974</v>
      </c>
      <c r="G327" s="3">
        <v>59300</v>
      </c>
      <c r="H327" s="12" cm="1">
        <f t="array" ref="H327">_xlfn.IFS(TRIM(G327)="SIXTY THOUSAND",60000,TRIM(G327)="NAN",AVERAGEIFS(G:G,J:J,J327,L:L,L327),TRUE,G327)</f>
        <v>59300</v>
      </c>
      <c r="I327" s="3" t="s">
        <v>38</v>
      </c>
      <c r="J327" s="3" t="s">
        <v>122</v>
      </c>
      <c r="K327" s="3" t="str">
        <f t="shared" si="21"/>
        <v>IT</v>
      </c>
      <c r="L327" s="3" t="s">
        <v>94</v>
      </c>
      <c r="M327" s="4">
        <v>43800</v>
      </c>
      <c r="N327" s="4">
        <v>43800</v>
      </c>
      <c r="O327" s="3" t="s">
        <v>59</v>
      </c>
      <c r="P327" s="3">
        <v>96</v>
      </c>
      <c r="Q327" s="3" t="s">
        <v>422</v>
      </c>
      <c r="R327" s="3" t="s">
        <v>54</v>
      </c>
      <c r="S327" s="3" t="s">
        <v>112</v>
      </c>
      <c r="T327" s="3" t="str">
        <f t="shared" si="22"/>
        <v>Full-Time</v>
      </c>
      <c r="U327" s="3" t="s">
        <v>788</v>
      </c>
      <c r="V327" s="3">
        <v>3</v>
      </c>
      <c r="Y327" s="4">
        <v>44990</v>
      </c>
      <c r="AB327" s="3" t="str" cm="1">
        <f t="array" ref="AB327">_xlfn.IFS(AA327="N","No",  AA327 = "Y", "Yes", TRUE, PROPER(TRIM(AA327)))</f>
        <v/>
      </c>
      <c r="AC327" s="3">
        <v>4</v>
      </c>
      <c r="AD327" s="3" t="s">
        <v>34</v>
      </c>
      <c r="AE327">
        <f t="shared" si="23"/>
        <v>0</v>
      </c>
    </row>
    <row r="328" spans="1:31" ht="14.25" customHeight="1" x14ac:dyDescent="0.35">
      <c r="A328" s="3" t="s">
        <v>789</v>
      </c>
      <c r="B328" s="3" t="s">
        <v>131</v>
      </c>
      <c r="C328" s="3" t="s">
        <v>472</v>
      </c>
      <c r="D328" s="3">
        <v>25</v>
      </c>
      <c r="E328" s="3">
        <f t="shared" si="20"/>
        <v>25</v>
      </c>
      <c r="F328" s="3">
        <v>1999</v>
      </c>
      <c r="G328" s="3">
        <v>65000</v>
      </c>
      <c r="H328" s="12" cm="1">
        <f t="array" ref="H328">_xlfn.IFS(TRIM(G328)="SIXTY THOUSAND",60000,TRIM(G328)="NAN",AVERAGEIFS(G:G,J:J,J328,L:L,L328),TRUE,G328)</f>
        <v>65000</v>
      </c>
      <c r="I328" s="3" t="s">
        <v>38</v>
      </c>
      <c r="J328" s="3" t="s">
        <v>122</v>
      </c>
      <c r="K328" s="3" t="str">
        <f t="shared" si="21"/>
        <v>IT</v>
      </c>
      <c r="L328" s="3" t="s">
        <v>89</v>
      </c>
      <c r="M328" s="4">
        <v>43549</v>
      </c>
      <c r="N328" s="4">
        <v>43549</v>
      </c>
      <c r="O328" s="3" t="s">
        <v>41</v>
      </c>
      <c r="P328" s="3">
        <v>29</v>
      </c>
      <c r="Q328" s="3" t="s">
        <v>473</v>
      </c>
      <c r="R328" s="3" t="s">
        <v>43</v>
      </c>
      <c r="S328" s="3" t="s">
        <v>32</v>
      </c>
      <c r="T328" s="3" t="str">
        <f t="shared" si="22"/>
        <v>Contract</v>
      </c>
      <c r="V328" s="3">
        <v>7</v>
      </c>
      <c r="W328" s="3">
        <v>3</v>
      </c>
      <c r="X328" s="3">
        <v>18</v>
      </c>
      <c r="AB328" s="3" t="str" cm="1">
        <f t="array" ref="AB328">_xlfn.IFS(AA328="N","No",  AA328 = "Y", "Yes", TRUE, PROPER(TRIM(AA328)))</f>
        <v/>
      </c>
      <c r="AC328" s="3">
        <v>2</v>
      </c>
      <c r="AD328" s="3" t="s">
        <v>46</v>
      </c>
      <c r="AE328">
        <f t="shared" si="23"/>
        <v>1</v>
      </c>
    </row>
    <row r="329" spans="1:31" ht="14.25" customHeight="1" x14ac:dyDescent="0.35">
      <c r="A329" s="3" t="s">
        <v>790</v>
      </c>
      <c r="B329" s="3" t="s">
        <v>48</v>
      </c>
      <c r="C329" s="3" t="s">
        <v>681</v>
      </c>
      <c r="D329" s="3" t="s">
        <v>88</v>
      </c>
      <c r="E329" s="3">
        <f t="shared" si="20"/>
        <v>30</v>
      </c>
      <c r="F329" s="3">
        <v>1994</v>
      </c>
      <c r="G329" s="3">
        <v>70000</v>
      </c>
      <c r="H329" s="12" cm="1">
        <f t="array" ref="H329">_xlfn.IFS(TRIM(G329)="SIXTY THOUSAND",60000,TRIM(G329)="NAN",AVERAGEIFS(G:G,J:J,J329,L:L,L329),TRUE,G329)</f>
        <v>70000</v>
      </c>
      <c r="I329" s="3" t="s">
        <v>38</v>
      </c>
      <c r="J329" s="3" t="s">
        <v>28</v>
      </c>
      <c r="K329" s="3" t="str">
        <f t="shared" si="21"/>
        <v>HR</v>
      </c>
      <c r="L329" s="3" t="s">
        <v>40</v>
      </c>
      <c r="M329" s="4">
        <v>43195</v>
      </c>
      <c r="N329" s="4">
        <v>43195</v>
      </c>
      <c r="O329" s="3" t="s">
        <v>52</v>
      </c>
      <c r="P329" s="3">
        <v>76</v>
      </c>
      <c r="Q329" s="3" t="s">
        <v>682</v>
      </c>
      <c r="R329" s="3" t="s">
        <v>104</v>
      </c>
      <c r="S329" s="3" t="s">
        <v>66</v>
      </c>
      <c r="T329" s="3" t="str">
        <f t="shared" si="22"/>
        <v>Contract</v>
      </c>
      <c r="U329" s="3" t="s">
        <v>791</v>
      </c>
      <c r="V329" s="3">
        <v>5</v>
      </c>
      <c r="AA329" s="3" t="s">
        <v>33</v>
      </c>
      <c r="AB329" s="3" t="str" cm="1">
        <f t="array" ref="AB329">_xlfn.IFS(AA329="N","No",  AA329 = "Y", "Yes", TRUE, PROPER(TRIM(AA329)))</f>
        <v>Yes</v>
      </c>
      <c r="AC329" s="3">
        <v>5</v>
      </c>
      <c r="AD329" s="3" t="s">
        <v>34</v>
      </c>
      <c r="AE329">
        <f t="shared" si="23"/>
        <v>0</v>
      </c>
    </row>
    <row r="330" spans="1:31" ht="14.25" customHeight="1" x14ac:dyDescent="0.35">
      <c r="A330" s="3" t="s">
        <v>792</v>
      </c>
      <c r="B330" s="3" t="s">
        <v>131</v>
      </c>
      <c r="C330" s="3" t="s">
        <v>144</v>
      </c>
      <c r="D330" s="3">
        <v>25</v>
      </c>
      <c r="E330" s="3">
        <f t="shared" si="20"/>
        <v>25</v>
      </c>
      <c r="F330" s="3">
        <v>1999</v>
      </c>
      <c r="G330" s="3">
        <v>65000</v>
      </c>
      <c r="H330" s="12" cm="1">
        <f t="array" ref="H330">_xlfn.IFS(TRIM(G330)="SIXTY THOUSAND",60000,TRIM(G330)="NAN",AVERAGEIFS(G:G,J:J,J330,L:L,L330),TRUE,G330)</f>
        <v>65000</v>
      </c>
      <c r="I330" s="3" t="s">
        <v>27</v>
      </c>
      <c r="J330" s="3" t="s">
        <v>28</v>
      </c>
      <c r="K330" s="3" t="str">
        <f t="shared" si="21"/>
        <v>HR</v>
      </c>
      <c r="L330" s="3" t="s">
        <v>40</v>
      </c>
      <c r="M330" s="4">
        <v>43549</v>
      </c>
      <c r="N330" s="4">
        <v>43549</v>
      </c>
      <c r="O330" s="3" t="s">
        <v>30</v>
      </c>
      <c r="P330" s="3">
        <v>68</v>
      </c>
      <c r="Q330" s="3" t="s">
        <v>146</v>
      </c>
      <c r="S330" s="3" t="s">
        <v>174</v>
      </c>
      <c r="T330" s="3" t="str">
        <f t="shared" si="22"/>
        <v>Full-Time</v>
      </c>
      <c r="U330" s="3" t="s">
        <v>793</v>
      </c>
      <c r="V330" s="3">
        <v>6</v>
      </c>
      <c r="W330" s="3">
        <v>3</v>
      </c>
      <c r="AA330" s="3" t="s">
        <v>73</v>
      </c>
      <c r="AB330" s="3" t="str" cm="1">
        <f t="array" ref="AB330">_xlfn.IFS(AA330="N","No",  AA330 = "Y", "Yes", TRUE, PROPER(TRIM(AA330)))</f>
        <v>No</v>
      </c>
      <c r="AC330" s="3">
        <v>5</v>
      </c>
      <c r="AD330" s="3" t="s">
        <v>46</v>
      </c>
      <c r="AE330">
        <f t="shared" si="23"/>
        <v>1</v>
      </c>
    </row>
    <row r="331" spans="1:31" ht="14.25" customHeight="1" x14ac:dyDescent="0.35">
      <c r="A331" s="3" t="s">
        <v>794</v>
      </c>
      <c r="B331" s="3" t="s">
        <v>140</v>
      </c>
      <c r="C331" s="3" t="s">
        <v>196</v>
      </c>
      <c r="E331" s="3">
        <f t="shared" si="20"/>
        <v>43</v>
      </c>
      <c r="F331" s="3">
        <v>1981</v>
      </c>
      <c r="G331" s="3">
        <v>55000</v>
      </c>
      <c r="H331" s="12" cm="1">
        <f t="array" ref="H331">_xlfn.IFS(TRIM(G331)="SIXTY THOUSAND",60000,TRIM(G331)="NAN",AVERAGEIFS(G:G,J:J,J331,L:L,L331),TRUE,G331)</f>
        <v>55000</v>
      </c>
      <c r="I331" s="3" t="s">
        <v>38</v>
      </c>
      <c r="J331" s="3" t="s">
        <v>122</v>
      </c>
      <c r="K331" s="3" t="str">
        <f t="shared" si="21"/>
        <v>IT</v>
      </c>
      <c r="L331" s="3" t="s">
        <v>29</v>
      </c>
      <c r="M331" s="4">
        <v>43195</v>
      </c>
      <c r="N331" s="4">
        <v>43195</v>
      </c>
      <c r="O331" s="3" t="s">
        <v>59</v>
      </c>
      <c r="P331" s="3">
        <v>96</v>
      </c>
      <c r="Q331" s="3" t="s">
        <v>197</v>
      </c>
      <c r="R331" s="3" t="s">
        <v>43</v>
      </c>
      <c r="S331" s="3" t="s">
        <v>174</v>
      </c>
      <c r="T331" s="3" t="str">
        <f t="shared" si="22"/>
        <v>Full-Time</v>
      </c>
      <c r="V331" s="3">
        <v>4</v>
      </c>
      <c r="W331" s="3">
        <v>1</v>
      </c>
      <c r="X331" s="3">
        <v>13</v>
      </c>
      <c r="Y331" s="4">
        <v>44941</v>
      </c>
      <c r="AA331" s="3" t="s">
        <v>34</v>
      </c>
      <c r="AB331" s="3" t="str" cm="1">
        <f t="array" ref="AB331">_xlfn.IFS(AA331="N","No",  AA331 = "Y", "Yes", TRUE, PROPER(TRIM(AA331)))</f>
        <v>No</v>
      </c>
      <c r="AC331" s="3">
        <v>3</v>
      </c>
      <c r="AD331" s="3" t="s">
        <v>34</v>
      </c>
      <c r="AE331">
        <f t="shared" si="23"/>
        <v>0</v>
      </c>
    </row>
    <row r="332" spans="1:31" ht="14.25" customHeight="1" x14ac:dyDescent="0.35">
      <c r="A332" s="3" t="s">
        <v>795</v>
      </c>
      <c r="B332" s="3" t="s">
        <v>107</v>
      </c>
      <c r="C332" s="3" t="s">
        <v>277</v>
      </c>
      <c r="D332" s="3">
        <v>35</v>
      </c>
      <c r="E332" s="3">
        <f t="shared" si="20"/>
        <v>35</v>
      </c>
      <c r="F332" s="3">
        <v>1989</v>
      </c>
      <c r="G332" s="3">
        <v>65000</v>
      </c>
      <c r="H332" s="12" cm="1">
        <f t="array" ref="H332">_xlfn.IFS(TRIM(G332)="SIXTY THOUSAND",60000,TRIM(G332)="NAN",AVERAGEIFS(G:G,J:J,J332,L:L,L332),TRUE,G332)</f>
        <v>65000</v>
      </c>
      <c r="I332" s="3" t="s">
        <v>38</v>
      </c>
      <c r="J332" s="3" t="s">
        <v>145</v>
      </c>
      <c r="K332" s="3" t="str">
        <f t="shared" si="21"/>
        <v>Sales</v>
      </c>
      <c r="L332" s="3" t="s">
        <v>77</v>
      </c>
      <c r="M332" s="4">
        <v>43800</v>
      </c>
      <c r="N332" s="4">
        <v>43800</v>
      </c>
      <c r="O332" s="3" t="s">
        <v>41</v>
      </c>
      <c r="P332" s="3">
        <v>33</v>
      </c>
      <c r="Q332" s="3" t="s">
        <v>796</v>
      </c>
      <c r="R332" s="3" t="s">
        <v>43</v>
      </c>
      <c r="S332" s="3" t="s">
        <v>44</v>
      </c>
      <c r="T332" s="3" t="str">
        <f t="shared" si="22"/>
        <v>Full-Time</v>
      </c>
      <c r="U332" s="3" t="s">
        <v>116</v>
      </c>
      <c r="V332" s="3">
        <v>4</v>
      </c>
      <c r="W332" s="3">
        <v>1</v>
      </c>
      <c r="X332" s="3">
        <v>5</v>
      </c>
      <c r="AA332" s="3" t="s">
        <v>34</v>
      </c>
      <c r="AB332" s="3" t="str" cm="1">
        <f t="array" ref="AB332">_xlfn.IFS(AA332="N","No",  AA332 = "Y", "Yes", TRUE, PROPER(TRIM(AA332)))</f>
        <v>No</v>
      </c>
      <c r="AC332" s="3">
        <v>3</v>
      </c>
      <c r="AD332" s="3" t="s">
        <v>34</v>
      </c>
      <c r="AE332">
        <f t="shared" si="23"/>
        <v>0</v>
      </c>
    </row>
    <row r="333" spans="1:31" ht="14.25" customHeight="1" x14ac:dyDescent="0.35">
      <c r="A333" s="3" t="s">
        <v>797</v>
      </c>
      <c r="B333" s="3" t="s">
        <v>25</v>
      </c>
      <c r="C333" s="3" t="s">
        <v>132</v>
      </c>
      <c r="D333" s="3" t="s">
        <v>88</v>
      </c>
      <c r="E333" s="3">
        <f t="shared" si="20"/>
        <v>30</v>
      </c>
      <c r="F333" s="3">
        <v>1994</v>
      </c>
      <c r="G333" s="3">
        <v>50000</v>
      </c>
      <c r="H333" s="12" cm="1">
        <f t="array" ref="H333">_xlfn.IFS(TRIM(G333)="SIXTY THOUSAND",60000,TRIM(G333)="NAN",AVERAGEIFS(G:G,J:J,J333,L:L,L333),TRUE,G333)</f>
        <v>50000</v>
      </c>
      <c r="I333" s="3" t="s">
        <v>27</v>
      </c>
      <c r="J333" s="3" t="s">
        <v>58</v>
      </c>
      <c r="K333" s="3" t="str">
        <f t="shared" si="21"/>
        <v>IT</v>
      </c>
      <c r="L333" s="3" t="s">
        <v>94</v>
      </c>
      <c r="M333" s="4">
        <v>43800</v>
      </c>
      <c r="N333" s="4">
        <v>43800</v>
      </c>
      <c r="O333" s="3" t="s">
        <v>30</v>
      </c>
      <c r="P333" s="3">
        <v>65</v>
      </c>
      <c r="Q333" s="3" t="s">
        <v>798</v>
      </c>
      <c r="R333" s="3" t="s">
        <v>43</v>
      </c>
      <c r="S333" s="3" t="s">
        <v>72</v>
      </c>
      <c r="T333" s="3" t="str">
        <f t="shared" si="22"/>
        <v>Part-Time</v>
      </c>
      <c r="V333" s="3">
        <v>4</v>
      </c>
      <c r="W333" s="3">
        <v>9</v>
      </c>
      <c r="Y333" s="4">
        <v>44732</v>
      </c>
      <c r="AA333" s="3" t="s">
        <v>33</v>
      </c>
      <c r="AB333" s="3" t="str" cm="1">
        <f t="array" ref="AB333">_xlfn.IFS(AA333="N","No",  AA333 = "Y", "Yes", TRUE, PROPER(TRIM(AA333)))</f>
        <v>Yes</v>
      </c>
      <c r="AC333" s="3">
        <v>3</v>
      </c>
      <c r="AD333" s="3" t="s">
        <v>46</v>
      </c>
      <c r="AE333">
        <f t="shared" si="23"/>
        <v>1</v>
      </c>
    </row>
    <row r="334" spans="1:31" ht="14.25" customHeight="1" x14ac:dyDescent="0.35">
      <c r="A334" s="3" t="s">
        <v>799</v>
      </c>
      <c r="B334" s="3" t="s">
        <v>68</v>
      </c>
      <c r="C334" s="3" t="s">
        <v>462</v>
      </c>
      <c r="D334" s="3">
        <v>25</v>
      </c>
      <c r="E334" s="3">
        <f t="shared" si="20"/>
        <v>25</v>
      </c>
      <c r="F334" s="3">
        <v>1999</v>
      </c>
      <c r="G334" s="3">
        <v>55000</v>
      </c>
      <c r="H334" s="12" cm="1">
        <f t="array" ref="H334">_xlfn.IFS(TRIM(G334)="SIXTY THOUSAND",60000,TRIM(G334)="NAN",AVERAGEIFS(G:G,J:J,J334,L:L,L334),TRUE,G334)</f>
        <v>55000</v>
      </c>
      <c r="I334" s="3" t="s">
        <v>27</v>
      </c>
      <c r="J334" s="3" t="s">
        <v>28</v>
      </c>
      <c r="K334" s="3" t="str">
        <f t="shared" si="21"/>
        <v>HR</v>
      </c>
      <c r="L334" s="3" t="s">
        <v>29</v>
      </c>
      <c r="M334" s="4">
        <v>43845</v>
      </c>
      <c r="N334" s="4">
        <v>43845</v>
      </c>
      <c r="O334" s="3" t="s">
        <v>41</v>
      </c>
      <c r="P334" s="3">
        <v>9</v>
      </c>
      <c r="Q334" s="3" t="s">
        <v>800</v>
      </c>
      <c r="R334" s="3" t="s">
        <v>43</v>
      </c>
      <c r="S334" s="3" t="s">
        <v>72</v>
      </c>
      <c r="T334" s="3" t="str">
        <f t="shared" si="22"/>
        <v>Part-Time</v>
      </c>
      <c r="V334" s="3">
        <v>5</v>
      </c>
      <c r="Z334" s="3">
        <v>24</v>
      </c>
      <c r="AA334" s="3" t="s">
        <v>169</v>
      </c>
      <c r="AB334" s="3" t="str" cm="1">
        <f t="array" ref="AB334">_xlfn.IFS(AA334="N","No",  AA334 = "Y", "Yes", TRUE, PROPER(TRIM(AA334)))</f>
        <v>Yes</v>
      </c>
      <c r="AC334" s="3">
        <v>5</v>
      </c>
      <c r="AD334" s="3" t="s">
        <v>46</v>
      </c>
      <c r="AE334">
        <f t="shared" si="23"/>
        <v>1</v>
      </c>
    </row>
    <row r="335" spans="1:31" ht="14.25" customHeight="1" x14ac:dyDescent="0.35">
      <c r="A335" s="3" t="s">
        <v>801</v>
      </c>
      <c r="B335" s="3" t="s">
        <v>25</v>
      </c>
      <c r="C335" s="3" t="s">
        <v>49</v>
      </c>
      <c r="D335" s="3">
        <v>40</v>
      </c>
      <c r="E335" s="3">
        <f t="shared" si="20"/>
        <v>40</v>
      </c>
      <c r="F335" s="3">
        <v>1984</v>
      </c>
      <c r="G335" s="3">
        <v>58600</v>
      </c>
      <c r="H335" s="12" cm="1">
        <f t="array" ref="H335">_xlfn.IFS(TRIM(G335)="SIXTY THOUSAND",60000,TRIM(G335)="NAN",AVERAGEIFS(G:G,J:J,J335,L:L,L335),TRUE,G335)</f>
        <v>58600</v>
      </c>
      <c r="I335" s="3" t="s">
        <v>38</v>
      </c>
      <c r="J335" s="3" t="s">
        <v>58</v>
      </c>
      <c r="K335" s="3" t="str">
        <f t="shared" si="21"/>
        <v>IT</v>
      </c>
      <c r="L335" s="3" t="s">
        <v>77</v>
      </c>
      <c r="M335" s="4">
        <v>43195</v>
      </c>
      <c r="N335" s="4">
        <v>43195</v>
      </c>
      <c r="O335" s="3" t="s">
        <v>52</v>
      </c>
      <c r="P335" s="3">
        <v>72</v>
      </c>
      <c r="Q335" s="3" t="s">
        <v>802</v>
      </c>
      <c r="R335" s="3" t="s">
        <v>104</v>
      </c>
      <c r="S335" s="3" t="s">
        <v>72</v>
      </c>
      <c r="T335" s="3" t="str">
        <f t="shared" si="22"/>
        <v>Part-Time</v>
      </c>
      <c r="V335" s="3">
        <v>6</v>
      </c>
      <c r="X335" s="3">
        <v>6</v>
      </c>
      <c r="AA335" s="3" t="s">
        <v>33</v>
      </c>
      <c r="AB335" s="3" t="str" cm="1">
        <f t="array" ref="AB335">_xlfn.IFS(AA335="N","No",  AA335 = "Y", "Yes", TRUE, PROPER(TRIM(AA335)))</f>
        <v>Yes</v>
      </c>
      <c r="AC335" s="3">
        <v>5</v>
      </c>
      <c r="AD335" s="3" t="s">
        <v>34</v>
      </c>
      <c r="AE335">
        <f t="shared" si="23"/>
        <v>0</v>
      </c>
    </row>
    <row r="336" spans="1:31" ht="14.25" customHeight="1" x14ac:dyDescent="0.35">
      <c r="A336" s="3" t="s">
        <v>803</v>
      </c>
      <c r="B336" s="3" t="s">
        <v>68</v>
      </c>
      <c r="C336" s="3" t="s">
        <v>193</v>
      </c>
      <c r="D336" s="3" t="s">
        <v>88</v>
      </c>
      <c r="E336" s="3">
        <f t="shared" si="20"/>
        <v>30</v>
      </c>
      <c r="F336" s="3">
        <v>1994</v>
      </c>
      <c r="G336" s="3">
        <v>55000</v>
      </c>
      <c r="H336" s="12" cm="1">
        <f t="array" ref="H336">_xlfn.IFS(TRIM(G336)="SIXTY THOUSAND",60000,TRIM(G336)="NAN",AVERAGEIFS(G:G,J:J,J336,L:L,L336),TRUE,G336)</f>
        <v>55000</v>
      </c>
      <c r="I336" s="3" t="s">
        <v>27</v>
      </c>
      <c r="J336" s="3" t="s">
        <v>122</v>
      </c>
      <c r="K336" s="3" t="str">
        <f t="shared" si="21"/>
        <v>IT</v>
      </c>
      <c r="L336" s="3" t="s">
        <v>89</v>
      </c>
      <c r="M336" s="4">
        <v>43195</v>
      </c>
      <c r="N336" s="4">
        <v>43195</v>
      </c>
      <c r="O336" s="3" t="s">
        <v>59</v>
      </c>
      <c r="P336" s="3">
        <v>100</v>
      </c>
      <c r="Q336" s="3" t="s">
        <v>194</v>
      </c>
      <c r="R336" s="3" t="s">
        <v>61</v>
      </c>
      <c r="S336" s="3" t="s">
        <v>100</v>
      </c>
      <c r="T336" s="3" t="str">
        <f t="shared" si="22"/>
        <v>Part-Time</v>
      </c>
      <c r="V336" s="3">
        <v>3</v>
      </c>
      <c r="W336" s="3" t="s">
        <v>79</v>
      </c>
      <c r="AA336" s="3" t="s">
        <v>33</v>
      </c>
      <c r="AB336" s="3" t="str" cm="1">
        <f t="array" ref="AB336">_xlfn.IFS(AA336="N","No",  AA336 = "Y", "Yes", TRUE, PROPER(TRIM(AA336)))</f>
        <v>Yes</v>
      </c>
      <c r="AC336" s="3">
        <v>5</v>
      </c>
      <c r="AD336" s="3" t="s">
        <v>46</v>
      </c>
      <c r="AE336">
        <f t="shared" si="23"/>
        <v>1</v>
      </c>
    </row>
    <row r="337" spans="1:31" ht="14.25" customHeight="1" x14ac:dyDescent="0.35">
      <c r="A337" s="3" t="s">
        <v>804</v>
      </c>
      <c r="B337" s="3" t="s">
        <v>75</v>
      </c>
      <c r="C337" s="3" t="s">
        <v>362</v>
      </c>
      <c r="D337" s="3" t="s">
        <v>88</v>
      </c>
      <c r="E337" s="3">
        <f t="shared" si="20"/>
        <v>30</v>
      </c>
      <c r="F337" s="3">
        <v>1994</v>
      </c>
      <c r="G337" s="3">
        <v>70000</v>
      </c>
      <c r="H337" s="12" cm="1">
        <f t="array" ref="H337">_xlfn.IFS(TRIM(G337)="SIXTY THOUSAND",60000,TRIM(G337)="NAN",AVERAGEIFS(G:G,J:J,J337,L:L,L337),TRUE,G337)</f>
        <v>70000</v>
      </c>
      <c r="I337" s="3" t="s">
        <v>27</v>
      </c>
      <c r="J337" s="3" t="s">
        <v>145</v>
      </c>
      <c r="K337" s="3" t="str">
        <f t="shared" si="21"/>
        <v>Sales</v>
      </c>
      <c r="L337" s="3" t="s">
        <v>40</v>
      </c>
      <c r="M337" s="4">
        <v>43881</v>
      </c>
      <c r="N337" s="4">
        <v>43881</v>
      </c>
      <c r="O337" s="3" t="s">
        <v>30</v>
      </c>
      <c r="P337" s="3">
        <v>69</v>
      </c>
      <c r="Q337" s="3" t="s">
        <v>363</v>
      </c>
      <c r="R337" s="3" t="s">
        <v>61</v>
      </c>
      <c r="S337" s="3" t="s">
        <v>112</v>
      </c>
      <c r="T337" s="3" t="str">
        <f t="shared" si="22"/>
        <v>Full-Time</v>
      </c>
      <c r="V337" s="3">
        <v>3</v>
      </c>
      <c r="AA337" s="3" t="s">
        <v>169</v>
      </c>
      <c r="AB337" s="3" t="str" cm="1">
        <f t="array" ref="AB337">_xlfn.IFS(AA337="N","No",  AA337 = "Y", "Yes", TRUE, PROPER(TRIM(AA337)))</f>
        <v>Yes</v>
      </c>
      <c r="AC337" s="3">
        <v>4</v>
      </c>
      <c r="AD337" s="3" t="s">
        <v>34</v>
      </c>
      <c r="AE337">
        <f t="shared" si="23"/>
        <v>0</v>
      </c>
    </row>
    <row r="338" spans="1:31" ht="14.25" customHeight="1" x14ac:dyDescent="0.35">
      <c r="A338" s="3" t="s">
        <v>805</v>
      </c>
      <c r="B338" s="3" t="s">
        <v>114</v>
      </c>
      <c r="C338" s="3" t="s">
        <v>222</v>
      </c>
      <c r="D338" s="3">
        <v>25</v>
      </c>
      <c r="E338" s="3">
        <f t="shared" si="20"/>
        <v>25</v>
      </c>
      <c r="F338" s="3">
        <v>1999</v>
      </c>
      <c r="G338" s="3" t="s">
        <v>50</v>
      </c>
      <c r="H338" s="12" cm="1">
        <f t="array" ref="H338">_xlfn.IFS(TRIM(G338)="SIXTY THOUSAND",60000,TRIM(G338)="NAN",AVERAGEIFS(G:G,J:J,J338,L:L,L338),TRUE,G338)</f>
        <v>60000</v>
      </c>
      <c r="I338" s="3" t="s">
        <v>38</v>
      </c>
      <c r="J338" s="3" t="s">
        <v>93</v>
      </c>
      <c r="K338" s="3" t="str">
        <f t="shared" si="21"/>
        <v>Marketing</v>
      </c>
      <c r="L338" s="3" t="s">
        <v>94</v>
      </c>
      <c r="M338" s="4">
        <v>43881</v>
      </c>
      <c r="N338" s="4">
        <v>43881</v>
      </c>
      <c r="O338" s="3" t="s">
        <v>59</v>
      </c>
      <c r="P338" s="3">
        <v>100</v>
      </c>
      <c r="Q338" s="3" t="s">
        <v>223</v>
      </c>
      <c r="R338" s="3" t="s">
        <v>43</v>
      </c>
      <c r="S338" s="3" t="s">
        <v>72</v>
      </c>
      <c r="T338" s="3" t="str">
        <f t="shared" si="22"/>
        <v>Part-Time</v>
      </c>
      <c r="V338" s="3">
        <v>6</v>
      </c>
      <c r="W338" s="3">
        <v>3</v>
      </c>
      <c r="Y338" s="4">
        <v>44732</v>
      </c>
      <c r="AA338" s="3" t="s">
        <v>34</v>
      </c>
      <c r="AB338" s="3" t="str" cm="1">
        <f t="array" ref="AB338">_xlfn.IFS(AA338="N","No",  AA338 = "Y", "Yes", TRUE, PROPER(TRIM(AA338)))</f>
        <v>No</v>
      </c>
      <c r="AC338" s="3">
        <v>5</v>
      </c>
      <c r="AD338" s="3" t="s">
        <v>34</v>
      </c>
      <c r="AE338">
        <f t="shared" si="23"/>
        <v>0</v>
      </c>
    </row>
    <row r="339" spans="1:31" ht="14.25" customHeight="1" x14ac:dyDescent="0.35">
      <c r="A339" s="3" t="s">
        <v>806</v>
      </c>
      <c r="B339" s="3" t="s">
        <v>140</v>
      </c>
      <c r="C339" s="3" t="s">
        <v>161</v>
      </c>
      <c r="D339" s="3" t="s">
        <v>88</v>
      </c>
      <c r="E339" s="3">
        <f t="shared" si="20"/>
        <v>30</v>
      </c>
      <c r="F339" s="3">
        <v>1994</v>
      </c>
      <c r="G339" s="3">
        <v>60900</v>
      </c>
      <c r="H339" s="12" cm="1">
        <f t="array" ref="H339">_xlfn.IFS(TRIM(G339)="SIXTY THOUSAND",60000,TRIM(G339)="NAN",AVERAGEIFS(G:G,J:J,J339,L:L,L339),TRUE,G339)</f>
        <v>60900</v>
      </c>
      <c r="I339" s="3" t="s">
        <v>38</v>
      </c>
      <c r="J339" s="3" t="s">
        <v>28</v>
      </c>
      <c r="K339" s="3" t="str">
        <f t="shared" si="21"/>
        <v>HR</v>
      </c>
      <c r="L339" s="3" t="s">
        <v>40</v>
      </c>
      <c r="M339" s="4">
        <v>43881</v>
      </c>
      <c r="N339" s="4">
        <v>43881</v>
      </c>
      <c r="O339" s="3" t="s">
        <v>52</v>
      </c>
      <c r="P339" s="3">
        <v>77</v>
      </c>
      <c r="Q339" s="3" t="s">
        <v>807</v>
      </c>
      <c r="R339" s="3" t="s">
        <v>104</v>
      </c>
      <c r="S339" s="3" t="s">
        <v>112</v>
      </c>
      <c r="T339" s="3" t="str">
        <f t="shared" si="22"/>
        <v>Full-Time</v>
      </c>
      <c r="V339" s="3">
        <v>2</v>
      </c>
      <c r="X339" s="3">
        <v>14</v>
      </c>
      <c r="Z339" s="3">
        <v>48</v>
      </c>
      <c r="AA339" s="3" t="s">
        <v>46</v>
      </c>
      <c r="AB339" s="3" t="str" cm="1">
        <f t="array" ref="AB339">_xlfn.IFS(AA339="N","No",  AA339 = "Y", "Yes", TRUE, PROPER(TRIM(AA339)))</f>
        <v>Yes</v>
      </c>
      <c r="AC339" s="3">
        <v>3</v>
      </c>
      <c r="AD339" s="3" t="s">
        <v>46</v>
      </c>
      <c r="AE339">
        <f t="shared" si="23"/>
        <v>1</v>
      </c>
    </row>
    <row r="340" spans="1:31" ht="14.25" customHeight="1" x14ac:dyDescent="0.35">
      <c r="A340" s="3" t="s">
        <v>808</v>
      </c>
      <c r="B340" s="3" t="s">
        <v>48</v>
      </c>
      <c r="C340" s="3" t="s">
        <v>459</v>
      </c>
      <c r="D340" s="3">
        <v>40</v>
      </c>
      <c r="E340" s="3">
        <f t="shared" si="20"/>
        <v>40</v>
      </c>
      <c r="F340" s="3">
        <v>1984</v>
      </c>
      <c r="G340" s="3">
        <v>55000</v>
      </c>
      <c r="H340" s="12" cm="1">
        <f t="array" ref="H340">_xlfn.IFS(TRIM(G340)="SIXTY THOUSAND",60000,TRIM(G340)="NAN",AVERAGEIFS(G:G,J:J,J340,L:L,L340),TRUE,G340)</f>
        <v>55000</v>
      </c>
      <c r="I340" s="3" t="s">
        <v>38</v>
      </c>
      <c r="J340" s="3" t="s">
        <v>145</v>
      </c>
      <c r="K340" s="3" t="str">
        <f t="shared" si="21"/>
        <v>Sales</v>
      </c>
      <c r="L340" s="3" t="s">
        <v>89</v>
      </c>
      <c r="M340" s="4">
        <v>43549</v>
      </c>
      <c r="N340" s="4">
        <v>43549</v>
      </c>
      <c r="O340" s="3" t="s">
        <v>59</v>
      </c>
      <c r="P340" s="3">
        <v>94</v>
      </c>
      <c r="Q340" s="3" t="s">
        <v>460</v>
      </c>
      <c r="R340" s="3" t="s">
        <v>104</v>
      </c>
      <c r="S340" s="3" t="s">
        <v>72</v>
      </c>
      <c r="T340" s="3" t="str">
        <f t="shared" si="22"/>
        <v>Part-Time</v>
      </c>
      <c r="U340" s="3" t="s">
        <v>155</v>
      </c>
      <c r="V340" s="3">
        <v>6</v>
      </c>
      <c r="Y340" s="4">
        <v>44941</v>
      </c>
      <c r="AB340" s="3" t="str" cm="1">
        <f t="array" ref="AB340">_xlfn.IFS(AA340="N","No",  AA340 = "Y", "Yes", TRUE, PROPER(TRIM(AA340)))</f>
        <v/>
      </c>
      <c r="AC340" s="3">
        <v>2</v>
      </c>
      <c r="AD340" s="3" t="s">
        <v>34</v>
      </c>
      <c r="AE340">
        <f t="shared" si="23"/>
        <v>0</v>
      </c>
    </row>
    <row r="341" spans="1:31" ht="14.25" customHeight="1" x14ac:dyDescent="0.35">
      <c r="A341" s="3" t="s">
        <v>809</v>
      </c>
      <c r="B341" s="3" t="s">
        <v>68</v>
      </c>
      <c r="C341" s="3" t="s">
        <v>193</v>
      </c>
      <c r="D341" s="3">
        <v>50</v>
      </c>
      <c r="E341" s="3">
        <f t="shared" si="20"/>
        <v>50</v>
      </c>
      <c r="F341" s="3">
        <v>1974</v>
      </c>
      <c r="G341" s="3">
        <v>58600</v>
      </c>
      <c r="H341" s="12" cm="1">
        <f t="array" ref="H341">_xlfn.IFS(TRIM(G341)="SIXTY THOUSAND",60000,TRIM(G341)="NAN",AVERAGEIFS(G:G,J:J,J341,L:L,L341),TRUE,G341)</f>
        <v>58600</v>
      </c>
      <c r="I341" s="3" t="s">
        <v>27</v>
      </c>
      <c r="J341" s="3" t="s">
        <v>122</v>
      </c>
      <c r="K341" s="3" t="str">
        <f t="shared" si="21"/>
        <v>IT</v>
      </c>
      <c r="L341" s="3" t="s">
        <v>77</v>
      </c>
      <c r="M341" s="4">
        <v>43881</v>
      </c>
      <c r="N341" s="4">
        <v>43881</v>
      </c>
      <c r="O341" s="3" t="s">
        <v>59</v>
      </c>
      <c r="P341" s="3">
        <v>98</v>
      </c>
      <c r="Q341" s="3" t="s">
        <v>194</v>
      </c>
      <c r="R341" s="3" t="s">
        <v>43</v>
      </c>
      <c r="S341" s="3" t="s">
        <v>66</v>
      </c>
      <c r="T341" s="3" t="str">
        <f t="shared" si="22"/>
        <v>Contract</v>
      </c>
      <c r="V341" s="3">
        <v>8</v>
      </c>
      <c r="W341" s="3">
        <v>7</v>
      </c>
      <c r="X341" s="3">
        <v>6</v>
      </c>
      <c r="Z341" s="3">
        <v>54</v>
      </c>
      <c r="AB341" s="3" t="str" cm="1">
        <f t="array" ref="AB341">_xlfn.IFS(AA341="N","No",  AA341 = "Y", "Yes", TRUE, PROPER(TRIM(AA341)))</f>
        <v/>
      </c>
      <c r="AC341" s="3">
        <v>4</v>
      </c>
      <c r="AD341" s="3" t="s">
        <v>46</v>
      </c>
      <c r="AE341">
        <f t="shared" si="23"/>
        <v>1</v>
      </c>
    </row>
    <row r="342" spans="1:31" ht="14.25" customHeight="1" x14ac:dyDescent="0.35">
      <c r="A342" s="3" t="s">
        <v>810</v>
      </c>
      <c r="B342" s="3" t="s">
        <v>25</v>
      </c>
      <c r="C342" s="3" t="s">
        <v>161</v>
      </c>
      <c r="D342" s="3" t="s">
        <v>88</v>
      </c>
      <c r="E342" s="3">
        <f t="shared" si="20"/>
        <v>30</v>
      </c>
      <c r="F342" s="3">
        <v>1994</v>
      </c>
      <c r="G342" s="3">
        <v>59800</v>
      </c>
      <c r="H342" s="12" cm="1">
        <f t="array" ref="H342">_xlfn.IFS(TRIM(G342)="SIXTY THOUSAND",60000,TRIM(G342)="NAN",AVERAGEIFS(G:G,J:J,J342,L:L,L342),TRUE,G342)</f>
        <v>59800</v>
      </c>
      <c r="I342" s="3" t="s">
        <v>38</v>
      </c>
      <c r="J342" s="3" t="s">
        <v>122</v>
      </c>
      <c r="K342" s="3" t="str">
        <f t="shared" si="21"/>
        <v>IT</v>
      </c>
      <c r="L342" s="3" t="s">
        <v>89</v>
      </c>
      <c r="M342" s="4">
        <v>43195</v>
      </c>
      <c r="N342" s="4">
        <v>43195</v>
      </c>
      <c r="O342" s="3" t="s">
        <v>78</v>
      </c>
      <c r="P342" s="3">
        <v>80</v>
      </c>
      <c r="Q342" s="3" t="s">
        <v>811</v>
      </c>
      <c r="R342" s="3" t="s">
        <v>54</v>
      </c>
      <c r="S342" s="3" t="s">
        <v>112</v>
      </c>
      <c r="T342" s="3" t="str">
        <f t="shared" si="22"/>
        <v>Full-Time</v>
      </c>
      <c r="V342" s="3">
        <v>7</v>
      </c>
      <c r="AA342" s="3" t="s">
        <v>34</v>
      </c>
      <c r="AB342" s="3" t="str" cm="1">
        <f t="array" ref="AB342">_xlfn.IFS(AA342="N","No",  AA342 = "Y", "Yes", TRUE, PROPER(TRIM(AA342)))</f>
        <v>No</v>
      </c>
      <c r="AC342" s="3">
        <v>3</v>
      </c>
      <c r="AD342" s="3" t="s">
        <v>34</v>
      </c>
      <c r="AE342">
        <f t="shared" si="23"/>
        <v>0</v>
      </c>
    </row>
    <row r="343" spans="1:31" ht="14.25" customHeight="1" x14ac:dyDescent="0.35">
      <c r="A343" s="3" t="s">
        <v>812</v>
      </c>
      <c r="B343" s="3" t="s">
        <v>140</v>
      </c>
      <c r="C343" s="3" t="s">
        <v>268</v>
      </c>
      <c r="D343" s="3">
        <v>50</v>
      </c>
      <c r="E343" s="3">
        <f t="shared" si="20"/>
        <v>50</v>
      </c>
      <c r="F343" s="3">
        <v>1974</v>
      </c>
      <c r="G343" s="3">
        <v>61600</v>
      </c>
      <c r="H343" s="12" cm="1">
        <f t="array" ref="H343">_xlfn.IFS(TRIM(G343)="SIXTY THOUSAND",60000,TRIM(G343)="NAN",AVERAGEIFS(G:G,J:J,J343,L:L,L343),TRUE,G343)</f>
        <v>61600</v>
      </c>
      <c r="I343" s="3" t="s">
        <v>38</v>
      </c>
      <c r="J343" s="3" t="s">
        <v>93</v>
      </c>
      <c r="K343" s="3" t="str">
        <f t="shared" si="21"/>
        <v>Marketing</v>
      </c>
      <c r="L343" s="3" t="s">
        <v>89</v>
      </c>
      <c r="M343" s="4">
        <v>43549</v>
      </c>
      <c r="N343" s="4">
        <v>43549</v>
      </c>
      <c r="O343" s="3" t="s">
        <v>59</v>
      </c>
      <c r="P343" s="3">
        <v>100</v>
      </c>
      <c r="Q343" s="3" t="s">
        <v>269</v>
      </c>
      <c r="R343" s="3" t="s">
        <v>43</v>
      </c>
      <c r="S343" s="3" t="s">
        <v>72</v>
      </c>
      <c r="T343" s="3" t="str">
        <f t="shared" si="22"/>
        <v>Part-Time</v>
      </c>
      <c r="V343" s="3">
        <v>5</v>
      </c>
      <c r="X343" s="3">
        <v>15</v>
      </c>
      <c r="AB343" s="3" t="str" cm="1">
        <f t="array" ref="AB343">_xlfn.IFS(AA343="N","No",  AA343 = "Y", "Yes", TRUE, PROPER(TRIM(AA343)))</f>
        <v/>
      </c>
      <c r="AC343" s="3">
        <v>2</v>
      </c>
      <c r="AD343" s="3" t="s">
        <v>46</v>
      </c>
      <c r="AE343">
        <f t="shared" si="23"/>
        <v>1</v>
      </c>
    </row>
    <row r="344" spans="1:31" ht="14.25" customHeight="1" x14ac:dyDescent="0.35">
      <c r="A344" s="3" t="s">
        <v>813</v>
      </c>
      <c r="B344" s="3" t="s">
        <v>36</v>
      </c>
      <c r="C344" s="3" t="s">
        <v>359</v>
      </c>
      <c r="D344" s="3">
        <v>40</v>
      </c>
      <c r="E344" s="3">
        <f t="shared" si="20"/>
        <v>40</v>
      </c>
      <c r="F344" s="3">
        <v>1984</v>
      </c>
      <c r="G344" s="3" t="s">
        <v>50</v>
      </c>
      <c r="H344" s="12" cm="1">
        <f t="array" ref="H344">_xlfn.IFS(TRIM(G344)="SIXTY THOUSAND",60000,TRIM(G344)="NAN",AVERAGEIFS(G:G,J:J,J344,L:L,L344),TRUE,G344)</f>
        <v>60000</v>
      </c>
      <c r="I344" s="3" t="s">
        <v>27</v>
      </c>
      <c r="J344" s="3" t="s">
        <v>82</v>
      </c>
      <c r="K344" s="3" t="str">
        <f t="shared" si="21"/>
        <v>HR</v>
      </c>
      <c r="L344" s="3" t="s">
        <v>40</v>
      </c>
      <c r="M344" s="4">
        <v>43800</v>
      </c>
      <c r="N344" s="4">
        <v>43800</v>
      </c>
      <c r="O344" s="3" t="s">
        <v>41</v>
      </c>
      <c r="P344" s="3">
        <v>50</v>
      </c>
      <c r="Q344" s="3" t="s">
        <v>814</v>
      </c>
      <c r="R344" s="3" t="s">
        <v>54</v>
      </c>
      <c r="S344" s="3" t="s">
        <v>174</v>
      </c>
      <c r="T344" s="3" t="str">
        <f t="shared" si="22"/>
        <v>Full-Time</v>
      </c>
      <c r="V344" s="3">
        <v>7</v>
      </c>
      <c r="X344" s="3">
        <v>7</v>
      </c>
      <c r="Y344" s="4">
        <v>45516</v>
      </c>
      <c r="Z344" s="3">
        <v>29</v>
      </c>
      <c r="AA344" s="3" t="s">
        <v>482</v>
      </c>
      <c r="AB344" s="3" t="str" cm="1">
        <f t="array" ref="AB344">_xlfn.IFS(AA344="N","No",  AA344 = "Y", "Yes", TRUE, PROPER(TRIM(AA344)))</f>
        <v>Yes</v>
      </c>
      <c r="AC344" s="3">
        <v>2</v>
      </c>
      <c r="AD344" s="3" t="s">
        <v>34</v>
      </c>
      <c r="AE344">
        <f t="shared" si="23"/>
        <v>0</v>
      </c>
    </row>
    <row r="345" spans="1:31" ht="14.25" customHeight="1" x14ac:dyDescent="0.35">
      <c r="A345" s="3" t="s">
        <v>815</v>
      </c>
      <c r="B345" s="3" t="s">
        <v>36</v>
      </c>
      <c r="C345" s="3" t="s">
        <v>256</v>
      </c>
      <c r="D345" s="3">
        <v>25</v>
      </c>
      <c r="E345" s="3">
        <f t="shared" si="20"/>
        <v>25</v>
      </c>
      <c r="F345" s="3">
        <v>1999</v>
      </c>
      <c r="G345" s="3">
        <v>65000</v>
      </c>
      <c r="H345" s="12" cm="1">
        <f t="array" ref="H345">_xlfn.IFS(TRIM(G345)="SIXTY THOUSAND",60000,TRIM(G345)="NAN",AVERAGEIFS(G:G,J:J,J345,L:L,L345),TRUE,G345)</f>
        <v>65000</v>
      </c>
      <c r="I345" s="3" t="s">
        <v>27</v>
      </c>
      <c r="J345" s="3" t="s">
        <v>82</v>
      </c>
      <c r="K345" s="3" t="str">
        <f t="shared" si="21"/>
        <v>HR</v>
      </c>
      <c r="L345" s="3" t="s">
        <v>94</v>
      </c>
      <c r="M345" s="4">
        <v>43845</v>
      </c>
      <c r="N345" s="4">
        <v>43845</v>
      </c>
      <c r="O345" s="3" t="s">
        <v>30</v>
      </c>
      <c r="P345" s="3">
        <v>63</v>
      </c>
      <c r="Q345" s="3" t="s">
        <v>669</v>
      </c>
      <c r="R345" s="3" t="s">
        <v>43</v>
      </c>
      <c r="S345" s="3" t="s">
        <v>44</v>
      </c>
      <c r="T345" s="3" t="str">
        <f t="shared" si="22"/>
        <v>Full-Time</v>
      </c>
      <c r="V345" s="3">
        <v>1</v>
      </c>
      <c r="W345" s="3">
        <v>1</v>
      </c>
      <c r="Z345" s="3">
        <v>12</v>
      </c>
      <c r="AA345" s="3" t="s">
        <v>33</v>
      </c>
      <c r="AB345" s="3" t="str" cm="1">
        <f t="array" ref="AB345">_xlfn.IFS(AA345="N","No",  AA345 = "Y", "Yes", TRUE, PROPER(TRIM(AA345)))</f>
        <v>Yes</v>
      </c>
      <c r="AC345" s="3">
        <v>3</v>
      </c>
      <c r="AD345" s="3" t="s">
        <v>34</v>
      </c>
      <c r="AE345">
        <f t="shared" si="23"/>
        <v>0</v>
      </c>
    </row>
    <row r="346" spans="1:31" ht="14.25" customHeight="1" x14ac:dyDescent="0.35">
      <c r="A346" s="3" t="s">
        <v>816</v>
      </c>
      <c r="B346" s="3" t="s">
        <v>131</v>
      </c>
      <c r="C346" s="3" t="s">
        <v>216</v>
      </c>
      <c r="D346" s="3">
        <v>35</v>
      </c>
      <c r="E346" s="3">
        <f t="shared" si="20"/>
        <v>35</v>
      </c>
      <c r="F346" s="3">
        <v>1989</v>
      </c>
      <c r="G346" s="3">
        <v>58500</v>
      </c>
      <c r="H346" s="12" cm="1">
        <f t="array" ref="H346">_xlfn.IFS(TRIM(G346)="SIXTY THOUSAND",60000,TRIM(G346)="NAN",AVERAGEIFS(G:G,J:J,J346,L:L,L346),TRUE,G346)</f>
        <v>58500</v>
      </c>
      <c r="I346" s="3" t="s">
        <v>27</v>
      </c>
      <c r="J346" s="3" t="s">
        <v>64</v>
      </c>
      <c r="K346" s="3" t="str">
        <f t="shared" si="21"/>
        <v>Finance</v>
      </c>
      <c r="L346" s="3" t="s">
        <v>89</v>
      </c>
      <c r="M346" s="4">
        <v>43881</v>
      </c>
      <c r="N346" s="4">
        <v>43881</v>
      </c>
      <c r="O346" s="3" t="s">
        <v>78</v>
      </c>
      <c r="P346" s="3">
        <v>87</v>
      </c>
      <c r="Q346" s="3" t="s">
        <v>217</v>
      </c>
      <c r="R346" s="3" t="s">
        <v>54</v>
      </c>
      <c r="S346" s="3" t="s">
        <v>112</v>
      </c>
      <c r="T346" s="3" t="str">
        <f t="shared" si="22"/>
        <v>Full-Time</v>
      </c>
      <c r="V346" s="3">
        <v>2</v>
      </c>
      <c r="W346" s="3" t="s">
        <v>79</v>
      </c>
      <c r="AA346" s="3" t="s">
        <v>73</v>
      </c>
      <c r="AB346" s="3" t="str" cm="1">
        <f t="array" ref="AB346">_xlfn.IFS(AA346="N","No",  AA346 = "Y", "Yes", TRUE, PROPER(TRIM(AA346)))</f>
        <v>No</v>
      </c>
      <c r="AC346" s="3">
        <v>1</v>
      </c>
      <c r="AD346" s="3" t="s">
        <v>34</v>
      </c>
      <c r="AE346">
        <f t="shared" si="23"/>
        <v>0</v>
      </c>
    </row>
    <row r="347" spans="1:31" ht="14.25" customHeight="1" x14ac:dyDescent="0.35">
      <c r="A347" s="3" t="s">
        <v>817</v>
      </c>
      <c r="B347" s="3" t="s">
        <v>48</v>
      </c>
      <c r="C347" s="3" t="s">
        <v>96</v>
      </c>
      <c r="D347" s="3" t="s">
        <v>88</v>
      </c>
      <c r="E347" s="3">
        <f t="shared" si="20"/>
        <v>30</v>
      </c>
      <c r="F347" s="3">
        <v>1994</v>
      </c>
      <c r="G347" s="3">
        <v>50000</v>
      </c>
      <c r="H347" s="12" cm="1">
        <f t="array" ref="H347">_xlfn.IFS(TRIM(G347)="SIXTY THOUSAND",60000,TRIM(G347)="NAN",AVERAGEIFS(G:G,J:J,J347,L:L,L347),TRUE,G347)</f>
        <v>50000</v>
      </c>
      <c r="I347" s="3" t="s">
        <v>38</v>
      </c>
      <c r="J347" s="3" t="s">
        <v>28</v>
      </c>
      <c r="K347" s="3" t="str">
        <f t="shared" si="21"/>
        <v>HR</v>
      </c>
      <c r="L347" s="3" t="s">
        <v>40</v>
      </c>
      <c r="M347" s="4">
        <v>43800</v>
      </c>
      <c r="N347" s="4">
        <v>43800</v>
      </c>
      <c r="O347" s="3" t="s">
        <v>30</v>
      </c>
      <c r="P347" s="3">
        <v>61</v>
      </c>
      <c r="Q347" s="3" t="s">
        <v>97</v>
      </c>
      <c r="R347" s="3" t="s">
        <v>54</v>
      </c>
      <c r="S347" s="3" t="s">
        <v>174</v>
      </c>
      <c r="T347" s="3" t="str">
        <f t="shared" si="22"/>
        <v>Full-Time</v>
      </c>
      <c r="V347" s="3">
        <v>1</v>
      </c>
      <c r="X347" s="3">
        <v>5</v>
      </c>
      <c r="Z347" s="3">
        <v>72</v>
      </c>
      <c r="AB347" s="3" t="str" cm="1">
        <f t="array" ref="AB347">_xlfn.IFS(AA347="N","No",  AA347 = "Y", "Yes", TRUE, PROPER(TRIM(AA347)))</f>
        <v/>
      </c>
      <c r="AC347" s="3">
        <v>1</v>
      </c>
      <c r="AD347" s="3" t="s">
        <v>46</v>
      </c>
      <c r="AE347">
        <f t="shared" si="23"/>
        <v>1</v>
      </c>
    </row>
    <row r="348" spans="1:31" ht="14.25" customHeight="1" x14ac:dyDescent="0.35">
      <c r="A348" s="3" t="s">
        <v>818</v>
      </c>
      <c r="B348" s="3" t="s">
        <v>75</v>
      </c>
      <c r="C348" s="3" t="s">
        <v>819</v>
      </c>
      <c r="D348" s="3">
        <v>35</v>
      </c>
      <c r="E348" s="3">
        <f t="shared" si="20"/>
        <v>35</v>
      </c>
      <c r="F348" s="3">
        <v>1989</v>
      </c>
      <c r="G348" s="3">
        <v>70000</v>
      </c>
      <c r="H348" s="12" cm="1">
        <f t="array" ref="H348">_xlfn.IFS(TRIM(G348)="SIXTY THOUSAND",60000,TRIM(G348)="NAN",AVERAGEIFS(G:G,J:J,J348,L:L,L348),TRUE,G348)</f>
        <v>70000</v>
      </c>
      <c r="I348" s="3" t="s">
        <v>38</v>
      </c>
      <c r="J348" s="3" t="s">
        <v>70</v>
      </c>
      <c r="K348" s="3" t="str">
        <f t="shared" si="21"/>
        <v>Marketing</v>
      </c>
      <c r="L348" s="3" t="s">
        <v>94</v>
      </c>
      <c r="M348" s="4">
        <v>43195</v>
      </c>
      <c r="N348" s="4">
        <v>43195</v>
      </c>
      <c r="O348" s="3" t="s">
        <v>30</v>
      </c>
      <c r="P348" s="3">
        <v>63</v>
      </c>
      <c r="Q348" s="3" t="s">
        <v>820</v>
      </c>
      <c r="R348" s="3" t="s">
        <v>43</v>
      </c>
      <c r="S348" s="3" t="s">
        <v>174</v>
      </c>
      <c r="T348" s="3" t="str">
        <f t="shared" si="22"/>
        <v>Full-Time</v>
      </c>
      <c r="V348" s="3">
        <v>7</v>
      </c>
      <c r="W348" s="3">
        <v>6</v>
      </c>
      <c r="X348" s="3">
        <v>12</v>
      </c>
      <c r="AA348" s="3" t="s">
        <v>73</v>
      </c>
      <c r="AB348" s="3" t="str" cm="1">
        <f t="array" ref="AB348">_xlfn.IFS(AA348="N","No",  AA348 = "Y", "Yes", TRUE, PROPER(TRIM(AA348)))</f>
        <v>No</v>
      </c>
      <c r="AC348" s="3">
        <v>1</v>
      </c>
      <c r="AD348" s="3" t="s">
        <v>46</v>
      </c>
      <c r="AE348">
        <f t="shared" si="23"/>
        <v>1</v>
      </c>
    </row>
    <row r="349" spans="1:31" ht="14.25" customHeight="1" x14ac:dyDescent="0.35">
      <c r="A349" s="3" t="s">
        <v>821</v>
      </c>
      <c r="B349" s="3" t="s">
        <v>25</v>
      </c>
      <c r="C349" s="3" t="s">
        <v>546</v>
      </c>
      <c r="D349" s="3">
        <v>40</v>
      </c>
      <c r="E349" s="3">
        <f t="shared" si="20"/>
        <v>40</v>
      </c>
      <c r="F349" s="3">
        <v>1984</v>
      </c>
      <c r="G349" s="3" t="s">
        <v>50</v>
      </c>
      <c r="H349" s="12" cm="1">
        <f t="array" ref="H349">_xlfn.IFS(TRIM(G349)="SIXTY THOUSAND",60000,TRIM(G349)="NAN",AVERAGEIFS(G:G,J:J,J349,L:L,L349),TRUE,G349)</f>
        <v>60000</v>
      </c>
      <c r="I349" s="3" t="s">
        <v>38</v>
      </c>
      <c r="J349" s="3" t="s">
        <v>39</v>
      </c>
      <c r="K349" s="3" t="str">
        <f t="shared" si="21"/>
        <v>Finance</v>
      </c>
      <c r="L349" s="3" t="s">
        <v>77</v>
      </c>
      <c r="M349" s="4">
        <v>43845</v>
      </c>
      <c r="N349" s="4">
        <v>43845</v>
      </c>
      <c r="O349" s="3" t="s">
        <v>52</v>
      </c>
      <c r="P349" s="3">
        <v>78</v>
      </c>
      <c r="Q349" s="3" t="s">
        <v>822</v>
      </c>
      <c r="R349" s="3" t="s">
        <v>54</v>
      </c>
      <c r="S349" s="3" t="s">
        <v>174</v>
      </c>
      <c r="T349" s="3" t="str">
        <f t="shared" si="22"/>
        <v>Full-Time</v>
      </c>
      <c r="V349" s="3">
        <v>3</v>
      </c>
      <c r="Y349" s="4">
        <v>44990</v>
      </c>
      <c r="AA349" s="3" t="s">
        <v>33</v>
      </c>
      <c r="AB349" s="3" t="str" cm="1">
        <f t="array" ref="AB349">_xlfn.IFS(AA349="N","No",  AA349 = "Y", "Yes", TRUE, PROPER(TRIM(AA349)))</f>
        <v>Yes</v>
      </c>
      <c r="AC349" s="3">
        <v>2</v>
      </c>
      <c r="AD349" s="3" t="s">
        <v>46</v>
      </c>
      <c r="AE349">
        <f t="shared" si="23"/>
        <v>1</v>
      </c>
    </row>
    <row r="350" spans="1:31" ht="14.25" customHeight="1" x14ac:dyDescent="0.35">
      <c r="A350" s="3" t="s">
        <v>823</v>
      </c>
      <c r="B350" s="3" t="s">
        <v>114</v>
      </c>
      <c r="C350" s="3" t="s">
        <v>117</v>
      </c>
      <c r="D350" s="3" t="s">
        <v>88</v>
      </c>
      <c r="E350" s="3">
        <f t="shared" si="20"/>
        <v>30</v>
      </c>
      <c r="F350" s="3">
        <v>1994</v>
      </c>
      <c r="G350" s="3">
        <v>55000</v>
      </c>
      <c r="H350" s="12" cm="1">
        <f t="array" ref="H350">_xlfn.IFS(TRIM(G350)="SIXTY THOUSAND",60000,TRIM(G350)="NAN",AVERAGEIFS(G:G,J:J,J350,L:L,L350),TRUE,G350)</f>
        <v>55000</v>
      </c>
      <c r="I350" s="3" t="s">
        <v>27</v>
      </c>
      <c r="J350" s="3" t="s">
        <v>64</v>
      </c>
      <c r="K350" s="3" t="str">
        <f t="shared" si="21"/>
        <v>Finance</v>
      </c>
      <c r="L350" s="3" t="s">
        <v>77</v>
      </c>
      <c r="M350" s="4">
        <v>43800</v>
      </c>
      <c r="N350" s="4">
        <v>43800</v>
      </c>
      <c r="O350" s="3" t="s">
        <v>52</v>
      </c>
      <c r="P350" s="3">
        <v>75</v>
      </c>
      <c r="Q350" s="3" t="s">
        <v>824</v>
      </c>
      <c r="S350" s="3" t="s">
        <v>100</v>
      </c>
      <c r="T350" s="3" t="str">
        <f t="shared" si="22"/>
        <v>Part-Time</v>
      </c>
      <c r="V350" s="3">
        <v>1</v>
      </c>
      <c r="X350" s="3">
        <v>5</v>
      </c>
      <c r="Z350" s="3">
        <v>42</v>
      </c>
      <c r="AB350" s="3" t="str" cm="1">
        <f t="array" ref="AB350">_xlfn.IFS(AA350="N","No",  AA350 = "Y", "Yes", TRUE, PROPER(TRIM(AA350)))</f>
        <v/>
      </c>
      <c r="AC350" s="3">
        <v>3</v>
      </c>
      <c r="AD350" s="3" t="s">
        <v>46</v>
      </c>
      <c r="AE350">
        <f t="shared" si="23"/>
        <v>1</v>
      </c>
    </row>
    <row r="351" spans="1:31" ht="14.25" customHeight="1" x14ac:dyDescent="0.35">
      <c r="A351" s="3" t="s">
        <v>825</v>
      </c>
      <c r="B351" s="3" t="s">
        <v>114</v>
      </c>
      <c r="C351" s="3" t="s">
        <v>154</v>
      </c>
      <c r="D351" s="3">
        <v>50</v>
      </c>
      <c r="E351" s="3">
        <f t="shared" si="20"/>
        <v>50</v>
      </c>
      <c r="F351" s="3">
        <v>1974</v>
      </c>
      <c r="G351" s="3" t="s">
        <v>50</v>
      </c>
      <c r="H351" s="12" cm="1">
        <f t="array" ref="H351">_xlfn.IFS(TRIM(G351)="SIXTY THOUSAND",60000,TRIM(G351)="NAN",AVERAGEIFS(G:G,J:J,J351,L:L,L351),TRUE,G351)</f>
        <v>60000</v>
      </c>
      <c r="I351" s="3" t="s">
        <v>27</v>
      </c>
      <c r="J351" s="3" t="s">
        <v>122</v>
      </c>
      <c r="K351" s="3" t="str">
        <f t="shared" si="21"/>
        <v>IT</v>
      </c>
      <c r="L351" s="3" t="s">
        <v>29</v>
      </c>
      <c r="M351" s="4">
        <v>43845</v>
      </c>
      <c r="N351" s="4">
        <v>43845</v>
      </c>
      <c r="O351" s="3" t="s">
        <v>78</v>
      </c>
      <c r="P351" s="3">
        <v>85</v>
      </c>
      <c r="Q351" s="3" t="s">
        <v>826</v>
      </c>
      <c r="R351" s="3" t="s">
        <v>61</v>
      </c>
      <c r="S351" s="3" t="s">
        <v>44</v>
      </c>
      <c r="T351" s="3" t="str">
        <f t="shared" si="22"/>
        <v>Full-Time</v>
      </c>
      <c r="V351" s="3">
        <v>1</v>
      </c>
      <c r="W351" s="3">
        <v>4</v>
      </c>
      <c r="Z351" s="3">
        <v>15</v>
      </c>
      <c r="AA351" s="3" t="s">
        <v>34</v>
      </c>
      <c r="AB351" s="3" t="str" cm="1">
        <f t="array" ref="AB351">_xlfn.IFS(AA351="N","No",  AA351 = "Y", "Yes", TRUE, PROPER(TRIM(AA351)))</f>
        <v>No</v>
      </c>
      <c r="AC351" s="3">
        <v>2</v>
      </c>
      <c r="AD351" s="3" t="s">
        <v>46</v>
      </c>
      <c r="AE351">
        <f t="shared" si="23"/>
        <v>1</v>
      </c>
    </row>
    <row r="352" spans="1:31" ht="14.25" customHeight="1" x14ac:dyDescent="0.35">
      <c r="A352" s="3" t="s">
        <v>827</v>
      </c>
      <c r="B352" s="3" t="s">
        <v>25</v>
      </c>
      <c r="C352" s="3" t="s">
        <v>265</v>
      </c>
      <c r="E352" s="3">
        <f t="shared" si="20"/>
        <v>59</v>
      </c>
      <c r="F352" s="3">
        <v>1965</v>
      </c>
      <c r="G352" s="3">
        <v>55000</v>
      </c>
      <c r="H352" s="12" cm="1">
        <f t="array" ref="H352">_xlfn.IFS(TRIM(G352)="SIXTY THOUSAND",60000,TRIM(G352)="NAN",AVERAGEIFS(G:G,J:J,J352,L:L,L352),TRUE,G352)</f>
        <v>55000</v>
      </c>
      <c r="I352" s="3" t="s">
        <v>38</v>
      </c>
      <c r="J352" s="3" t="s">
        <v>122</v>
      </c>
      <c r="K352" s="3" t="str">
        <f t="shared" si="21"/>
        <v>IT</v>
      </c>
      <c r="L352" s="3" t="s">
        <v>40</v>
      </c>
      <c r="M352" s="4">
        <v>43881</v>
      </c>
      <c r="N352" s="4">
        <v>43881</v>
      </c>
      <c r="O352" s="3" t="s">
        <v>52</v>
      </c>
      <c r="P352" s="3">
        <v>71</v>
      </c>
      <c r="Q352" s="3" t="s">
        <v>266</v>
      </c>
      <c r="R352" s="3" t="s">
        <v>104</v>
      </c>
      <c r="S352" s="3" t="s">
        <v>44</v>
      </c>
      <c r="T352" s="3" t="str">
        <f t="shared" si="22"/>
        <v>Full-Time</v>
      </c>
      <c r="U352" s="3" t="s">
        <v>303</v>
      </c>
      <c r="V352" s="3">
        <v>4</v>
      </c>
      <c r="X352" s="3">
        <v>14</v>
      </c>
      <c r="Y352" s="4">
        <v>44732</v>
      </c>
      <c r="Z352" s="3">
        <v>46</v>
      </c>
      <c r="AA352" s="3" t="s">
        <v>33</v>
      </c>
      <c r="AB352" s="3" t="str" cm="1">
        <f t="array" ref="AB352">_xlfn.IFS(AA352="N","No",  AA352 = "Y", "Yes", TRUE, PROPER(TRIM(AA352)))</f>
        <v>Yes</v>
      </c>
      <c r="AC352" s="3">
        <v>4</v>
      </c>
      <c r="AD352" s="3" t="s">
        <v>34</v>
      </c>
      <c r="AE352">
        <f t="shared" si="23"/>
        <v>0</v>
      </c>
    </row>
    <row r="353" spans="1:31" ht="14.25" customHeight="1" x14ac:dyDescent="0.35">
      <c r="A353" s="3" t="s">
        <v>828</v>
      </c>
      <c r="B353" s="3" t="s">
        <v>107</v>
      </c>
      <c r="C353" s="3" t="s">
        <v>543</v>
      </c>
      <c r="D353" s="3">
        <v>35</v>
      </c>
      <c r="E353" s="3">
        <f t="shared" si="20"/>
        <v>35</v>
      </c>
      <c r="F353" s="3">
        <v>1989</v>
      </c>
      <c r="G353" s="3" t="s">
        <v>50</v>
      </c>
      <c r="H353" s="12" cm="1">
        <f t="array" ref="H353">_xlfn.IFS(TRIM(G353)="SIXTY THOUSAND",60000,TRIM(G353)="NAN",AVERAGEIFS(G:G,J:J,J353,L:L,L353),TRUE,G353)</f>
        <v>60000</v>
      </c>
      <c r="I353" s="3" t="s">
        <v>38</v>
      </c>
      <c r="J353" s="3" t="s">
        <v>28</v>
      </c>
      <c r="K353" s="3" t="str">
        <f t="shared" si="21"/>
        <v>HR</v>
      </c>
      <c r="L353" s="3" t="s">
        <v>94</v>
      </c>
      <c r="M353" s="4">
        <v>43195</v>
      </c>
      <c r="N353" s="4">
        <v>43195</v>
      </c>
      <c r="O353" s="3" t="s">
        <v>52</v>
      </c>
      <c r="P353" s="3">
        <v>74</v>
      </c>
      <c r="Q353" s="3" t="s">
        <v>544</v>
      </c>
      <c r="R353" s="3" t="s">
        <v>54</v>
      </c>
      <c r="S353" s="3" t="s">
        <v>32</v>
      </c>
      <c r="T353" s="3" t="str">
        <f t="shared" si="22"/>
        <v>Contract</v>
      </c>
      <c r="V353" s="3">
        <v>5</v>
      </c>
      <c r="X353" s="3">
        <v>9</v>
      </c>
      <c r="AA353" s="3" t="s">
        <v>169</v>
      </c>
      <c r="AB353" s="3" t="str" cm="1">
        <f t="array" ref="AB353">_xlfn.IFS(AA353="N","No",  AA353 = "Y", "Yes", TRUE, PROPER(TRIM(AA353)))</f>
        <v>Yes</v>
      </c>
      <c r="AC353" s="3">
        <v>3</v>
      </c>
      <c r="AD353" s="3" t="s">
        <v>34</v>
      </c>
      <c r="AE353">
        <f t="shared" si="23"/>
        <v>0</v>
      </c>
    </row>
    <row r="354" spans="1:31" ht="14.25" customHeight="1" x14ac:dyDescent="0.35">
      <c r="A354" s="3" t="s">
        <v>829</v>
      </c>
      <c r="B354" s="3" t="s">
        <v>75</v>
      </c>
      <c r="C354" s="3" t="s">
        <v>203</v>
      </c>
      <c r="D354" s="3" t="s">
        <v>88</v>
      </c>
      <c r="E354" s="3">
        <f t="shared" si="20"/>
        <v>30</v>
      </c>
      <c r="F354" s="3">
        <v>1994</v>
      </c>
      <c r="G354" s="3">
        <v>55000</v>
      </c>
      <c r="H354" s="12" cm="1">
        <f t="array" ref="H354">_xlfn.IFS(TRIM(G354)="SIXTY THOUSAND",60000,TRIM(G354)="NAN",AVERAGEIFS(G:G,J:J,J354,L:L,L354),TRUE,G354)</f>
        <v>55000</v>
      </c>
      <c r="I354" s="3" t="s">
        <v>38</v>
      </c>
      <c r="J354" s="3" t="s">
        <v>64</v>
      </c>
      <c r="K354" s="3" t="str">
        <f t="shared" si="21"/>
        <v>Finance</v>
      </c>
      <c r="L354" s="3" t="s">
        <v>89</v>
      </c>
      <c r="M354" s="4">
        <v>43845</v>
      </c>
      <c r="N354" s="4">
        <v>43845</v>
      </c>
      <c r="O354" s="3" t="s">
        <v>52</v>
      </c>
      <c r="P354" s="3">
        <v>72</v>
      </c>
      <c r="Q354" s="3" t="s">
        <v>830</v>
      </c>
      <c r="R354" s="3" t="s">
        <v>54</v>
      </c>
      <c r="S354" s="3" t="s">
        <v>100</v>
      </c>
      <c r="T354" s="3" t="str">
        <f t="shared" si="22"/>
        <v>Part-Time</v>
      </c>
      <c r="V354" s="3">
        <v>3</v>
      </c>
      <c r="AB354" s="3" t="str" cm="1">
        <f t="array" ref="AB354">_xlfn.IFS(AA354="N","No",  AA354 = "Y", "Yes", TRUE, PROPER(TRIM(AA354)))</f>
        <v/>
      </c>
      <c r="AC354" s="3">
        <v>1</v>
      </c>
      <c r="AD354" s="3" t="s">
        <v>34</v>
      </c>
      <c r="AE354">
        <f t="shared" si="23"/>
        <v>0</v>
      </c>
    </row>
    <row r="355" spans="1:31" ht="14.25" customHeight="1" x14ac:dyDescent="0.35">
      <c r="A355" s="3" t="s">
        <v>831</v>
      </c>
      <c r="B355" s="3" t="s">
        <v>140</v>
      </c>
      <c r="C355" s="3" t="s">
        <v>92</v>
      </c>
      <c r="D355" s="3">
        <v>35</v>
      </c>
      <c r="E355" s="3">
        <f t="shared" si="20"/>
        <v>35</v>
      </c>
      <c r="F355" s="3">
        <v>1989</v>
      </c>
      <c r="G355" s="3">
        <v>58600</v>
      </c>
      <c r="H355" s="12" cm="1">
        <f t="array" ref="H355">_xlfn.IFS(TRIM(G355)="SIXTY THOUSAND",60000,TRIM(G355)="NAN",AVERAGEIFS(G:G,J:J,J355,L:L,L355),TRUE,G355)</f>
        <v>58600</v>
      </c>
      <c r="I355" s="3" t="s">
        <v>38</v>
      </c>
      <c r="J355" s="3" t="s">
        <v>58</v>
      </c>
      <c r="K355" s="3" t="str">
        <f t="shared" si="21"/>
        <v>IT</v>
      </c>
      <c r="L355" s="3" t="s">
        <v>77</v>
      </c>
      <c r="M355" s="4">
        <v>43800</v>
      </c>
      <c r="N355" s="4">
        <v>43800</v>
      </c>
      <c r="O355" s="3" t="s">
        <v>30</v>
      </c>
      <c r="P355" s="3">
        <v>64</v>
      </c>
      <c r="Q355" s="3" t="s">
        <v>832</v>
      </c>
      <c r="R355" s="3" t="s">
        <v>104</v>
      </c>
      <c r="S355" s="3" t="s">
        <v>174</v>
      </c>
      <c r="T355" s="3" t="str">
        <f t="shared" si="22"/>
        <v>Full-Time</v>
      </c>
      <c r="V355" s="3">
        <v>5</v>
      </c>
      <c r="W355" s="3" t="s">
        <v>79</v>
      </c>
      <c r="AA355" s="3" t="s">
        <v>73</v>
      </c>
      <c r="AB355" s="3" t="str" cm="1">
        <f t="array" ref="AB355">_xlfn.IFS(AA355="N","No",  AA355 = "Y", "Yes", TRUE, PROPER(TRIM(AA355)))</f>
        <v>No</v>
      </c>
      <c r="AC355" s="3">
        <v>1</v>
      </c>
      <c r="AD355" s="3" t="s">
        <v>34</v>
      </c>
      <c r="AE355">
        <f t="shared" si="23"/>
        <v>0</v>
      </c>
    </row>
    <row r="356" spans="1:31" ht="14.25" customHeight="1" x14ac:dyDescent="0.35">
      <c r="A356" s="3" t="s">
        <v>833</v>
      </c>
      <c r="B356" s="3" t="s">
        <v>68</v>
      </c>
      <c r="C356" s="3" t="s">
        <v>99</v>
      </c>
      <c r="D356" s="3" t="s">
        <v>88</v>
      </c>
      <c r="E356" s="3">
        <f t="shared" si="20"/>
        <v>30</v>
      </c>
      <c r="F356" s="3">
        <v>1994</v>
      </c>
      <c r="G356" s="3">
        <v>65000</v>
      </c>
      <c r="H356" s="12" cm="1">
        <f t="array" ref="H356">_xlfn.IFS(TRIM(G356)="SIXTY THOUSAND",60000,TRIM(G356)="NAN",AVERAGEIFS(G:G,J:J,J356,L:L,L356),TRUE,G356)</f>
        <v>65000</v>
      </c>
      <c r="I356" s="3" t="s">
        <v>38</v>
      </c>
      <c r="J356" s="3" t="s">
        <v>70</v>
      </c>
      <c r="K356" s="3" t="str">
        <f t="shared" si="21"/>
        <v>Marketing</v>
      </c>
      <c r="L356" s="3" t="s">
        <v>94</v>
      </c>
      <c r="M356" s="4">
        <v>43881</v>
      </c>
      <c r="N356" s="4">
        <v>43881</v>
      </c>
      <c r="O356" s="3" t="s">
        <v>78</v>
      </c>
      <c r="P356" s="3">
        <v>86</v>
      </c>
      <c r="Q356" s="3" t="s">
        <v>834</v>
      </c>
      <c r="R356" s="3" t="s">
        <v>54</v>
      </c>
      <c r="S356" s="3" t="s">
        <v>44</v>
      </c>
      <c r="T356" s="3" t="str">
        <f t="shared" si="22"/>
        <v>Full-Time</v>
      </c>
      <c r="U356" s="3" t="s">
        <v>835</v>
      </c>
      <c r="V356" s="3">
        <v>5</v>
      </c>
      <c r="X356" s="3">
        <v>7</v>
      </c>
      <c r="Z356" s="3">
        <v>10</v>
      </c>
      <c r="AB356" s="3" t="str" cm="1">
        <f t="array" ref="AB356">_xlfn.IFS(AA356="N","No",  AA356 = "Y", "Yes", TRUE, PROPER(TRIM(AA356)))</f>
        <v/>
      </c>
      <c r="AC356" s="3">
        <v>3</v>
      </c>
      <c r="AD356" s="3" t="s">
        <v>46</v>
      </c>
      <c r="AE356">
        <f t="shared" si="23"/>
        <v>1</v>
      </c>
    </row>
    <row r="357" spans="1:31" ht="14.25" customHeight="1" x14ac:dyDescent="0.35">
      <c r="A357" s="3" t="s">
        <v>836</v>
      </c>
      <c r="B357" s="3" t="s">
        <v>107</v>
      </c>
      <c r="C357" s="3" t="s">
        <v>837</v>
      </c>
      <c r="D357" s="3">
        <v>25</v>
      </c>
      <c r="E357" s="3">
        <f t="shared" si="20"/>
        <v>25</v>
      </c>
      <c r="F357" s="3">
        <v>1999</v>
      </c>
      <c r="G357" s="3">
        <v>55000</v>
      </c>
      <c r="H357" s="12" cm="1">
        <f t="array" ref="H357">_xlfn.IFS(TRIM(G357)="SIXTY THOUSAND",60000,TRIM(G357)="NAN",AVERAGEIFS(G:G,J:J,J357,L:L,L357),TRUE,G357)</f>
        <v>55000</v>
      </c>
      <c r="I357" s="3" t="s">
        <v>27</v>
      </c>
      <c r="J357" s="3" t="s">
        <v>58</v>
      </c>
      <c r="K357" s="3" t="str">
        <f t="shared" si="21"/>
        <v>IT</v>
      </c>
      <c r="L357" s="3" t="s">
        <v>40</v>
      </c>
      <c r="M357" s="4">
        <v>43881</v>
      </c>
      <c r="N357" s="4">
        <v>43881</v>
      </c>
      <c r="O357" s="3" t="s">
        <v>30</v>
      </c>
      <c r="P357" s="3">
        <v>66</v>
      </c>
      <c r="Q357" s="3" t="s">
        <v>838</v>
      </c>
      <c r="R357" s="3" t="s">
        <v>104</v>
      </c>
      <c r="S357" s="3" t="s">
        <v>44</v>
      </c>
      <c r="T357" s="3" t="str">
        <f t="shared" si="22"/>
        <v>Full-Time</v>
      </c>
      <c r="V357" s="3">
        <v>3</v>
      </c>
      <c r="Y357" s="4">
        <v>44470</v>
      </c>
      <c r="AA357" s="3" t="s">
        <v>169</v>
      </c>
      <c r="AB357" s="3" t="str" cm="1">
        <f t="array" ref="AB357">_xlfn.IFS(AA357="N","No",  AA357 = "Y", "Yes", TRUE, PROPER(TRIM(AA357)))</f>
        <v>Yes</v>
      </c>
      <c r="AC357" s="3">
        <v>4</v>
      </c>
      <c r="AD357" s="3" t="s">
        <v>34</v>
      </c>
      <c r="AE357">
        <f t="shared" si="23"/>
        <v>0</v>
      </c>
    </row>
    <row r="358" spans="1:31" ht="14.25" customHeight="1" x14ac:dyDescent="0.35">
      <c r="A358" s="3" t="s">
        <v>839</v>
      </c>
      <c r="B358" s="3" t="s">
        <v>68</v>
      </c>
      <c r="C358" s="3" t="s">
        <v>840</v>
      </c>
      <c r="D358" s="3">
        <v>50</v>
      </c>
      <c r="E358" s="3">
        <f t="shared" si="20"/>
        <v>50</v>
      </c>
      <c r="F358" s="3">
        <v>1974</v>
      </c>
      <c r="G358" s="3">
        <v>55000</v>
      </c>
      <c r="H358" s="12" cm="1">
        <f t="array" ref="H358">_xlfn.IFS(TRIM(G358)="SIXTY THOUSAND",60000,TRIM(G358)="NAN",AVERAGEIFS(G:G,J:J,J358,L:L,L358),TRUE,G358)</f>
        <v>55000</v>
      </c>
      <c r="I358" s="3" t="s">
        <v>27</v>
      </c>
      <c r="J358" s="3" t="s">
        <v>122</v>
      </c>
      <c r="K358" s="3" t="str">
        <f t="shared" si="21"/>
        <v>IT</v>
      </c>
      <c r="L358" s="3" t="s">
        <v>29</v>
      </c>
      <c r="M358" s="4">
        <v>43800</v>
      </c>
      <c r="N358" s="4">
        <v>43800</v>
      </c>
      <c r="O358" s="3" t="s">
        <v>41</v>
      </c>
      <c r="P358" s="3">
        <v>41</v>
      </c>
      <c r="Q358" s="3" t="s">
        <v>841</v>
      </c>
      <c r="R358" s="3" t="s">
        <v>43</v>
      </c>
      <c r="S358" s="3" t="s">
        <v>174</v>
      </c>
      <c r="T358" s="3" t="str">
        <f t="shared" si="22"/>
        <v>Full-Time</v>
      </c>
      <c r="U358" s="3" t="s">
        <v>842</v>
      </c>
      <c r="V358" s="3">
        <v>1</v>
      </c>
      <c r="W358" s="3" t="s">
        <v>79</v>
      </c>
      <c r="Z358" s="3">
        <v>11</v>
      </c>
      <c r="AA358" s="3" t="s">
        <v>46</v>
      </c>
      <c r="AB358" s="3" t="str" cm="1">
        <f t="array" ref="AB358">_xlfn.IFS(AA358="N","No",  AA358 = "Y", "Yes", TRUE, PROPER(TRIM(AA358)))</f>
        <v>Yes</v>
      </c>
      <c r="AC358" s="3">
        <v>4</v>
      </c>
      <c r="AD358" s="3" t="s">
        <v>34</v>
      </c>
      <c r="AE358">
        <f t="shared" si="23"/>
        <v>0</v>
      </c>
    </row>
    <row r="359" spans="1:31" ht="14.25" customHeight="1" x14ac:dyDescent="0.35">
      <c r="A359" s="3" t="s">
        <v>843</v>
      </c>
      <c r="B359" s="3" t="s">
        <v>68</v>
      </c>
      <c r="C359" s="3" t="s">
        <v>277</v>
      </c>
      <c r="D359" s="3">
        <v>35</v>
      </c>
      <c r="E359" s="3">
        <f t="shared" si="20"/>
        <v>35</v>
      </c>
      <c r="F359" s="3">
        <v>1989</v>
      </c>
      <c r="G359" s="3">
        <v>50000</v>
      </c>
      <c r="H359" s="12" cm="1">
        <f t="array" ref="H359">_xlfn.IFS(TRIM(G359)="SIXTY THOUSAND",60000,TRIM(G359)="NAN",AVERAGEIFS(G:G,J:J,J359,L:L,L359),TRUE,G359)</f>
        <v>50000</v>
      </c>
      <c r="I359" s="3" t="s">
        <v>27</v>
      </c>
      <c r="J359" s="3" t="s">
        <v>39</v>
      </c>
      <c r="K359" s="3" t="str">
        <f t="shared" si="21"/>
        <v>Finance</v>
      </c>
      <c r="L359" s="3" t="s">
        <v>77</v>
      </c>
      <c r="M359" s="4">
        <v>43800</v>
      </c>
      <c r="N359" s="4">
        <v>43800</v>
      </c>
      <c r="O359" s="3" t="s">
        <v>30</v>
      </c>
      <c r="P359" s="3">
        <v>65</v>
      </c>
      <c r="Q359" s="3" t="s">
        <v>844</v>
      </c>
      <c r="S359" s="3" t="s">
        <v>174</v>
      </c>
      <c r="T359" s="3" t="str">
        <f t="shared" si="22"/>
        <v>Full-Time</v>
      </c>
      <c r="V359" s="3">
        <v>5</v>
      </c>
      <c r="X359" s="3">
        <v>2</v>
      </c>
      <c r="AA359" s="3" t="s">
        <v>73</v>
      </c>
      <c r="AB359" s="3" t="str" cm="1">
        <f t="array" ref="AB359">_xlfn.IFS(AA359="N","No",  AA359 = "Y", "Yes", TRUE, PROPER(TRIM(AA359)))</f>
        <v>No</v>
      </c>
      <c r="AC359" s="3">
        <v>4</v>
      </c>
      <c r="AD359" s="3" t="s">
        <v>34</v>
      </c>
      <c r="AE359">
        <f t="shared" si="23"/>
        <v>0</v>
      </c>
    </row>
    <row r="360" spans="1:31" ht="14.25" customHeight="1" x14ac:dyDescent="0.35">
      <c r="A360" s="3" t="s">
        <v>845</v>
      </c>
      <c r="B360" s="3" t="s">
        <v>107</v>
      </c>
      <c r="C360" s="3" t="s">
        <v>446</v>
      </c>
      <c r="E360" s="3">
        <f t="shared" si="20"/>
        <v>37</v>
      </c>
      <c r="F360" s="3">
        <v>1987</v>
      </c>
      <c r="G360" s="3">
        <v>55000</v>
      </c>
      <c r="H360" s="12" cm="1">
        <f t="array" ref="H360">_xlfn.IFS(TRIM(G360)="SIXTY THOUSAND",60000,TRIM(G360)="NAN",AVERAGEIFS(G:G,J:J,J360,L:L,L360),TRUE,G360)</f>
        <v>55000</v>
      </c>
      <c r="I360" s="3" t="s">
        <v>27</v>
      </c>
      <c r="J360" s="3" t="s">
        <v>39</v>
      </c>
      <c r="K360" s="3" t="str">
        <f t="shared" si="21"/>
        <v>Finance</v>
      </c>
      <c r="L360" s="3" t="s">
        <v>94</v>
      </c>
      <c r="M360" s="4">
        <v>43845</v>
      </c>
      <c r="N360" s="4">
        <v>43845</v>
      </c>
      <c r="O360" s="3" t="s">
        <v>41</v>
      </c>
      <c r="P360" s="3">
        <v>21</v>
      </c>
      <c r="Q360" s="3" t="s">
        <v>447</v>
      </c>
      <c r="S360" s="3" t="s">
        <v>72</v>
      </c>
      <c r="T360" s="3" t="str">
        <f t="shared" si="22"/>
        <v>Part-Time</v>
      </c>
      <c r="V360" s="3">
        <v>4</v>
      </c>
      <c r="W360" s="3">
        <v>0</v>
      </c>
      <c r="Z360" s="3">
        <v>11</v>
      </c>
      <c r="AB360" s="3" t="str" cm="1">
        <f t="array" ref="AB360">_xlfn.IFS(AA360="N","No",  AA360 = "Y", "Yes", TRUE, PROPER(TRIM(AA360)))</f>
        <v/>
      </c>
      <c r="AC360" s="3">
        <v>3</v>
      </c>
      <c r="AD360" s="3" t="s">
        <v>34</v>
      </c>
      <c r="AE360">
        <f t="shared" si="23"/>
        <v>0</v>
      </c>
    </row>
    <row r="361" spans="1:31" ht="14.25" customHeight="1" x14ac:dyDescent="0.35">
      <c r="A361" s="3" t="s">
        <v>846</v>
      </c>
      <c r="B361" s="3" t="s">
        <v>131</v>
      </c>
      <c r="C361" s="3" t="s">
        <v>635</v>
      </c>
      <c r="E361" s="3">
        <f t="shared" si="20"/>
        <v>36</v>
      </c>
      <c r="F361" s="3">
        <v>1988</v>
      </c>
      <c r="G361" s="3">
        <v>50000</v>
      </c>
      <c r="H361" s="12" cm="1">
        <f t="array" ref="H361">_xlfn.IFS(TRIM(G361)="SIXTY THOUSAND",60000,TRIM(G361)="NAN",AVERAGEIFS(G:G,J:J,J361,L:L,L361),TRUE,G361)</f>
        <v>50000</v>
      </c>
      <c r="I361" s="3" t="s">
        <v>38</v>
      </c>
      <c r="J361" s="3" t="s">
        <v>145</v>
      </c>
      <c r="K361" s="3" t="str">
        <f t="shared" si="21"/>
        <v>Sales</v>
      </c>
      <c r="L361" s="3" t="s">
        <v>94</v>
      </c>
      <c r="M361" s="4">
        <v>43549</v>
      </c>
      <c r="N361" s="4">
        <v>43549</v>
      </c>
      <c r="O361" s="3" t="s">
        <v>59</v>
      </c>
      <c r="P361" s="3">
        <v>97</v>
      </c>
      <c r="Q361" s="3" t="s">
        <v>636</v>
      </c>
      <c r="R361" s="3" t="s">
        <v>61</v>
      </c>
      <c r="S361" s="3" t="s">
        <v>72</v>
      </c>
      <c r="T361" s="3" t="str">
        <f t="shared" si="22"/>
        <v>Part-Time</v>
      </c>
      <c r="V361" s="3">
        <v>1</v>
      </c>
      <c r="W361" s="3" t="s">
        <v>79</v>
      </c>
      <c r="AA361" s="3" t="s">
        <v>45</v>
      </c>
      <c r="AB361" s="3" t="str" cm="1">
        <f t="array" ref="AB361">_xlfn.IFS(AA361="N","No",  AA361 = "Y", "Yes", TRUE, PROPER(TRIM(AA361)))</f>
        <v>No</v>
      </c>
      <c r="AC361" s="3">
        <v>1</v>
      </c>
      <c r="AD361" s="3" t="s">
        <v>46</v>
      </c>
      <c r="AE361">
        <f t="shared" si="23"/>
        <v>1</v>
      </c>
    </row>
    <row r="362" spans="1:31" ht="14.25" customHeight="1" x14ac:dyDescent="0.35">
      <c r="A362" s="3" t="s">
        <v>847</v>
      </c>
      <c r="B362" s="3" t="s">
        <v>36</v>
      </c>
      <c r="C362" s="3" t="s">
        <v>556</v>
      </c>
      <c r="D362" s="3">
        <v>40</v>
      </c>
      <c r="E362" s="3">
        <f t="shared" si="20"/>
        <v>40</v>
      </c>
      <c r="F362" s="3">
        <v>1984</v>
      </c>
      <c r="G362" s="3">
        <v>70000</v>
      </c>
      <c r="H362" s="12" cm="1">
        <f t="array" ref="H362">_xlfn.IFS(TRIM(G362)="SIXTY THOUSAND",60000,TRIM(G362)="NAN",AVERAGEIFS(G:G,J:J,J362,L:L,L362),TRUE,G362)</f>
        <v>70000</v>
      </c>
      <c r="I362" s="3" t="s">
        <v>27</v>
      </c>
      <c r="J362" s="3" t="s">
        <v>70</v>
      </c>
      <c r="K362" s="3" t="str">
        <f t="shared" si="21"/>
        <v>Marketing</v>
      </c>
      <c r="L362" s="3" t="s">
        <v>94</v>
      </c>
      <c r="M362" s="4">
        <v>43881</v>
      </c>
      <c r="N362" s="4">
        <v>43881</v>
      </c>
      <c r="O362" s="3" t="s">
        <v>59</v>
      </c>
      <c r="P362" s="3">
        <v>91</v>
      </c>
      <c r="Q362" s="3" t="s">
        <v>557</v>
      </c>
      <c r="R362" s="3" t="s">
        <v>54</v>
      </c>
      <c r="S362" s="3" t="s">
        <v>112</v>
      </c>
      <c r="T362" s="3" t="str">
        <f t="shared" si="22"/>
        <v>Full-Time</v>
      </c>
      <c r="V362" s="3">
        <v>6</v>
      </c>
      <c r="X362" s="3">
        <v>1</v>
      </c>
      <c r="AA362" s="3" t="s">
        <v>73</v>
      </c>
      <c r="AB362" s="3" t="str" cm="1">
        <f t="array" ref="AB362">_xlfn.IFS(AA362="N","No",  AA362 = "Y", "Yes", TRUE, PROPER(TRIM(AA362)))</f>
        <v>No</v>
      </c>
      <c r="AC362" s="3">
        <v>1</v>
      </c>
      <c r="AD362" s="3" t="s">
        <v>34</v>
      </c>
      <c r="AE362">
        <f t="shared" si="23"/>
        <v>0</v>
      </c>
    </row>
    <row r="363" spans="1:31" ht="14.25" customHeight="1" x14ac:dyDescent="0.35">
      <c r="A363" s="3" t="s">
        <v>848</v>
      </c>
      <c r="B363" s="3" t="s">
        <v>68</v>
      </c>
      <c r="C363" s="3" t="s">
        <v>849</v>
      </c>
      <c r="D363" s="3" t="s">
        <v>88</v>
      </c>
      <c r="E363" s="3">
        <f t="shared" si="20"/>
        <v>30</v>
      </c>
      <c r="F363" s="3">
        <v>1994</v>
      </c>
      <c r="G363" s="3">
        <v>60300</v>
      </c>
      <c r="H363" s="12" cm="1">
        <f t="array" ref="H363">_xlfn.IFS(TRIM(G363)="SIXTY THOUSAND",60000,TRIM(G363)="NAN",AVERAGEIFS(G:G,J:J,J363,L:L,L363),TRUE,G363)</f>
        <v>60300</v>
      </c>
      <c r="I363" s="3" t="s">
        <v>27</v>
      </c>
      <c r="J363" s="3" t="s">
        <v>64</v>
      </c>
      <c r="K363" s="3" t="str">
        <f t="shared" si="21"/>
        <v>Finance</v>
      </c>
      <c r="L363" s="3" t="s">
        <v>40</v>
      </c>
      <c r="M363" s="4">
        <v>43845</v>
      </c>
      <c r="N363" s="4">
        <v>43845</v>
      </c>
      <c r="O363" s="3" t="s">
        <v>41</v>
      </c>
      <c r="P363" s="3">
        <v>56</v>
      </c>
      <c r="Q363" s="3" t="s">
        <v>850</v>
      </c>
      <c r="R363" s="3" t="s">
        <v>61</v>
      </c>
      <c r="S363" s="3" t="s">
        <v>112</v>
      </c>
      <c r="T363" s="3" t="str">
        <f t="shared" si="22"/>
        <v>Full-Time</v>
      </c>
      <c r="V363" s="3">
        <v>8</v>
      </c>
      <c r="AB363" s="3" t="str" cm="1">
        <f t="array" ref="AB363">_xlfn.IFS(AA363="N","No",  AA363 = "Y", "Yes", TRUE, PROPER(TRIM(AA363)))</f>
        <v/>
      </c>
      <c r="AC363" s="3">
        <v>3</v>
      </c>
      <c r="AD363" s="3" t="s">
        <v>46</v>
      </c>
      <c r="AE363">
        <f t="shared" si="23"/>
        <v>1</v>
      </c>
    </row>
    <row r="364" spans="1:31" ht="14.25" customHeight="1" x14ac:dyDescent="0.35">
      <c r="A364" s="3" t="s">
        <v>851</v>
      </c>
      <c r="B364" s="3" t="s">
        <v>107</v>
      </c>
      <c r="C364" s="3" t="s">
        <v>209</v>
      </c>
      <c r="D364" s="3">
        <v>35</v>
      </c>
      <c r="E364" s="3">
        <f t="shared" si="20"/>
        <v>35</v>
      </c>
      <c r="F364" s="3">
        <v>1989</v>
      </c>
      <c r="G364" s="3">
        <v>50000</v>
      </c>
      <c r="H364" s="12" cm="1">
        <f t="array" ref="H364">_xlfn.IFS(TRIM(G364)="SIXTY THOUSAND",60000,TRIM(G364)="NAN",AVERAGEIFS(G:G,J:J,J364,L:L,L364),TRUE,G364)</f>
        <v>50000</v>
      </c>
      <c r="I364" s="3" t="s">
        <v>38</v>
      </c>
      <c r="J364" s="3" t="s">
        <v>28</v>
      </c>
      <c r="K364" s="3" t="str">
        <f t="shared" si="21"/>
        <v>HR</v>
      </c>
      <c r="L364" s="3" t="s">
        <v>40</v>
      </c>
      <c r="M364" s="4">
        <v>43800</v>
      </c>
      <c r="N364" s="4">
        <v>43800</v>
      </c>
      <c r="O364" s="3" t="s">
        <v>41</v>
      </c>
      <c r="P364" s="3">
        <v>9</v>
      </c>
      <c r="Q364" s="3" t="s">
        <v>852</v>
      </c>
      <c r="R364" s="3" t="s">
        <v>43</v>
      </c>
      <c r="S364" s="3" t="s">
        <v>112</v>
      </c>
      <c r="T364" s="3" t="str">
        <f t="shared" si="22"/>
        <v>Full-Time</v>
      </c>
      <c r="V364" s="3">
        <v>2</v>
      </c>
      <c r="W364" s="3">
        <v>4</v>
      </c>
      <c r="X364" s="3">
        <v>12</v>
      </c>
      <c r="Y364" s="4">
        <v>44732</v>
      </c>
      <c r="Z364" s="3">
        <v>17</v>
      </c>
      <c r="AB364" s="3" t="str" cm="1">
        <f t="array" ref="AB364">_xlfn.IFS(AA364="N","No",  AA364 = "Y", "Yes", TRUE, PROPER(TRIM(AA364)))</f>
        <v/>
      </c>
      <c r="AC364" s="3">
        <v>1</v>
      </c>
      <c r="AD364" s="3" t="s">
        <v>46</v>
      </c>
      <c r="AE364">
        <f t="shared" si="23"/>
        <v>1</v>
      </c>
    </row>
    <row r="365" spans="1:31" ht="14.25" customHeight="1" x14ac:dyDescent="0.35">
      <c r="A365" s="3" t="s">
        <v>853</v>
      </c>
      <c r="B365" s="3" t="s">
        <v>107</v>
      </c>
      <c r="C365" s="3" t="s">
        <v>244</v>
      </c>
      <c r="D365" s="3">
        <v>40</v>
      </c>
      <c r="E365" s="3">
        <f t="shared" si="20"/>
        <v>40</v>
      </c>
      <c r="F365" s="3">
        <v>1984</v>
      </c>
      <c r="G365" s="3">
        <v>65000</v>
      </c>
      <c r="H365" s="12" cm="1">
        <f t="array" ref="H365">_xlfn.IFS(TRIM(G365)="SIXTY THOUSAND",60000,TRIM(G365)="NAN",AVERAGEIFS(G:G,J:J,J365,L:L,L365),TRUE,G365)</f>
        <v>65000</v>
      </c>
      <c r="I365" s="3" t="s">
        <v>27</v>
      </c>
      <c r="J365" s="3" t="s">
        <v>70</v>
      </c>
      <c r="K365" s="3" t="str">
        <f t="shared" si="21"/>
        <v>Marketing</v>
      </c>
      <c r="L365" s="3" t="s">
        <v>40</v>
      </c>
      <c r="M365" s="4">
        <v>43845</v>
      </c>
      <c r="N365" s="4">
        <v>43845</v>
      </c>
      <c r="O365" s="3" t="s">
        <v>30</v>
      </c>
      <c r="P365" s="3">
        <v>62</v>
      </c>
      <c r="Q365" s="3" t="s">
        <v>245</v>
      </c>
      <c r="S365" s="3" t="s">
        <v>72</v>
      </c>
      <c r="T365" s="3" t="str">
        <f t="shared" si="22"/>
        <v>Part-Time</v>
      </c>
      <c r="U365" s="3" t="s">
        <v>116</v>
      </c>
      <c r="V365" s="3">
        <v>4</v>
      </c>
      <c r="AA365" s="3" t="s">
        <v>169</v>
      </c>
      <c r="AB365" s="3" t="str" cm="1">
        <f t="array" ref="AB365">_xlfn.IFS(AA365="N","No",  AA365 = "Y", "Yes", TRUE, PROPER(TRIM(AA365)))</f>
        <v>Yes</v>
      </c>
      <c r="AC365" s="3">
        <v>4</v>
      </c>
      <c r="AD365" s="3" t="s">
        <v>46</v>
      </c>
      <c r="AE365">
        <f t="shared" si="23"/>
        <v>1</v>
      </c>
    </row>
    <row r="366" spans="1:31" ht="14.25" customHeight="1" x14ac:dyDescent="0.35">
      <c r="A366" s="3" t="s">
        <v>854</v>
      </c>
      <c r="B366" s="3" t="s">
        <v>56</v>
      </c>
      <c r="C366" s="3" t="s">
        <v>676</v>
      </c>
      <c r="D366" s="3">
        <v>35</v>
      </c>
      <c r="E366" s="3">
        <f t="shared" si="20"/>
        <v>35</v>
      </c>
      <c r="F366" s="3">
        <v>1989</v>
      </c>
      <c r="G366" s="3">
        <v>61600</v>
      </c>
      <c r="H366" s="12" cm="1">
        <f t="array" ref="H366">_xlfn.IFS(TRIM(G366)="SIXTY THOUSAND",60000,TRIM(G366)="NAN",AVERAGEIFS(G:G,J:J,J366,L:L,L366),TRUE,G366)</f>
        <v>61600</v>
      </c>
      <c r="I366" s="3" t="s">
        <v>38</v>
      </c>
      <c r="J366" s="3" t="s">
        <v>70</v>
      </c>
      <c r="K366" s="3" t="str">
        <f t="shared" si="21"/>
        <v>Marketing</v>
      </c>
      <c r="L366" s="3" t="s">
        <v>89</v>
      </c>
      <c r="M366" s="4">
        <v>43800</v>
      </c>
      <c r="N366" s="4">
        <v>43800</v>
      </c>
      <c r="O366" s="3" t="s">
        <v>41</v>
      </c>
      <c r="P366" s="3">
        <v>43</v>
      </c>
      <c r="Q366" s="3" t="s">
        <v>677</v>
      </c>
      <c r="R366" s="3" t="s">
        <v>43</v>
      </c>
      <c r="S366" s="3" t="s">
        <v>174</v>
      </c>
      <c r="T366" s="3" t="str">
        <f t="shared" si="22"/>
        <v>Full-Time</v>
      </c>
      <c r="U366" s="3" t="s">
        <v>231</v>
      </c>
      <c r="V366" s="3">
        <v>7</v>
      </c>
      <c r="Y366" s="4">
        <v>44470</v>
      </c>
      <c r="AA366" s="3" t="s">
        <v>34</v>
      </c>
      <c r="AB366" s="3" t="str" cm="1">
        <f t="array" ref="AB366">_xlfn.IFS(AA366="N","No",  AA366 = "Y", "Yes", TRUE, PROPER(TRIM(AA366)))</f>
        <v>No</v>
      </c>
      <c r="AC366" s="3">
        <v>2</v>
      </c>
      <c r="AD366" s="3" t="s">
        <v>46</v>
      </c>
      <c r="AE366">
        <f t="shared" si="23"/>
        <v>1</v>
      </c>
    </row>
    <row r="367" spans="1:31" ht="14.25" customHeight="1" x14ac:dyDescent="0.35">
      <c r="A367" s="3" t="s">
        <v>855</v>
      </c>
      <c r="B367" s="3" t="s">
        <v>131</v>
      </c>
      <c r="C367" s="3" t="s">
        <v>740</v>
      </c>
      <c r="D367" s="3" t="s">
        <v>88</v>
      </c>
      <c r="E367" s="3">
        <f t="shared" si="20"/>
        <v>30</v>
      </c>
      <c r="F367" s="3">
        <v>1994</v>
      </c>
      <c r="G367" s="3">
        <v>50000</v>
      </c>
      <c r="H367" s="12" cm="1">
        <f t="array" ref="H367">_xlfn.IFS(TRIM(G367)="SIXTY THOUSAND",60000,TRIM(G367)="NAN",AVERAGEIFS(G:G,J:J,J367,L:L,L367),TRUE,G367)</f>
        <v>50000</v>
      </c>
      <c r="I367" s="3" t="s">
        <v>38</v>
      </c>
      <c r="J367" s="3" t="s">
        <v>64</v>
      </c>
      <c r="K367" s="3" t="str">
        <f t="shared" si="21"/>
        <v>Finance</v>
      </c>
      <c r="L367" s="3" t="s">
        <v>94</v>
      </c>
      <c r="M367" s="4">
        <v>43195</v>
      </c>
      <c r="N367" s="4">
        <v>43195</v>
      </c>
      <c r="O367" s="3" t="s">
        <v>78</v>
      </c>
      <c r="P367" s="3">
        <v>87</v>
      </c>
      <c r="Q367" s="3" t="s">
        <v>741</v>
      </c>
      <c r="R367" s="3" t="s">
        <v>43</v>
      </c>
      <c r="S367" s="3" t="s">
        <v>112</v>
      </c>
      <c r="T367" s="3" t="str">
        <f t="shared" si="22"/>
        <v>Full-Time</v>
      </c>
      <c r="V367" s="3">
        <v>4</v>
      </c>
      <c r="W367" s="3" t="s">
        <v>79</v>
      </c>
      <c r="Y367" s="4">
        <v>44990</v>
      </c>
      <c r="AA367" s="3" t="s">
        <v>33</v>
      </c>
      <c r="AB367" s="3" t="str" cm="1">
        <f t="array" ref="AB367">_xlfn.IFS(AA367="N","No",  AA367 = "Y", "Yes", TRUE, PROPER(TRIM(AA367)))</f>
        <v>Yes</v>
      </c>
      <c r="AC367" s="3">
        <v>2</v>
      </c>
      <c r="AD367" s="3" t="s">
        <v>34</v>
      </c>
      <c r="AE367">
        <f t="shared" si="23"/>
        <v>0</v>
      </c>
    </row>
    <row r="368" spans="1:31" ht="14.25" customHeight="1" x14ac:dyDescent="0.35">
      <c r="A368" s="3" t="s">
        <v>856</v>
      </c>
      <c r="B368" s="3" t="s">
        <v>48</v>
      </c>
      <c r="C368" s="3" t="s">
        <v>334</v>
      </c>
      <c r="E368" s="3">
        <f t="shared" si="20"/>
        <v>30</v>
      </c>
      <c r="F368" s="3">
        <v>1994</v>
      </c>
      <c r="G368" s="3">
        <v>58600</v>
      </c>
      <c r="H368" s="12" cm="1">
        <f t="array" ref="H368">_xlfn.IFS(TRIM(G368)="SIXTY THOUSAND",60000,TRIM(G368)="NAN",AVERAGEIFS(G:G,J:J,J368,L:L,L368),TRUE,G368)</f>
        <v>58600</v>
      </c>
      <c r="I368" s="3" t="s">
        <v>38</v>
      </c>
      <c r="J368" s="3" t="s">
        <v>93</v>
      </c>
      <c r="K368" s="3" t="str">
        <f t="shared" si="21"/>
        <v>Marketing</v>
      </c>
      <c r="L368" s="3" t="s">
        <v>77</v>
      </c>
      <c r="M368" s="4">
        <v>43800</v>
      </c>
      <c r="N368" s="4">
        <v>43800</v>
      </c>
      <c r="O368" s="3" t="s">
        <v>59</v>
      </c>
      <c r="P368" s="3">
        <v>97</v>
      </c>
      <c r="Q368" s="3" t="s">
        <v>335</v>
      </c>
      <c r="R368" s="3" t="s">
        <v>54</v>
      </c>
      <c r="S368" s="3" t="s">
        <v>44</v>
      </c>
      <c r="T368" s="3" t="str">
        <f t="shared" si="22"/>
        <v>Full-Time</v>
      </c>
      <c r="V368" s="3">
        <v>5</v>
      </c>
      <c r="AA368" s="3" t="s">
        <v>482</v>
      </c>
      <c r="AB368" s="3" t="str" cm="1">
        <f t="array" ref="AB368">_xlfn.IFS(AA368="N","No",  AA368 = "Y", "Yes", TRUE, PROPER(TRIM(AA368)))</f>
        <v>Yes</v>
      </c>
      <c r="AC368" s="3">
        <v>1</v>
      </c>
      <c r="AD368" s="3" t="s">
        <v>46</v>
      </c>
      <c r="AE368">
        <f t="shared" si="23"/>
        <v>1</v>
      </c>
    </row>
    <row r="369" spans="1:31" ht="14.25" customHeight="1" x14ac:dyDescent="0.35">
      <c r="A369" s="3" t="s">
        <v>857</v>
      </c>
      <c r="B369" s="3" t="s">
        <v>56</v>
      </c>
      <c r="C369" s="3" t="s">
        <v>87</v>
      </c>
      <c r="D369" s="3">
        <v>25</v>
      </c>
      <c r="E369" s="3">
        <f t="shared" si="20"/>
        <v>25</v>
      </c>
      <c r="F369" s="3">
        <v>1999</v>
      </c>
      <c r="G369" s="3">
        <v>60300</v>
      </c>
      <c r="H369" s="12" cm="1">
        <f t="array" ref="H369">_xlfn.IFS(TRIM(G369)="SIXTY THOUSAND",60000,TRIM(G369)="NAN",AVERAGEIFS(G:G,J:J,J369,L:L,L369),TRUE,G369)</f>
        <v>60300</v>
      </c>
      <c r="I369" s="3" t="s">
        <v>38</v>
      </c>
      <c r="J369" s="3" t="s">
        <v>64</v>
      </c>
      <c r="K369" s="3" t="str">
        <f t="shared" si="21"/>
        <v>Finance</v>
      </c>
      <c r="L369" s="3" t="s">
        <v>40</v>
      </c>
      <c r="M369" s="4">
        <v>43800</v>
      </c>
      <c r="N369" s="4">
        <v>43800</v>
      </c>
      <c r="O369" s="3" t="s">
        <v>59</v>
      </c>
      <c r="P369" s="3">
        <v>97</v>
      </c>
      <c r="Q369" s="3" t="s">
        <v>129</v>
      </c>
      <c r="R369" s="3" t="s">
        <v>43</v>
      </c>
      <c r="S369" s="3" t="s">
        <v>72</v>
      </c>
      <c r="T369" s="3" t="str">
        <f t="shared" si="22"/>
        <v>Part-Time</v>
      </c>
      <c r="V369" s="3">
        <v>1</v>
      </c>
      <c r="Z369" s="3">
        <v>10</v>
      </c>
      <c r="AB369" s="3" t="str" cm="1">
        <f t="array" ref="AB369">_xlfn.IFS(AA369="N","No",  AA369 = "Y", "Yes", TRUE, PROPER(TRIM(AA369)))</f>
        <v/>
      </c>
      <c r="AC369" s="3">
        <v>1</v>
      </c>
      <c r="AD369" s="3" t="s">
        <v>46</v>
      </c>
      <c r="AE369">
        <f t="shared" si="23"/>
        <v>1</v>
      </c>
    </row>
    <row r="370" spans="1:31" ht="14.25" customHeight="1" x14ac:dyDescent="0.35">
      <c r="A370" s="3" t="s">
        <v>858</v>
      </c>
      <c r="B370" s="3" t="s">
        <v>56</v>
      </c>
      <c r="C370" s="3" t="s">
        <v>367</v>
      </c>
      <c r="E370" s="3">
        <f t="shared" si="20"/>
        <v>49</v>
      </c>
      <c r="F370" s="3">
        <v>1975</v>
      </c>
      <c r="G370" s="3" t="s">
        <v>859</v>
      </c>
      <c r="H370" s="12" cm="1">
        <f t="array" ref="H370">_xlfn.IFS(TRIM(G370)="SIXTY THOUSAND",60000,TRIM(G370)="NAN",AVERAGEIFS(G:G,J:J,J370,L:L,L370),TRUE,G370)</f>
        <v>60154.285714285717</v>
      </c>
      <c r="I370" s="3" t="s">
        <v>27</v>
      </c>
      <c r="J370" s="3" t="s">
        <v>58</v>
      </c>
      <c r="K370" s="3" t="str">
        <f t="shared" si="21"/>
        <v>IT</v>
      </c>
      <c r="L370" s="3" t="s">
        <v>40</v>
      </c>
      <c r="M370" s="4">
        <v>43800</v>
      </c>
      <c r="N370" s="4">
        <v>43800</v>
      </c>
      <c r="O370" s="3" t="s">
        <v>41</v>
      </c>
      <c r="P370" s="3">
        <v>33</v>
      </c>
      <c r="Q370" s="3" t="s">
        <v>860</v>
      </c>
      <c r="S370" s="3" t="s">
        <v>112</v>
      </c>
      <c r="T370" s="3" t="str">
        <f t="shared" si="22"/>
        <v>Full-Time</v>
      </c>
      <c r="V370" s="3">
        <v>7</v>
      </c>
      <c r="Y370" s="4">
        <v>44732</v>
      </c>
      <c r="Z370" s="3">
        <v>19</v>
      </c>
      <c r="AA370" s="3" t="s">
        <v>33</v>
      </c>
      <c r="AB370" s="3" t="str" cm="1">
        <f t="array" ref="AB370">_xlfn.IFS(AA370="N","No",  AA370 = "Y", "Yes", TRUE, PROPER(TRIM(AA370)))</f>
        <v>Yes</v>
      </c>
      <c r="AC370" s="3">
        <v>5</v>
      </c>
      <c r="AD370" s="3" t="s">
        <v>34</v>
      </c>
      <c r="AE370">
        <f t="shared" si="23"/>
        <v>0</v>
      </c>
    </row>
    <row r="371" spans="1:31" ht="14.25" customHeight="1" x14ac:dyDescent="0.35">
      <c r="A371" s="3" t="s">
        <v>861</v>
      </c>
      <c r="B371" s="3" t="s">
        <v>25</v>
      </c>
      <c r="C371" s="3" t="s">
        <v>108</v>
      </c>
      <c r="D371" s="3">
        <v>40</v>
      </c>
      <c r="E371" s="3">
        <f t="shared" si="20"/>
        <v>40</v>
      </c>
      <c r="F371" s="3">
        <v>1984</v>
      </c>
      <c r="G371" s="3">
        <v>70000</v>
      </c>
      <c r="H371" s="12" cm="1">
        <f t="array" ref="H371">_xlfn.IFS(TRIM(G371)="SIXTY THOUSAND",60000,TRIM(G371)="NAN",AVERAGEIFS(G:G,J:J,J371,L:L,L371),TRUE,G371)</f>
        <v>70000</v>
      </c>
      <c r="I371" s="3" t="s">
        <v>27</v>
      </c>
      <c r="J371" s="3" t="s">
        <v>145</v>
      </c>
      <c r="K371" s="3" t="str">
        <f t="shared" si="21"/>
        <v>Sales</v>
      </c>
      <c r="L371" s="3" t="s">
        <v>94</v>
      </c>
      <c r="M371" s="4">
        <v>43549</v>
      </c>
      <c r="N371" s="4">
        <v>43549</v>
      </c>
      <c r="O371" s="3" t="s">
        <v>52</v>
      </c>
      <c r="P371" s="3">
        <v>73</v>
      </c>
      <c r="Q371" s="3" t="s">
        <v>862</v>
      </c>
      <c r="R371" s="3" t="s">
        <v>61</v>
      </c>
      <c r="S371" s="3" t="s">
        <v>44</v>
      </c>
      <c r="T371" s="3" t="str">
        <f t="shared" si="22"/>
        <v>Full-Time</v>
      </c>
      <c r="U371" s="3" t="s">
        <v>863</v>
      </c>
      <c r="V371" s="3">
        <v>7</v>
      </c>
      <c r="Y371" s="3" t="s">
        <v>79</v>
      </c>
      <c r="AA371" s="3" t="s">
        <v>34</v>
      </c>
      <c r="AB371" s="3" t="str" cm="1">
        <f t="array" ref="AB371">_xlfn.IFS(AA371="N","No",  AA371 = "Y", "Yes", TRUE, PROPER(TRIM(AA371)))</f>
        <v>No</v>
      </c>
      <c r="AC371" s="3">
        <v>4</v>
      </c>
      <c r="AD371" s="3" t="s">
        <v>34</v>
      </c>
      <c r="AE371">
        <f t="shared" si="23"/>
        <v>0</v>
      </c>
    </row>
    <row r="372" spans="1:31" ht="14.25" customHeight="1" x14ac:dyDescent="0.35">
      <c r="A372" s="3" t="s">
        <v>864</v>
      </c>
      <c r="B372" s="3" t="s">
        <v>36</v>
      </c>
      <c r="C372" s="3" t="s">
        <v>556</v>
      </c>
      <c r="D372" s="3">
        <v>50</v>
      </c>
      <c r="E372" s="3">
        <f t="shared" si="20"/>
        <v>50</v>
      </c>
      <c r="F372" s="3">
        <v>1974</v>
      </c>
      <c r="G372" s="3">
        <v>65000</v>
      </c>
      <c r="H372" s="12" cm="1">
        <f t="array" ref="H372">_xlfn.IFS(TRIM(G372)="SIXTY THOUSAND",60000,TRIM(G372)="NAN",AVERAGEIFS(G:G,J:J,J372,L:L,L372),TRUE,G372)</f>
        <v>65000</v>
      </c>
      <c r="I372" s="3" t="s">
        <v>38</v>
      </c>
      <c r="J372" s="3" t="s">
        <v>122</v>
      </c>
      <c r="K372" s="3" t="str">
        <f t="shared" si="21"/>
        <v>IT</v>
      </c>
      <c r="L372" s="3" t="s">
        <v>40</v>
      </c>
      <c r="M372" s="4">
        <v>43800</v>
      </c>
      <c r="N372" s="4">
        <v>43800</v>
      </c>
      <c r="O372" s="3" t="s">
        <v>52</v>
      </c>
      <c r="P372" s="3">
        <v>77</v>
      </c>
      <c r="Q372" s="3" t="s">
        <v>557</v>
      </c>
      <c r="S372" s="3" t="s">
        <v>112</v>
      </c>
      <c r="T372" s="3" t="str">
        <f t="shared" si="22"/>
        <v>Full-Time</v>
      </c>
      <c r="U372" s="3" t="s">
        <v>153</v>
      </c>
      <c r="V372" s="3">
        <v>7</v>
      </c>
      <c r="AA372" s="3" t="s">
        <v>33</v>
      </c>
      <c r="AB372" s="3" t="str" cm="1">
        <f t="array" ref="AB372">_xlfn.IFS(AA372="N","No",  AA372 = "Y", "Yes", TRUE, PROPER(TRIM(AA372)))</f>
        <v>Yes</v>
      </c>
      <c r="AC372" s="3">
        <v>5</v>
      </c>
      <c r="AD372" s="3" t="s">
        <v>34</v>
      </c>
      <c r="AE372">
        <f t="shared" si="23"/>
        <v>0</v>
      </c>
    </row>
    <row r="373" spans="1:31" ht="14.25" customHeight="1" x14ac:dyDescent="0.35">
      <c r="A373" s="3" t="s">
        <v>865</v>
      </c>
      <c r="B373" s="3" t="s">
        <v>107</v>
      </c>
      <c r="C373" s="3" t="s">
        <v>543</v>
      </c>
      <c r="D373" s="3">
        <v>25</v>
      </c>
      <c r="E373" s="3">
        <f t="shared" si="20"/>
        <v>25</v>
      </c>
      <c r="F373" s="3">
        <v>1999</v>
      </c>
      <c r="G373" s="3" t="s">
        <v>50</v>
      </c>
      <c r="H373" s="12" cm="1">
        <f t="array" ref="H373">_xlfn.IFS(TRIM(G373)="SIXTY THOUSAND",60000,TRIM(G373)="NAN",AVERAGEIFS(G:G,J:J,J373,L:L,L373),TRUE,G373)</f>
        <v>60000</v>
      </c>
      <c r="I373" s="3" t="s">
        <v>27</v>
      </c>
      <c r="J373" s="3" t="s">
        <v>64</v>
      </c>
      <c r="K373" s="3" t="str">
        <f t="shared" si="21"/>
        <v>Finance</v>
      </c>
      <c r="L373" s="3" t="s">
        <v>89</v>
      </c>
      <c r="M373" s="4">
        <v>43881</v>
      </c>
      <c r="N373" s="4">
        <v>43881</v>
      </c>
      <c r="O373" s="3" t="s">
        <v>41</v>
      </c>
      <c r="P373" s="3">
        <v>5</v>
      </c>
      <c r="Q373" s="3" t="s">
        <v>544</v>
      </c>
      <c r="R373" s="3" t="s">
        <v>54</v>
      </c>
      <c r="S373" s="3" t="s">
        <v>66</v>
      </c>
      <c r="T373" s="3" t="str">
        <f t="shared" si="22"/>
        <v>Contract</v>
      </c>
      <c r="V373" s="3">
        <v>6</v>
      </c>
      <c r="Y373" s="4">
        <v>44941</v>
      </c>
      <c r="AB373" s="3" t="str" cm="1">
        <f t="array" ref="AB373">_xlfn.IFS(AA373="N","No",  AA373 = "Y", "Yes", TRUE, PROPER(TRIM(AA373)))</f>
        <v/>
      </c>
      <c r="AC373" s="3">
        <v>2</v>
      </c>
      <c r="AD373" s="3" t="s">
        <v>46</v>
      </c>
      <c r="AE373">
        <f t="shared" si="23"/>
        <v>1</v>
      </c>
    </row>
    <row r="374" spans="1:31" ht="14.25" customHeight="1" x14ac:dyDescent="0.35">
      <c r="A374" s="3" t="s">
        <v>866</v>
      </c>
      <c r="B374" s="3" t="s">
        <v>36</v>
      </c>
      <c r="C374" s="3" t="s">
        <v>256</v>
      </c>
      <c r="D374" s="3">
        <v>40</v>
      </c>
      <c r="E374" s="3">
        <f t="shared" si="20"/>
        <v>40</v>
      </c>
      <c r="F374" s="3">
        <v>1984</v>
      </c>
      <c r="G374" s="3" t="s">
        <v>50</v>
      </c>
      <c r="H374" s="12" cm="1">
        <f t="array" ref="H374">_xlfn.IFS(TRIM(G374)="SIXTY THOUSAND",60000,TRIM(G374)="NAN",AVERAGEIFS(G:G,J:J,J374,L:L,L374),TRUE,G374)</f>
        <v>60000</v>
      </c>
      <c r="I374" s="3" t="s">
        <v>27</v>
      </c>
      <c r="J374" s="3" t="s">
        <v>64</v>
      </c>
      <c r="K374" s="3" t="str">
        <f t="shared" si="21"/>
        <v>Finance</v>
      </c>
      <c r="L374" s="3" t="s">
        <v>89</v>
      </c>
      <c r="M374" s="4">
        <v>43881</v>
      </c>
      <c r="N374" s="4">
        <v>43881</v>
      </c>
      <c r="O374" s="3" t="s">
        <v>78</v>
      </c>
      <c r="P374" s="3">
        <v>84</v>
      </c>
      <c r="Q374" s="3" t="s">
        <v>669</v>
      </c>
      <c r="S374" s="3" t="s">
        <v>174</v>
      </c>
      <c r="T374" s="3" t="str">
        <f t="shared" si="22"/>
        <v>Full-Time</v>
      </c>
      <c r="U374" s="3" t="s">
        <v>867</v>
      </c>
      <c r="V374" s="3">
        <v>1</v>
      </c>
      <c r="W374" s="3" t="s">
        <v>79</v>
      </c>
      <c r="AA374" s="3" t="s">
        <v>33</v>
      </c>
      <c r="AB374" s="3" t="str" cm="1">
        <f t="array" ref="AB374">_xlfn.IFS(AA374="N","No",  AA374 = "Y", "Yes", TRUE, PROPER(TRIM(AA374)))</f>
        <v>Yes</v>
      </c>
      <c r="AC374" s="3">
        <v>1</v>
      </c>
      <c r="AD374" s="3" t="s">
        <v>46</v>
      </c>
      <c r="AE374">
        <f t="shared" si="23"/>
        <v>1</v>
      </c>
    </row>
    <row r="375" spans="1:31" ht="14.25" customHeight="1" x14ac:dyDescent="0.35">
      <c r="A375" s="3" t="s">
        <v>868</v>
      </c>
      <c r="B375" s="3" t="s">
        <v>75</v>
      </c>
      <c r="C375" s="3" t="s">
        <v>151</v>
      </c>
      <c r="D375" s="3" t="s">
        <v>88</v>
      </c>
      <c r="E375" s="3">
        <f t="shared" si="20"/>
        <v>30</v>
      </c>
      <c r="F375" s="3">
        <v>1994</v>
      </c>
      <c r="G375" s="3">
        <v>50000</v>
      </c>
      <c r="H375" s="12" cm="1">
        <f t="array" ref="H375">_xlfn.IFS(TRIM(G375)="SIXTY THOUSAND",60000,TRIM(G375)="NAN",AVERAGEIFS(G:G,J:J,J375,L:L,L375),TRUE,G375)</f>
        <v>50000</v>
      </c>
      <c r="I375" s="3" t="s">
        <v>27</v>
      </c>
      <c r="J375" s="3" t="s">
        <v>122</v>
      </c>
      <c r="K375" s="3" t="str">
        <f t="shared" si="21"/>
        <v>IT</v>
      </c>
      <c r="L375" s="3" t="s">
        <v>40</v>
      </c>
      <c r="M375" s="4">
        <v>43845</v>
      </c>
      <c r="N375" s="4">
        <v>43845</v>
      </c>
      <c r="O375" s="3" t="s">
        <v>52</v>
      </c>
      <c r="P375" s="3">
        <v>73</v>
      </c>
      <c r="Q375" s="3" t="s">
        <v>152</v>
      </c>
      <c r="R375" s="3" t="s">
        <v>104</v>
      </c>
      <c r="S375" s="3" t="s">
        <v>174</v>
      </c>
      <c r="T375" s="3" t="str">
        <f t="shared" si="22"/>
        <v>Full-Time</v>
      </c>
      <c r="V375" s="3">
        <v>1</v>
      </c>
      <c r="W375" s="3">
        <v>2</v>
      </c>
      <c r="X375" s="3">
        <v>10</v>
      </c>
      <c r="Y375" s="4">
        <v>44470</v>
      </c>
      <c r="AA375" s="3" t="s">
        <v>45</v>
      </c>
      <c r="AB375" s="3" t="str" cm="1">
        <f t="array" ref="AB375">_xlfn.IFS(AA375="N","No",  AA375 = "Y", "Yes", TRUE, PROPER(TRIM(AA375)))</f>
        <v>No</v>
      </c>
      <c r="AC375" s="3">
        <v>2</v>
      </c>
      <c r="AD375" s="3" t="s">
        <v>34</v>
      </c>
      <c r="AE375">
        <f t="shared" si="23"/>
        <v>0</v>
      </c>
    </row>
    <row r="376" spans="1:31" ht="14.25" customHeight="1" x14ac:dyDescent="0.35">
      <c r="A376" s="3" t="s">
        <v>869</v>
      </c>
      <c r="B376" s="3" t="s">
        <v>25</v>
      </c>
      <c r="C376" s="3" t="s">
        <v>81</v>
      </c>
      <c r="D376" s="3">
        <v>25</v>
      </c>
      <c r="E376" s="3">
        <f t="shared" si="20"/>
        <v>25</v>
      </c>
      <c r="F376" s="3">
        <v>1999</v>
      </c>
      <c r="G376" s="3" t="s">
        <v>859</v>
      </c>
      <c r="H376" s="12" cm="1">
        <f t="array" ref="H376">_xlfn.IFS(TRIM(G376)="SIXTY THOUSAND",60000,TRIM(G376)="NAN",AVERAGEIFS(G:G,J:J,J376,L:L,L376),TRUE,G376)</f>
        <v>60481.25</v>
      </c>
      <c r="I376" s="3" t="s">
        <v>38</v>
      </c>
      <c r="J376" s="3" t="s">
        <v>28</v>
      </c>
      <c r="K376" s="3" t="str">
        <f t="shared" si="21"/>
        <v>HR</v>
      </c>
      <c r="L376" s="3" t="s">
        <v>94</v>
      </c>
      <c r="M376" s="4">
        <v>43549</v>
      </c>
      <c r="N376" s="4">
        <v>43549</v>
      </c>
      <c r="O376" s="3" t="s">
        <v>41</v>
      </c>
      <c r="P376" s="3">
        <v>25</v>
      </c>
      <c r="Q376" s="3" t="s">
        <v>401</v>
      </c>
      <c r="R376" s="3" t="s">
        <v>61</v>
      </c>
      <c r="S376" s="3" t="s">
        <v>112</v>
      </c>
      <c r="T376" s="3" t="str">
        <f t="shared" si="22"/>
        <v>Full-Time</v>
      </c>
      <c r="V376" s="3">
        <v>5</v>
      </c>
      <c r="X376" s="3">
        <v>18</v>
      </c>
      <c r="Z376" s="3">
        <v>38</v>
      </c>
      <c r="AA376" s="3" t="s">
        <v>46</v>
      </c>
      <c r="AB376" s="3" t="str" cm="1">
        <f t="array" ref="AB376">_xlfn.IFS(AA376="N","No",  AA376 = "Y", "Yes", TRUE, PROPER(TRIM(AA376)))</f>
        <v>Yes</v>
      </c>
      <c r="AC376" s="3">
        <v>1</v>
      </c>
      <c r="AD376" s="3" t="s">
        <v>46</v>
      </c>
      <c r="AE376">
        <f t="shared" si="23"/>
        <v>1</v>
      </c>
    </row>
    <row r="377" spans="1:31" ht="14.25" customHeight="1" x14ac:dyDescent="0.35">
      <c r="A377" s="3" t="s">
        <v>870</v>
      </c>
      <c r="B377" s="3" t="s">
        <v>48</v>
      </c>
      <c r="C377" s="3" t="s">
        <v>681</v>
      </c>
      <c r="D377" s="3">
        <v>40</v>
      </c>
      <c r="E377" s="3">
        <f t="shared" si="20"/>
        <v>40</v>
      </c>
      <c r="F377" s="3">
        <v>1984</v>
      </c>
      <c r="G377" s="3">
        <v>50000</v>
      </c>
      <c r="H377" s="12" cm="1">
        <f t="array" ref="H377">_xlfn.IFS(TRIM(G377)="SIXTY THOUSAND",60000,TRIM(G377)="NAN",AVERAGEIFS(G:G,J:J,J377,L:L,L377),TRUE,G377)</f>
        <v>50000</v>
      </c>
      <c r="I377" s="3" t="s">
        <v>27</v>
      </c>
      <c r="J377" s="3" t="s">
        <v>82</v>
      </c>
      <c r="K377" s="3" t="str">
        <f t="shared" si="21"/>
        <v>HR</v>
      </c>
      <c r="L377" s="3" t="s">
        <v>94</v>
      </c>
      <c r="M377" s="4">
        <v>43845</v>
      </c>
      <c r="N377" s="4">
        <v>43845</v>
      </c>
      <c r="O377" s="3" t="s">
        <v>78</v>
      </c>
      <c r="P377" s="3">
        <v>85</v>
      </c>
      <c r="Q377" s="3" t="s">
        <v>682</v>
      </c>
      <c r="R377" s="3" t="s">
        <v>104</v>
      </c>
      <c r="S377" s="3" t="s">
        <v>66</v>
      </c>
      <c r="T377" s="3" t="str">
        <f t="shared" si="22"/>
        <v>Contract</v>
      </c>
      <c r="V377" s="3">
        <v>4</v>
      </c>
      <c r="W377" s="3">
        <v>12</v>
      </c>
      <c r="X377" s="3">
        <v>20</v>
      </c>
      <c r="AA377" s="3" t="s">
        <v>34</v>
      </c>
      <c r="AB377" s="3" t="str" cm="1">
        <f t="array" ref="AB377">_xlfn.IFS(AA377="N","No",  AA377 = "Y", "Yes", TRUE, PROPER(TRIM(AA377)))</f>
        <v>No</v>
      </c>
      <c r="AC377" s="3">
        <v>5</v>
      </c>
      <c r="AD377" s="3" t="s">
        <v>34</v>
      </c>
      <c r="AE377">
        <f t="shared" si="23"/>
        <v>0</v>
      </c>
    </row>
    <row r="378" spans="1:31" ht="14.25" customHeight="1" x14ac:dyDescent="0.35">
      <c r="A378" s="3" t="s">
        <v>871</v>
      </c>
      <c r="B378" s="3" t="s">
        <v>36</v>
      </c>
      <c r="C378" s="3" t="s">
        <v>318</v>
      </c>
      <c r="D378" s="3" t="s">
        <v>88</v>
      </c>
      <c r="E378" s="3">
        <f t="shared" si="20"/>
        <v>30</v>
      </c>
      <c r="F378" s="3">
        <v>1994</v>
      </c>
      <c r="G378" s="3">
        <v>70000</v>
      </c>
      <c r="H378" s="12" cm="1">
        <f t="array" ref="H378">_xlfn.IFS(TRIM(G378)="SIXTY THOUSAND",60000,TRIM(G378)="NAN",AVERAGEIFS(G:G,J:J,J378,L:L,L378),TRUE,G378)</f>
        <v>70000</v>
      </c>
      <c r="I378" s="3" t="s">
        <v>27</v>
      </c>
      <c r="J378" s="3" t="s">
        <v>28</v>
      </c>
      <c r="K378" s="3" t="str">
        <f t="shared" si="21"/>
        <v>HR</v>
      </c>
      <c r="L378" s="3" t="s">
        <v>94</v>
      </c>
      <c r="M378" s="4">
        <v>43881</v>
      </c>
      <c r="N378" s="4">
        <v>43881</v>
      </c>
      <c r="O378" s="3" t="s">
        <v>78</v>
      </c>
      <c r="P378" s="3">
        <v>83</v>
      </c>
      <c r="Q378" s="3" t="s">
        <v>419</v>
      </c>
      <c r="R378" s="3" t="s">
        <v>104</v>
      </c>
      <c r="S378" s="3" t="s">
        <v>112</v>
      </c>
      <c r="T378" s="3" t="str">
        <f t="shared" si="22"/>
        <v>Full-Time</v>
      </c>
      <c r="V378" s="3">
        <v>8</v>
      </c>
      <c r="AA378" s="3" t="s">
        <v>34</v>
      </c>
      <c r="AB378" s="3" t="str" cm="1">
        <f t="array" ref="AB378">_xlfn.IFS(AA378="N","No",  AA378 = "Y", "Yes", TRUE, PROPER(TRIM(AA378)))</f>
        <v>No</v>
      </c>
      <c r="AC378" s="3">
        <v>4</v>
      </c>
      <c r="AD378" s="3" t="s">
        <v>46</v>
      </c>
      <c r="AE378">
        <f t="shared" si="23"/>
        <v>1</v>
      </c>
    </row>
    <row r="379" spans="1:31" ht="14.25" customHeight="1" x14ac:dyDescent="0.35">
      <c r="A379" s="3" t="s">
        <v>872</v>
      </c>
      <c r="B379" s="3" t="s">
        <v>114</v>
      </c>
      <c r="C379" s="3" t="s">
        <v>99</v>
      </c>
      <c r="E379" s="3">
        <f t="shared" si="20"/>
        <v>43</v>
      </c>
      <c r="F379" s="3">
        <v>1981</v>
      </c>
      <c r="G379" s="3">
        <v>70000</v>
      </c>
      <c r="H379" s="12" cm="1">
        <f t="array" ref="H379">_xlfn.IFS(TRIM(G379)="SIXTY THOUSAND",60000,TRIM(G379)="NAN",AVERAGEIFS(G:G,J:J,J379,L:L,L379),TRUE,G379)</f>
        <v>70000</v>
      </c>
      <c r="I379" s="3" t="s">
        <v>38</v>
      </c>
      <c r="J379" s="3" t="s">
        <v>64</v>
      </c>
      <c r="K379" s="3" t="str">
        <f t="shared" si="21"/>
        <v>Finance</v>
      </c>
      <c r="L379" s="3" t="s">
        <v>29</v>
      </c>
      <c r="M379" s="4">
        <v>43881</v>
      </c>
      <c r="N379" s="4">
        <v>43881</v>
      </c>
      <c r="O379" s="3" t="s">
        <v>30</v>
      </c>
      <c r="P379" s="3">
        <v>62</v>
      </c>
      <c r="Q379" s="3" t="s">
        <v>873</v>
      </c>
      <c r="R379" s="3" t="s">
        <v>54</v>
      </c>
      <c r="S379" s="3" t="s">
        <v>32</v>
      </c>
      <c r="T379" s="3" t="str">
        <f t="shared" si="22"/>
        <v>Contract</v>
      </c>
      <c r="V379" s="3">
        <v>4</v>
      </c>
      <c r="W379" s="3">
        <v>1</v>
      </c>
      <c r="X379" s="3">
        <v>13</v>
      </c>
      <c r="AA379" s="3" t="s">
        <v>73</v>
      </c>
      <c r="AB379" s="3" t="str" cm="1">
        <f t="array" ref="AB379">_xlfn.IFS(AA379="N","No",  AA379 = "Y", "Yes", TRUE, PROPER(TRIM(AA379)))</f>
        <v>No</v>
      </c>
      <c r="AC379" s="3">
        <v>4</v>
      </c>
      <c r="AD379" s="3" t="s">
        <v>34</v>
      </c>
      <c r="AE379">
        <f t="shared" si="23"/>
        <v>0</v>
      </c>
    </row>
    <row r="380" spans="1:31" ht="14.25" customHeight="1" x14ac:dyDescent="0.35">
      <c r="A380" s="3" t="s">
        <v>874</v>
      </c>
      <c r="B380" s="3" t="s">
        <v>68</v>
      </c>
      <c r="C380" s="3" t="s">
        <v>158</v>
      </c>
      <c r="D380" s="3">
        <v>50</v>
      </c>
      <c r="E380" s="3">
        <f t="shared" si="20"/>
        <v>50</v>
      </c>
      <c r="F380" s="3">
        <v>1974</v>
      </c>
      <c r="G380" s="3">
        <v>55000</v>
      </c>
      <c r="H380" s="12" cm="1">
        <f t="array" ref="H380">_xlfn.IFS(TRIM(G380)="SIXTY THOUSAND",60000,TRIM(G380)="NAN",AVERAGEIFS(G:G,J:J,J380,L:L,L380),TRUE,G380)</f>
        <v>55000</v>
      </c>
      <c r="I380" s="3" t="s">
        <v>27</v>
      </c>
      <c r="J380" s="3" t="s">
        <v>70</v>
      </c>
      <c r="K380" s="3" t="str">
        <f t="shared" si="21"/>
        <v>Marketing</v>
      </c>
      <c r="L380" s="3" t="s">
        <v>40</v>
      </c>
      <c r="M380" s="4">
        <v>43195</v>
      </c>
      <c r="N380" s="4">
        <v>43195</v>
      </c>
      <c r="O380" s="3" t="s">
        <v>78</v>
      </c>
      <c r="P380" s="3">
        <v>87</v>
      </c>
      <c r="Q380" s="3" t="s">
        <v>875</v>
      </c>
      <c r="R380" s="3" t="s">
        <v>43</v>
      </c>
      <c r="S380" s="3" t="s">
        <v>32</v>
      </c>
      <c r="T380" s="3" t="str">
        <f t="shared" si="22"/>
        <v>Contract</v>
      </c>
      <c r="V380" s="3">
        <v>6</v>
      </c>
      <c r="W380" s="3">
        <v>4</v>
      </c>
      <c r="Z380" s="3">
        <v>39</v>
      </c>
      <c r="AA380" s="3" t="s">
        <v>33</v>
      </c>
      <c r="AB380" s="3" t="str" cm="1">
        <f t="array" ref="AB380">_xlfn.IFS(AA380="N","No",  AA380 = "Y", "Yes", TRUE, PROPER(TRIM(AA380)))</f>
        <v>Yes</v>
      </c>
      <c r="AC380" s="3">
        <v>1</v>
      </c>
      <c r="AD380" s="3" t="s">
        <v>46</v>
      </c>
      <c r="AE380">
        <f t="shared" si="23"/>
        <v>1</v>
      </c>
    </row>
    <row r="381" spans="1:31" ht="14.25" customHeight="1" x14ac:dyDescent="0.35">
      <c r="A381" s="3" t="s">
        <v>876</v>
      </c>
      <c r="B381" s="3" t="s">
        <v>75</v>
      </c>
      <c r="C381" s="3" t="s">
        <v>117</v>
      </c>
      <c r="D381" s="3" t="s">
        <v>88</v>
      </c>
      <c r="E381" s="3">
        <f t="shared" si="20"/>
        <v>30</v>
      </c>
      <c r="F381" s="3">
        <v>1994</v>
      </c>
      <c r="G381" s="3">
        <v>70000</v>
      </c>
      <c r="H381" s="12" cm="1">
        <f t="array" ref="H381">_xlfn.IFS(TRIM(G381)="SIXTY THOUSAND",60000,TRIM(G381)="NAN",AVERAGEIFS(G:G,J:J,J381,L:L,L381),TRUE,G381)</f>
        <v>70000</v>
      </c>
      <c r="I381" s="3" t="s">
        <v>27</v>
      </c>
      <c r="J381" s="3" t="s">
        <v>64</v>
      </c>
      <c r="K381" s="3" t="str">
        <f t="shared" si="21"/>
        <v>Finance</v>
      </c>
      <c r="L381" s="3" t="s">
        <v>94</v>
      </c>
      <c r="M381" s="4">
        <v>43800</v>
      </c>
      <c r="N381" s="4">
        <v>43800</v>
      </c>
      <c r="O381" s="3" t="s">
        <v>52</v>
      </c>
      <c r="P381" s="3">
        <v>71</v>
      </c>
      <c r="Q381" s="3" t="s">
        <v>877</v>
      </c>
      <c r="R381" s="3" t="s">
        <v>104</v>
      </c>
      <c r="S381" s="3" t="s">
        <v>174</v>
      </c>
      <c r="T381" s="3" t="str">
        <f t="shared" si="22"/>
        <v>Full-Time</v>
      </c>
      <c r="V381" s="3">
        <v>4</v>
      </c>
      <c r="X381" s="3">
        <v>12</v>
      </c>
      <c r="Y381" s="4">
        <v>45516</v>
      </c>
      <c r="AA381" s="3" t="s">
        <v>33</v>
      </c>
      <c r="AB381" s="3" t="str" cm="1">
        <f t="array" ref="AB381">_xlfn.IFS(AA381="N","No",  AA381 = "Y", "Yes", TRUE, PROPER(TRIM(AA381)))</f>
        <v>Yes</v>
      </c>
      <c r="AC381" s="3">
        <v>1</v>
      </c>
      <c r="AD381" s="3" t="s">
        <v>34</v>
      </c>
      <c r="AE381">
        <f t="shared" si="23"/>
        <v>0</v>
      </c>
    </row>
    <row r="382" spans="1:31" ht="14.25" customHeight="1" x14ac:dyDescent="0.35">
      <c r="A382" s="3" t="s">
        <v>878</v>
      </c>
      <c r="B382" s="3" t="s">
        <v>131</v>
      </c>
      <c r="C382" s="3" t="s">
        <v>216</v>
      </c>
      <c r="D382" s="3">
        <v>35</v>
      </c>
      <c r="E382" s="3">
        <f t="shared" si="20"/>
        <v>35</v>
      </c>
      <c r="F382" s="3">
        <v>1989</v>
      </c>
      <c r="G382" s="3">
        <v>55000</v>
      </c>
      <c r="H382" s="12" cm="1">
        <f t="array" ref="H382">_xlfn.IFS(TRIM(G382)="SIXTY THOUSAND",60000,TRIM(G382)="NAN",AVERAGEIFS(G:G,J:J,J382,L:L,L382),TRUE,G382)</f>
        <v>55000</v>
      </c>
      <c r="I382" s="3" t="s">
        <v>38</v>
      </c>
      <c r="J382" s="3" t="s">
        <v>70</v>
      </c>
      <c r="K382" s="3" t="str">
        <f t="shared" si="21"/>
        <v>Marketing</v>
      </c>
      <c r="L382" s="3" t="s">
        <v>89</v>
      </c>
      <c r="M382" s="4">
        <v>43881</v>
      </c>
      <c r="N382" s="4">
        <v>43881</v>
      </c>
      <c r="O382" s="3" t="s">
        <v>52</v>
      </c>
      <c r="P382" s="3">
        <v>78</v>
      </c>
      <c r="Q382" s="3" t="s">
        <v>217</v>
      </c>
      <c r="S382" s="3" t="s">
        <v>100</v>
      </c>
      <c r="T382" s="3" t="str">
        <f t="shared" si="22"/>
        <v>Part-Time</v>
      </c>
      <c r="V382" s="3">
        <v>4</v>
      </c>
      <c r="AA382" s="3" t="s">
        <v>73</v>
      </c>
      <c r="AB382" s="3" t="str" cm="1">
        <f t="array" ref="AB382">_xlfn.IFS(AA382="N","No",  AA382 = "Y", "Yes", TRUE, PROPER(TRIM(AA382)))</f>
        <v>No</v>
      </c>
      <c r="AC382" s="3">
        <v>5</v>
      </c>
      <c r="AD382" s="3" t="s">
        <v>34</v>
      </c>
      <c r="AE382">
        <f t="shared" si="23"/>
        <v>0</v>
      </c>
    </row>
    <row r="383" spans="1:31" ht="14.25" customHeight="1" x14ac:dyDescent="0.35">
      <c r="A383" s="3" t="s">
        <v>879</v>
      </c>
      <c r="B383" s="3" t="s">
        <v>48</v>
      </c>
      <c r="C383" s="3" t="s">
        <v>225</v>
      </c>
      <c r="D383" s="3" t="s">
        <v>88</v>
      </c>
      <c r="E383" s="3">
        <f t="shared" si="20"/>
        <v>30</v>
      </c>
      <c r="F383" s="3">
        <v>1994</v>
      </c>
      <c r="G383" s="3">
        <v>65000</v>
      </c>
      <c r="H383" s="12" cm="1">
        <f t="array" ref="H383">_xlfn.IFS(TRIM(G383)="SIXTY THOUSAND",60000,TRIM(G383)="NAN",AVERAGEIFS(G:G,J:J,J383,L:L,L383),TRUE,G383)</f>
        <v>65000</v>
      </c>
      <c r="I383" s="3" t="s">
        <v>27</v>
      </c>
      <c r="J383" s="3" t="s">
        <v>122</v>
      </c>
      <c r="K383" s="3" t="str">
        <f t="shared" si="21"/>
        <v>IT</v>
      </c>
      <c r="L383" s="3" t="s">
        <v>77</v>
      </c>
      <c r="M383" s="4">
        <v>43845</v>
      </c>
      <c r="N383" s="4">
        <v>43845</v>
      </c>
      <c r="O383" s="3" t="s">
        <v>41</v>
      </c>
      <c r="P383" s="3">
        <v>19</v>
      </c>
      <c r="Q383" s="3" t="s">
        <v>226</v>
      </c>
      <c r="R383" s="3" t="s">
        <v>43</v>
      </c>
      <c r="S383" s="3" t="s">
        <v>32</v>
      </c>
      <c r="T383" s="3" t="str">
        <f t="shared" si="22"/>
        <v>Contract</v>
      </c>
      <c r="U383" s="3" t="s">
        <v>331</v>
      </c>
      <c r="V383" s="3">
        <v>5</v>
      </c>
      <c r="X383" s="3">
        <v>10</v>
      </c>
      <c r="Y383" s="4">
        <v>44732</v>
      </c>
      <c r="Z383" s="3">
        <v>67</v>
      </c>
      <c r="AB383" s="3" t="str" cm="1">
        <f t="array" ref="AB383">_xlfn.IFS(AA383="N","No",  AA383 = "Y", "Yes", TRUE, PROPER(TRIM(AA383)))</f>
        <v/>
      </c>
      <c r="AC383" s="3">
        <v>3</v>
      </c>
      <c r="AD383" s="3" t="s">
        <v>34</v>
      </c>
      <c r="AE383">
        <f t="shared" si="23"/>
        <v>0</v>
      </c>
    </row>
    <row r="384" spans="1:31" ht="14.25" customHeight="1" x14ac:dyDescent="0.35">
      <c r="A384" s="3" t="s">
        <v>880</v>
      </c>
      <c r="B384" s="3" t="s">
        <v>75</v>
      </c>
      <c r="C384" s="3" t="s">
        <v>103</v>
      </c>
      <c r="D384" s="3" t="s">
        <v>88</v>
      </c>
      <c r="E384" s="3">
        <f t="shared" si="20"/>
        <v>30</v>
      </c>
      <c r="F384" s="3">
        <v>1994</v>
      </c>
      <c r="G384" s="3">
        <v>50000</v>
      </c>
      <c r="H384" s="12" cm="1">
        <f t="array" ref="H384">_xlfn.IFS(TRIM(G384)="SIXTY THOUSAND",60000,TRIM(G384)="NAN",AVERAGEIFS(G:G,J:J,J384,L:L,L384),TRUE,G384)</f>
        <v>50000</v>
      </c>
      <c r="I384" s="3" t="s">
        <v>27</v>
      </c>
      <c r="J384" s="3" t="s">
        <v>145</v>
      </c>
      <c r="K384" s="3" t="str">
        <f t="shared" si="21"/>
        <v>Sales</v>
      </c>
      <c r="L384" s="3" t="s">
        <v>77</v>
      </c>
      <c r="M384" s="4">
        <v>43845</v>
      </c>
      <c r="N384" s="4">
        <v>43845</v>
      </c>
      <c r="O384" s="3" t="s">
        <v>41</v>
      </c>
      <c r="P384" s="3">
        <v>40</v>
      </c>
      <c r="Q384" s="3" t="s">
        <v>308</v>
      </c>
      <c r="S384" s="3" t="s">
        <v>32</v>
      </c>
      <c r="T384" s="3" t="str">
        <f t="shared" si="22"/>
        <v>Contract</v>
      </c>
      <c r="V384" s="3">
        <v>8</v>
      </c>
      <c r="Z384" s="3">
        <v>10</v>
      </c>
      <c r="AB384" s="3" t="str" cm="1">
        <f t="array" ref="AB384">_xlfn.IFS(AA384="N","No",  AA384 = "Y", "Yes", TRUE, PROPER(TRIM(AA384)))</f>
        <v/>
      </c>
      <c r="AC384" s="3">
        <v>3</v>
      </c>
      <c r="AD384" s="3" t="s">
        <v>34</v>
      </c>
      <c r="AE384">
        <f t="shared" si="23"/>
        <v>0</v>
      </c>
    </row>
    <row r="385" spans="1:31" ht="14.25" customHeight="1" x14ac:dyDescent="0.35">
      <c r="A385" s="3" t="s">
        <v>881</v>
      </c>
      <c r="B385" s="3" t="s">
        <v>68</v>
      </c>
      <c r="C385" s="3" t="s">
        <v>496</v>
      </c>
      <c r="D385" s="3">
        <v>50</v>
      </c>
      <c r="E385" s="3">
        <f t="shared" si="20"/>
        <v>50</v>
      </c>
      <c r="F385" s="3">
        <v>1974</v>
      </c>
      <c r="G385" s="3">
        <v>65000</v>
      </c>
      <c r="H385" s="12" cm="1">
        <f t="array" ref="H385">_xlfn.IFS(TRIM(G385)="SIXTY THOUSAND",60000,TRIM(G385)="NAN",AVERAGEIFS(G:G,J:J,J385,L:L,L385),TRUE,G385)</f>
        <v>65000</v>
      </c>
      <c r="I385" s="3" t="s">
        <v>27</v>
      </c>
      <c r="J385" s="3" t="s">
        <v>70</v>
      </c>
      <c r="K385" s="3" t="str">
        <f t="shared" si="21"/>
        <v>Marketing</v>
      </c>
      <c r="L385" s="3" t="s">
        <v>94</v>
      </c>
      <c r="M385" s="4">
        <v>43800</v>
      </c>
      <c r="N385" s="4">
        <v>43800</v>
      </c>
      <c r="O385" s="3" t="s">
        <v>78</v>
      </c>
      <c r="P385" s="3">
        <v>87</v>
      </c>
      <c r="Q385" s="3" t="s">
        <v>882</v>
      </c>
      <c r="S385" s="3" t="s">
        <v>112</v>
      </c>
      <c r="T385" s="3" t="str">
        <f t="shared" si="22"/>
        <v>Full-Time</v>
      </c>
      <c r="V385" s="3">
        <v>3</v>
      </c>
      <c r="W385" s="3" t="s">
        <v>79</v>
      </c>
      <c r="Z385" s="3">
        <v>33</v>
      </c>
      <c r="AA385" s="3" t="s">
        <v>169</v>
      </c>
      <c r="AB385" s="3" t="str" cm="1">
        <f t="array" ref="AB385">_xlfn.IFS(AA385="N","No",  AA385 = "Y", "Yes", TRUE, PROPER(TRIM(AA385)))</f>
        <v>Yes</v>
      </c>
      <c r="AC385" s="3">
        <v>5</v>
      </c>
      <c r="AD385" s="3" t="s">
        <v>46</v>
      </c>
      <c r="AE385">
        <f t="shared" si="23"/>
        <v>1</v>
      </c>
    </row>
    <row r="386" spans="1:31" ht="14.25" customHeight="1" x14ac:dyDescent="0.35">
      <c r="A386" s="3" t="s">
        <v>883</v>
      </c>
      <c r="B386" s="3" t="s">
        <v>25</v>
      </c>
      <c r="C386" s="3" t="s">
        <v>259</v>
      </c>
      <c r="D386" s="3">
        <v>35</v>
      </c>
      <c r="E386" s="3">
        <f t="shared" ref="E386:E449" si="24">2024-F386</f>
        <v>35</v>
      </c>
      <c r="F386" s="3">
        <v>1989</v>
      </c>
      <c r="G386" s="3">
        <v>70000</v>
      </c>
      <c r="H386" s="12" cm="1">
        <f t="array" ref="H386">_xlfn.IFS(TRIM(G386)="SIXTY THOUSAND",60000,TRIM(G386)="NAN",AVERAGEIFS(G:G,J:J,J386,L:L,L386),TRUE,G386)</f>
        <v>70000</v>
      </c>
      <c r="I386" s="3" t="s">
        <v>27</v>
      </c>
      <c r="J386" s="3" t="s">
        <v>28</v>
      </c>
      <c r="K386" s="3" t="str">
        <f t="shared" ref="K386:K449" si="25">IF(OR(J386="HR",J386="IT"),UPPER(J386),PROPER(J386))</f>
        <v>HR</v>
      </c>
      <c r="L386" s="3" t="s">
        <v>77</v>
      </c>
      <c r="M386" s="4">
        <v>43800</v>
      </c>
      <c r="N386" s="4">
        <v>43800</v>
      </c>
      <c r="O386" s="3" t="s">
        <v>59</v>
      </c>
      <c r="P386" s="3">
        <v>97</v>
      </c>
      <c r="Q386" t="str">
        <f>LOWER(_xlfn.CONCAT(B386,".",C386,"@saltcorp.com"))</f>
        <v>grace.garrett@saltcorp.com</v>
      </c>
      <c r="R386" s="3" t="s">
        <v>43</v>
      </c>
      <c r="S386" s="3" t="s">
        <v>72</v>
      </c>
      <c r="T386" s="3" t="str">
        <f t="shared" ref="T386:T449" si="26">PROPER(S386)</f>
        <v>Part-Time</v>
      </c>
      <c r="V386" s="3">
        <v>2</v>
      </c>
      <c r="AB386" s="3" t="str" cm="1">
        <f t="array" ref="AB386">_xlfn.IFS(AA386="N","No",  AA386 = "Y", "Yes", TRUE, PROPER(TRIM(AA386)))</f>
        <v/>
      </c>
      <c r="AC386" s="3">
        <v>2</v>
      </c>
      <c r="AD386" s="3" t="s">
        <v>34</v>
      </c>
      <c r="AE386">
        <f t="shared" si="23"/>
        <v>0</v>
      </c>
    </row>
    <row r="387" spans="1:31" ht="14.25" customHeight="1" x14ac:dyDescent="0.35">
      <c r="A387" s="3" t="s">
        <v>884</v>
      </c>
      <c r="B387" s="3" t="s">
        <v>68</v>
      </c>
      <c r="C387" s="3" t="s">
        <v>747</v>
      </c>
      <c r="D387" s="3">
        <v>40</v>
      </c>
      <c r="E387" s="3">
        <f t="shared" si="24"/>
        <v>40</v>
      </c>
      <c r="F387" s="3">
        <v>1984</v>
      </c>
      <c r="G387" s="3">
        <v>65000</v>
      </c>
      <c r="H387" s="12" cm="1">
        <f t="array" ref="H387">_xlfn.IFS(TRIM(G387)="SIXTY THOUSAND",60000,TRIM(G387)="NAN",AVERAGEIFS(G:G,J:J,J387,L:L,L387),TRUE,G387)</f>
        <v>65000</v>
      </c>
      <c r="I387" s="3" t="s">
        <v>27</v>
      </c>
      <c r="J387" s="3" t="s">
        <v>39</v>
      </c>
      <c r="K387" s="3" t="str">
        <f t="shared" si="25"/>
        <v>Finance</v>
      </c>
      <c r="L387" s="3" t="s">
        <v>77</v>
      </c>
      <c r="M387" s="4">
        <v>43195</v>
      </c>
      <c r="N387" s="4">
        <v>43195</v>
      </c>
      <c r="O387" s="3" t="s">
        <v>30</v>
      </c>
      <c r="P387" s="3">
        <v>62</v>
      </c>
      <c r="Q387" t="str">
        <f>LOWER(_xlfn.CONCAT(B387,".",C387,"@saltcorp.com"))</f>
        <v>jack.graham@saltcorp.com</v>
      </c>
      <c r="R387" s="3" t="s">
        <v>43</v>
      </c>
      <c r="S387" s="3" t="s">
        <v>72</v>
      </c>
      <c r="T387" s="3" t="str">
        <f t="shared" si="26"/>
        <v>Part-Time</v>
      </c>
      <c r="U387" s="3" t="s">
        <v>175</v>
      </c>
      <c r="V387" s="3">
        <v>3</v>
      </c>
      <c r="Z387" s="3">
        <v>37</v>
      </c>
      <c r="AB387" s="3" t="str" cm="1">
        <f t="array" ref="AB387">_xlfn.IFS(AA387="N","No",  AA387 = "Y", "Yes", TRUE, PROPER(TRIM(AA387)))</f>
        <v/>
      </c>
      <c r="AC387" s="3">
        <v>1</v>
      </c>
      <c r="AD387" s="3" t="s">
        <v>34</v>
      </c>
      <c r="AE387">
        <f t="shared" ref="AE387:AE450" si="27">IF(AD387="Yes",1,0)</f>
        <v>0</v>
      </c>
    </row>
    <row r="388" spans="1:31" ht="14.25" customHeight="1" x14ac:dyDescent="0.35">
      <c r="A388" s="3" t="s">
        <v>885</v>
      </c>
      <c r="B388" s="3" t="s">
        <v>56</v>
      </c>
      <c r="C388" s="3" t="s">
        <v>49</v>
      </c>
      <c r="D388" s="3">
        <v>40</v>
      </c>
      <c r="E388" s="3">
        <f t="shared" si="24"/>
        <v>40</v>
      </c>
      <c r="F388" s="3">
        <v>1984</v>
      </c>
      <c r="G388" s="3">
        <v>65000</v>
      </c>
      <c r="H388" s="12" cm="1">
        <f t="array" ref="H388">_xlfn.IFS(TRIM(G388)="SIXTY THOUSAND",60000,TRIM(G388)="NAN",AVERAGEIFS(G:G,J:J,J388,L:L,L388),TRUE,G388)</f>
        <v>65000</v>
      </c>
      <c r="I388" s="3" t="s">
        <v>27</v>
      </c>
      <c r="J388" s="3" t="s">
        <v>58</v>
      </c>
      <c r="K388" s="3" t="str">
        <f t="shared" si="25"/>
        <v>IT</v>
      </c>
      <c r="L388" s="3" t="s">
        <v>29</v>
      </c>
      <c r="M388" s="4">
        <v>43549</v>
      </c>
      <c r="N388" s="4">
        <v>43549</v>
      </c>
      <c r="O388" s="3" t="s">
        <v>59</v>
      </c>
      <c r="P388" s="3">
        <v>96</v>
      </c>
      <c r="Q388" s="3" t="s">
        <v>886</v>
      </c>
      <c r="S388" s="3" t="s">
        <v>66</v>
      </c>
      <c r="T388" s="3" t="str">
        <f t="shared" si="26"/>
        <v>Contract</v>
      </c>
      <c r="V388" s="3">
        <v>3</v>
      </c>
      <c r="AA388" s="3" t="s">
        <v>46</v>
      </c>
      <c r="AB388" s="3" t="str" cm="1">
        <f t="array" ref="AB388">_xlfn.IFS(AA388="N","No",  AA388 = "Y", "Yes", TRUE, PROPER(TRIM(AA388)))</f>
        <v>Yes</v>
      </c>
      <c r="AC388" s="3">
        <v>5</v>
      </c>
      <c r="AD388" s="3" t="s">
        <v>34</v>
      </c>
      <c r="AE388">
        <f t="shared" si="27"/>
        <v>0</v>
      </c>
    </row>
    <row r="389" spans="1:31" ht="14.25" customHeight="1" x14ac:dyDescent="0.35">
      <c r="A389" s="3" t="s">
        <v>887</v>
      </c>
      <c r="B389" s="3" t="s">
        <v>68</v>
      </c>
      <c r="C389" s="3" t="s">
        <v>421</v>
      </c>
      <c r="D389" s="3" t="s">
        <v>88</v>
      </c>
      <c r="E389" s="3">
        <f t="shared" si="24"/>
        <v>30</v>
      </c>
      <c r="F389" s="3">
        <v>1994</v>
      </c>
      <c r="G389" s="3">
        <v>65000</v>
      </c>
      <c r="H389" s="12" cm="1">
        <f t="array" ref="H389">_xlfn.IFS(TRIM(G389)="SIXTY THOUSAND",60000,TRIM(G389)="NAN",AVERAGEIFS(G:G,J:J,J389,L:L,L389),TRUE,G389)</f>
        <v>65000</v>
      </c>
      <c r="I389" s="3" t="s">
        <v>38</v>
      </c>
      <c r="J389" s="3" t="s">
        <v>28</v>
      </c>
      <c r="K389" s="3" t="str">
        <f t="shared" si="25"/>
        <v>HR</v>
      </c>
      <c r="L389" s="3" t="s">
        <v>89</v>
      </c>
      <c r="M389" s="4">
        <v>43845</v>
      </c>
      <c r="N389" s="4">
        <v>43845</v>
      </c>
      <c r="O389" s="3" t="s">
        <v>78</v>
      </c>
      <c r="P389" s="3">
        <v>86</v>
      </c>
      <c r="Q389" s="3" t="s">
        <v>422</v>
      </c>
      <c r="R389" s="3" t="s">
        <v>54</v>
      </c>
      <c r="S389" s="3" t="s">
        <v>72</v>
      </c>
      <c r="T389" s="3" t="str">
        <f t="shared" si="26"/>
        <v>Part-Time</v>
      </c>
      <c r="V389" s="3">
        <v>2</v>
      </c>
      <c r="X389" s="3">
        <v>20</v>
      </c>
      <c r="AA389" s="3" t="s">
        <v>169</v>
      </c>
      <c r="AB389" s="3" t="str" cm="1">
        <f t="array" ref="AB389">_xlfn.IFS(AA389="N","No",  AA389 = "Y", "Yes", TRUE, PROPER(TRIM(AA389)))</f>
        <v>Yes</v>
      </c>
      <c r="AC389" s="3">
        <v>3</v>
      </c>
      <c r="AD389" s="3" t="s">
        <v>34</v>
      </c>
      <c r="AE389">
        <f t="shared" si="27"/>
        <v>0</v>
      </c>
    </row>
    <row r="390" spans="1:31" ht="14.25" customHeight="1" x14ac:dyDescent="0.35">
      <c r="A390" s="3" t="s">
        <v>888</v>
      </c>
      <c r="B390" s="3" t="s">
        <v>56</v>
      </c>
      <c r="C390" s="3" t="s">
        <v>199</v>
      </c>
      <c r="D390" s="3">
        <v>35</v>
      </c>
      <c r="E390" s="3">
        <f t="shared" si="24"/>
        <v>35</v>
      </c>
      <c r="F390" s="3">
        <v>1989</v>
      </c>
      <c r="G390" s="3">
        <v>70000</v>
      </c>
      <c r="H390" s="12" cm="1">
        <f t="array" ref="H390">_xlfn.IFS(TRIM(G390)="SIXTY THOUSAND",60000,TRIM(G390)="NAN",AVERAGEIFS(G:G,J:J,J390,L:L,L390),TRUE,G390)</f>
        <v>70000</v>
      </c>
      <c r="I390" s="3" t="s">
        <v>27</v>
      </c>
      <c r="J390" s="3" t="s">
        <v>122</v>
      </c>
      <c r="K390" s="3" t="str">
        <f t="shared" si="25"/>
        <v>IT</v>
      </c>
      <c r="L390" s="3" t="s">
        <v>89</v>
      </c>
      <c r="M390" s="4">
        <v>43800</v>
      </c>
      <c r="N390" s="4">
        <v>43800</v>
      </c>
      <c r="O390" s="3" t="s">
        <v>78</v>
      </c>
      <c r="P390" s="3">
        <v>81</v>
      </c>
      <c r="Q390" s="3" t="s">
        <v>889</v>
      </c>
      <c r="R390" s="3" t="s">
        <v>61</v>
      </c>
      <c r="S390" s="3" t="s">
        <v>44</v>
      </c>
      <c r="T390" s="3" t="str">
        <f t="shared" si="26"/>
        <v>Full-Time</v>
      </c>
      <c r="V390" s="3">
        <v>7</v>
      </c>
      <c r="Y390" s="3" t="s">
        <v>79</v>
      </c>
      <c r="AA390" s="3" t="s">
        <v>46</v>
      </c>
      <c r="AB390" s="3" t="str" cm="1">
        <f t="array" ref="AB390">_xlfn.IFS(AA390="N","No",  AA390 = "Y", "Yes", TRUE, PROPER(TRIM(AA390)))</f>
        <v>Yes</v>
      </c>
      <c r="AC390" s="3">
        <v>2</v>
      </c>
      <c r="AD390" s="3" t="s">
        <v>46</v>
      </c>
      <c r="AE390">
        <f t="shared" si="27"/>
        <v>1</v>
      </c>
    </row>
    <row r="391" spans="1:31" ht="14.25" customHeight="1" x14ac:dyDescent="0.35">
      <c r="A391" s="3" t="s">
        <v>890</v>
      </c>
      <c r="B391" s="3" t="s">
        <v>25</v>
      </c>
      <c r="C391" s="3" t="s">
        <v>171</v>
      </c>
      <c r="D391" s="3">
        <v>35</v>
      </c>
      <c r="E391" s="3">
        <f t="shared" si="24"/>
        <v>35</v>
      </c>
      <c r="F391" s="3">
        <v>1989</v>
      </c>
      <c r="G391" s="3" t="s">
        <v>859</v>
      </c>
      <c r="H391" s="12" cm="1">
        <f t="array" ref="H391">_xlfn.IFS(TRIM(G391)="SIXTY THOUSAND",60000,TRIM(G391)="NAN",AVERAGEIFS(G:G,J:J,J391,L:L,L391),TRUE,G391)</f>
        <v>61851.351351351354</v>
      </c>
      <c r="I391" s="3" t="s">
        <v>38</v>
      </c>
      <c r="J391" s="3" t="s">
        <v>145</v>
      </c>
      <c r="K391" s="3" t="str">
        <f t="shared" si="25"/>
        <v>Sales</v>
      </c>
      <c r="L391" s="3" t="s">
        <v>29</v>
      </c>
      <c r="M391" s="4">
        <v>43845</v>
      </c>
      <c r="N391" s="4">
        <v>43845</v>
      </c>
      <c r="O391" s="3" t="s">
        <v>59</v>
      </c>
      <c r="P391" s="3">
        <v>98</v>
      </c>
      <c r="Q391" t="str">
        <f>LOWER(_xlfn.CONCAT(B391,".",C391,"@saltcorp.com"))</f>
        <v>grace.yang@saltcorp.com</v>
      </c>
      <c r="R391" s="3" t="s">
        <v>61</v>
      </c>
      <c r="S391" s="3" t="s">
        <v>100</v>
      </c>
      <c r="T391" s="3" t="str">
        <f t="shared" si="26"/>
        <v>Part-Time</v>
      </c>
      <c r="V391" s="3">
        <v>1</v>
      </c>
      <c r="W391" s="3">
        <v>1</v>
      </c>
      <c r="AA391" s="3" t="s">
        <v>482</v>
      </c>
      <c r="AB391" s="3" t="str" cm="1">
        <f t="array" ref="AB391">_xlfn.IFS(AA391="N","No",  AA391 = "Y", "Yes", TRUE, PROPER(TRIM(AA391)))</f>
        <v>Yes</v>
      </c>
      <c r="AC391" s="3">
        <v>4</v>
      </c>
      <c r="AD391" s="3" t="s">
        <v>46</v>
      </c>
      <c r="AE391">
        <f t="shared" si="27"/>
        <v>1</v>
      </c>
    </row>
    <row r="392" spans="1:31" ht="14.25" customHeight="1" x14ac:dyDescent="0.35">
      <c r="A392" s="3" t="s">
        <v>891</v>
      </c>
      <c r="B392" s="3" t="s">
        <v>140</v>
      </c>
      <c r="C392" s="3" t="s">
        <v>403</v>
      </c>
      <c r="D392" s="3">
        <v>50</v>
      </c>
      <c r="E392" s="3">
        <f t="shared" si="24"/>
        <v>50</v>
      </c>
      <c r="F392" s="3">
        <v>1974</v>
      </c>
      <c r="G392" s="3">
        <v>65000</v>
      </c>
      <c r="H392" s="12" cm="1">
        <f t="array" ref="H392">_xlfn.IFS(TRIM(G392)="SIXTY THOUSAND",60000,TRIM(G392)="NAN",AVERAGEIFS(G:G,J:J,J392,L:L,L392),TRUE,G392)</f>
        <v>65000</v>
      </c>
      <c r="I392" s="3" t="s">
        <v>38</v>
      </c>
      <c r="J392" s="3" t="s">
        <v>64</v>
      </c>
      <c r="K392" s="3" t="str">
        <f t="shared" si="25"/>
        <v>Finance</v>
      </c>
      <c r="L392" s="3" t="s">
        <v>29</v>
      </c>
      <c r="M392" s="4">
        <v>43800</v>
      </c>
      <c r="N392" s="4">
        <v>43800</v>
      </c>
      <c r="O392" s="3" t="s">
        <v>30</v>
      </c>
      <c r="P392" s="3">
        <v>65</v>
      </c>
      <c r="Q392" s="3" t="s">
        <v>892</v>
      </c>
      <c r="R392" s="3" t="s">
        <v>54</v>
      </c>
      <c r="S392" s="3" t="s">
        <v>32</v>
      </c>
      <c r="T392" s="3" t="str">
        <f t="shared" si="26"/>
        <v>Contract</v>
      </c>
      <c r="V392" s="3">
        <v>7</v>
      </c>
      <c r="Z392" s="3">
        <v>65</v>
      </c>
      <c r="AB392" s="3" t="str" cm="1">
        <f t="array" ref="AB392">_xlfn.IFS(AA392="N","No",  AA392 = "Y", "Yes", TRUE, PROPER(TRIM(AA392)))</f>
        <v/>
      </c>
      <c r="AC392" s="3">
        <v>3</v>
      </c>
      <c r="AD392" s="3" t="s">
        <v>34</v>
      </c>
      <c r="AE392">
        <f t="shared" si="27"/>
        <v>0</v>
      </c>
    </row>
    <row r="393" spans="1:31" ht="14.25" customHeight="1" x14ac:dyDescent="0.35">
      <c r="A393" s="3" t="s">
        <v>893</v>
      </c>
      <c r="B393" s="3" t="s">
        <v>56</v>
      </c>
      <c r="C393" s="3" t="s">
        <v>295</v>
      </c>
      <c r="E393" s="3">
        <f t="shared" si="24"/>
        <v>26</v>
      </c>
      <c r="F393" s="3">
        <v>1998</v>
      </c>
      <c r="G393" s="3">
        <v>55000</v>
      </c>
      <c r="H393" s="12" cm="1">
        <f t="array" ref="H393">_xlfn.IFS(TRIM(G393)="SIXTY THOUSAND",60000,TRIM(G393)="NAN",AVERAGEIFS(G:G,J:J,J393,L:L,L393),TRUE,G393)</f>
        <v>55000</v>
      </c>
      <c r="I393" s="3" t="s">
        <v>38</v>
      </c>
      <c r="J393" s="3" t="s">
        <v>64</v>
      </c>
      <c r="K393" s="3" t="str">
        <f t="shared" si="25"/>
        <v>Finance</v>
      </c>
      <c r="L393" s="3" t="s">
        <v>77</v>
      </c>
      <c r="M393" s="4">
        <v>43881</v>
      </c>
      <c r="N393" s="4">
        <v>43881</v>
      </c>
      <c r="O393" s="3" t="s">
        <v>59</v>
      </c>
      <c r="P393" s="3">
        <v>90</v>
      </c>
      <c r="Q393" s="3" t="s">
        <v>894</v>
      </c>
      <c r="R393" s="3" t="s">
        <v>43</v>
      </c>
      <c r="S393" s="3" t="s">
        <v>100</v>
      </c>
      <c r="T393" s="3" t="str">
        <f t="shared" si="26"/>
        <v>Part-Time</v>
      </c>
      <c r="V393" s="3">
        <v>5</v>
      </c>
      <c r="Z393" s="3">
        <v>9</v>
      </c>
      <c r="AA393" s="3" t="s">
        <v>45</v>
      </c>
      <c r="AB393" s="3" t="str" cm="1">
        <f t="array" ref="AB393">_xlfn.IFS(AA393="N","No",  AA393 = "Y", "Yes", TRUE, PROPER(TRIM(AA393)))</f>
        <v>No</v>
      </c>
      <c r="AC393" s="3">
        <v>3</v>
      </c>
      <c r="AD393" s="3" t="s">
        <v>34</v>
      </c>
      <c r="AE393">
        <f t="shared" si="27"/>
        <v>0</v>
      </c>
    </row>
    <row r="394" spans="1:31" ht="14.25" customHeight="1" x14ac:dyDescent="0.35">
      <c r="A394" s="3" t="s">
        <v>895</v>
      </c>
      <c r="B394" s="3" t="s">
        <v>131</v>
      </c>
      <c r="C394" s="3" t="s">
        <v>108</v>
      </c>
      <c r="D394" s="3">
        <v>40</v>
      </c>
      <c r="E394" s="3">
        <f t="shared" si="24"/>
        <v>40</v>
      </c>
      <c r="F394" s="3">
        <v>1984</v>
      </c>
      <c r="G394" s="3">
        <v>70000</v>
      </c>
      <c r="H394" s="12" cm="1">
        <f t="array" ref="H394">_xlfn.IFS(TRIM(G394)="SIXTY THOUSAND",60000,TRIM(G394)="NAN",AVERAGEIFS(G:G,J:J,J394,L:L,L394),TRUE,G394)</f>
        <v>70000</v>
      </c>
      <c r="I394" s="3" t="s">
        <v>38</v>
      </c>
      <c r="J394" s="3" t="s">
        <v>145</v>
      </c>
      <c r="K394" s="3" t="str">
        <f t="shared" si="25"/>
        <v>Sales</v>
      </c>
      <c r="L394" s="3" t="s">
        <v>40</v>
      </c>
      <c r="M394" s="4">
        <v>43845</v>
      </c>
      <c r="N394" s="4">
        <v>43845</v>
      </c>
      <c r="O394" s="3" t="s">
        <v>41</v>
      </c>
      <c r="P394" s="3">
        <v>8</v>
      </c>
      <c r="Q394" s="3" t="s">
        <v>896</v>
      </c>
      <c r="S394" s="3" t="s">
        <v>44</v>
      </c>
      <c r="T394" s="3" t="str">
        <f t="shared" si="26"/>
        <v>Full-Time</v>
      </c>
      <c r="U394" s="3" t="s">
        <v>897</v>
      </c>
      <c r="V394" s="3">
        <v>5</v>
      </c>
      <c r="W394" s="3">
        <v>9</v>
      </c>
      <c r="X394" s="3">
        <v>13</v>
      </c>
      <c r="Y394" s="4">
        <v>44732</v>
      </c>
      <c r="Z394" s="3">
        <v>35</v>
      </c>
      <c r="AA394" s="3" t="s">
        <v>482</v>
      </c>
      <c r="AB394" s="3" t="str" cm="1">
        <f t="array" ref="AB394">_xlfn.IFS(AA394="N","No",  AA394 = "Y", "Yes", TRUE, PROPER(TRIM(AA394)))</f>
        <v>Yes</v>
      </c>
      <c r="AC394" s="3">
        <v>3</v>
      </c>
      <c r="AD394" s="3" t="s">
        <v>46</v>
      </c>
      <c r="AE394">
        <f t="shared" si="27"/>
        <v>1</v>
      </c>
    </row>
    <row r="395" spans="1:31" ht="14.25" customHeight="1" x14ac:dyDescent="0.35">
      <c r="A395" s="3" t="s">
        <v>898</v>
      </c>
      <c r="B395" s="3" t="s">
        <v>68</v>
      </c>
      <c r="C395" s="3" t="s">
        <v>395</v>
      </c>
      <c r="D395" s="3">
        <v>50</v>
      </c>
      <c r="E395" s="3">
        <f t="shared" si="24"/>
        <v>50</v>
      </c>
      <c r="F395" s="3">
        <v>1974</v>
      </c>
      <c r="G395" s="3">
        <v>65000</v>
      </c>
      <c r="H395" s="12" cm="1">
        <f t="array" ref="H395">_xlfn.IFS(TRIM(G395)="SIXTY THOUSAND",60000,TRIM(G395)="NAN",AVERAGEIFS(G:G,J:J,J395,L:L,L395),TRUE,G395)</f>
        <v>65000</v>
      </c>
      <c r="I395" s="3" t="s">
        <v>27</v>
      </c>
      <c r="J395" s="3" t="s">
        <v>64</v>
      </c>
      <c r="K395" s="3" t="str">
        <f t="shared" si="25"/>
        <v>Finance</v>
      </c>
      <c r="L395" s="3" t="s">
        <v>77</v>
      </c>
      <c r="M395" s="4">
        <v>43881</v>
      </c>
      <c r="N395" s="4">
        <v>43881</v>
      </c>
      <c r="O395" s="3" t="s">
        <v>52</v>
      </c>
      <c r="P395" s="3">
        <v>78</v>
      </c>
      <c r="Q395" s="3" t="s">
        <v>899</v>
      </c>
      <c r="R395" s="3" t="s">
        <v>61</v>
      </c>
      <c r="S395" s="3" t="s">
        <v>32</v>
      </c>
      <c r="T395" s="3" t="str">
        <f t="shared" si="26"/>
        <v>Contract</v>
      </c>
      <c r="V395" s="3">
        <v>3</v>
      </c>
      <c r="X395" s="3">
        <v>7</v>
      </c>
      <c r="Y395" s="4">
        <v>44941</v>
      </c>
      <c r="Z395" s="3">
        <v>23</v>
      </c>
      <c r="AA395" s="3" t="s">
        <v>46</v>
      </c>
      <c r="AB395" s="3" t="str" cm="1">
        <f t="array" ref="AB395">_xlfn.IFS(AA395="N","No",  AA395 = "Y", "Yes", TRUE, PROPER(TRIM(AA395)))</f>
        <v>Yes</v>
      </c>
      <c r="AC395" s="3">
        <v>4</v>
      </c>
      <c r="AD395" s="3" t="s">
        <v>46</v>
      </c>
      <c r="AE395">
        <f t="shared" si="27"/>
        <v>1</v>
      </c>
    </row>
    <row r="396" spans="1:31" ht="14.25" customHeight="1" x14ac:dyDescent="0.35">
      <c r="A396" s="3" t="s">
        <v>900</v>
      </c>
      <c r="B396" s="3" t="s">
        <v>68</v>
      </c>
      <c r="C396" s="3" t="s">
        <v>247</v>
      </c>
      <c r="D396" s="3">
        <v>25</v>
      </c>
      <c r="E396" s="3">
        <f t="shared" si="24"/>
        <v>25</v>
      </c>
      <c r="F396" s="3">
        <v>1999</v>
      </c>
      <c r="G396" s="3" t="s">
        <v>859</v>
      </c>
      <c r="H396" s="12" cm="1">
        <f t="array" ref="H396">_xlfn.IFS(TRIM(G396)="SIXTY THOUSAND",60000,TRIM(G396)="NAN",AVERAGEIFS(G:G,J:J,J396,L:L,L396),TRUE,G396)</f>
        <v>60000</v>
      </c>
      <c r="I396" s="3" t="s">
        <v>27</v>
      </c>
      <c r="J396" s="3" t="s">
        <v>93</v>
      </c>
      <c r="K396" s="3" t="str">
        <f t="shared" si="25"/>
        <v>Marketing</v>
      </c>
      <c r="L396" s="3" t="s">
        <v>29</v>
      </c>
      <c r="M396" s="4">
        <v>43845</v>
      </c>
      <c r="N396" s="4">
        <v>43845</v>
      </c>
      <c r="O396" s="3" t="s">
        <v>41</v>
      </c>
      <c r="P396" s="3">
        <v>40</v>
      </c>
      <c r="Q396" s="3" t="s">
        <v>901</v>
      </c>
      <c r="S396" s="3" t="s">
        <v>66</v>
      </c>
      <c r="T396" s="3" t="str">
        <f t="shared" si="26"/>
        <v>Contract</v>
      </c>
      <c r="V396" s="3">
        <v>3</v>
      </c>
      <c r="AB396" s="3" t="str" cm="1">
        <f t="array" ref="AB396">_xlfn.IFS(AA396="N","No",  AA396 = "Y", "Yes", TRUE, PROPER(TRIM(AA396)))</f>
        <v/>
      </c>
      <c r="AC396" s="3">
        <v>1</v>
      </c>
      <c r="AD396" s="3" t="s">
        <v>34</v>
      </c>
      <c r="AE396">
        <f t="shared" si="27"/>
        <v>0</v>
      </c>
    </row>
    <row r="397" spans="1:31" ht="14.25" customHeight="1" x14ac:dyDescent="0.35">
      <c r="A397" s="3" t="s">
        <v>902</v>
      </c>
      <c r="B397" s="3" t="s">
        <v>131</v>
      </c>
      <c r="C397" s="3" t="s">
        <v>285</v>
      </c>
      <c r="D397" s="3">
        <v>40</v>
      </c>
      <c r="E397" s="3">
        <f t="shared" si="24"/>
        <v>40</v>
      </c>
      <c r="F397" s="3">
        <v>1984</v>
      </c>
      <c r="G397" s="3">
        <v>70000</v>
      </c>
      <c r="H397" s="12" cm="1">
        <f t="array" ref="H397">_xlfn.IFS(TRIM(G397)="SIXTY THOUSAND",60000,TRIM(G397)="NAN",AVERAGEIFS(G:G,J:J,J397,L:L,L397),TRUE,G397)</f>
        <v>70000</v>
      </c>
      <c r="I397" s="3" t="s">
        <v>27</v>
      </c>
      <c r="J397" s="3" t="s">
        <v>58</v>
      </c>
      <c r="K397" s="3" t="str">
        <f t="shared" si="25"/>
        <v>IT</v>
      </c>
      <c r="L397" s="3" t="s">
        <v>89</v>
      </c>
      <c r="M397" s="4">
        <v>43549</v>
      </c>
      <c r="N397" s="4">
        <v>43549</v>
      </c>
      <c r="O397" s="3" t="s">
        <v>52</v>
      </c>
      <c r="P397" s="3">
        <v>71</v>
      </c>
      <c r="Q397" t="str">
        <f>LOWER(_xlfn.CONCAT(B397,".",C397,"@saltcorp.com"))</f>
        <v>alice.lee@saltcorp.com</v>
      </c>
      <c r="R397" s="3" t="s">
        <v>54</v>
      </c>
      <c r="S397" s="3" t="s">
        <v>44</v>
      </c>
      <c r="T397" s="3" t="str">
        <f t="shared" si="26"/>
        <v>Full-Time</v>
      </c>
      <c r="V397" s="3">
        <v>5</v>
      </c>
      <c r="AA397" s="3" t="s">
        <v>73</v>
      </c>
      <c r="AB397" s="3" t="str" cm="1">
        <f t="array" ref="AB397">_xlfn.IFS(AA397="N","No",  AA397 = "Y", "Yes", TRUE, PROPER(TRIM(AA397)))</f>
        <v>No</v>
      </c>
      <c r="AC397" s="3">
        <v>2</v>
      </c>
      <c r="AD397" s="3" t="s">
        <v>34</v>
      </c>
      <c r="AE397">
        <f t="shared" si="27"/>
        <v>0</v>
      </c>
    </row>
    <row r="398" spans="1:31" ht="14.25" customHeight="1" x14ac:dyDescent="0.35">
      <c r="A398" s="3" t="s">
        <v>903</v>
      </c>
      <c r="B398" s="3" t="s">
        <v>114</v>
      </c>
      <c r="C398" s="3" t="s">
        <v>540</v>
      </c>
      <c r="D398" s="3">
        <v>50</v>
      </c>
      <c r="E398" s="3">
        <f t="shared" si="24"/>
        <v>50</v>
      </c>
      <c r="F398" s="3">
        <v>1974</v>
      </c>
      <c r="G398" s="3" t="s">
        <v>50</v>
      </c>
      <c r="H398" s="12" cm="1">
        <f t="array" ref="H398">_xlfn.IFS(TRIM(G398)="SIXTY THOUSAND",60000,TRIM(G398)="NAN",AVERAGEIFS(G:G,J:J,J398,L:L,L398),TRUE,G398)</f>
        <v>60000</v>
      </c>
      <c r="I398" s="3" t="s">
        <v>27</v>
      </c>
      <c r="J398" s="3" t="s">
        <v>28</v>
      </c>
      <c r="K398" s="3" t="str">
        <f t="shared" si="25"/>
        <v>HR</v>
      </c>
      <c r="L398" s="3" t="s">
        <v>77</v>
      </c>
      <c r="M398" s="4">
        <v>43195</v>
      </c>
      <c r="N398" s="4">
        <v>43195</v>
      </c>
      <c r="O398" s="3" t="s">
        <v>78</v>
      </c>
      <c r="P398" s="3">
        <v>83</v>
      </c>
      <c r="Q398" s="3" t="s">
        <v>541</v>
      </c>
      <c r="S398" s="3" t="s">
        <v>44</v>
      </c>
      <c r="T398" s="3" t="str">
        <f t="shared" si="26"/>
        <v>Full-Time</v>
      </c>
      <c r="V398" s="3">
        <v>1</v>
      </c>
      <c r="AA398" s="3" t="s">
        <v>169</v>
      </c>
      <c r="AB398" s="3" t="str" cm="1">
        <f t="array" ref="AB398">_xlfn.IFS(AA398="N","No",  AA398 = "Y", "Yes", TRUE, PROPER(TRIM(AA398)))</f>
        <v>Yes</v>
      </c>
      <c r="AC398" s="3">
        <v>2</v>
      </c>
      <c r="AD398" s="3" t="s">
        <v>46</v>
      </c>
      <c r="AE398">
        <f t="shared" si="27"/>
        <v>1</v>
      </c>
    </row>
    <row r="399" spans="1:31" ht="14.25" customHeight="1" x14ac:dyDescent="0.35">
      <c r="A399" s="3" t="s">
        <v>904</v>
      </c>
      <c r="B399" s="3" t="s">
        <v>107</v>
      </c>
      <c r="C399" s="3" t="s">
        <v>338</v>
      </c>
      <c r="D399" s="3">
        <v>40</v>
      </c>
      <c r="E399" s="3">
        <f t="shared" si="24"/>
        <v>40</v>
      </c>
      <c r="F399" s="3">
        <v>1984</v>
      </c>
      <c r="G399" s="3" t="s">
        <v>859</v>
      </c>
      <c r="H399" s="12" cm="1">
        <f t="array" ref="H399">_xlfn.IFS(TRIM(G399)="SIXTY THOUSAND",60000,TRIM(G399)="NAN",AVERAGEIFS(G:G,J:J,J399,L:L,L399),TRUE,G399)</f>
        <v>63892.857142857145</v>
      </c>
      <c r="I399" s="3" t="s">
        <v>38</v>
      </c>
      <c r="J399" s="3" t="s">
        <v>145</v>
      </c>
      <c r="K399" s="3" t="str">
        <f t="shared" si="25"/>
        <v>Sales</v>
      </c>
      <c r="L399" s="3" t="s">
        <v>40</v>
      </c>
      <c r="M399" s="4">
        <v>43881</v>
      </c>
      <c r="N399" s="4">
        <v>43881</v>
      </c>
      <c r="O399" s="3" t="s">
        <v>30</v>
      </c>
      <c r="P399" s="3">
        <v>68</v>
      </c>
      <c r="Q399" t="str">
        <f>LOWER(_xlfn.CONCAT(B399,".",C399,"@saltcorp.com"))</f>
        <v>frank.aguilar@saltcorp.com</v>
      </c>
      <c r="R399" s="3" t="s">
        <v>54</v>
      </c>
      <c r="S399" s="3" t="s">
        <v>100</v>
      </c>
      <c r="T399" s="3" t="str">
        <f t="shared" si="26"/>
        <v>Part-Time</v>
      </c>
      <c r="V399" s="3">
        <v>6</v>
      </c>
      <c r="X399" s="3">
        <v>12</v>
      </c>
      <c r="Y399" s="4">
        <v>45516</v>
      </c>
      <c r="AA399" s="3" t="s">
        <v>34</v>
      </c>
      <c r="AB399" s="3" t="str" cm="1">
        <f t="array" ref="AB399">_xlfn.IFS(AA399="N","No",  AA399 = "Y", "Yes", TRUE, PROPER(TRIM(AA399)))</f>
        <v>No</v>
      </c>
      <c r="AC399" s="3">
        <v>4</v>
      </c>
      <c r="AD399" s="3" t="s">
        <v>34</v>
      </c>
      <c r="AE399">
        <f t="shared" si="27"/>
        <v>0</v>
      </c>
    </row>
    <row r="400" spans="1:31" ht="14.25" customHeight="1" x14ac:dyDescent="0.35">
      <c r="A400" s="3" t="s">
        <v>905</v>
      </c>
      <c r="B400" s="3" t="s">
        <v>140</v>
      </c>
      <c r="C400" s="3" t="s">
        <v>436</v>
      </c>
      <c r="E400" s="3">
        <f t="shared" si="24"/>
        <v>28</v>
      </c>
      <c r="F400" s="3">
        <v>1996</v>
      </c>
      <c r="G400" s="3">
        <v>55000</v>
      </c>
      <c r="H400" s="12" cm="1">
        <f t="array" ref="H400">_xlfn.IFS(TRIM(G400)="SIXTY THOUSAND",60000,TRIM(G400)="NAN",AVERAGEIFS(G:G,J:J,J400,L:L,L400),TRUE,G400)</f>
        <v>55000</v>
      </c>
      <c r="I400" s="3" t="s">
        <v>38</v>
      </c>
      <c r="J400" s="3" t="s">
        <v>70</v>
      </c>
      <c r="K400" s="3" t="str">
        <f t="shared" si="25"/>
        <v>Marketing</v>
      </c>
      <c r="L400" s="3" t="s">
        <v>77</v>
      </c>
      <c r="M400" s="4">
        <v>43800</v>
      </c>
      <c r="N400" s="4">
        <v>43800</v>
      </c>
      <c r="O400" s="3" t="s">
        <v>59</v>
      </c>
      <c r="P400" s="3">
        <v>98</v>
      </c>
      <c r="Q400" s="3" t="s">
        <v>437</v>
      </c>
      <c r="R400" s="3" t="s">
        <v>43</v>
      </c>
      <c r="S400" s="3" t="s">
        <v>112</v>
      </c>
      <c r="T400" s="3" t="str">
        <f t="shared" si="26"/>
        <v>Full-Time</v>
      </c>
      <c r="V400" s="3">
        <v>8</v>
      </c>
      <c r="W400" s="3">
        <v>3</v>
      </c>
      <c r="X400" s="3">
        <v>13</v>
      </c>
      <c r="AA400" s="3" t="s">
        <v>33</v>
      </c>
      <c r="AB400" s="3" t="str" cm="1">
        <f t="array" ref="AB400">_xlfn.IFS(AA400="N","No",  AA400 = "Y", "Yes", TRUE, PROPER(TRIM(AA400)))</f>
        <v>Yes</v>
      </c>
      <c r="AC400" s="3">
        <v>4</v>
      </c>
      <c r="AD400" s="3" t="s">
        <v>34</v>
      </c>
      <c r="AE400">
        <f t="shared" si="27"/>
        <v>0</v>
      </c>
    </row>
    <row r="401" spans="1:31" ht="14.25" customHeight="1" x14ac:dyDescent="0.35">
      <c r="A401" s="3" t="s">
        <v>906</v>
      </c>
      <c r="B401" s="3" t="s">
        <v>48</v>
      </c>
      <c r="C401" s="3" t="s">
        <v>141</v>
      </c>
      <c r="D401" s="3">
        <v>25</v>
      </c>
      <c r="E401" s="3">
        <f t="shared" si="24"/>
        <v>25</v>
      </c>
      <c r="F401" s="3">
        <v>1999</v>
      </c>
      <c r="G401" s="3">
        <v>65000</v>
      </c>
      <c r="H401" s="12" cm="1">
        <f t="array" ref="H401">_xlfn.IFS(TRIM(G401)="SIXTY THOUSAND",60000,TRIM(G401)="NAN",AVERAGEIFS(G:G,J:J,J401,L:L,L401),TRUE,G401)</f>
        <v>65000</v>
      </c>
      <c r="I401" s="3" t="s">
        <v>38</v>
      </c>
      <c r="J401" s="3" t="s">
        <v>28</v>
      </c>
      <c r="K401" s="3" t="str">
        <f t="shared" si="25"/>
        <v>HR</v>
      </c>
      <c r="L401" s="3" t="s">
        <v>94</v>
      </c>
      <c r="M401" s="4">
        <v>43549</v>
      </c>
      <c r="N401" s="4">
        <v>43549</v>
      </c>
      <c r="O401" s="3" t="s">
        <v>30</v>
      </c>
      <c r="P401" s="3">
        <v>65</v>
      </c>
      <c r="Q401" t="str">
        <f>LOWER(_xlfn.CONCAT(B401,".",C401,"@saltcorp.com"))</f>
        <v>hannah.olson@saltcorp.com</v>
      </c>
      <c r="R401" s="3" t="s">
        <v>54</v>
      </c>
      <c r="S401" s="3" t="s">
        <v>100</v>
      </c>
      <c r="T401" s="3" t="str">
        <f t="shared" si="26"/>
        <v>Part-Time</v>
      </c>
      <c r="U401" s="3" t="s">
        <v>907</v>
      </c>
      <c r="V401" s="3">
        <v>3</v>
      </c>
      <c r="Y401" s="4">
        <v>45516</v>
      </c>
      <c r="Z401" s="3">
        <v>49</v>
      </c>
      <c r="AA401" s="3" t="s">
        <v>45</v>
      </c>
      <c r="AB401" s="3" t="str" cm="1">
        <f t="array" ref="AB401">_xlfn.IFS(AA401="N","No",  AA401 = "Y", "Yes", TRUE, PROPER(TRIM(AA401)))</f>
        <v>No</v>
      </c>
      <c r="AC401" s="3">
        <v>2</v>
      </c>
      <c r="AD401" s="3" t="s">
        <v>46</v>
      </c>
      <c r="AE401">
        <f t="shared" si="27"/>
        <v>1</v>
      </c>
    </row>
    <row r="402" spans="1:31" ht="14.25" customHeight="1" x14ac:dyDescent="0.35">
      <c r="A402" s="3" t="s">
        <v>908</v>
      </c>
      <c r="B402" s="3" t="s">
        <v>56</v>
      </c>
      <c r="C402" s="3" t="s">
        <v>496</v>
      </c>
      <c r="E402" s="3">
        <f t="shared" si="24"/>
        <v>24</v>
      </c>
      <c r="F402" s="3">
        <v>2000</v>
      </c>
      <c r="G402" s="3" t="s">
        <v>50</v>
      </c>
      <c r="H402" s="12" cm="1">
        <f t="array" ref="H402">_xlfn.IFS(TRIM(G402)="SIXTY THOUSAND",60000,TRIM(G402)="NAN",AVERAGEIFS(G:G,J:J,J402,L:L,L402),TRUE,G402)</f>
        <v>60000</v>
      </c>
      <c r="I402" s="3" t="s">
        <v>38</v>
      </c>
      <c r="J402" s="3" t="s">
        <v>28</v>
      </c>
      <c r="K402" s="3" t="str">
        <f t="shared" si="25"/>
        <v>HR</v>
      </c>
      <c r="L402" s="3" t="s">
        <v>77</v>
      </c>
      <c r="M402" s="4">
        <v>43845</v>
      </c>
      <c r="N402" s="4">
        <v>43845</v>
      </c>
      <c r="O402" s="3" t="s">
        <v>59</v>
      </c>
      <c r="P402" s="3">
        <v>90</v>
      </c>
      <c r="Q402" s="3" t="s">
        <v>909</v>
      </c>
      <c r="R402" s="3" t="s">
        <v>54</v>
      </c>
      <c r="S402" s="3" t="s">
        <v>174</v>
      </c>
      <c r="T402" s="3" t="str">
        <f t="shared" si="26"/>
        <v>Full-Time</v>
      </c>
      <c r="U402" s="3" t="s">
        <v>910</v>
      </c>
      <c r="V402" s="3">
        <v>1</v>
      </c>
      <c r="Y402" s="4">
        <v>44941</v>
      </c>
      <c r="Z402" s="3">
        <v>55</v>
      </c>
      <c r="AA402" s="3" t="s">
        <v>33</v>
      </c>
      <c r="AB402" s="3" t="str" cm="1">
        <f t="array" ref="AB402">_xlfn.IFS(AA402="N","No",  AA402 = "Y", "Yes", TRUE, PROPER(TRIM(AA402)))</f>
        <v>Yes</v>
      </c>
      <c r="AC402" s="3">
        <v>5</v>
      </c>
      <c r="AD402" s="3" t="s">
        <v>34</v>
      </c>
      <c r="AE402">
        <f t="shared" si="27"/>
        <v>0</v>
      </c>
    </row>
    <row r="403" spans="1:31" ht="14.25" customHeight="1" x14ac:dyDescent="0.35">
      <c r="A403" s="3" t="s">
        <v>911</v>
      </c>
      <c r="B403" s="3" t="s">
        <v>131</v>
      </c>
      <c r="C403" s="3" t="s">
        <v>49</v>
      </c>
      <c r="D403" s="3">
        <v>25</v>
      </c>
      <c r="E403" s="3">
        <f t="shared" si="24"/>
        <v>25</v>
      </c>
      <c r="F403" s="3">
        <v>1999</v>
      </c>
      <c r="G403" s="3" t="s">
        <v>50</v>
      </c>
      <c r="H403" s="12" cm="1">
        <f t="array" ref="H403">_xlfn.IFS(TRIM(G403)="SIXTY THOUSAND",60000,TRIM(G403)="NAN",AVERAGEIFS(G:G,J:J,J403,L:L,L403),TRUE,G403)</f>
        <v>60000</v>
      </c>
      <c r="I403" s="3" t="s">
        <v>38</v>
      </c>
      <c r="J403" s="3" t="s">
        <v>51</v>
      </c>
      <c r="K403" s="3" t="str">
        <f t="shared" si="25"/>
        <v>Sales</v>
      </c>
      <c r="L403" s="3" t="s">
        <v>29</v>
      </c>
      <c r="M403" s="4">
        <v>43881</v>
      </c>
      <c r="N403" s="4">
        <v>43881</v>
      </c>
      <c r="O403" s="3" t="s">
        <v>41</v>
      </c>
      <c r="P403" s="3">
        <v>57</v>
      </c>
      <c r="Q403" s="3" t="s">
        <v>912</v>
      </c>
      <c r="R403" s="3" t="s">
        <v>61</v>
      </c>
      <c r="S403" s="3" t="s">
        <v>100</v>
      </c>
      <c r="T403" s="3" t="str">
        <f t="shared" si="26"/>
        <v>Part-Time</v>
      </c>
      <c r="V403" s="3">
        <v>3</v>
      </c>
      <c r="Z403" s="3">
        <v>42</v>
      </c>
      <c r="AA403" s="3" t="s">
        <v>33</v>
      </c>
      <c r="AB403" s="3" t="str" cm="1">
        <f t="array" ref="AB403">_xlfn.IFS(AA403="N","No",  AA403 = "Y", "Yes", TRUE, PROPER(TRIM(AA403)))</f>
        <v>Yes</v>
      </c>
      <c r="AC403" s="3">
        <v>4</v>
      </c>
      <c r="AD403" s="3" t="s">
        <v>34</v>
      </c>
      <c r="AE403">
        <f t="shared" si="27"/>
        <v>0</v>
      </c>
    </row>
    <row r="404" spans="1:31" ht="14.25" customHeight="1" x14ac:dyDescent="0.35">
      <c r="A404" s="3" t="s">
        <v>913</v>
      </c>
      <c r="B404" s="3" t="s">
        <v>25</v>
      </c>
      <c r="C404" s="3" t="s">
        <v>914</v>
      </c>
      <c r="D404" s="3" t="s">
        <v>88</v>
      </c>
      <c r="E404" s="3">
        <f t="shared" si="24"/>
        <v>30</v>
      </c>
      <c r="F404" s="3">
        <v>1994</v>
      </c>
      <c r="G404" s="3">
        <v>70000</v>
      </c>
      <c r="H404" s="12" cm="1">
        <f t="array" ref="H404">_xlfn.IFS(TRIM(G404)="SIXTY THOUSAND",60000,TRIM(G404)="NAN",AVERAGEIFS(G:G,J:J,J404,L:L,L404),TRUE,G404)</f>
        <v>70000</v>
      </c>
      <c r="I404" s="3" t="s">
        <v>38</v>
      </c>
      <c r="J404" s="3" t="s">
        <v>70</v>
      </c>
      <c r="K404" s="3" t="str">
        <f t="shared" si="25"/>
        <v>Marketing</v>
      </c>
      <c r="L404" s="3" t="s">
        <v>89</v>
      </c>
      <c r="M404" s="4">
        <v>43845</v>
      </c>
      <c r="N404" s="4">
        <v>43845</v>
      </c>
      <c r="O404" s="3" t="s">
        <v>41</v>
      </c>
      <c r="P404" s="3">
        <v>44</v>
      </c>
      <c r="Q404" s="3" t="s">
        <v>915</v>
      </c>
      <c r="S404" s="3" t="s">
        <v>72</v>
      </c>
      <c r="T404" s="3" t="str">
        <f t="shared" si="26"/>
        <v>Part-Time</v>
      </c>
      <c r="U404" s="3" t="s">
        <v>916</v>
      </c>
      <c r="V404" s="3">
        <v>6</v>
      </c>
      <c r="X404" s="3">
        <v>12</v>
      </c>
      <c r="Z404" s="3">
        <v>47</v>
      </c>
      <c r="AA404" s="3" t="s">
        <v>73</v>
      </c>
      <c r="AB404" s="3" t="str" cm="1">
        <f t="array" ref="AB404">_xlfn.IFS(AA404="N","No",  AA404 = "Y", "Yes", TRUE, PROPER(TRIM(AA404)))</f>
        <v>No</v>
      </c>
      <c r="AC404" s="3">
        <v>5</v>
      </c>
      <c r="AD404" s="3" t="s">
        <v>46</v>
      </c>
      <c r="AE404">
        <f t="shared" si="27"/>
        <v>1</v>
      </c>
    </row>
    <row r="405" spans="1:31" ht="14.25" customHeight="1" x14ac:dyDescent="0.35">
      <c r="A405" s="3" t="s">
        <v>917</v>
      </c>
      <c r="B405" s="3" t="s">
        <v>56</v>
      </c>
      <c r="C405" s="3" t="s">
        <v>612</v>
      </c>
      <c r="D405" s="3">
        <v>50</v>
      </c>
      <c r="E405" s="3">
        <f t="shared" si="24"/>
        <v>50</v>
      </c>
      <c r="F405" s="3">
        <v>1974</v>
      </c>
      <c r="G405" s="3" t="s">
        <v>50</v>
      </c>
      <c r="H405" s="12" cm="1">
        <f t="array" ref="H405">_xlfn.IFS(TRIM(G405)="SIXTY THOUSAND",60000,TRIM(G405)="NAN",AVERAGEIFS(G:G,J:J,J405,L:L,L405),TRUE,G405)</f>
        <v>60000</v>
      </c>
      <c r="I405" s="3" t="s">
        <v>38</v>
      </c>
      <c r="J405" s="3" t="s">
        <v>28</v>
      </c>
      <c r="K405" s="3" t="str">
        <f t="shared" si="25"/>
        <v>HR</v>
      </c>
      <c r="L405" s="3" t="s">
        <v>89</v>
      </c>
      <c r="M405" s="4">
        <v>43845</v>
      </c>
      <c r="N405" s="4">
        <v>43845</v>
      </c>
      <c r="O405" s="3" t="s">
        <v>59</v>
      </c>
      <c r="P405" s="3">
        <v>97</v>
      </c>
      <c r="Q405" t="str">
        <f>LOWER(_xlfn.CONCAT(B405,".",C405,"@saltcorp.com"))</f>
        <v>eve.carter@saltcorp.com</v>
      </c>
      <c r="R405" s="3" t="s">
        <v>61</v>
      </c>
      <c r="S405" s="3" t="s">
        <v>44</v>
      </c>
      <c r="T405" s="3" t="str">
        <f t="shared" si="26"/>
        <v>Full-Time</v>
      </c>
      <c r="U405" s="3" t="s">
        <v>567</v>
      </c>
      <c r="V405" s="3">
        <v>1</v>
      </c>
      <c r="W405" s="3" t="s">
        <v>79</v>
      </c>
      <c r="Y405" s="4">
        <v>44470</v>
      </c>
      <c r="AA405" s="3" t="s">
        <v>45</v>
      </c>
      <c r="AB405" s="3" t="str" cm="1">
        <f t="array" ref="AB405">_xlfn.IFS(AA405="N","No",  AA405 = "Y", "Yes", TRUE, PROPER(TRIM(AA405)))</f>
        <v>No</v>
      </c>
      <c r="AC405" s="3">
        <v>4</v>
      </c>
      <c r="AD405" s="3" t="s">
        <v>34</v>
      </c>
      <c r="AE405">
        <f t="shared" si="27"/>
        <v>0</v>
      </c>
    </row>
    <row r="406" spans="1:31" ht="14.25" customHeight="1" x14ac:dyDescent="0.35">
      <c r="A406" s="3" t="s">
        <v>918</v>
      </c>
      <c r="B406" s="3" t="s">
        <v>107</v>
      </c>
      <c r="C406" s="3" t="s">
        <v>244</v>
      </c>
      <c r="D406" s="3">
        <v>25</v>
      </c>
      <c r="E406" s="3">
        <f t="shared" si="24"/>
        <v>25</v>
      </c>
      <c r="F406" s="3">
        <v>1999</v>
      </c>
      <c r="G406" s="3">
        <v>55000</v>
      </c>
      <c r="H406" s="12" cm="1">
        <f t="array" ref="H406">_xlfn.IFS(TRIM(G406)="SIXTY THOUSAND",60000,TRIM(G406)="NAN",AVERAGEIFS(G:G,J:J,J406,L:L,L406),TRUE,G406)</f>
        <v>55000</v>
      </c>
      <c r="I406" s="3" t="s">
        <v>27</v>
      </c>
      <c r="J406" s="3" t="s">
        <v>28</v>
      </c>
      <c r="K406" s="3" t="str">
        <f t="shared" si="25"/>
        <v>HR</v>
      </c>
      <c r="L406" s="3" t="s">
        <v>29</v>
      </c>
      <c r="M406" s="4">
        <v>43845</v>
      </c>
      <c r="N406" s="4">
        <v>43845</v>
      </c>
      <c r="O406" s="3" t="s">
        <v>30</v>
      </c>
      <c r="P406" s="3">
        <v>66</v>
      </c>
      <c r="Q406" s="3" t="s">
        <v>245</v>
      </c>
      <c r="R406" s="3" t="s">
        <v>104</v>
      </c>
      <c r="S406" s="3" t="s">
        <v>100</v>
      </c>
      <c r="T406" s="3" t="str">
        <f t="shared" si="26"/>
        <v>Part-Time</v>
      </c>
      <c r="V406" s="3">
        <v>5</v>
      </c>
      <c r="AA406" s="3" t="s">
        <v>482</v>
      </c>
      <c r="AB406" s="3" t="str" cm="1">
        <f t="array" ref="AB406">_xlfn.IFS(AA406="N","No",  AA406 = "Y", "Yes", TRUE, PROPER(TRIM(AA406)))</f>
        <v>Yes</v>
      </c>
      <c r="AC406" s="3">
        <v>1</v>
      </c>
      <c r="AD406" s="3" t="s">
        <v>34</v>
      </c>
      <c r="AE406">
        <f t="shared" si="27"/>
        <v>0</v>
      </c>
    </row>
    <row r="407" spans="1:31" ht="14.25" customHeight="1" x14ac:dyDescent="0.35">
      <c r="A407" s="3" t="s">
        <v>919</v>
      </c>
      <c r="B407" s="3" t="s">
        <v>25</v>
      </c>
      <c r="C407" s="3" t="s">
        <v>171</v>
      </c>
      <c r="E407" s="3">
        <f t="shared" si="24"/>
        <v>31</v>
      </c>
      <c r="F407" s="3">
        <v>1993</v>
      </c>
      <c r="G407" s="3">
        <v>55000</v>
      </c>
      <c r="H407" s="12" cm="1">
        <f t="array" ref="H407">_xlfn.IFS(TRIM(G407)="SIXTY THOUSAND",60000,TRIM(G407)="NAN",AVERAGEIFS(G:G,J:J,J407,L:L,L407),TRUE,G407)</f>
        <v>55000</v>
      </c>
      <c r="I407" s="3" t="s">
        <v>38</v>
      </c>
      <c r="J407" s="3" t="s">
        <v>93</v>
      </c>
      <c r="K407" s="3" t="str">
        <f t="shared" si="25"/>
        <v>Marketing</v>
      </c>
      <c r="L407" s="3" t="s">
        <v>94</v>
      </c>
      <c r="M407" s="4">
        <v>43195</v>
      </c>
      <c r="N407" s="4">
        <v>43195</v>
      </c>
      <c r="O407" s="3" t="s">
        <v>59</v>
      </c>
      <c r="P407" s="3">
        <v>92</v>
      </c>
      <c r="Q407" s="3" t="s">
        <v>172</v>
      </c>
      <c r="R407" s="3" t="s">
        <v>54</v>
      </c>
      <c r="S407" s="3" t="s">
        <v>44</v>
      </c>
      <c r="T407" s="3" t="str">
        <f t="shared" si="26"/>
        <v>Full-Time</v>
      </c>
      <c r="U407" s="3" t="s">
        <v>98</v>
      </c>
      <c r="V407" s="3">
        <v>8</v>
      </c>
      <c r="Y407" s="4">
        <v>44990</v>
      </c>
      <c r="Z407" s="3">
        <v>45</v>
      </c>
      <c r="AA407" s="3" t="s">
        <v>34</v>
      </c>
      <c r="AB407" s="3" t="str" cm="1">
        <f t="array" ref="AB407">_xlfn.IFS(AA407="N","No",  AA407 = "Y", "Yes", TRUE, PROPER(TRIM(AA407)))</f>
        <v>No</v>
      </c>
      <c r="AC407" s="3">
        <v>2</v>
      </c>
      <c r="AD407" s="3" t="s">
        <v>46</v>
      </c>
      <c r="AE407">
        <f t="shared" si="27"/>
        <v>1</v>
      </c>
    </row>
    <row r="408" spans="1:31" ht="14.25" customHeight="1" x14ac:dyDescent="0.35">
      <c r="A408" s="3" t="s">
        <v>920</v>
      </c>
      <c r="B408" s="3" t="s">
        <v>75</v>
      </c>
      <c r="C408" s="3" t="s">
        <v>137</v>
      </c>
      <c r="D408" s="3">
        <v>40</v>
      </c>
      <c r="E408" s="3">
        <f t="shared" si="24"/>
        <v>40</v>
      </c>
      <c r="F408" s="3">
        <v>1984</v>
      </c>
      <c r="G408" s="3">
        <v>50000</v>
      </c>
      <c r="H408" s="12" cm="1">
        <f t="array" ref="H408">_xlfn.IFS(TRIM(G408)="SIXTY THOUSAND",60000,TRIM(G408)="NAN",AVERAGEIFS(G:G,J:J,J408,L:L,L408),TRUE,G408)</f>
        <v>50000</v>
      </c>
      <c r="I408" s="3" t="s">
        <v>27</v>
      </c>
      <c r="J408" s="3" t="s">
        <v>39</v>
      </c>
      <c r="K408" s="3" t="str">
        <f t="shared" si="25"/>
        <v>Finance</v>
      </c>
      <c r="L408" s="3" t="s">
        <v>29</v>
      </c>
      <c r="M408" s="4">
        <v>43195</v>
      </c>
      <c r="N408" s="4">
        <v>43195</v>
      </c>
      <c r="O408" s="3" t="s">
        <v>78</v>
      </c>
      <c r="P408" s="3">
        <v>85</v>
      </c>
      <c r="Q408" t="str">
        <f>LOWER(_xlfn.CONCAT(B408,".",C408,"@saltcorp.com"))</f>
        <v>charlie.oliver@saltcorp.com</v>
      </c>
      <c r="R408" s="3" t="s">
        <v>104</v>
      </c>
      <c r="S408" s="3" t="s">
        <v>174</v>
      </c>
      <c r="T408" s="3" t="str">
        <f t="shared" si="26"/>
        <v>Full-Time</v>
      </c>
      <c r="V408" s="3">
        <v>6</v>
      </c>
      <c r="W408" s="3" t="s">
        <v>79</v>
      </c>
      <c r="X408" s="3">
        <v>9</v>
      </c>
      <c r="Y408" s="4">
        <v>45516</v>
      </c>
      <c r="AA408" s="3" t="s">
        <v>45</v>
      </c>
      <c r="AB408" s="3" t="str" cm="1">
        <f t="array" ref="AB408">_xlfn.IFS(AA408="N","No",  AA408 = "Y", "Yes", TRUE, PROPER(TRIM(AA408)))</f>
        <v>No</v>
      </c>
      <c r="AC408" s="3">
        <v>3</v>
      </c>
      <c r="AD408" s="3" t="s">
        <v>34</v>
      </c>
      <c r="AE408">
        <f t="shared" si="27"/>
        <v>0</v>
      </c>
    </row>
    <row r="409" spans="1:31" ht="14.25" customHeight="1" x14ac:dyDescent="0.35">
      <c r="A409" s="3" t="s">
        <v>921</v>
      </c>
      <c r="B409" s="3" t="s">
        <v>68</v>
      </c>
      <c r="C409" s="3" t="s">
        <v>413</v>
      </c>
      <c r="D409" s="3">
        <v>25</v>
      </c>
      <c r="E409" s="3">
        <f t="shared" si="24"/>
        <v>25</v>
      </c>
      <c r="F409" s="3">
        <v>1999</v>
      </c>
      <c r="G409" s="3">
        <v>55000</v>
      </c>
      <c r="H409" s="12" cm="1">
        <f t="array" ref="H409">_xlfn.IFS(TRIM(G409)="SIXTY THOUSAND",60000,TRIM(G409)="NAN",AVERAGEIFS(G:G,J:J,J409,L:L,L409),TRUE,G409)</f>
        <v>55000</v>
      </c>
      <c r="I409" s="3" t="s">
        <v>27</v>
      </c>
      <c r="J409" s="3" t="s">
        <v>28</v>
      </c>
      <c r="K409" s="3" t="str">
        <f t="shared" si="25"/>
        <v>HR</v>
      </c>
      <c r="L409" s="3" t="s">
        <v>77</v>
      </c>
      <c r="M409" s="4">
        <v>43800</v>
      </c>
      <c r="N409" s="4">
        <v>43800</v>
      </c>
      <c r="O409" s="3" t="s">
        <v>41</v>
      </c>
      <c r="P409" s="3">
        <v>22</v>
      </c>
      <c r="Q409" s="3" t="s">
        <v>922</v>
      </c>
      <c r="R409" s="3" t="s">
        <v>61</v>
      </c>
      <c r="S409" s="3" t="s">
        <v>72</v>
      </c>
      <c r="T409" s="3" t="str">
        <f t="shared" si="26"/>
        <v>Part-Time</v>
      </c>
      <c r="V409" s="3">
        <v>2</v>
      </c>
      <c r="X409" s="3">
        <v>19</v>
      </c>
      <c r="AB409" s="3" t="str" cm="1">
        <f t="array" ref="AB409">_xlfn.IFS(AA409="N","No",  AA409 = "Y", "Yes", TRUE, PROPER(TRIM(AA409)))</f>
        <v/>
      </c>
      <c r="AC409" s="3">
        <v>4</v>
      </c>
      <c r="AD409" s="3" t="s">
        <v>34</v>
      </c>
      <c r="AE409">
        <f t="shared" si="27"/>
        <v>0</v>
      </c>
    </row>
    <row r="410" spans="1:31" ht="14.25" customHeight="1" x14ac:dyDescent="0.35">
      <c r="A410" s="3" t="s">
        <v>923</v>
      </c>
      <c r="B410" s="3" t="s">
        <v>75</v>
      </c>
      <c r="C410" s="3" t="s">
        <v>92</v>
      </c>
      <c r="D410" s="3">
        <v>50</v>
      </c>
      <c r="E410" s="3">
        <f t="shared" si="24"/>
        <v>50</v>
      </c>
      <c r="F410" s="3">
        <v>1974</v>
      </c>
      <c r="G410" s="3">
        <v>60900</v>
      </c>
      <c r="H410" s="12" cm="1">
        <f t="array" ref="H410">_xlfn.IFS(TRIM(G410)="SIXTY THOUSAND",60000,TRIM(G410)="NAN",AVERAGEIFS(G:G,J:J,J410,L:L,L410),TRUE,G410)</f>
        <v>60900</v>
      </c>
      <c r="I410" s="3" t="s">
        <v>38</v>
      </c>
      <c r="J410" s="3" t="s">
        <v>122</v>
      </c>
      <c r="K410" s="3" t="str">
        <f t="shared" si="25"/>
        <v>IT</v>
      </c>
      <c r="L410" s="3" t="s">
        <v>29</v>
      </c>
      <c r="M410" s="4">
        <v>43881</v>
      </c>
      <c r="N410" s="4">
        <v>43881</v>
      </c>
      <c r="O410" s="3" t="s">
        <v>78</v>
      </c>
      <c r="P410" s="3">
        <v>80</v>
      </c>
      <c r="Q410" t="str">
        <f>LOWER(_xlfn.CONCAT(B410,".",C410,"@saltcorp.com"))</f>
        <v>charlie.west@saltcorp.com</v>
      </c>
      <c r="S410" s="3" t="s">
        <v>44</v>
      </c>
      <c r="T410" s="3" t="str">
        <f t="shared" si="26"/>
        <v>Full-Time</v>
      </c>
      <c r="U410" s="3" t="s">
        <v>924</v>
      </c>
      <c r="V410" s="3">
        <v>6</v>
      </c>
      <c r="W410" s="3" t="s">
        <v>79</v>
      </c>
      <c r="Y410" s="4">
        <v>45516</v>
      </c>
      <c r="AA410" s="3" t="s">
        <v>73</v>
      </c>
      <c r="AB410" s="3" t="str" cm="1">
        <f t="array" ref="AB410">_xlfn.IFS(AA410="N","No",  AA410 = "Y", "Yes", TRUE, PROPER(TRIM(AA410)))</f>
        <v>No</v>
      </c>
      <c r="AC410" s="3">
        <v>3</v>
      </c>
      <c r="AD410" s="3" t="s">
        <v>34</v>
      </c>
      <c r="AE410">
        <f t="shared" si="27"/>
        <v>0</v>
      </c>
    </row>
    <row r="411" spans="1:31" ht="14.25" customHeight="1" x14ac:dyDescent="0.35">
      <c r="A411" s="3" t="s">
        <v>925</v>
      </c>
      <c r="B411" s="3" t="s">
        <v>56</v>
      </c>
      <c r="C411" s="3" t="s">
        <v>87</v>
      </c>
      <c r="D411" s="3">
        <v>25</v>
      </c>
      <c r="E411" s="3">
        <f t="shared" si="24"/>
        <v>25</v>
      </c>
      <c r="F411" s="3">
        <v>1999</v>
      </c>
      <c r="G411" s="3" t="s">
        <v>50</v>
      </c>
      <c r="H411" s="12" cm="1">
        <f t="array" ref="H411">_xlfn.IFS(TRIM(G411)="SIXTY THOUSAND",60000,TRIM(G411)="NAN",AVERAGEIFS(G:G,J:J,J411,L:L,L411),TRUE,G411)</f>
        <v>60000</v>
      </c>
      <c r="I411" s="3" t="s">
        <v>38</v>
      </c>
      <c r="J411" s="3" t="s">
        <v>70</v>
      </c>
      <c r="K411" s="3" t="str">
        <f t="shared" si="25"/>
        <v>Marketing</v>
      </c>
      <c r="L411" s="3" t="s">
        <v>29</v>
      </c>
      <c r="M411" s="4">
        <v>43549</v>
      </c>
      <c r="N411" s="4">
        <v>43549</v>
      </c>
      <c r="O411" s="3" t="s">
        <v>41</v>
      </c>
      <c r="P411" s="3">
        <v>23</v>
      </c>
      <c r="Q411" t="str">
        <f>LOWER(_xlfn.CONCAT(B411,".",C411,"@saltcorp.com"))</f>
        <v>eve.stevens@saltcorp.com</v>
      </c>
      <c r="R411" s="3" t="s">
        <v>61</v>
      </c>
      <c r="S411" s="3" t="s">
        <v>100</v>
      </c>
      <c r="T411" s="3" t="str">
        <f t="shared" si="26"/>
        <v>Part-Time</v>
      </c>
      <c r="V411" s="3">
        <v>4</v>
      </c>
      <c r="W411" s="3">
        <v>1</v>
      </c>
      <c r="X411" s="3">
        <v>6</v>
      </c>
      <c r="Y411" s="4">
        <v>45516</v>
      </c>
      <c r="Z411" s="3">
        <v>9</v>
      </c>
      <c r="AA411" s="3" t="s">
        <v>73</v>
      </c>
      <c r="AB411" s="3" t="str" cm="1">
        <f t="array" ref="AB411">_xlfn.IFS(AA411="N","No",  AA411 = "Y", "Yes", TRUE, PROPER(TRIM(AA411)))</f>
        <v>No</v>
      </c>
      <c r="AC411" s="3">
        <v>5</v>
      </c>
      <c r="AD411" s="3" t="s">
        <v>34</v>
      </c>
      <c r="AE411">
        <f t="shared" si="27"/>
        <v>0</v>
      </c>
    </row>
    <row r="412" spans="1:31" ht="14.25" customHeight="1" x14ac:dyDescent="0.35">
      <c r="A412" s="3" t="s">
        <v>926</v>
      </c>
      <c r="B412" s="3" t="s">
        <v>107</v>
      </c>
      <c r="C412" s="3" t="s">
        <v>837</v>
      </c>
      <c r="D412" s="3">
        <v>35</v>
      </c>
      <c r="E412" s="3">
        <f t="shared" si="24"/>
        <v>35</v>
      </c>
      <c r="F412" s="3">
        <v>1989</v>
      </c>
      <c r="G412" s="3">
        <v>55000</v>
      </c>
      <c r="H412" s="12" cm="1">
        <f t="array" ref="H412">_xlfn.IFS(TRIM(G412)="SIXTY THOUSAND",60000,TRIM(G412)="NAN",AVERAGEIFS(G:G,J:J,J412,L:L,L412),TRUE,G412)</f>
        <v>55000</v>
      </c>
      <c r="I412" s="3" t="s">
        <v>27</v>
      </c>
      <c r="J412" s="3" t="s">
        <v>28</v>
      </c>
      <c r="K412" s="3" t="str">
        <f t="shared" si="25"/>
        <v>HR</v>
      </c>
      <c r="L412" s="3" t="s">
        <v>94</v>
      </c>
      <c r="M412" s="4">
        <v>43549</v>
      </c>
      <c r="N412" s="4">
        <v>43549</v>
      </c>
      <c r="O412" s="3" t="s">
        <v>41</v>
      </c>
      <c r="P412" s="3">
        <v>54</v>
      </c>
      <c r="Q412" t="str">
        <f>LOWER(_xlfn.CONCAT(B412,".",C412,"@saltcorp.com"))</f>
        <v>frank.hernandez@saltcorp.com</v>
      </c>
      <c r="S412" s="3" t="s">
        <v>44</v>
      </c>
      <c r="T412" s="3" t="str">
        <f t="shared" si="26"/>
        <v>Full-Time</v>
      </c>
      <c r="V412" s="3">
        <v>3</v>
      </c>
      <c r="W412" s="3" t="s">
        <v>79</v>
      </c>
      <c r="Y412" s="3" t="s">
        <v>79</v>
      </c>
      <c r="AA412" s="3" t="s">
        <v>46</v>
      </c>
      <c r="AB412" s="3" t="str" cm="1">
        <f t="array" ref="AB412">_xlfn.IFS(AA412="N","No",  AA412 = "Y", "Yes", TRUE, PROPER(TRIM(AA412)))</f>
        <v>Yes</v>
      </c>
      <c r="AC412" s="3">
        <v>5</v>
      </c>
      <c r="AD412" s="3" t="s">
        <v>34</v>
      </c>
      <c r="AE412">
        <f t="shared" si="27"/>
        <v>0</v>
      </c>
    </row>
    <row r="413" spans="1:31" ht="14.25" customHeight="1" x14ac:dyDescent="0.35">
      <c r="A413" s="3" t="s">
        <v>927</v>
      </c>
      <c r="B413" s="3" t="s">
        <v>140</v>
      </c>
      <c r="C413" s="3" t="s">
        <v>26</v>
      </c>
      <c r="D413" s="3">
        <v>40</v>
      </c>
      <c r="E413" s="3">
        <f t="shared" si="24"/>
        <v>40</v>
      </c>
      <c r="F413" s="3">
        <v>1984</v>
      </c>
      <c r="G413" s="3">
        <v>70000</v>
      </c>
      <c r="H413" s="12" cm="1">
        <f t="array" ref="H413">_xlfn.IFS(TRIM(G413)="SIXTY THOUSAND",60000,TRIM(G413)="NAN",AVERAGEIFS(G:G,J:J,J413,L:L,L413),TRUE,G413)</f>
        <v>70000</v>
      </c>
      <c r="I413" s="3" t="s">
        <v>38</v>
      </c>
      <c r="J413" s="3" t="s">
        <v>145</v>
      </c>
      <c r="K413" s="3" t="str">
        <f t="shared" si="25"/>
        <v>Sales</v>
      </c>
      <c r="L413" s="3" t="s">
        <v>77</v>
      </c>
      <c r="M413" s="4">
        <v>43549</v>
      </c>
      <c r="N413" s="4">
        <v>43549</v>
      </c>
      <c r="O413" s="3" t="s">
        <v>52</v>
      </c>
      <c r="P413" s="3">
        <v>70</v>
      </c>
      <c r="Q413" s="3" t="s">
        <v>928</v>
      </c>
      <c r="S413" s="3" t="s">
        <v>32</v>
      </c>
      <c r="T413" s="3" t="str">
        <f t="shared" si="26"/>
        <v>Contract</v>
      </c>
      <c r="V413" s="3">
        <v>2</v>
      </c>
      <c r="X413" s="3">
        <v>15</v>
      </c>
      <c r="Y413" s="4">
        <v>44470</v>
      </c>
      <c r="Z413" s="3">
        <v>5</v>
      </c>
      <c r="AA413" s="3" t="s">
        <v>46</v>
      </c>
      <c r="AB413" s="3" t="str" cm="1">
        <f t="array" ref="AB413">_xlfn.IFS(AA413="N","No",  AA413 = "Y", "Yes", TRUE, PROPER(TRIM(AA413)))</f>
        <v>Yes</v>
      </c>
      <c r="AC413" s="3">
        <v>5</v>
      </c>
      <c r="AD413" s="3" t="s">
        <v>46</v>
      </c>
      <c r="AE413">
        <f t="shared" si="27"/>
        <v>1</v>
      </c>
    </row>
    <row r="414" spans="1:31" ht="14.25" customHeight="1" x14ac:dyDescent="0.35">
      <c r="A414" s="3" t="s">
        <v>929</v>
      </c>
      <c r="B414" s="3" t="s">
        <v>56</v>
      </c>
      <c r="C414" s="3" t="s">
        <v>413</v>
      </c>
      <c r="D414" s="3">
        <v>50</v>
      </c>
      <c r="E414" s="3">
        <f t="shared" si="24"/>
        <v>50</v>
      </c>
      <c r="F414" s="3">
        <v>1974</v>
      </c>
      <c r="G414" s="3">
        <v>50000</v>
      </c>
      <c r="H414" s="12" cm="1">
        <f t="array" ref="H414">_xlfn.IFS(TRIM(G414)="SIXTY THOUSAND",60000,TRIM(G414)="NAN",AVERAGEIFS(G:G,J:J,J414,L:L,L414),TRUE,G414)</f>
        <v>50000</v>
      </c>
      <c r="I414" s="3" t="s">
        <v>27</v>
      </c>
      <c r="J414" s="3" t="s">
        <v>122</v>
      </c>
      <c r="K414" s="3" t="str">
        <f t="shared" si="25"/>
        <v>IT</v>
      </c>
      <c r="L414" s="3" t="s">
        <v>40</v>
      </c>
      <c r="M414" s="4">
        <v>43845</v>
      </c>
      <c r="N414" s="4">
        <v>43845</v>
      </c>
      <c r="O414" s="3" t="s">
        <v>78</v>
      </c>
      <c r="P414" s="3">
        <v>85</v>
      </c>
      <c r="Q414" t="str">
        <f>LOWER(_xlfn.CONCAT(B414,".",C414,"@saltcorp.com"))</f>
        <v>eve.bell@saltcorp.com</v>
      </c>
      <c r="R414" s="3" t="s">
        <v>43</v>
      </c>
      <c r="S414" s="3" t="s">
        <v>174</v>
      </c>
      <c r="T414" s="3" t="str">
        <f t="shared" si="26"/>
        <v>Full-Time</v>
      </c>
      <c r="V414" s="3">
        <v>3</v>
      </c>
      <c r="W414" s="3">
        <v>1</v>
      </c>
      <c r="Y414" s="4">
        <v>45516</v>
      </c>
      <c r="AA414" s="3" t="s">
        <v>46</v>
      </c>
      <c r="AB414" s="3" t="str" cm="1">
        <f t="array" ref="AB414">_xlfn.IFS(AA414="N","No",  AA414 = "Y", "Yes", TRUE, PROPER(TRIM(AA414)))</f>
        <v>Yes</v>
      </c>
      <c r="AC414" s="3">
        <v>3</v>
      </c>
      <c r="AD414" s="3" t="s">
        <v>34</v>
      </c>
      <c r="AE414">
        <f t="shared" si="27"/>
        <v>0</v>
      </c>
    </row>
    <row r="415" spans="1:31" ht="14.25" customHeight="1" x14ac:dyDescent="0.35">
      <c r="A415" s="3" t="s">
        <v>930</v>
      </c>
      <c r="B415" s="3" t="s">
        <v>131</v>
      </c>
      <c r="C415" s="3" t="s">
        <v>692</v>
      </c>
      <c r="D415" s="3">
        <v>50</v>
      </c>
      <c r="E415" s="3">
        <f t="shared" si="24"/>
        <v>50</v>
      </c>
      <c r="F415" s="3">
        <v>1974</v>
      </c>
      <c r="G415" s="3" t="s">
        <v>50</v>
      </c>
      <c r="H415" s="12" cm="1">
        <f t="array" ref="H415">_xlfn.IFS(TRIM(G415)="SIXTY THOUSAND",60000,TRIM(G415)="NAN",AVERAGEIFS(G:G,J:J,J415,L:L,L415),TRUE,G415)</f>
        <v>60000</v>
      </c>
      <c r="I415" s="3" t="s">
        <v>38</v>
      </c>
      <c r="J415" s="3" t="s">
        <v>82</v>
      </c>
      <c r="K415" s="3" t="str">
        <f t="shared" si="25"/>
        <v>HR</v>
      </c>
      <c r="L415" s="3" t="s">
        <v>40</v>
      </c>
      <c r="M415" s="4">
        <v>43195</v>
      </c>
      <c r="N415" s="4">
        <v>43195</v>
      </c>
      <c r="O415" s="3" t="s">
        <v>78</v>
      </c>
      <c r="P415" s="3">
        <v>89</v>
      </c>
      <c r="Q415" s="3" t="s">
        <v>693</v>
      </c>
      <c r="R415" s="3" t="s">
        <v>54</v>
      </c>
      <c r="S415" s="3" t="s">
        <v>72</v>
      </c>
      <c r="T415" s="3" t="str">
        <f t="shared" si="26"/>
        <v>Part-Time</v>
      </c>
      <c r="V415" s="3">
        <v>7</v>
      </c>
      <c r="W415" s="3">
        <v>11</v>
      </c>
      <c r="AA415" s="3" t="s">
        <v>46</v>
      </c>
      <c r="AB415" s="3" t="str" cm="1">
        <f t="array" ref="AB415">_xlfn.IFS(AA415="N","No",  AA415 = "Y", "Yes", TRUE, PROPER(TRIM(AA415)))</f>
        <v>Yes</v>
      </c>
      <c r="AC415" s="3">
        <v>5</v>
      </c>
      <c r="AD415" s="3" t="s">
        <v>34</v>
      </c>
      <c r="AE415">
        <f t="shared" si="27"/>
        <v>0</v>
      </c>
    </row>
    <row r="416" spans="1:31" ht="14.25" customHeight="1" x14ac:dyDescent="0.35">
      <c r="A416" s="3" t="s">
        <v>931</v>
      </c>
      <c r="B416" s="3" t="s">
        <v>36</v>
      </c>
      <c r="C416" s="3" t="s">
        <v>395</v>
      </c>
      <c r="D416" s="3" t="s">
        <v>88</v>
      </c>
      <c r="E416" s="3">
        <f t="shared" si="24"/>
        <v>30</v>
      </c>
      <c r="F416" s="3">
        <v>1994</v>
      </c>
      <c r="G416" s="3">
        <v>50000</v>
      </c>
      <c r="H416" s="12" cm="1">
        <f t="array" ref="H416">_xlfn.IFS(TRIM(G416)="SIXTY THOUSAND",60000,TRIM(G416)="NAN",AVERAGEIFS(G:G,J:J,J416,L:L,L416),TRUE,G416)</f>
        <v>50000</v>
      </c>
      <c r="I416" s="3" t="s">
        <v>38</v>
      </c>
      <c r="J416" s="3" t="s">
        <v>58</v>
      </c>
      <c r="K416" s="3" t="str">
        <f t="shared" si="25"/>
        <v>IT</v>
      </c>
      <c r="L416" s="3" t="s">
        <v>89</v>
      </c>
      <c r="M416" s="4">
        <v>43881</v>
      </c>
      <c r="N416" s="4">
        <v>43881</v>
      </c>
      <c r="O416" s="3" t="s">
        <v>52</v>
      </c>
      <c r="P416" s="3">
        <v>71</v>
      </c>
      <c r="Q416" s="3" t="s">
        <v>932</v>
      </c>
      <c r="R416" s="3" t="s">
        <v>61</v>
      </c>
      <c r="S416" s="3" t="s">
        <v>112</v>
      </c>
      <c r="T416" s="3" t="str">
        <f t="shared" si="26"/>
        <v>Full-Time</v>
      </c>
      <c r="V416" s="3">
        <v>7</v>
      </c>
      <c r="Z416" s="3">
        <v>33</v>
      </c>
      <c r="AB416" s="3" t="str" cm="1">
        <f t="array" ref="AB416">_xlfn.IFS(AA416="N","No",  AA416 = "Y", "Yes", TRUE, PROPER(TRIM(AA416)))</f>
        <v/>
      </c>
      <c r="AC416" s="3">
        <v>3</v>
      </c>
      <c r="AD416" s="3" t="s">
        <v>46</v>
      </c>
      <c r="AE416">
        <f t="shared" si="27"/>
        <v>1</v>
      </c>
    </row>
    <row r="417" spans="1:31" ht="14.25" customHeight="1" x14ac:dyDescent="0.35">
      <c r="A417" s="3" t="s">
        <v>933</v>
      </c>
      <c r="B417" s="3" t="s">
        <v>56</v>
      </c>
      <c r="C417" s="3" t="s">
        <v>69</v>
      </c>
      <c r="E417" s="3">
        <f t="shared" si="24"/>
        <v>42</v>
      </c>
      <c r="F417" s="3">
        <v>1982</v>
      </c>
      <c r="G417" s="3" t="s">
        <v>50</v>
      </c>
      <c r="H417" s="12" cm="1">
        <f t="array" ref="H417">_xlfn.IFS(TRIM(G417)="SIXTY THOUSAND",60000,TRIM(G417)="NAN",AVERAGEIFS(G:G,J:J,J417,L:L,L417),TRUE,G417)</f>
        <v>60000</v>
      </c>
      <c r="I417" s="3" t="s">
        <v>27</v>
      </c>
      <c r="J417" s="3" t="s">
        <v>58</v>
      </c>
      <c r="K417" s="3" t="str">
        <f t="shared" si="25"/>
        <v>IT</v>
      </c>
      <c r="L417" s="3" t="s">
        <v>29</v>
      </c>
      <c r="M417" s="4">
        <v>43845</v>
      </c>
      <c r="N417" s="4">
        <v>43845</v>
      </c>
      <c r="O417" s="3" t="s">
        <v>30</v>
      </c>
      <c r="P417" s="3">
        <v>65</v>
      </c>
      <c r="Q417" s="3" t="s">
        <v>934</v>
      </c>
      <c r="S417" s="3" t="s">
        <v>44</v>
      </c>
      <c r="T417" s="3" t="str">
        <f t="shared" si="26"/>
        <v>Full-Time</v>
      </c>
      <c r="V417" s="3">
        <v>2</v>
      </c>
      <c r="X417" s="3">
        <v>15</v>
      </c>
      <c r="Z417" s="3">
        <v>78</v>
      </c>
      <c r="AA417" s="3" t="s">
        <v>73</v>
      </c>
      <c r="AB417" s="3" t="str" cm="1">
        <f t="array" ref="AB417">_xlfn.IFS(AA417="N","No",  AA417 = "Y", "Yes", TRUE, PROPER(TRIM(AA417)))</f>
        <v>No</v>
      </c>
      <c r="AC417" s="3">
        <v>2</v>
      </c>
      <c r="AD417" s="3" t="s">
        <v>46</v>
      </c>
      <c r="AE417">
        <f t="shared" si="27"/>
        <v>1</v>
      </c>
    </row>
    <row r="418" spans="1:31" ht="14.25" customHeight="1" x14ac:dyDescent="0.35">
      <c r="A418" s="3" t="s">
        <v>935</v>
      </c>
      <c r="B418" s="3" t="s">
        <v>68</v>
      </c>
      <c r="C418" s="3" t="s">
        <v>167</v>
      </c>
      <c r="D418" s="3" t="s">
        <v>88</v>
      </c>
      <c r="E418" s="3">
        <f t="shared" si="24"/>
        <v>30</v>
      </c>
      <c r="F418" s="3">
        <v>1994</v>
      </c>
      <c r="G418" s="3">
        <v>70000</v>
      </c>
      <c r="H418" s="12" cm="1">
        <f t="array" ref="H418">_xlfn.IFS(TRIM(G418)="SIXTY THOUSAND",60000,TRIM(G418)="NAN",AVERAGEIFS(G:G,J:J,J418,L:L,L418),TRUE,G418)</f>
        <v>70000</v>
      </c>
      <c r="I418" s="3" t="s">
        <v>27</v>
      </c>
      <c r="J418" s="3" t="s">
        <v>39</v>
      </c>
      <c r="K418" s="3" t="str">
        <f t="shared" si="25"/>
        <v>Finance</v>
      </c>
      <c r="L418" s="3" t="s">
        <v>89</v>
      </c>
      <c r="M418" s="4">
        <v>43195</v>
      </c>
      <c r="N418" s="4">
        <v>43195</v>
      </c>
      <c r="O418" s="3" t="s">
        <v>78</v>
      </c>
      <c r="P418" s="3">
        <v>83</v>
      </c>
      <c r="Q418" s="3" t="s">
        <v>936</v>
      </c>
      <c r="R418" s="3" t="s">
        <v>61</v>
      </c>
      <c r="S418" s="3" t="s">
        <v>100</v>
      </c>
      <c r="T418" s="3" t="str">
        <f t="shared" si="26"/>
        <v>Part-Time</v>
      </c>
      <c r="V418" s="3">
        <v>6</v>
      </c>
      <c r="W418" s="3" t="s">
        <v>79</v>
      </c>
      <c r="X418" s="3">
        <v>3</v>
      </c>
      <c r="AB418" s="3" t="str" cm="1">
        <f t="array" ref="AB418">_xlfn.IFS(AA418="N","No",  AA418 = "Y", "Yes", TRUE, PROPER(TRIM(AA418)))</f>
        <v/>
      </c>
      <c r="AC418" s="3">
        <v>3</v>
      </c>
      <c r="AD418" s="3" t="s">
        <v>34</v>
      </c>
      <c r="AE418">
        <f t="shared" si="27"/>
        <v>0</v>
      </c>
    </row>
    <row r="419" spans="1:31" ht="14.25" customHeight="1" x14ac:dyDescent="0.35">
      <c r="A419" s="3" t="s">
        <v>937</v>
      </c>
      <c r="B419" s="3" t="s">
        <v>68</v>
      </c>
      <c r="C419" s="3" t="s">
        <v>421</v>
      </c>
      <c r="D419" s="3">
        <v>50</v>
      </c>
      <c r="E419" s="3">
        <f t="shared" si="24"/>
        <v>50</v>
      </c>
      <c r="F419" s="3">
        <v>1974</v>
      </c>
      <c r="G419" s="3">
        <v>50000</v>
      </c>
      <c r="H419" s="12" cm="1">
        <f t="array" ref="H419">_xlfn.IFS(TRIM(G419)="SIXTY THOUSAND",60000,TRIM(G419)="NAN",AVERAGEIFS(G:G,J:J,J419,L:L,L419),TRUE,G419)</f>
        <v>50000</v>
      </c>
      <c r="I419" s="3" t="s">
        <v>27</v>
      </c>
      <c r="J419" s="3" t="s">
        <v>122</v>
      </c>
      <c r="K419" s="3" t="str">
        <f t="shared" si="25"/>
        <v>IT</v>
      </c>
      <c r="L419" s="3" t="s">
        <v>94</v>
      </c>
      <c r="M419" s="4">
        <v>43195</v>
      </c>
      <c r="N419" s="4">
        <v>43195</v>
      </c>
      <c r="O419" s="3" t="s">
        <v>59</v>
      </c>
      <c r="P419" s="3">
        <v>92</v>
      </c>
      <c r="Q419" s="3" t="s">
        <v>422</v>
      </c>
      <c r="R419" s="3" t="s">
        <v>61</v>
      </c>
      <c r="S419" s="3" t="s">
        <v>72</v>
      </c>
      <c r="T419" s="3" t="str">
        <f t="shared" si="26"/>
        <v>Part-Time</v>
      </c>
      <c r="V419" s="3">
        <v>4</v>
      </c>
      <c r="Y419" s="4">
        <v>44990</v>
      </c>
      <c r="AA419" s="3" t="s">
        <v>46</v>
      </c>
      <c r="AB419" s="3" t="str" cm="1">
        <f t="array" ref="AB419">_xlfn.IFS(AA419="N","No",  AA419 = "Y", "Yes", TRUE, PROPER(TRIM(AA419)))</f>
        <v>Yes</v>
      </c>
      <c r="AC419" s="3">
        <v>4</v>
      </c>
      <c r="AD419" s="3" t="s">
        <v>34</v>
      </c>
      <c r="AE419">
        <f t="shared" si="27"/>
        <v>0</v>
      </c>
    </row>
    <row r="420" spans="1:31" ht="14.25" customHeight="1" x14ac:dyDescent="0.35">
      <c r="A420" s="3" t="s">
        <v>938</v>
      </c>
      <c r="B420" s="3" t="s">
        <v>56</v>
      </c>
      <c r="C420" s="3" t="s">
        <v>413</v>
      </c>
      <c r="D420" s="3">
        <v>40</v>
      </c>
      <c r="E420" s="3">
        <f t="shared" si="24"/>
        <v>40</v>
      </c>
      <c r="F420" s="3">
        <v>1984</v>
      </c>
      <c r="G420" s="3">
        <v>65000</v>
      </c>
      <c r="H420" s="12" cm="1">
        <f t="array" ref="H420">_xlfn.IFS(TRIM(G420)="SIXTY THOUSAND",60000,TRIM(G420)="NAN",AVERAGEIFS(G:G,J:J,J420,L:L,L420),TRUE,G420)</f>
        <v>65000</v>
      </c>
      <c r="I420" s="3" t="s">
        <v>27</v>
      </c>
      <c r="J420" s="3" t="s">
        <v>64</v>
      </c>
      <c r="K420" s="3" t="str">
        <f t="shared" si="25"/>
        <v>Finance</v>
      </c>
      <c r="L420" s="3" t="s">
        <v>40</v>
      </c>
      <c r="M420" s="4">
        <v>43881</v>
      </c>
      <c r="N420" s="4">
        <v>43881</v>
      </c>
      <c r="O420" s="3" t="s">
        <v>52</v>
      </c>
      <c r="P420" s="3">
        <v>74</v>
      </c>
      <c r="Q420" s="3" t="s">
        <v>414</v>
      </c>
      <c r="S420" s="3" t="s">
        <v>100</v>
      </c>
      <c r="T420" s="3" t="str">
        <f t="shared" si="26"/>
        <v>Part-Time</v>
      </c>
      <c r="V420" s="3">
        <v>4</v>
      </c>
      <c r="Y420" s="4">
        <v>44470</v>
      </c>
      <c r="Z420" s="3">
        <v>63</v>
      </c>
      <c r="AB420" s="3" t="str" cm="1">
        <f t="array" ref="AB420">_xlfn.IFS(AA420="N","No",  AA420 = "Y", "Yes", TRUE, PROPER(TRIM(AA420)))</f>
        <v/>
      </c>
      <c r="AC420" s="3">
        <v>2</v>
      </c>
      <c r="AD420" s="3" t="s">
        <v>46</v>
      </c>
      <c r="AE420">
        <f t="shared" si="27"/>
        <v>1</v>
      </c>
    </row>
    <row r="421" spans="1:31" ht="14.25" customHeight="1" x14ac:dyDescent="0.35">
      <c r="A421" s="3" t="s">
        <v>939</v>
      </c>
      <c r="B421" s="3" t="s">
        <v>25</v>
      </c>
      <c r="C421" s="3" t="s">
        <v>367</v>
      </c>
      <c r="D421" s="3">
        <v>25</v>
      </c>
      <c r="E421" s="3">
        <f t="shared" si="24"/>
        <v>25</v>
      </c>
      <c r="F421" s="3">
        <v>1999</v>
      </c>
      <c r="G421" s="3">
        <v>60000</v>
      </c>
      <c r="H421" s="12" cm="1">
        <f t="array" ref="H421">_xlfn.IFS(TRIM(G421)="SIXTY THOUSAND",60000,TRIM(G421)="NAN",AVERAGEIFS(G:G,J:J,J421,L:L,L421),TRUE,G421)</f>
        <v>60000</v>
      </c>
      <c r="I421" s="3" t="s">
        <v>27</v>
      </c>
      <c r="J421" s="3" t="s">
        <v>93</v>
      </c>
      <c r="K421" s="3" t="str">
        <f t="shared" si="25"/>
        <v>Marketing</v>
      </c>
      <c r="L421" s="3" t="s">
        <v>29</v>
      </c>
      <c r="M421" s="4">
        <v>43881</v>
      </c>
      <c r="N421" s="4">
        <v>43881</v>
      </c>
      <c r="O421" s="3" t="s">
        <v>78</v>
      </c>
      <c r="P421" s="3">
        <v>83</v>
      </c>
      <c r="Q421" s="3" t="s">
        <v>940</v>
      </c>
      <c r="R421" s="3" t="s">
        <v>104</v>
      </c>
      <c r="S421" s="3" t="s">
        <v>100</v>
      </c>
      <c r="T421" s="3" t="str">
        <f t="shared" si="26"/>
        <v>Part-Time</v>
      </c>
      <c r="V421" s="3">
        <v>6</v>
      </c>
      <c r="W421" s="3">
        <v>10</v>
      </c>
      <c r="Y421" s="4">
        <v>44941</v>
      </c>
      <c r="AA421" s="3" t="s">
        <v>73</v>
      </c>
      <c r="AB421" s="3" t="str" cm="1">
        <f t="array" ref="AB421">_xlfn.IFS(AA421="N","No",  AA421 = "Y", "Yes", TRUE, PROPER(TRIM(AA421)))</f>
        <v>No</v>
      </c>
      <c r="AC421" s="3">
        <v>4</v>
      </c>
      <c r="AD421" s="3" t="s">
        <v>34</v>
      </c>
      <c r="AE421">
        <f t="shared" si="27"/>
        <v>0</v>
      </c>
    </row>
    <row r="422" spans="1:31" ht="14.25" customHeight="1" x14ac:dyDescent="0.35">
      <c r="A422" s="3" t="s">
        <v>941</v>
      </c>
      <c r="B422" s="3" t="s">
        <v>36</v>
      </c>
      <c r="C422" s="3" t="s">
        <v>479</v>
      </c>
      <c r="D422" s="3">
        <v>25</v>
      </c>
      <c r="E422" s="3">
        <f t="shared" si="24"/>
        <v>25</v>
      </c>
      <c r="F422" s="3">
        <v>1999</v>
      </c>
      <c r="G422" s="3">
        <v>60800</v>
      </c>
      <c r="H422" s="12" cm="1">
        <f t="array" ref="H422">_xlfn.IFS(TRIM(G422)="SIXTY THOUSAND",60000,TRIM(G422)="NAN",AVERAGEIFS(G:G,J:J,J422,L:L,L422),TRUE,G422)</f>
        <v>60800</v>
      </c>
      <c r="I422" s="3" t="s">
        <v>27</v>
      </c>
      <c r="J422" s="3" t="s">
        <v>64</v>
      </c>
      <c r="K422" s="3" t="str">
        <f t="shared" si="25"/>
        <v>Finance</v>
      </c>
      <c r="L422" s="3" t="s">
        <v>94</v>
      </c>
      <c r="M422" s="4">
        <v>43881</v>
      </c>
      <c r="N422" s="4">
        <v>43881</v>
      </c>
      <c r="O422" s="3" t="s">
        <v>30</v>
      </c>
      <c r="P422" s="3">
        <v>62</v>
      </c>
      <c r="Q422" s="3" t="s">
        <v>480</v>
      </c>
      <c r="R422" s="3" t="s">
        <v>54</v>
      </c>
      <c r="S422" s="3" t="s">
        <v>44</v>
      </c>
      <c r="T422" s="3" t="str">
        <f t="shared" si="26"/>
        <v>Full-Time</v>
      </c>
      <c r="V422" s="3">
        <v>6</v>
      </c>
      <c r="X422" s="3">
        <v>12</v>
      </c>
      <c r="AA422" s="3" t="s">
        <v>45</v>
      </c>
      <c r="AB422" s="3" t="str" cm="1">
        <f t="array" ref="AB422">_xlfn.IFS(AA422="N","No",  AA422 = "Y", "Yes", TRUE, PROPER(TRIM(AA422)))</f>
        <v>No</v>
      </c>
      <c r="AC422" s="3">
        <v>2</v>
      </c>
      <c r="AD422" s="3" t="s">
        <v>46</v>
      </c>
      <c r="AE422">
        <f t="shared" si="27"/>
        <v>1</v>
      </c>
    </row>
    <row r="423" spans="1:31" ht="14.25" customHeight="1" x14ac:dyDescent="0.35">
      <c r="A423" s="3" t="s">
        <v>942</v>
      </c>
      <c r="B423" s="3" t="s">
        <v>131</v>
      </c>
      <c r="C423" s="3" t="s">
        <v>403</v>
      </c>
      <c r="D423" s="3">
        <v>40</v>
      </c>
      <c r="E423" s="3">
        <f t="shared" si="24"/>
        <v>40</v>
      </c>
      <c r="F423" s="3">
        <v>1984</v>
      </c>
      <c r="G423" s="3" t="s">
        <v>50</v>
      </c>
      <c r="H423" s="12" cm="1">
        <f t="array" ref="H423">_xlfn.IFS(TRIM(G423)="SIXTY THOUSAND",60000,TRIM(G423)="NAN",AVERAGEIFS(G:G,J:J,J423,L:L,L423),TRUE,G423)</f>
        <v>60000</v>
      </c>
      <c r="I423" s="3" t="s">
        <v>38</v>
      </c>
      <c r="J423" s="3" t="s">
        <v>145</v>
      </c>
      <c r="K423" s="3" t="str">
        <f t="shared" si="25"/>
        <v>Sales</v>
      </c>
      <c r="L423" s="3" t="s">
        <v>94</v>
      </c>
      <c r="M423" s="4">
        <v>43845</v>
      </c>
      <c r="N423" s="4">
        <v>43845</v>
      </c>
      <c r="O423" s="3" t="s">
        <v>78</v>
      </c>
      <c r="P423" s="3">
        <v>87</v>
      </c>
      <c r="Q423" s="3" t="s">
        <v>943</v>
      </c>
      <c r="R423" s="3" t="s">
        <v>54</v>
      </c>
      <c r="S423" s="3" t="s">
        <v>100</v>
      </c>
      <c r="T423" s="3" t="str">
        <f t="shared" si="26"/>
        <v>Part-Time</v>
      </c>
      <c r="U423" s="3" t="s">
        <v>944</v>
      </c>
      <c r="V423" s="3">
        <v>6</v>
      </c>
      <c r="X423" s="3">
        <v>7</v>
      </c>
      <c r="Y423" s="4">
        <v>44990</v>
      </c>
      <c r="AB423" s="3" t="str" cm="1">
        <f t="array" ref="AB423">_xlfn.IFS(AA423="N","No",  AA423 = "Y", "Yes", TRUE, PROPER(TRIM(AA423)))</f>
        <v/>
      </c>
      <c r="AC423" s="3">
        <v>3</v>
      </c>
      <c r="AD423" s="3" t="s">
        <v>34</v>
      </c>
      <c r="AE423">
        <f t="shared" si="27"/>
        <v>0</v>
      </c>
    </row>
    <row r="424" spans="1:31" ht="14.25" customHeight="1" x14ac:dyDescent="0.35">
      <c r="A424" s="3" t="s">
        <v>945</v>
      </c>
      <c r="B424" s="3" t="s">
        <v>56</v>
      </c>
      <c r="C424" s="3" t="s">
        <v>87</v>
      </c>
      <c r="D424" s="3">
        <v>50</v>
      </c>
      <c r="E424" s="3">
        <f t="shared" si="24"/>
        <v>50</v>
      </c>
      <c r="F424" s="3">
        <v>1974</v>
      </c>
      <c r="G424" s="3">
        <v>65000</v>
      </c>
      <c r="H424" s="12" cm="1">
        <f t="array" ref="H424">_xlfn.IFS(TRIM(G424)="SIXTY THOUSAND",60000,TRIM(G424)="NAN",AVERAGEIFS(G:G,J:J,J424,L:L,L424),TRUE,G424)</f>
        <v>65000</v>
      </c>
      <c r="I424" s="3" t="s">
        <v>27</v>
      </c>
      <c r="J424" s="3" t="s">
        <v>82</v>
      </c>
      <c r="K424" s="3" t="str">
        <f t="shared" si="25"/>
        <v>HR</v>
      </c>
      <c r="L424" s="3" t="s">
        <v>29</v>
      </c>
      <c r="M424" s="4">
        <v>43800</v>
      </c>
      <c r="N424" s="4">
        <v>43800</v>
      </c>
      <c r="O424" s="3" t="s">
        <v>41</v>
      </c>
      <c r="P424" s="3">
        <v>35</v>
      </c>
      <c r="Q424" s="3" t="s">
        <v>129</v>
      </c>
      <c r="R424" s="3" t="s">
        <v>43</v>
      </c>
      <c r="S424" s="3" t="s">
        <v>44</v>
      </c>
      <c r="T424" s="3" t="str">
        <f t="shared" si="26"/>
        <v>Full-Time</v>
      </c>
      <c r="V424" s="3">
        <v>5</v>
      </c>
      <c r="Y424" s="4">
        <v>44941</v>
      </c>
      <c r="AA424" s="3" t="s">
        <v>46</v>
      </c>
      <c r="AB424" s="3" t="str" cm="1">
        <f t="array" ref="AB424">_xlfn.IFS(AA424="N","No",  AA424 = "Y", "Yes", TRUE, PROPER(TRIM(AA424)))</f>
        <v>Yes</v>
      </c>
      <c r="AC424" s="3">
        <v>2</v>
      </c>
      <c r="AD424" s="3" t="s">
        <v>46</v>
      </c>
      <c r="AE424">
        <f t="shared" si="27"/>
        <v>1</v>
      </c>
    </row>
    <row r="425" spans="1:31" ht="14.25" customHeight="1" x14ac:dyDescent="0.35">
      <c r="A425" s="3" t="s">
        <v>946</v>
      </c>
      <c r="B425" s="3" t="s">
        <v>25</v>
      </c>
      <c r="C425" s="3" t="s">
        <v>81</v>
      </c>
      <c r="D425" s="3">
        <v>25</v>
      </c>
      <c r="E425" s="3">
        <f t="shared" si="24"/>
        <v>25</v>
      </c>
      <c r="F425" s="3">
        <v>1999</v>
      </c>
      <c r="G425" s="3">
        <v>50000</v>
      </c>
      <c r="H425" s="12" cm="1">
        <f t="array" ref="H425">_xlfn.IFS(TRIM(G425)="SIXTY THOUSAND",60000,TRIM(G425)="NAN",AVERAGEIFS(G:G,J:J,J425,L:L,L425),TRUE,G425)</f>
        <v>50000</v>
      </c>
      <c r="I425" s="3" t="s">
        <v>38</v>
      </c>
      <c r="J425" s="3" t="s">
        <v>70</v>
      </c>
      <c r="K425" s="3" t="str">
        <f t="shared" si="25"/>
        <v>Marketing</v>
      </c>
      <c r="L425" s="3" t="s">
        <v>94</v>
      </c>
      <c r="M425" s="4">
        <v>43881</v>
      </c>
      <c r="N425" s="4">
        <v>43881</v>
      </c>
      <c r="O425" s="3" t="s">
        <v>59</v>
      </c>
      <c r="P425" s="3">
        <v>98</v>
      </c>
      <c r="Q425" s="3" t="s">
        <v>401</v>
      </c>
      <c r="R425" s="3" t="s">
        <v>43</v>
      </c>
      <c r="S425" s="3" t="s">
        <v>112</v>
      </c>
      <c r="T425" s="3" t="str">
        <f t="shared" si="26"/>
        <v>Full-Time</v>
      </c>
      <c r="V425" s="3">
        <v>4</v>
      </c>
      <c r="Y425" s="4">
        <v>45516</v>
      </c>
      <c r="AA425" s="3" t="s">
        <v>34</v>
      </c>
      <c r="AB425" s="3" t="str" cm="1">
        <f t="array" ref="AB425">_xlfn.IFS(AA425="N","No",  AA425 = "Y", "Yes", TRUE, PROPER(TRIM(AA425)))</f>
        <v>No</v>
      </c>
      <c r="AC425" s="3">
        <v>4</v>
      </c>
      <c r="AD425" s="3" t="s">
        <v>34</v>
      </c>
      <c r="AE425">
        <f t="shared" si="27"/>
        <v>0</v>
      </c>
    </row>
    <row r="426" spans="1:31" ht="14.25" customHeight="1" x14ac:dyDescent="0.35">
      <c r="A426" s="3" t="s">
        <v>947</v>
      </c>
      <c r="B426" s="3" t="s">
        <v>68</v>
      </c>
      <c r="C426" s="3" t="s">
        <v>421</v>
      </c>
      <c r="D426" s="3">
        <v>25</v>
      </c>
      <c r="E426" s="3">
        <f t="shared" si="24"/>
        <v>25</v>
      </c>
      <c r="F426" s="3">
        <v>1999</v>
      </c>
      <c r="G426" s="3">
        <v>65000</v>
      </c>
      <c r="H426" s="12" cm="1">
        <f t="array" ref="H426">_xlfn.IFS(TRIM(G426)="SIXTY THOUSAND",60000,TRIM(G426)="NAN",AVERAGEIFS(G:G,J:J,J426,L:L,L426),TRUE,G426)</f>
        <v>65000</v>
      </c>
      <c r="I426" s="3" t="s">
        <v>38</v>
      </c>
      <c r="J426" s="3" t="s">
        <v>70</v>
      </c>
      <c r="K426" s="3" t="str">
        <f t="shared" si="25"/>
        <v>Marketing</v>
      </c>
      <c r="L426" s="3" t="s">
        <v>29</v>
      </c>
      <c r="M426" s="4">
        <v>43800</v>
      </c>
      <c r="N426" s="4">
        <v>43800</v>
      </c>
      <c r="O426" s="3" t="s">
        <v>52</v>
      </c>
      <c r="P426" s="3">
        <v>75</v>
      </c>
      <c r="Q426" s="3" t="s">
        <v>422</v>
      </c>
      <c r="R426" s="3" t="s">
        <v>43</v>
      </c>
      <c r="S426" s="3" t="s">
        <v>32</v>
      </c>
      <c r="T426" s="3" t="str">
        <f t="shared" si="26"/>
        <v>Contract</v>
      </c>
      <c r="U426" s="3" t="s">
        <v>670</v>
      </c>
      <c r="V426" s="3">
        <v>8</v>
      </c>
      <c r="W426" s="3">
        <v>9</v>
      </c>
      <c r="AA426" s="3" t="s">
        <v>34</v>
      </c>
      <c r="AB426" s="3" t="str" cm="1">
        <f t="array" ref="AB426">_xlfn.IFS(AA426="N","No",  AA426 = "Y", "Yes", TRUE, PROPER(TRIM(AA426)))</f>
        <v>No</v>
      </c>
      <c r="AC426" s="3">
        <v>1</v>
      </c>
      <c r="AD426" s="3" t="s">
        <v>34</v>
      </c>
      <c r="AE426">
        <f t="shared" si="27"/>
        <v>0</v>
      </c>
    </row>
    <row r="427" spans="1:31" ht="14.25" customHeight="1" x14ac:dyDescent="0.35">
      <c r="A427" s="3" t="s">
        <v>948</v>
      </c>
      <c r="B427" s="3" t="s">
        <v>68</v>
      </c>
      <c r="C427" s="3" t="s">
        <v>193</v>
      </c>
      <c r="D427" s="3">
        <v>25</v>
      </c>
      <c r="E427" s="3">
        <f t="shared" si="24"/>
        <v>25</v>
      </c>
      <c r="F427" s="3">
        <v>1999</v>
      </c>
      <c r="G427" s="3">
        <v>65000</v>
      </c>
      <c r="H427" s="12" cm="1">
        <f t="array" ref="H427">_xlfn.IFS(TRIM(G427)="SIXTY THOUSAND",60000,TRIM(G427)="NAN",AVERAGEIFS(G:G,J:J,J427,L:L,L427),TRUE,G427)</f>
        <v>65000</v>
      </c>
      <c r="I427" s="3" t="s">
        <v>27</v>
      </c>
      <c r="J427" s="3" t="s">
        <v>51</v>
      </c>
      <c r="K427" s="3" t="str">
        <f t="shared" si="25"/>
        <v>Sales</v>
      </c>
      <c r="L427" s="3" t="s">
        <v>29</v>
      </c>
      <c r="M427" s="4">
        <v>43845</v>
      </c>
      <c r="N427" s="4">
        <v>43845</v>
      </c>
      <c r="O427" s="3" t="s">
        <v>41</v>
      </c>
      <c r="P427" s="3">
        <v>50</v>
      </c>
      <c r="Q427" s="3" t="s">
        <v>194</v>
      </c>
      <c r="R427" s="3" t="s">
        <v>54</v>
      </c>
      <c r="S427" s="3" t="s">
        <v>100</v>
      </c>
      <c r="T427" s="3" t="str">
        <f t="shared" si="26"/>
        <v>Part-Time</v>
      </c>
      <c r="V427" s="3">
        <v>1</v>
      </c>
      <c r="X427" s="3">
        <v>18</v>
      </c>
      <c r="Y427" s="3" t="s">
        <v>79</v>
      </c>
      <c r="AA427" s="3" t="s">
        <v>169</v>
      </c>
      <c r="AB427" s="3" t="str" cm="1">
        <f t="array" ref="AB427">_xlfn.IFS(AA427="N","No",  AA427 = "Y", "Yes", TRUE, PROPER(TRIM(AA427)))</f>
        <v>Yes</v>
      </c>
      <c r="AC427" s="3">
        <v>2</v>
      </c>
      <c r="AD427" s="3" t="s">
        <v>34</v>
      </c>
      <c r="AE427">
        <f t="shared" si="27"/>
        <v>0</v>
      </c>
    </row>
    <row r="428" spans="1:31" ht="14.25" customHeight="1" x14ac:dyDescent="0.35">
      <c r="A428" s="3" t="s">
        <v>949</v>
      </c>
      <c r="B428" s="3" t="s">
        <v>107</v>
      </c>
      <c r="C428" s="3" t="s">
        <v>777</v>
      </c>
      <c r="E428" s="3">
        <f t="shared" si="24"/>
        <v>34</v>
      </c>
      <c r="F428" s="3">
        <v>1990</v>
      </c>
      <c r="G428" s="3">
        <v>50000</v>
      </c>
      <c r="H428" s="12" cm="1">
        <f t="array" ref="H428">_xlfn.IFS(TRIM(G428)="SIXTY THOUSAND",60000,TRIM(G428)="NAN",AVERAGEIFS(G:G,J:J,J428,L:L,L428),TRUE,G428)</f>
        <v>50000</v>
      </c>
      <c r="I428" s="3" t="s">
        <v>27</v>
      </c>
      <c r="J428" s="3" t="s">
        <v>64</v>
      </c>
      <c r="K428" s="3" t="str">
        <f t="shared" si="25"/>
        <v>Finance</v>
      </c>
      <c r="L428" s="3" t="s">
        <v>77</v>
      </c>
      <c r="M428" s="4">
        <v>43800</v>
      </c>
      <c r="N428" s="4">
        <v>43800</v>
      </c>
      <c r="O428" s="3" t="s">
        <v>30</v>
      </c>
      <c r="P428" s="3">
        <v>68</v>
      </c>
      <c r="Q428" s="3" t="s">
        <v>778</v>
      </c>
      <c r="R428" s="3" t="s">
        <v>104</v>
      </c>
      <c r="S428" s="3" t="s">
        <v>100</v>
      </c>
      <c r="T428" s="3" t="str">
        <f t="shared" si="26"/>
        <v>Part-Time</v>
      </c>
      <c r="U428" s="3" t="s">
        <v>950</v>
      </c>
      <c r="V428" s="3">
        <v>2</v>
      </c>
      <c r="X428" s="3">
        <v>20</v>
      </c>
      <c r="Y428" s="3" t="s">
        <v>79</v>
      </c>
      <c r="Z428" s="3">
        <v>31</v>
      </c>
      <c r="AA428" s="3" t="s">
        <v>73</v>
      </c>
      <c r="AB428" s="3" t="str" cm="1">
        <f t="array" ref="AB428">_xlfn.IFS(AA428="N","No",  AA428 = "Y", "Yes", TRUE, PROPER(TRIM(AA428)))</f>
        <v>No</v>
      </c>
      <c r="AC428" s="3">
        <v>2</v>
      </c>
      <c r="AD428" s="3" t="s">
        <v>34</v>
      </c>
      <c r="AE428">
        <f t="shared" si="27"/>
        <v>0</v>
      </c>
    </row>
    <row r="429" spans="1:31" ht="14.25" customHeight="1" x14ac:dyDescent="0.35">
      <c r="A429" s="3" t="s">
        <v>951</v>
      </c>
      <c r="B429" s="3" t="s">
        <v>56</v>
      </c>
      <c r="C429" s="3" t="s">
        <v>462</v>
      </c>
      <c r="E429" s="3">
        <f t="shared" si="24"/>
        <v>27</v>
      </c>
      <c r="F429" s="3">
        <v>1997</v>
      </c>
      <c r="G429" s="3">
        <v>70000</v>
      </c>
      <c r="H429" s="12" cm="1">
        <f t="array" ref="H429">_xlfn.IFS(TRIM(G429)="SIXTY THOUSAND",60000,TRIM(G429)="NAN",AVERAGEIFS(G:G,J:J,J429,L:L,L429),TRUE,G429)</f>
        <v>70000</v>
      </c>
      <c r="I429" s="3" t="s">
        <v>38</v>
      </c>
      <c r="J429" s="3" t="s">
        <v>82</v>
      </c>
      <c r="K429" s="3" t="str">
        <f t="shared" si="25"/>
        <v>HR</v>
      </c>
      <c r="L429" s="3" t="s">
        <v>89</v>
      </c>
      <c r="M429" s="4">
        <v>43549</v>
      </c>
      <c r="N429" s="4">
        <v>43549</v>
      </c>
      <c r="O429" s="3" t="s">
        <v>41</v>
      </c>
      <c r="P429" s="3">
        <v>39</v>
      </c>
      <c r="Q429" s="3" t="s">
        <v>952</v>
      </c>
      <c r="R429" s="3" t="s">
        <v>54</v>
      </c>
      <c r="S429" s="3" t="s">
        <v>100</v>
      </c>
      <c r="T429" s="3" t="str">
        <f t="shared" si="26"/>
        <v>Part-Time</v>
      </c>
      <c r="U429" s="3" t="s">
        <v>953</v>
      </c>
      <c r="V429" s="3">
        <v>6</v>
      </c>
      <c r="Y429" s="4">
        <v>44732</v>
      </c>
      <c r="Z429" s="3">
        <v>63</v>
      </c>
      <c r="AA429" s="3" t="s">
        <v>45</v>
      </c>
      <c r="AB429" s="3" t="str" cm="1">
        <f t="array" ref="AB429">_xlfn.IFS(AA429="N","No",  AA429 = "Y", "Yes", TRUE, PROPER(TRIM(AA429)))</f>
        <v>No</v>
      </c>
      <c r="AC429" s="3">
        <v>1</v>
      </c>
      <c r="AD429" s="3" t="s">
        <v>46</v>
      </c>
      <c r="AE429">
        <f t="shared" si="27"/>
        <v>1</v>
      </c>
    </row>
    <row r="430" spans="1:31" ht="14.25" customHeight="1" x14ac:dyDescent="0.35">
      <c r="A430" s="3" t="s">
        <v>954</v>
      </c>
      <c r="B430" s="3" t="s">
        <v>36</v>
      </c>
      <c r="C430" s="3" t="s">
        <v>37</v>
      </c>
      <c r="D430" s="3">
        <v>35</v>
      </c>
      <c r="E430" s="3">
        <f t="shared" si="24"/>
        <v>35</v>
      </c>
      <c r="F430" s="3">
        <v>1989</v>
      </c>
      <c r="G430" s="3">
        <v>65000</v>
      </c>
      <c r="H430" s="12" cm="1">
        <f t="array" ref="H430">_xlfn.IFS(TRIM(G430)="SIXTY THOUSAND",60000,TRIM(G430)="NAN",AVERAGEIFS(G:G,J:J,J430,L:L,L430),TRUE,G430)</f>
        <v>65000</v>
      </c>
      <c r="I430" s="3" t="s">
        <v>27</v>
      </c>
      <c r="J430" s="3" t="s">
        <v>64</v>
      </c>
      <c r="K430" s="3" t="str">
        <f t="shared" si="25"/>
        <v>Finance</v>
      </c>
      <c r="L430" s="3" t="s">
        <v>94</v>
      </c>
      <c r="M430" s="4">
        <v>43800</v>
      </c>
      <c r="N430" s="4">
        <v>43800</v>
      </c>
      <c r="O430" s="3" t="s">
        <v>41</v>
      </c>
      <c r="P430" s="3">
        <v>45</v>
      </c>
      <c r="Q430" s="3" t="s">
        <v>42</v>
      </c>
      <c r="R430" s="3" t="s">
        <v>54</v>
      </c>
      <c r="S430" s="3" t="s">
        <v>66</v>
      </c>
      <c r="T430" s="3" t="str">
        <f t="shared" si="26"/>
        <v>Contract</v>
      </c>
      <c r="V430" s="3">
        <v>8</v>
      </c>
      <c r="AA430" s="3" t="s">
        <v>46</v>
      </c>
      <c r="AB430" s="3" t="str" cm="1">
        <f t="array" ref="AB430">_xlfn.IFS(AA430="N","No",  AA430 = "Y", "Yes", TRUE, PROPER(TRIM(AA430)))</f>
        <v>Yes</v>
      </c>
      <c r="AC430" s="3">
        <v>2</v>
      </c>
      <c r="AD430" s="3" t="s">
        <v>46</v>
      </c>
      <c r="AE430">
        <f t="shared" si="27"/>
        <v>1</v>
      </c>
    </row>
    <row r="431" spans="1:31" ht="14.25" customHeight="1" x14ac:dyDescent="0.35">
      <c r="A431" s="3" t="s">
        <v>955</v>
      </c>
      <c r="B431" s="3" t="s">
        <v>114</v>
      </c>
      <c r="C431" s="3" t="s">
        <v>359</v>
      </c>
      <c r="D431" s="3" t="s">
        <v>88</v>
      </c>
      <c r="E431" s="3">
        <f t="shared" si="24"/>
        <v>30</v>
      </c>
      <c r="F431" s="3">
        <v>1994</v>
      </c>
      <c r="G431" s="3">
        <v>65000</v>
      </c>
      <c r="H431" s="12" cm="1">
        <f t="array" ref="H431">_xlfn.IFS(TRIM(G431)="SIXTY THOUSAND",60000,TRIM(G431)="NAN",AVERAGEIFS(G:G,J:J,J431,L:L,L431),TRUE,G431)</f>
        <v>65000</v>
      </c>
      <c r="I431" s="3" t="s">
        <v>27</v>
      </c>
      <c r="J431" s="3" t="s">
        <v>122</v>
      </c>
      <c r="K431" s="3" t="str">
        <f t="shared" si="25"/>
        <v>IT</v>
      </c>
      <c r="L431" s="3" t="s">
        <v>94</v>
      </c>
      <c r="M431" s="4">
        <v>43881</v>
      </c>
      <c r="N431" s="4">
        <v>43881</v>
      </c>
      <c r="O431" s="3" t="s">
        <v>30</v>
      </c>
      <c r="P431" s="3">
        <v>66</v>
      </c>
      <c r="Q431" s="3" t="s">
        <v>956</v>
      </c>
      <c r="R431" s="3" t="s">
        <v>54</v>
      </c>
      <c r="S431" s="3" t="s">
        <v>66</v>
      </c>
      <c r="T431" s="3" t="str">
        <f t="shared" si="26"/>
        <v>Contract</v>
      </c>
      <c r="V431" s="3">
        <v>4</v>
      </c>
      <c r="AA431" s="3" t="s">
        <v>73</v>
      </c>
      <c r="AB431" s="3" t="str" cm="1">
        <f t="array" ref="AB431">_xlfn.IFS(AA431="N","No",  AA431 = "Y", "Yes", TRUE, PROPER(TRIM(AA431)))</f>
        <v>No</v>
      </c>
      <c r="AC431" s="3">
        <v>2</v>
      </c>
      <c r="AD431" s="3" t="s">
        <v>34</v>
      </c>
      <c r="AE431">
        <f t="shared" si="27"/>
        <v>0</v>
      </c>
    </row>
    <row r="432" spans="1:31" ht="14.25" customHeight="1" x14ac:dyDescent="0.35">
      <c r="A432" s="3" t="s">
        <v>957</v>
      </c>
      <c r="B432" s="3" t="s">
        <v>36</v>
      </c>
      <c r="C432" s="3" t="s">
        <v>203</v>
      </c>
      <c r="D432" s="3">
        <v>40</v>
      </c>
      <c r="E432" s="3">
        <f t="shared" si="24"/>
        <v>40</v>
      </c>
      <c r="F432" s="3">
        <v>1984</v>
      </c>
      <c r="G432" s="3">
        <v>70000</v>
      </c>
      <c r="H432" s="12" cm="1">
        <f t="array" ref="H432">_xlfn.IFS(TRIM(G432)="SIXTY THOUSAND",60000,TRIM(G432)="NAN",AVERAGEIFS(G:G,J:J,J432,L:L,L432),TRUE,G432)</f>
        <v>70000</v>
      </c>
      <c r="I432" s="3" t="s">
        <v>38</v>
      </c>
      <c r="J432" s="3" t="s">
        <v>39</v>
      </c>
      <c r="K432" s="3" t="str">
        <f t="shared" si="25"/>
        <v>Finance</v>
      </c>
      <c r="L432" s="3" t="s">
        <v>77</v>
      </c>
      <c r="M432" s="4">
        <v>43845</v>
      </c>
      <c r="N432" s="4">
        <v>43845</v>
      </c>
      <c r="O432" s="3" t="s">
        <v>41</v>
      </c>
      <c r="P432" s="3">
        <v>41</v>
      </c>
      <c r="Q432" s="3" t="s">
        <v>958</v>
      </c>
      <c r="R432" s="3" t="s">
        <v>54</v>
      </c>
      <c r="S432" s="3" t="s">
        <v>72</v>
      </c>
      <c r="T432" s="3" t="str">
        <f t="shared" si="26"/>
        <v>Part-Time</v>
      </c>
      <c r="V432" s="3">
        <v>4</v>
      </c>
      <c r="AB432" s="3" t="str" cm="1">
        <f t="array" ref="AB432">_xlfn.IFS(AA432="N","No",  AA432 = "Y", "Yes", TRUE, PROPER(TRIM(AA432)))</f>
        <v/>
      </c>
      <c r="AC432" s="3">
        <v>1</v>
      </c>
      <c r="AD432" s="3" t="s">
        <v>34</v>
      </c>
      <c r="AE432">
        <f t="shared" si="27"/>
        <v>0</v>
      </c>
    </row>
    <row r="433" spans="1:31" ht="14.25" customHeight="1" x14ac:dyDescent="0.35">
      <c r="A433" s="3" t="s">
        <v>959</v>
      </c>
      <c r="B433" s="3" t="s">
        <v>68</v>
      </c>
      <c r="C433" s="3" t="s">
        <v>141</v>
      </c>
      <c r="D433" s="3">
        <v>40</v>
      </c>
      <c r="E433" s="3">
        <f t="shared" si="24"/>
        <v>40</v>
      </c>
      <c r="F433" s="3">
        <v>1984</v>
      </c>
      <c r="G433" s="3">
        <v>65000</v>
      </c>
      <c r="H433" s="12" cm="1">
        <f t="array" ref="H433">_xlfn.IFS(TRIM(G433)="SIXTY THOUSAND",60000,TRIM(G433)="NAN",AVERAGEIFS(G:G,J:J,J433,L:L,L433),TRUE,G433)</f>
        <v>65000</v>
      </c>
      <c r="I433" s="3" t="s">
        <v>27</v>
      </c>
      <c r="J433" s="3" t="s">
        <v>70</v>
      </c>
      <c r="K433" s="3" t="str">
        <f t="shared" si="25"/>
        <v>Marketing</v>
      </c>
      <c r="L433" s="3" t="s">
        <v>77</v>
      </c>
      <c r="M433" s="4">
        <v>43881</v>
      </c>
      <c r="N433" s="4">
        <v>43881</v>
      </c>
      <c r="O433" s="3" t="s">
        <v>52</v>
      </c>
      <c r="P433" s="3">
        <v>77</v>
      </c>
      <c r="Q433" s="3" t="s">
        <v>960</v>
      </c>
      <c r="R433" s="3" t="s">
        <v>104</v>
      </c>
      <c r="S433" s="3" t="s">
        <v>32</v>
      </c>
      <c r="T433" s="3" t="str">
        <f t="shared" si="26"/>
        <v>Contract</v>
      </c>
      <c r="V433" s="3">
        <v>1</v>
      </c>
      <c r="Y433" s="4">
        <v>44732</v>
      </c>
      <c r="AA433" s="3" t="s">
        <v>34</v>
      </c>
      <c r="AB433" s="3" t="str" cm="1">
        <f t="array" ref="AB433">_xlfn.IFS(AA433="N","No",  AA433 = "Y", "Yes", TRUE, PROPER(TRIM(AA433)))</f>
        <v>No</v>
      </c>
      <c r="AC433" s="3">
        <v>2</v>
      </c>
      <c r="AD433" s="3" t="s">
        <v>46</v>
      </c>
      <c r="AE433">
        <f t="shared" si="27"/>
        <v>1</v>
      </c>
    </row>
    <row r="434" spans="1:31" ht="14.25" customHeight="1" x14ac:dyDescent="0.35">
      <c r="A434" s="3" t="s">
        <v>961</v>
      </c>
      <c r="B434" s="3" t="s">
        <v>68</v>
      </c>
      <c r="C434" s="3" t="s">
        <v>465</v>
      </c>
      <c r="D434" s="3">
        <v>40</v>
      </c>
      <c r="E434" s="3">
        <f t="shared" si="24"/>
        <v>40</v>
      </c>
      <c r="F434" s="3">
        <v>1984</v>
      </c>
      <c r="G434" s="3">
        <v>65000</v>
      </c>
      <c r="H434" s="12" cm="1">
        <f t="array" ref="H434">_xlfn.IFS(TRIM(G434)="SIXTY THOUSAND",60000,TRIM(G434)="NAN",AVERAGEIFS(G:G,J:J,J434,L:L,L434),TRUE,G434)</f>
        <v>65000</v>
      </c>
      <c r="I434" s="3" t="s">
        <v>27</v>
      </c>
      <c r="J434" s="3" t="s">
        <v>82</v>
      </c>
      <c r="K434" s="3" t="str">
        <f t="shared" si="25"/>
        <v>HR</v>
      </c>
      <c r="L434" s="3" t="s">
        <v>77</v>
      </c>
      <c r="M434" s="4">
        <v>43549</v>
      </c>
      <c r="N434" s="4">
        <v>43549</v>
      </c>
      <c r="O434" s="3" t="s">
        <v>78</v>
      </c>
      <c r="P434" s="3">
        <v>88</v>
      </c>
      <c r="Q434" s="3" t="s">
        <v>962</v>
      </c>
      <c r="R434" s="3" t="s">
        <v>43</v>
      </c>
      <c r="S434" s="3" t="s">
        <v>32</v>
      </c>
      <c r="T434" s="3" t="str">
        <f t="shared" si="26"/>
        <v>Contract</v>
      </c>
      <c r="V434" s="3">
        <v>6</v>
      </c>
      <c r="AB434" s="3" t="str" cm="1">
        <f t="array" ref="AB434">_xlfn.IFS(AA434="N","No",  AA434 = "Y", "Yes", TRUE, PROPER(TRIM(AA434)))</f>
        <v/>
      </c>
      <c r="AC434" s="3">
        <v>3</v>
      </c>
      <c r="AD434" s="3" t="s">
        <v>34</v>
      </c>
      <c r="AE434">
        <f t="shared" si="27"/>
        <v>0</v>
      </c>
    </row>
    <row r="435" spans="1:31" ht="14.25" customHeight="1" x14ac:dyDescent="0.35">
      <c r="A435" s="3" t="s">
        <v>963</v>
      </c>
      <c r="B435" s="3" t="s">
        <v>75</v>
      </c>
      <c r="C435" s="3" t="s">
        <v>362</v>
      </c>
      <c r="D435" s="3">
        <v>35</v>
      </c>
      <c r="E435" s="3">
        <f t="shared" si="24"/>
        <v>35</v>
      </c>
      <c r="F435" s="3">
        <v>1989</v>
      </c>
      <c r="G435" s="3">
        <v>65000</v>
      </c>
      <c r="H435" s="12" cm="1">
        <f t="array" ref="H435">_xlfn.IFS(TRIM(G435)="SIXTY THOUSAND",60000,TRIM(G435)="NAN",AVERAGEIFS(G:G,J:J,J435,L:L,L435),TRUE,G435)</f>
        <v>65000</v>
      </c>
      <c r="I435" s="3" t="s">
        <v>27</v>
      </c>
      <c r="J435" s="3" t="s">
        <v>64</v>
      </c>
      <c r="K435" s="3" t="str">
        <f t="shared" si="25"/>
        <v>Finance</v>
      </c>
      <c r="L435" s="3" t="s">
        <v>40</v>
      </c>
      <c r="M435" s="4">
        <v>43881</v>
      </c>
      <c r="N435" s="4">
        <v>43881</v>
      </c>
      <c r="O435" s="3" t="s">
        <v>41</v>
      </c>
      <c r="P435" s="3">
        <v>53</v>
      </c>
      <c r="Q435" s="3" t="s">
        <v>363</v>
      </c>
      <c r="R435" s="3" t="s">
        <v>61</v>
      </c>
      <c r="S435" s="3" t="s">
        <v>66</v>
      </c>
      <c r="T435" s="3" t="str">
        <f t="shared" si="26"/>
        <v>Contract</v>
      </c>
      <c r="V435" s="3">
        <v>7</v>
      </c>
      <c r="W435" s="3" t="s">
        <v>79</v>
      </c>
      <c r="AA435" s="3" t="s">
        <v>34</v>
      </c>
      <c r="AB435" s="3" t="str" cm="1">
        <f t="array" ref="AB435">_xlfn.IFS(AA435="N","No",  AA435 = "Y", "Yes", TRUE, PROPER(TRIM(AA435)))</f>
        <v>No</v>
      </c>
      <c r="AC435" s="3">
        <v>3</v>
      </c>
      <c r="AD435" s="3" t="s">
        <v>46</v>
      </c>
      <c r="AE435">
        <f t="shared" si="27"/>
        <v>1</v>
      </c>
    </row>
    <row r="436" spans="1:31" ht="14.25" customHeight="1" x14ac:dyDescent="0.35">
      <c r="A436" s="3" t="s">
        <v>964</v>
      </c>
      <c r="B436" s="3" t="s">
        <v>68</v>
      </c>
      <c r="C436" s="3" t="s">
        <v>359</v>
      </c>
      <c r="E436" s="3">
        <f t="shared" si="24"/>
        <v>53</v>
      </c>
      <c r="F436" s="3">
        <v>1971</v>
      </c>
      <c r="G436" s="3">
        <v>60900</v>
      </c>
      <c r="H436" s="12" cm="1">
        <f t="array" ref="H436">_xlfn.IFS(TRIM(G436)="SIXTY THOUSAND",60000,TRIM(G436)="NAN",AVERAGEIFS(G:G,J:J,J436,L:L,L436),TRUE,G436)</f>
        <v>60900</v>
      </c>
      <c r="I436" s="3" t="s">
        <v>38</v>
      </c>
      <c r="J436" s="3" t="s">
        <v>28</v>
      </c>
      <c r="K436" s="3" t="str">
        <f t="shared" si="25"/>
        <v>HR</v>
      </c>
      <c r="L436" s="3" t="s">
        <v>40</v>
      </c>
      <c r="M436" s="4">
        <v>43881</v>
      </c>
      <c r="N436" s="4">
        <v>43881</v>
      </c>
      <c r="O436" s="3" t="s">
        <v>52</v>
      </c>
      <c r="P436" s="3">
        <v>72</v>
      </c>
      <c r="Q436" s="3" t="s">
        <v>965</v>
      </c>
      <c r="R436" s="3" t="s">
        <v>43</v>
      </c>
      <c r="S436" s="3" t="s">
        <v>72</v>
      </c>
      <c r="T436" s="3" t="str">
        <f t="shared" si="26"/>
        <v>Part-Time</v>
      </c>
      <c r="V436" s="3">
        <v>2</v>
      </c>
      <c r="X436" s="3">
        <v>5</v>
      </c>
      <c r="Z436" s="3">
        <v>75</v>
      </c>
      <c r="AA436" s="3" t="s">
        <v>34</v>
      </c>
      <c r="AB436" s="3" t="str" cm="1">
        <f t="array" ref="AB436">_xlfn.IFS(AA436="N","No",  AA436 = "Y", "Yes", TRUE, PROPER(TRIM(AA436)))</f>
        <v>No</v>
      </c>
      <c r="AC436" s="3">
        <v>3</v>
      </c>
      <c r="AD436" s="3" t="s">
        <v>46</v>
      </c>
      <c r="AE436">
        <f t="shared" si="27"/>
        <v>1</v>
      </c>
    </row>
    <row r="437" spans="1:31" ht="14.25" customHeight="1" x14ac:dyDescent="0.35">
      <c r="A437" s="3" t="s">
        <v>966</v>
      </c>
      <c r="B437" s="3" t="s">
        <v>131</v>
      </c>
      <c r="C437" s="3" t="s">
        <v>299</v>
      </c>
      <c r="D437" s="3">
        <v>50</v>
      </c>
      <c r="E437" s="3">
        <f t="shared" si="24"/>
        <v>50</v>
      </c>
      <c r="F437" s="3">
        <v>1974</v>
      </c>
      <c r="G437" s="3">
        <v>55000</v>
      </c>
      <c r="H437" s="12" cm="1">
        <f t="array" ref="H437">_xlfn.IFS(TRIM(G437)="SIXTY THOUSAND",60000,TRIM(G437)="NAN",AVERAGEIFS(G:G,J:J,J437,L:L,L437),TRUE,G437)</f>
        <v>55000</v>
      </c>
      <c r="I437" s="3" t="s">
        <v>27</v>
      </c>
      <c r="J437" s="3" t="s">
        <v>82</v>
      </c>
      <c r="K437" s="3" t="str">
        <f t="shared" si="25"/>
        <v>HR</v>
      </c>
      <c r="L437" s="3" t="s">
        <v>40</v>
      </c>
      <c r="M437" s="4">
        <v>43881</v>
      </c>
      <c r="N437" s="4">
        <v>43881</v>
      </c>
      <c r="O437" s="3" t="s">
        <v>78</v>
      </c>
      <c r="P437" s="3">
        <v>85</v>
      </c>
      <c r="Q437" s="3" t="s">
        <v>967</v>
      </c>
      <c r="R437" s="3" t="s">
        <v>43</v>
      </c>
      <c r="S437" s="3" t="s">
        <v>66</v>
      </c>
      <c r="T437" s="3" t="str">
        <f t="shared" si="26"/>
        <v>Contract</v>
      </c>
      <c r="U437" s="3" t="s">
        <v>770</v>
      </c>
      <c r="V437" s="3">
        <v>7</v>
      </c>
      <c r="X437" s="3">
        <v>16</v>
      </c>
      <c r="Z437" s="3">
        <v>32</v>
      </c>
      <c r="AB437" s="3" t="str" cm="1">
        <f t="array" ref="AB437">_xlfn.IFS(AA437="N","No",  AA437 = "Y", "Yes", TRUE, PROPER(TRIM(AA437)))</f>
        <v/>
      </c>
      <c r="AC437" s="3">
        <v>4</v>
      </c>
      <c r="AD437" s="3" t="s">
        <v>34</v>
      </c>
      <c r="AE437">
        <f t="shared" si="27"/>
        <v>0</v>
      </c>
    </row>
    <row r="438" spans="1:31" ht="14.25" customHeight="1" x14ac:dyDescent="0.35">
      <c r="A438" s="3" t="s">
        <v>968</v>
      </c>
      <c r="B438" s="3" t="s">
        <v>48</v>
      </c>
      <c r="C438" s="3" t="s">
        <v>148</v>
      </c>
      <c r="D438" s="3">
        <v>50</v>
      </c>
      <c r="E438" s="3">
        <f t="shared" si="24"/>
        <v>50</v>
      </c>
      <c r="F438" s="3">
        <v>1974</v>
      </c>
      <c r="G438" s="3">
        <v>70000</v>
      </c>
      <c r="H438" s="12" cm="1">
        <f t="array" ref="H438">_xlfn.IFS(TRIM(G438)="SIXTY THOUSAND",60000,TRIM(G438)="NAN",AVERAGEIFS(G:G,J:J,J438,L:L,L438),TRUE,G438)</f>
        <v>70000</v>
      </c>
      <c r="I438" s="3" t="s">
        <v>38</v>
      </c>
      <c r="J438" s="3" t="s">
        <v>58</v>
      </c>
      <c r="K438" s="3" t="str">
        <f t="shared" si="25"/>
        <v>IT</v>
      </c>
      <c r="L438" s="3" t="s">
        <v>29</v>
      </c>
      <c r="M438" s="4">
        <v>43195</v>
      </c>
      <c r="N438" s="4">
        <v>43195</v>
      </c>
      <c r="O438" s="3" t="s">
        <v>78</v>
      </c>
      <c r="P438" s="3">
        <v>81</v>
      </c>
      <c r="Q438" s="3" t="s">
        <v>969</v>
      </c>
      <c r="R438" s="3" t="s">
        <v>61</v>
      </c>
      <c r="S438" s="3" t="s">
        <v>112</v>
      </c>
      <c r="T438" s="3" t="str">
        <f t="shared" si="26"/>
        <v>Full-Time</v>
      </c>
      <c r="U438" s="3" t="s">
        <v>970</v>
      </c>
      <c r="V438" s="3">
        <v>5</v>
      </c>
      <c r="Z438" s="3">
        <v>74</v>
      </c>
      <c r="AB438" s="3" t="str" cm="1">
        <f t="array" ref="AB438">_xlfn.IFS(AA438="N","No",  AA438 = "Y", "Yes", TRUE, PROPER(TRIM(AA438)))</f>
        <v/>
      </c>
      <c r="AC438" s="3">
        <v>4</v>
      </c>
      <c r="AD438" s="3" t="s">
        <v>34</v>
      </c>
      <c r="AE438">
        <f t="shared" si="27"/>
        <v>0</v>
      </c>
    </row>
    <row r="439" spans="1:31" ht="14.25" customHeight="1" x14ac:dyDescent="0.35">
      <c r="A439" s="3" t="s">
        <v>971</v>
      </c>
      <c r="B439" s="3" t="s">
        <v>56</v>
      </c>
      <c r="C439" s="3" t="s">
        <v>161</v>
      </c>
      <c r="D439" s="3">
        <v>35</v>
      </c>
      <c r="E439" s="3">
        <f t="shared" si="24"/>
        <v>35</v>
      </c>
      <c r="F439" s="3">
        <v>1989</v>
      </c>
      <c r="G439" s="3">
        <v>65000</v>
      </c>
      <c r="H439" s="12" cm="1">
        <f t="array" ref="H439">_xlfn.IFS(TRIM(G439)="SIXTY THOUSAND",60000,TRIM(G439)="NAN",AVERAGEIFS(G:G,J:J,J439,L:L,L439),TRUE,G439)</f>
        <v>65000</v>
      </c>
      <c r="I439" s="3" t="s">
        <v>38</v>
      </c>
      <c r="J439" s="3" t="s">
        <v>122</v>
      </c>
      <c r="K439" s="3" t="str">
        <f t="shared" si="25"/>
        <v>IT</v>
      </c>
      <c r="L439" s="3" t="s">
        <v>94</v>
      </c>
      <c r="M439" s="4">
        <v>43549</v>
      </c>
      <c r="N439" s="4">
        <v>43549</v>
      </c>
      <c r="O439" s="3" t="s">
        <v>41</v>
      </c>
      <c r="P439" s="3">
        <v>39</v>
      </c>
      <c r="Q439" s="3" t="s">
        <v>972</v>
      </c>
      <c r="R439" s="3" t="s">
        <v>54</v>
      </c>
      <c r="S439" s="3" t="s">
        <v>72</v>
      </c>
      <c r="T439" s="3" t="str">
        <f t="shared" si="26"/>
        <v>Part-Time</v>
      </c>
      <c r="V439" s="3">
        <v>5</v>
      </c>
      <c r="W439" s="3" t="s">
        <v>79</v>
      </c>
      <c r="X439" s="3">
        <v>6</v>
      </c>
      <c r="AA439" s="3" t="s">
        <v>169</v>
      </c>
      <c r="AB439" s="3" t="str" cm="1">
        <f t="array" ref="AB439">_xlfn.IFS(AA439="N","No",  AA439 = "Y", "Yes", TRUE, PROPER(TRIM(AA439)))</f>
        <v>Yes</v>
      </c>
      <c r="AC439" s="3">
        <v>1</v>
      </c>
      <c r="AD439" s="3" t="s">
        <v>46</v>
      </c>
      <c r="AE439">
        <f t="shared" si="27"/>
        <v>1</v>
      </c>
    </row>
    <row r="440" spans="1:31" ht="14.25" customHeight="1" x14ac:dyDescent="0.35">
      <c r="A440" s="3" t="s">
        <v>973</v>
      </c>
      <c r="B440" s="3" t="s">
        <v>36</v>
      </c>
      <c r="C440" s="3" t="s">
        <v>499</v>
      </c>
      <c r="D440" s="3">
        <v>50</v>
      </c>
      <c r="E440" s="3">
        <f t="shared" si="24"/>
        <v>50</v>
      </c>
      <c r="F440" s="3">
        <v>1974</v>
      </c>
      <c r="G440" s="3">
        <v>61600</v>
      </c>
      <c r="H440" s="12" cm="1">
        <f t="array" ref="H440">_xlfn.IFS(TRIM(G440)="SIXTY THOUSAND",60000,TRIM(G440)="NAN",AVERAGEIFS(G:G,J:J,J440,L:L,L440),TRUE,G440)</f>
        <v>61600</v>
      </c>
      <c r="I440" s="3" t="s">
        <v>27</v>
      </c>
      <c r="J440" s="3" t="s">
        <v>70</v>
      </c>
      <c r="K440" s="3" t="str">
        <f t="shared" si="25"/>
        <v>Marketing</v>
      </c>
      <c r="L440" s="3" t="s">
        <v>89</v>
      </c>
      <c r="M440" s="4">
        <v>43881</v>
      </c>
      <c r="N440" s="4">
        <v>43881</v>
      </c>
      <c r="O440" s="3" t="s">
        <v>52</v>
      </c>
      <c r="P440" s="3">
        <v>78</v>
      </c>
      <c r="Q440" s="3" t="s">
        <v>974</v>
      </c>
      <c r="R440" s="3" t="s">
        <v>104</v>
      </c>
      <c r="S440" s="3" t="s">
        <v>32</v>
      </c>
      <c r="T440" s="3" t="str">
        <f t="shared" si="26"/>
        <v>Contract</v>
      </c>
      <c r="U440" s="3" t="s">
        <v>975</v>
      </c>
      <c r="V440" s="3">
        <v>1</v>
      </c>
      <c r="Y440" s="4">
        <v>44732</v>
      </c>
      <c r="Z440" s="3">
        <v>25</v>
      </c>
      <c r="AA440" s="3" t="s">
        <v>73</v>
      </c>
      <c r="AB440" s="3" t="str" cm="1">
        <f t="array" ref="AB440">_xlfn.IFS(AA440="N","No",  AA440 = "Y", "Yes", TRUE, PROPER(TRIM(AA440)))</f>
        <v>No</v>
      </c>
      <c r="AC440" s="3">
        <v>1</v>
      </c>
      <c r="AD440" s="3" t="s">
        <v>46</v>
      </c>
      <c r="AE440">
        <f t="shared" si="27"/>
        <v>1</v>
      </c>
    </row>
    <row r="441" spans="1:31" ht="14.25" customHeight="1" x14ac:dyDescent="0.35">
      <c r="A441" s="3" t="s">
        <v>976</v>
      </c>
      <c r="B441" s="3" t="s">
        <v>48</v>
      </c>
      <c r="C441" s="3" t="s">
        <v>315</v>
      </c>
      <c r="D441" s="3">
        <v>40</v>
      </c>
      <c r="E441" s="3">
        <f t="shared" si="24"/>
        <v>40</v>
      </c>
      <c r="F441" s="3">
        <v>1984</v>
      </c>
      <c r="G441" s="3">
        <v>70000</v>
      </c>
      <c r="H441" s="12" cm="1">
        <f t="array" ref="H441">_xlfn.IFS(TRIM(G441)="SIXTY THOUSAND",60000,TRIM(G441)="NAN",AVERAGEIFS(G:G,J:J,J441,L:L,L441),TRUE,G441)</f>
        <v>70000</v>
      </c>
      <c r="I441" s="3" t="s">
        <v>38</v>
      </c>
      <c r="J441" s="3" t="s">
        <v>145</v>
      </c>
      <c r="K441" s="3" t="str">
        <f t="shared" si="25"/>
        <v>Sales</v>
      </c>
      <c r="L441" s="3" t="s">
        <v>29</v>
      </c>
      <c r="M441" s="4">
        <v>43881</v>
      </c>
      <c r="N441" s="4">
        <v>43881</v>
      </c>
      <c r="O441" s="3" t="s">
        <v>41</v>
      </c>
      <c r="P441" s="3">
        <v>46</v>
      </c>
      <c r="Q441" s="3" t="s">
        <v>977</v>
      </c>
      <c r="R441" s="3" t="s">
        <v>104</v>
      </c>
      <c r="S441" s="3" t="s">
        <v>32</v>
      </c>
      <c r="T441" s="3" t="str">
        <f t="shared" si="26"/>
        <v>Contract</v>
      </c>
      <c r="U441" s="3" t="s">
        <v>978</v>
      </c>
      <c r="V441" s="3">
        <v>6</v>
      </c>
      <c r="AA441" s="3" t="s">
        <v>73</v>
      </c>
      <c r="AB441" s="3" t="str" cm="1">
        <f t="array" ref="AB441">_xlfn.IFS(AA441="N","No",  AA441 = "Y", "Yes", TRUE, PROPER(TRIM(AA441)))</f>
        <v>No</v>
      </c>
      <c r="AC441" s="3">
        <v>3</v>
      </c>
      <c r="AD441" s="3" t="s">
        <v>34</v>
      </c>
      <c r="AE441">
        <f t="shared" si="27"/>
        <v>0</v>
      </c>
    </row>
    <row r="442" spans="1:31" ht="14.25" customHeight="1" x14ac:dyDescent="0.35">
      <c r="A442" s="3" t="s">
        <v>979</v>
      </c>
      <c r="B442" s="3" t="s">
        <v>25</v>
      </c>
      <c r="C442" s="3" t="s">
        <v>359</v>
      </c>
      <c r="D442" s="3" t="s">
        <v>88</v>
      </c>
      <c r="E442" s="3">
        <f t="shared" si="24"/>
        <v>30</v>
      </c>
      <c r="F442" s="3">
        <v>1994</v>
      </c>
      <c r="G442" s="3" t="s">
        <v>50</v>
      </c>
      <c r="H442" s="12" cm="1">
        <f t="array" ref="H442">_xlfn.IFS(TRIM(G442)="SIXTY THOUSAND",60000,TRIM(G442)="NAN",AVERAGEIFS(G:G,J:J,J442,L:L,L442),TRUE,G442)</f>
        <v>60000</v>
      </c>
      <c r="I442" s="3" t="s">
        <v>27</v>
      </c>
      <c r="J442" s="3" t="s">
        <v>28</v>
      </c>
      <c r="K442" s="3" t="str">
        <f t="shared" si="25"/>
        <v>HR</v>
      </c>
      <c r="L442" s="3" t="s">
        <v>94</v>
      </c>
      <c r="M442" s="4">
        <v>43881</v>
      </c>
      <c r="N442" s="4">
        <v>43881</v>
      </c>
      <c r="O442" s="3" t="s">
        <v>30</v>
      </c>
      <c r="P442" s="3">
        <v>60</v>
      </c>
      <c r="Q442" s="3" t="s">
        <v>980</v>
      </c>
      <c r="R442" s="3" t="s">
        <v>43</v>
      </c>
      <c r="S442" s="3" t="s">
        <v>66</v>
      </c>
      <c r="T442" s="3" t="str">
        <f t="shared" si="26"/>
        <v>Contract</v>
      </c>
      <c r="U442" s="3" t="s">
        <v>221</v>
      </c>
      <c r="V442" s="3">
        <v>8</v>
      </c>
      <c r="X442" s="3">
        <v>13</v>
      </c>
      <c r="Y442" s="4">
        <v>44732</v>
      </c>
      <c r="AA442" s="3" t="s">
        <v>73</v>
      </c>
      <c r="AB442" s="3" t="str" cm="1">
        <f t="array" ref="AB442">_xlfn.IFS(AA442="N","No",  AA442 = "Y", "Yes", TRUE, PROPER(TRIM(AA442)))</f>
        <v>No</v>
      </c>
      <c r="AC442" s="3">
        <v>5</v>
      </c>
      <c r="AD442" s="3" t="s">
        <v>34</v>
      </c>
      <c r="AE442">
        <f t="shared" si="27"/>
        <v>0</v>
      </c>
    </row>
    <row r="443" spans="1:31" ht="14.25" customHeight="1" x14ac:dyDescent="0.35">
      <c r="A443" s="3" t="s">
        <v>981</v>
      </c>
      <c r="B443" s="3" t="s">
        <v>114</v>
      </c>
      <c r="C443" s="3" t="s">
        <v>295</v>
      </c>
      <c r="D443" s="3">
        <v>25</v>
      </c>
      <c r="E443" s="3">
        <f t="shared" si="24"/>
        <v>25</v>
      </c>
      <c r="F443" s="3">
        <v>1999</v>
      </c>
      <c r="G443" s="3" t="s">
        <v>50</v>
      </c>
      <c r="H443" s="12" cm="1">
        <f t="array" ref="H443">_xlfn.IFS(TRIM(G443)="SIXTY THOUSAND",60000,TRIM(G443)="NAN",AVERAGEIFS(G:G,J:J,J443,L:L,L443),TRUE,G443)</f>
        <v>60000</v>
      </c>
      <c r="I443" s="3" t="s">
        <v>27</v>
      </c>
      <c r="J443" s="3" t="s">
        <v>145</v>
      </c>
      <c r="K443" s="3" t="str">
        <f t="shared" si="25"/>
        <v>Sales</v>
      </c>
      <c r="L443" s="3" t="s">
        <v>94</v>
      </c>
      <c r="M443" s="4">
        <v>43845</v>
      </c>
      <c r="N443" s="4">
        <v>43845</v>
      </c>
      <c r="O443" s="3" t="s">
        <v>78</v>
      </c>
      <c r="P443" s="3">
        <v>81</v>
      </c>
      <c r="Q443" s="3" t="s">
        <v>982</v>
      </c>
      <c r="R443" s="3" t="s">
        <v>61</v>
      </c>
      <c r="S443" s="3" t="s">
        <v>112</v>
      </c>
      <c r="T443" s="3" t="str">
        <f t="shared" si="26"/>
        <v>Full-Time</v>
      </c>
      <c r="V443" s="3">
        <v>8</v>
      </c>
      <c r="W443" s="3">
        <v>11</v>
      </c>
      <c r="AA443" s="3" t="s">
        <v>46</v>
      </c>
      <c r="AB443" s="3" t="str" cm="1">
        <f t="array" ref="AB443">_xlfn.IFS(AA443="N","No",  AA443 = "Y", "Yes", TRUE, PROPER(TRIM(AA443)))</f>
        <v>Yes</v>
      </c>
      <c r="AC443" s="3">
        <v>4</v>
      </c>
      <c r="AD443" s="3" t="s">
        <v>34</v>
      </c>
      <c r="AE443">
        <f t="shared" si="27"/>
        <v>0</v>
      </c>
    </row>
    <row r="444" spans="1:31" ht="14.25" customHeight="1" x14ac:dyDescent="0.35">
      <c r="A444" s="3" t="s">
        <v>983</v>
      </c>
      <c r="B444" s="3" t="s">
        <v>131</v>
      </c>
      <c r="C444" s="3" t="s">
        <v>984</v>
      </c>
      <c r="E444" s="3">
        <f t="shared" si="24"/>
        <v>28</v>
      </c>
      <c r="F444" s="3">
        <v>1996</v>
      </c>
      <c r="G444" s="3">
        <v>65000</v>
      </c>
      <c r="H444" s="12" cm="1">
        <f t="array" ref="H444">_xlfn.IFS(TRIM(G444)="SIXTY THOUSAND",60000,TRIM(G444)="NAN",AVERAGEIFS(G:G,J:J,J444,L:L,L444),TRUE,G444)</f>
        <v>65000</v>
      </c>
      <c r="I444" s="3" t="s">
        <v>38</v>
      </c>
      <c r="J444" s="3" t="s">
        <v>70</v>
      </c>
      <c r="K444" s="3" t="str">
        <f t="shared" si="25"/>
        <v>Marketing</v>
      </c>
      <c r="L444" s="3" t="s">
        <v>77</v>
      </c>
      <c r="M444" s="4">
        <v>43195</v>
      </c>
      <c r="N444" s="4">
        <v>43195</v>
      </c>
      <c r="O444" s="3" t="s">
        <v>41</v>
      </c>
      <c r="P444" s="3">
        <v>39</v>
      </c>
      <c r="Q444" s="3" t="s">
        <v>985</v>
      </c>
      <c r="S444" s="3" t="s">
        <v>66</v>
      </c>
      <c r="T444" s="3" t="str">
        <f t="shared" si="26"/>
        <v>Contract</v>
      </c>
      <c r="V444" s="3">
        <v>1</v>
      </c>
      <c r="W444" s="3">
        <v>3</v>
      </c>
      <c r="X444" s="3">
        <v>2</v>
      </c>
      <c r="Y444" s="4">
        <v>44941</v>
      </c>
      <c r="AA444" s="3" t="s">
        <v>34</v>
      </c>
      <c r="AB444" s="3" t="str" cm="1">
        <f t="array" ref="AB444">_xlfn.IFS(AA444="N","No",  AA444 = "Y", "Yes", TRUE, PROPER(TRIM(AA444)))</f>
        <v>No</v>
      </c>
      <c r="AC444" s="3">
        <v>5</v>
      </c>
      <c r="AD444" s="3" t="s">
        <v>34</v>
      </c>
      <c r="AE444">
        <f t="shared" si="27"/>
        <v>0</v>
      </c>
    </row>
    <row r="445" spans="1:31" ht="14.25" customHeight="1" x14ac:dyDescent="0.35">
      <c r="A445" s="3" t="s">
        <v>986</v>
      </c>
      <c r="B445" s="3" t="s">
        <v>36</v>
      </c>
      <c r="C445" s="3" t="s">
        <v>176</v>
      </c>
      <c r="E445" s="3">
        <f t="shared" si="24"/>
        <v>35</v>
      </c>
      <c r="F445" s="3">
        <v>1989</v>
      </c>
      <c r="G445" s="3">
        <v>58800</v>
      </c>
      <c r="H445" s="12" cm="1">
        <f t="array" ref="H445">_xlfn.IFS(TRIM(G445)="SIXTY THOUSAND",60000,TRIM(G445)="NAN",AVERAGEIFS(G:G,J:J,J445,L:L,L445),TRUE,G445)</f>
        <v>58800</v>
      </c>
      <c r="I445" s="3" t="s">
        <v>27</v>
      </c>
      <c r="J445" s="3" t="s">
        <v>28</v>
      </c>
      <c r="K445" s="3" t="str">
        <f t="shared" si="25"/>
        <v>HR</v>
      </c>
      <c r="L445" s="3" t="s">
        <v>77</v>
      </c>
      <c r="M445" s="4">
        <v>43845</v>
      </c>
      <c r="N445" s="4">
        <v>43845</v>
      </c>
      <c r="O445" s="3" t="s">
        <v>78</v>
      </c>
      <c r="P445" s="3">
        <v>80</v>
      </c>
      <c r="Q445" s="3" t="s">
        <v>987</v>
      </c>
      <c r="R445" s="3" t="s">
        <v>54</v>
      </c>
      <c r="S445" s="3" t="s">
        <v>174</v>
      </c>
      <c r="T445" s="3" t="str">
        <f t="shared" si="26"/>
        <v>Full-Time</v>
      </c>
      <c r="U445" s="3" t="s">
        <v>258</v>
      </c>
      <c r="V445" s="3">
        <v>5</v>
      </c>
      <c r="W445" s="3" t="s">
        <v>79</v>
      </c>
      <c r="X445" s="3">
        <v>2</v>
      </c>
      <c r="AA445" s="3" t="s">
        <v>46</v>
      </c>
      <c r="AB445" s="3" t="str" cm="1">
        <f t="array" ref="AB445">_xlfn.IFS(AA445="N","No",  AA445 = "Y", "Yes", TRUE, PROPER(TRIM(AA445)))</f>
        <v>Yes</v>
      </c>
      <c r="AC445" s="3">
        <v>5</v>
      </c>
      <c r="AD445" s="3" t="s">
        <v>34</v>
      </c>
      <c r="AE445">
        <f t="shared" si="27"/>
        <v>0</v>
      </c>
    </row>
    <row r="446" spans="1:31" ht="14.25" customHeight="1" x14ac:dyDescent="0.35">
      <c r="A446" s="3" t="s">
        <v>988</v>
      </c>
      <c r="B446" s="3" t="s">
        <v>48</v>
      </c>
      <c r="C446" s="3" t="s">
        <v>534</v>
      </c>
      <c r="D446" s="3">
        <v>35</v>
      </c>
      <c r="E446" s="3">
        <f t="shared" si="24"/>
        <v>35</v>
      </c>
      <c r="F446" s="3">
        <v>1989</v>
      </c>
      <c r="G446" s="3">
        <v>59000</v>
      </c>
      <c r="H446" s="12" cm="1">
        <f t="array" ref="H446">_xlfn.IFS(TRIM(G446)="SIXTY THOUSAND",60000,TRIM(G446)="NAN",AVERAGEIFS(G:G,J:J,J446,L:L,L446),TRUE,G446)</f>
        <v>59000</v>
      </c>
      <c r="I446" s="3" t="s">
        <v>38</v>
      </c>
      <c r="J446" s="3" t="s">
        <v>28</v>
      </c>
      <c r="K446" s="3" t="str">
        <f t="shared" si="25"/>
        <v>HR</v>
      </c>
      <c r="L446" s="3" t="s">
        <v>29</v>
      </c>
      <c r="M446" s="4">
        <v>43195</v>
      </c>
      <c r="N446" s="4">
        <v>43195</v>
      </c>
      <c r="O446" s="3" t="s">
        <v>52</v>
      </c>
      <c r="P446" s="3">
        <v>77</v>
      </c>
      <c r="Q446" s="3" t="s">
        <v>535</v>
      </c>
      <c r="R446" s="3" t="s">
        <v>43</v>
      </c>
      <c r="S446" s="3" t="s">
        <v>44</v>
      </c>
      <c r="T446" s="3" t="str">
        <f t="shared" si="26"/>
        <v>Full-Time</v>
      </c>
      <c r="V446" s="3">
        <v>4</v>
      </c>
      <c r="W446" s="3" t="s">
        <v>79</v>
      </c>
      <c r="X446" s="3">
        <v>15</v>
      </c>
      <c r="Y446" s="4">
        <v>44941</v>
      </c>
      <c r="AA446" s="3" t="s">
        <v>33</v>
      </c>
      <c r="AB446" s="3" t="str" cm="1">
        <f t="array" ref="AB446">_xlfn.IFS(AA446="N","No",  AA446 = "Y", "Yes", TRUE, PROPER(TRIM(AA446)))</f>
        <v>Yes</v>
      </c>
      <c r="AC446" s="3">
        <v>5</v>
      </c>
      <c r="AD446" s="3" t="s">
        <v>46</v>
      </c>
      <c r="AE446">
        <f t="shared" si="27"/>
        <v>1</v>
      </c>
    </row>
    <row r="447" spans="1:31" ht="14.25" customHeight="1" x14ac:dyDescent="0.35">
      <c r="A447" s="3" t="s">
        <v>989</v>
      </c>
      <c r="B447" s="3" t="s">
        <v>114</v>
      </c>
      <c r="C447" s="3" t="s">
        <v>591</v>
      </c>
      <c r="E447" s="3">
        <f t="shared" si="24"/>
        <v>26</v>
      </c>
      <c r="F447" s="3">
        <v>1998</v>
      </c>
      <c r="G447" s="3">
        <v>70000</v>
      </c>
      <c r="H447" s="12" cm="1">
        <f t="array" ref="H447">_xlfn.IFS(TRIM(G447)="SIXTY THOUSAND",60000,TRIM(G447)="NAN",AVERAGEIFS(G:G,J:J,J447,L:L,L447),TRUE,G447)</f>
        <v>70000</v>
      </c>
      <c r="I447" s="3" t="s">
        <v>27</v>
      </c>
      <c r="J447" s="3" t="s">
        <v>145</v>
      </c>
      <c r="K447" s="3" t="str">
        <f t="shared" si="25"/>
        <v>Sales</v>
      </c>
      <c r="L447" s="3" t="s">
        <v>77</v>
      </c>
      <c r="M447" s="4">
        <v>43881</v>
      </c>
      <c r="N447" s="4">
        <v>43881</v>
      </c>
      <c r="O447" s="3" t="s">
        <v>59</v>
      </c>
      <c r="P447" s="3">
        <v>100</v>
      </c>
      <c r="Q447" s="3" t="s">
        <v>592</v>
      </c>
      <c r="R447" s="3" t="s">
        <v>104</v>
      </c>
      <c r="S447" s="3" t="s">
        <v>44</v>
      </c>
      <c r="T447" s="3" t="str">
        <f t="shared" si="26"/>
        <v>Full-Time</v>
      </c>
      <c r="V447" s="3">
        <v>6</v>
      </c>
      <c r="W447" s="3" t="s">
        <v>79</v>
      </c>
      <c r="X447" s="3">
        <v>8</v>
      </c>
      <c r="Z447" s="3">
        <v>72</v>
      </c>
      <c r="AA447" s="3" t="s">
        <v>46</v>
      </c>
      <c r="AB447" s="3" t="str" cm="1">
        <f t="array" ref="AB447">_xlfn.IFS(AA447="N","No",  AA447 = "Y", "Yes", TRUE, PROPER(TRIM(AA447)))</f>
        <v>Yes</v>
      </c>
      <c r="AC447" s="3">
        <v>1</v>
      </c>
      <c r="AD447" s="3" t="s">
        <v>34</v>
      </c>
      <c r="AE447">
        <f t="shared" si="27"/>
        <v>0</v>
      </c>
    </row>
    <row r="448" spans="1:31" ht="14.25" customHeight="1" x14ac:dyDescent="0.35">
      <c r="A448" s="3" t="s">
        <v>990</v>
      </c>
      <c r="B448" s="3" t="s">
        <v>75</v>
      </c>
      <c r="C448" s="3" t="s">
        <v>259</v>
      </c>
      <c r="D448" s="3">
        <v>40</v>
      </c>
      <c r="E448" s="3">
        <f t="shared" si="24"/>
        <v>40</v>
      </c>
      <c r="F448" s="3">
        <v>1984</v>
      </c>
      <c r="G448" s="3">
        <v>70000</v>
      </c>
      <c r="H448" s="12" cm="1">
        <f t="array" ref="H448">_xlfn.IFS(TRIM(G448)="SIXTY THOUSAND",60000,TRIM(G448)="NAN",AVERAGEIFS(G:G,J:J,J448,L:L,L448),TRUE,G448)</f>
        <v>70000</v>
      </c>
      <c r="I448" s="3" t="s">
        <v>27</v>
      </c>
      <c r="J448" s="3" t="s">
        <v>64</v>
      </c>
      <c r="K448" s="3" t="str">
        <f t="shared" si="25"/>
        <v>Finance</v>
      </c>
      <c r="L448" s="3" t="s">
        <v>94</v>
      </c>
      <c r="M448" s="4">
        <v>43549</v>
      </c>
      <c r="N448" s="4">
        <v>43549</v>
      </c>
      <c r="O448" s="3" t="s">
        <v>41</v>
      </c>
      <c r="P448" s="3">
        <v>30</v>
      </c>
      <c r="Q448" s="3" t="s">
        <v>991</v>
      </c>
      <c r="R448" s="3" t="s">
        <v>61</v>
      </c>
      <c r="S448" s="3" t="s">
        <v>112</v>
      </c>
      <c r="T448" s="3" t="str">
        <f t="shared" si="26"/>
        <v>Full-Time</v>
      </c>
      <c r="V448" s="3">
        <v>2</v>
      </c>
      <c r="W448" s="3">
        <v>13</v>
      </c>
      <c r="X448" s="3">
        <v>0</v>
      </c>
      <c r="AA448" s="3" t="s">
        <v>34</v>
      </c>
      <c r="AB448" s="3" t="str" cm="1">
        <f t="array" ref="AB448">_xlfn.IFS(AA448="N","No",  AA448 = "Y", "Yes", TRUE, PROPER(TRIM(AA448)))</f>
        <v>No</v>
      </c>
      <c r="AC448" s="3">
        <v>1</v>
      </c>
      <c r="AD448" s="3" t="s">
        <v>46</v>
      </c>
      <c r="AE448">
        <f t="shared" si="27"/>
        <v>1</v>
      </c>
    </row>
    <row r="449" spans="1:31" ht="14.25" customHeight="1" x14ac:dyDescent="0.35">
      <c r="A449" s="3" t="s">
        <v>992</v>
      </c>
      <c r="B449" s="3" t="s">
        <v>131</v>
      </c>
      <c r="C449" s="3" t="s">
        <v>99</v>
      </c>
      <c r="D449" s="3">
        <v>50</v>
      </c>
      <c r="E449" s="3">
        <f t="shared" si="24"/>
        <v>50</v>
      </c>
      <c r="F449" s="3">
        <v>1974</v>
      </c>
      <c r="G449" s="3">
        <v>58600</v>
      </c>
      <c r="H449" s="12" cm="1">
        <f t="array" ref="H449">_xlfn.IFS(TRIM(G449)="SIXTY THOUSAND",60000,TRIM(G449)="NAN",AVERAGEIFS(G:G,J:J,J449,L:L,L449),TRUE,G449)</f>
        <v>58600</v>
      </c>
      <c r="I449" s="3" t="s">
        <v>38</v>
      </c>
      <c r="J449" s="3" t="s">
        <v>122</v>
      </c>
      <c r="K449" s="3" t="str">
        <f t="shared" si="25"/>
        <v>IT</v>
      </c>
      <c r="L449" s="3" t="s">
        <v>77</v>
      </c>
      <c r="M449" s="4">
        <v>43800</v>
      </c>
      <c r="N449" s="4">
        <v>43800</v>
      </c>
      <c r="O449" s="3" t="s">
        <v>41</v>
      </c>
      <c r="P449" s="3">
        <v>9</v>
      </c>
      <c r="Q449" s="3" t="s">
        <v>993</v>
      </c>
      <c r="R449" s="3" t="s">
        <v>61</v>
      </c>
      <c r="S449" s="3" t="s">
        <v>100</v>
      </c>
      <c r="T449" s="3" t="str">
        <f t="shared" si="26"/>
        <v>Part-Time</v>
      </c>
      <c r="V449" s="3">
        <v>2</v>
      </c>
      <c r="W449" s="3" t="s">
        <v>79</v>
      </c>
      <c r="X449" s="3">
        <v>15</v>
      </c>
      <c r="AA449" s="3" t="s">
        <v>34</v>
      </c>
      <c r="AB449" s="3" t="str" cm="1">
        <f t="array" ref="AB449">_xlfn.IFS(AA449="N","No",  AA449 = "Y", "Yes", TRUE, PROPER(TRIM(AA449)))</f>
        <v>No</v>
      </c>
      <c r="AC449" s="3">
        <v>4</v>
      </c>
      <c r="AD449" s="3" t="s">
        <v>34</v>
      </c>
      <c r="AE449">
        <f t="shared" si="27"/>
        <v>0</v>
      </c>
    </row>
    <row r="450" spans="1:31" ht="14.25" customHeight="1" x14ac:dyDescent="0.35">
      <c r="A450" s="3" t="s">
        <v>994</v>
      </c>
      <c r="B450" s="3" t="s">
        <v>131</v>
      </c>
      <c r="C450" s="3" t="s">
        <v>692</v>
      </c>
      <c r="D450" s="3">
        <v>40</v>
      </c>
      <c r="E450" s="3">
        <f t="shared" ref="E450:E513" si="28">2024-F450</f>
        <v>40</v>
      </c>
      <c r="F450" s="3">
        <v>1984</v>
      </c>
      <c r="G450" s="3">
        <v>70000</v>
      </c>
      <c r="H450" s="12" cm="1">
        <f t="array" ref="H450">_xlfn.IFS(TRIM(G450)="SIXTY THOUSAND",60000,TRIM(G450)="NAN",AVERAGEIFS(G:G,J:J,J450,L:L,L450),TRUE,G450)</f>
        <v>70000</v>
      </c>
      <c r="I450" s="3" t="s">
        <v>27</v>
      </c>
      <c r="J450" s="3" t="s">
        <v>64</v>
      </c>
      <c r="K450" s="3" t="str">
        <f t="shared" ref="K450:K513" si="29">IF(OR(J450="HR",J450="IT"),UPPER(J450),PROPER(J450))</f>
        <v>Finance</v>
      </c>
      <c r="L450" s="3" t="s">
        <v>40</v>
      </c>
      <c r="M450" s="4">
        <v>43800</v>
      </c>
      <c r="N450" s="4">
        <v>43800</v>
      </c>
      <c r="O450" s="3" t="s">
        <v>78</v>
      </c>
      <c r="P450" s="3">
        <v>85</v>
      </c>
      <c r="Q450" s="3" t="s">
        <v>693</v>
      </c>
      <c r="R450" s="3" t="s">
        <v>43</v>
      </c>
      <c r="S450" s="3" t="s">
        <v>100</v>
      </c>
      <c r="T450" s="3" t="str">
        <f t="shared" ref="T450:T513" si="30">PROPER(S450)</f>
        <v>Part-Time</v>
      </c>
      <c r="V450" s="3">
        <v>3</v>
      </c>
      <c r="W450" s="3">
        <v>1</v>
      </c>
      <c r="AA450" s="3" t="s">
        <v>33</v>
      </c>
      <c r="AB450" s="3" t="str" cm="1">
        <f t="array" ref="AB450">_xlfn.IFS(AA450="N","No",  AA450 = "Y", "Yes", TRUE, PROPER(TRIM(AA450)))</f>
        <v>Yes</v>
      </c>
      <c r="AC450" s="3">
        <v>2</v>
      </c>
      <c r="AD450" s="3" t="s">
        <v>46</v>
      </c>
      <c r="AE450">
        <f t="shared" si="27"/>
        <v>1</v>
      </c>
    </row>
    <row r="451" spans="1:31" ht="14.25" customHeight="1" x14ac:dyDescent="0.35">
      <c r="A451" s="3" t="s">
        <v>995</v>
      </c>
      <c r="B451" s="3" t="s">
        <v>75</v>
      </c>
      <c r="C451" s="3" t="s">
        <v>189</v>
      </c>
      <c r="D451" s="3">
        <v>35</v>
      </c>
      <c r="E451" s="3">
        <f t="shared" si="28"/>
        <v>35</v>
      </c>
      <c r="F451" s="3">
        <v>1989</v>
      </c>
      <c r="G451" s="3">
        <v>63000</v>
      </c>
      <c r="H451" s="12" cm="1">
        <f t="array" ref="H451">_xlfn.IFS(TRIM(G451)="SIXTY THOUSAND",60000,TRIM(G451)="NAN",AVERAGEIFS(G:G,J:J,J451,L:L,L451),TRUE,G451)</f>
        <v>63000</v>
      </c>
      <c r="I451" s="3" t="s">
        <v>38</v>
      </c>
      <c r="J451" s="3" t="s">
        <v>145</v>
      </c>
      <c r="K451" s="3" t="str">
        <f t="shared" si="29"/>
        <v>Sales</v>
      </c>
      <c r="L451" s="3" t="s">
        <v>77</v>
      </c>
      <c r="M451" s="4">
        <v>43881</v>
      </c>
      <c r="N451" s="4">
        <v>43881</v>
      </c>
      <c r="O451" s="3" t="s">
        <v>52</v>
      </c>
      <c r="P451" s="3">
        <v>78</v>
      </c>
      <c r="Q451" s="3" t="s">
        <v>996</v>
      </c>
      <c r="S451" s="3" t="s">
        <v>44</v>
      </c>
      <c r="T451" s="3" t="str">
        <f t="shared" si="30"/>
        <v>Full-Time</v>
      </c>
      <c r="V451" s="3">
        <v>1</v>
      </c>
      <c r="Y451" s="4">
        <v>44990</v>
      </c>
      <c r="AB451" s="3" t="str" cm="1">
        <f t="array" ref="AB451">_xlfn.IFS(AA451="N","No",  AA451 = "Y", "Yes", TRUE, PROPER(TRIM(AA451)))</f>
        <v/>
      </c>
      <c r="AC451" s="3">
        <v>5</v>
      </c>
      <c r="AD451" s="3" t="s">
        <v>34</v>
      </c>
      <c r="AE451">
        <f t="shared" ref="AE451:AE514" si="31">IF(AD451="Yes",1,0)</f>
        <v>0</v>
      </c>
    </row>
    <row r="452" spans="1:31" ht="14.25" customHeight="1" x14ac:dyDescent="0.35">
      <c r="A452" s="3" t="s">
        <v>997</v>
      </c>
      <c r="B452" s="3" t="s">
        <v>56</v>
      </c>
      <c r="C452" s="3" t="s">
        <v>57</v>
      </c>
      <c r="D452" s="3">
        <v>40</v>
      </c>
      <c r="E452" s="3">
        <f t="shared" si="28"/>
        <v>40</v>
      </c>
      <c r="F452" s="3">
        <v>1984</v>
      </c>
      <c r="G452" s="3">
        <v>55000</v>
      </c>
      <c r="H452" s="12" cm="1">
        <f t="array" ref="H452">_xlfn.IFS(TRIM(G452)="SIXTY THOUSAND",60000,TRIM(G452)="NAN",AVERAGEIFS(G:G,J:J,J452,L:L,L452),TRUE,G452)</f>
        <v>55000</v>
      </c>
      <c r="I452" s="3" t="s">
        <v>38</v>
      </c>
      <c r="J452" s="3" t="s">
        <v>122</v>
      </c>
      <c r="K452" s="3" t="str">
        <f t="shared" si="29"/>
        <v>IT</v>
      </c>
      <c r="L452" s="3" t="s">
        <v>94</v>
      </c>
      <c r="M452" s="4">
        <v>43845</v>
      </c>
      <c r="N452" s="4">
        <v>43845</v>
      </c>
      <c r="O452" s="3" t="s">
        <v>30</v>
      </c>
      <c r="P452" s="3">
        <v>64</v>
      </c>
      <c r="Q452" s="3" t="s">
        <v>60</v>
      </c>
      <c r="R452" s="3" t="s">
        <v>104</v>
      </c>
      <c r="S452" s="3" t="s">
        <v>44</v>
      </c>
      <c r="T452" s="3" t="str">
        <f t="shared" si="30"/>
        <v>Full-Time</v>
      </c>
      <c r="V452" s="3">
        <v>2</v>
      </c>
      <c r="Y452" s="4">
        <v>44470</v>
      </c>
      <c r="AA452" s="3" t="s">
        <v>73</v>
      </c>
      <c r="AB452" s="3" t="str" cm="1">
        <f t="array" ref="AB452">_xlfn.IFS(AA452="N","No",  AA452 = "Y", "Yes", TRUE, PROPER(TRIM(AA452)))</f>
        <v>No</v>
      </c>
      <c r="AC452" s="3">
        <v>3</v>
      </c>
      <c r="AD452" s="3" t="s">
        <v>46</v>
      </c>
      <c r="AE452">
        <f t="shared" si="31"/>
        <v>1</v>
      </c>
    </row>
    <row r="453" spans="1:31" ht="14.25" customHeight="1" x14ac:dyDescent="0.35">
      <c r="A453" s="3" t="s">
        <v>998</v>
      </c>
      <c r="B453" s="3" t="s">
        <v>75</v>
      </c>
      <c r="C453" s="3" t="s">
        <v>819</v>
      </c>
      <c r="D453" s="3">
        <v>50</v>
      </c>
      <c r="E453" s="3">
        <f t="shared" si="28"/>
        <v>50</v>
      </c>
      <c r="F453" s="3">
        <v>1974</v>
      </c>
      <c r="G453" s="3">
        <v>59500</v>
      </c>
      <c r="H453" s="12" cm="1">
        <f t="array" ref="H453">_xlfn.IFS(TRIM(G453)="SIXTY THOUSAND",60000,TRIM(G453)="NAN",AVERAGEIFS(G:G,J:J,J453,L:L,L453),TRUE,G453)</f>
        <v>59500</v>
      </c>
      <c r="I453" s="3" t="s">
        <v>38</v>
      </c>
      <c r="J453" s="3" t="s">
        <v>64</v>
      </c>
      <c r="K453" s="3" t="str">
        <f t="shared" si="29"/>
        <v>Finance</v>
      </c>
      <c r="L453" s="3" t="s">
        <v>29</v>
      </c>
      <c r="M453" s="4">
        <v>43549</v>
      </c>
      <c r="N453" s="4">
        <v>43549</v>
      </c>
      <c r="O453" s="3" t="s">
        <v>52</v>
      </c>
      <c r="P453" s="3">
        <v>71</v>
      </c>
      <c r="Q453" s="3" t="s">
        <v>820</v>
      </c>
      <c r="R453" s="3" t="s">
        <v>43</v>
      </c>
      <c r="S453" s="3" t="s">
        <v>100</v>
      </c>
      <c r="T453" s="3" t="str">
        <f t="shared" si="30"/>
        <v>Part-Time</v>
      </c>
      <c r="V453" s="3">
        <v>4</v>
      </c>
      <c r="W453" s="3">
        <v>8</v>
      </c>
      <c r="Y453" s="4">
        <v>44470</v>
      </c>
      <c r="AA453" s="3" t="s">
        <v>34</v>
      </c>
      <c r="AB453" s="3" t="str" cm="1">
        <f t="array" ref="AB453">_xlfn.IFS(AA453="N","No",  AA453 = "Y", "Yes", TRUE, PROPER(TRIM(AA453)))</f>
        <v>No</v>
      </c>
      <c r="AC453" s="3">
        <v>3</v>
      </c>
      <c r="AD453" s="3" t="s">
        <v>34</v>
      </c>
      <c r="AE453">
        <f t="shared" si="31"/>
        <v>0</v>
      </c>
    </row>
    <row r="454" spans="1:31" ht="14.25" customHeight="1" x14ac:dyDescent="0.35">
      <c r="A454" s="3" t="s">
        <v>999</v>
      </c>
      <c r="B454" s="3" t="s">
        <v>131</v>
      </c>
      <c r="C454" s="3" t="s">
        <v>635</v>
      </c>
      <c r="D454" s="3" t="s">
        <v>88</v>
      </c>
      <c r="E454" s="3">
        <f t="shared" si="28"/>
        <v>30</v>
      </c>
      <c r="F454" s="3">
        <v>1994</v>
      </c>
      <c r="G454" s="3" t="s">
        <v>50</v>
      </c>
      <c r="H454" s="12" cm="1">
        <f t="array" ref="H454">_xlfn.IFS(TRIM(G454)="SIXTY THOUSAND",60000,TRIM(G454)="NAN",AVERAGEIFS(G:G,J:J,J454,L:L,L454),TRUE,G454)</f>
        <v>60000</v>
      </c>
      <c r="I454" s="3" t="s">
        <v>38</v>
      </c>
      <c r="J454" s="3" t="s">
        <v>122</v>
      </c>
      <c r="K454" s="3" t="str">
        <f t="shared" si="29"/>
        <v>IT</v>
      </c>
      <c r="L454" s="3" t="s">
        <v>89</v>
      </c>
      <c r="M454" s="4">
        <v>43195</v>
      </c>
      <c r="N454" s="4">
        <v>43195</v>
      </c>
      <c r="O454" s="3" t="s">
        <v>41</v>
      </c>
      <c r="P454" s="3">
        <v>55</v>
      </c>
      <c r="Q454" s="3" t="s">
        <v>636</v>
      </c>
      <c r="S454" s="3" t="s">
        <v>72</v>
      </c>
      <c r="T454" s="3" t="str">
        <f t="shared" si="30"/>
        <v>Part-Time</v>
      </c>
      <c r="V454" s="3">
        <v>4</v>
      </c>
      <c r="W454" s="3" t="s">
        <v>79</v>
      </c>
      <c r="AA454" s="3" t="s">
        <v>46</v>
      </c>
      <c r="AB454" s="3" t="str" cm="1">
        <f t="array" ref="AB454">_xlfn.IFS(AA454="N","No",  AA454 = "Y", "Yes", TRUE, PROPER(TRIM(AA454)))</f>
        <v>Yes</v>
      </c>
      <c r="AC454" s="3">
        <v>4</v>
      </c>
      <c r="AD454" s="3" t="s">
        <v>34</v>
      </c>
      <c r="AE454">
        <f t="shared" si="31"/>
        <v>0</v>
      </c>
    </row>
    <row r="455" spans="1:31" ht="14.25" customHeight="1" x14ac:dyDescent="0.35">
      <c r="A455" s="3" t="s">
        <v>1000</v>
      </c>
      <c r="B455" s="3" t="s">
        <v>131</v>
      </c>
      <c r="C455" s="3" t="s">
        <v>1001</v>
      </c>
      <c r="D455" s="3">
        <v>35</v>
      </c>
      <c r="E455" s="3">
        <f t="shared" si="28"/>
        <v>35</v>
      </c>
      <c r="F455" s="3">
        <v>1989</v>
      </c>
      <c r="G455" s="3">
        <v>70000</v>
      </c>
      <c r="H455" s="12" cm="1">
        <f t="array" ref="H455">_xlfn.IFS(TRIM(G455)="SIXTY THOUSAND",60000,TRIM(G455)="NAN",AVERAGEIFS(G:G,J:J,J455,L:L,L455),TRUE,G455)</f>
        <v>70000</v>
      </c>
      <c r="I455" s="3" t="s">
        <v>38</v>
      </c>
      <c r="J455" s="3" t="s">
        <v>82</v>
      </c>
      <c r="K455" s="3" t="str">
        <f t="shared" si="29"/>
        <v>HR</v>
      </c>
      <c r="L455" s="3" t="s">
        <v>77</v>
      </c>
      <c r="M455" s="4">
        <v>43881</v>
      </c>
      <c r="N455" s="4">
        <v>43881</v>
      </c>
      <c r="O455" s="3" t="s">
        <v>30</v>
      </c>
      <c r="P455" s="3">
        <v>65</v>
      </c>
      <c r="Q455" s="3" t="s">
        <v>1002</v>
      </c>
      <c r="R455" s="3" t="s">
        <v>61</v>
      </c>
      <c r="S455" s="3" t="s">
        <v>100</v>
      </c>
      <c r="T455" s="3" t="str">
        <f t="shared" si="30"/>
        <v>Part-Time</v>
      </c>
      <c r="U455" s="3" t="s">
        <v>198</v>
      </c>
      <c r="V455" s="3">
        <v>7</v>
      </c>
      <c r="X455" s="3">
        <v>12</v>
      </c>
      <c r="Y455" s="4">
        <v>44990</v>
      </c>
      <c r="AA455" s="3" t="s">
        <v>73</v>
      </c>
      <c r="AB455" s="3" t="str" cm="1">
        <f t="array" ref="AB455">_xlfn.IFS(AA455="N","No",  AA455 = "Y", "Yes", TRUE, PROPER(TRIM(AA455)))</f>
        <v>No</v>
      </c>
      <c r="AC455" s="3">
        <v>3</v>
      </c>
      <c r="AD455" s="3" t="s">
        <v>46</v>
      </c>
      <c r="AE455">
        <f t="shared" si="31"/>
        <v>1</v>
      </c>
    </row>
    <row r="456" spans="1:31" ht="14.25" customHeight="1" x14ac:dyDescent="0.35">
      <c r="A456" s="3" t="s">
        <v>1003</v>
      </c>
      <c r="B456" s="3" t="s">
        <v>48</v>
      </c>
      <c r="C456" s="3" t="s">
        <v>96</v>
      </c>
      <c r="D456" s="3" t="s">
        <v>88</v>
      </c>
      <c r="E456" s="3">
        <f t="shared" si="28"/>
        <v>30</v>
      </c>
      <c r="F456" s="3">
        <v>1994</v>
      </c>
      <c r="G456" s="3">
        <v>60800</v>
      </c>
      <c r="H456" s="12" cm="1">
        <f t="array" ref="H456">_xlfn.IFS(TRIM(G456)="SIXTY THOUSAND",60000,TRIM(G456)="NAN",AVERAGEIFS(G:G,J:J,J456,L:L,L456),TRUE,G456)</f>
        <v>60800</v>
      </c>
      <c r="I456" s="3" t="s">
        <v>38</v>
      </c>
      <c r="J456" s="3" t="s">
        <v>39</v>
      </c>
      <c r="K456" s="3" t="str">
        <f t="shared" si="29"/>
        <v>Finance</v>
      </c>
      <c r="L456" s="3" t="s">
        <v>94</v>
      </c>
      <c r="M456" s="4">
        <v>43549</v>
      </c>
      <c r="N456" s="4">
        <v>43549</v>
      </c>
      <c r="O456" s="3" t="s">
        <v>52</v>
      </c>
      <c r="P456" s="3">
        <v>78</v>
      </c>
      <c r="Q456" s="3" t="s">
        <v>97</v>
      </c>
      <c r="R456" s="3" t="s">
        <v>54</v>
      </c>
      <c r="S456" s="3" t="s">
        <v>66</v>
      </c>
      <c r="T456" s="3" t="str">
        <f t="shared" si="30"/>
        <v>Contract</v>
      </c>
      <c r="U456" s="3" t="s">
        <v>312</v>
      </c>
      <c r="V456" s="3">
        <v>2</v>
      </c>
      <c r="AA456" s="3" t="s">
        <v>34</v>
      </c>
      <c r="AB456" s="3" t="str" cm="1">
        <f t="array" ref="AB456">_xlfn.IFS(AA456="N","No",  AA456 = "Y", "Yes", TRUE, PROPER(TRIM(AA456)))</f>
        <v>No</v>
      </c>
      <c r="AC456" s="3">
        <v>4</v>
      </c>
      <c r="AD456" s="3" t="s">
        <v>34</v>
      </c>
      <c r="AE456">
        <f t="shared" si="31"/>
        <v>0</v>
      </c>
    </row>
    <row r="457" spans="1:31" ht="14.25" customHeight="1" x14ac:dyDescent="0.35">
      <c r="A457" s="3" t="s">
        <v>1004</v>
      </c>
      <c r="B457" s="3" t="s">
        <v>68</v>
      </c>
      <c r="C457" s="3" t="s">
        <v>324</v>
      </c>
      <c r="D457" s="3">
        <v>25</v>
      </c>
      <c r="E457" s="3">
        <f t="shared" si="28"/>
        <v>25</v>
      </c>
      <c r="F457" s="3">
        <v>1999</v>
      </c>
      <c r="G457" s="3">
        <v>59800</v>
      </c>
      <c r="H457" s="12" cm="1">
        <f t="array" ref="H457">_xlfn.IFS(TRIM(G457)="SIXTY THOUSAND",60000,TRIM(G457)="NAN",AVERAGEIFS(G:G,J:J,J457,L:L,L457),TRUE,G457)</f>
        <v>59800</v>
      </c>
      <c r="I457" s="3" t="s">
        <v>38</v>
      </c>
      <c r="J457" s="3" t="s">
        <v>122</v>
      </c>
      <c r="K457" s="3" t="str">
        <f t="shared" si="29"/>
        <v>IT</v>
      </c>
      <c r="L457" s="3" t="s">
        <v>89</v>
      </c>
      <c r="M457" s="4">
        <v>43549</v>
      </c>
      <c r="N457" s="4">
        <v>43549</v>
      </c>
      <c r="O457" s="3" t="s">
        <v>59</v>
      </c>
      <c r="P457" s="3">
        <v>94</v>
      </c>
      <c r="Q457" s="3" t="s">
        <v>325</v>
      </c>
      <c r="R457" s="3" t="s">
        <v>104</v>
      </c>
      <c r="S457" s="3" t="s">
        <v>72</v>
      </c>
      <c r="T457" s="3" t="str">
        <f t="shared" si="30"/>
        <v>Part-Time</v>
      </c>
      <c r="V457" s="3">
        <v>4</v>
      </c>
      <c r="Y457" s="4">
        <v>44990</v>
      </c>
      <c r="AA457" s="3" t="s">
        <v>34</v>
      </c>
      <c r="AB457" s="3" t="str" cm="1">
        <f t="array" ref="AB457">_xlfn.IFS(AA457="N","No",  AA457 = "Y", "Yes", TRUE, PROPER(TRIM(AA457)))</f>
        <v>No</v>
      </c>
      <c r="AC457" s="3">
        <v>3</v>
      </c>
      <c r="AD457" s="3" t="s">
        <v>34</v>
      </c>
      <c r="AE457">
        <f t="shared" si="31"/>
        <v>0</v>
      </c>
    </row>
    <row r="458" spans="1:31" ht="14.25" customHeight="1" x14ac:dyDescent="0.35">
      <c r="A458" s="3" t="s">
        <v>1005</v>
      </c>
      <c r="B458" s="3" t="s">
        <v>114</v>
      </c>
      <c r="C458" s="3" t="s">
        <v>662</v>
      </c>
      <c r="D458" s="3" t="s">
        <v>88</v>
      </c>
      <c r="E458" s="3">
        <f t="shared" si="28"/>
        <v>30</v>
      </c>
      <c r="F458" s="3">
        <v>1994</v>
      </c>
      <c r="G458" s="3">
        <v>70000</v>
      </c>
      <c r="H458" s="12" cm="1">
        <f t="array" ref="H458">_xlfn.IFS(TRIM(G458)="SIXTY THOUSAND",60000,TRIM(G458)="NAN",AVERAGEIFS(G:G,J:J,J458,L:L,L458),TRUE,G458)</f>
        <v>70000</v>
      </c>
      <c r="I458" s="3" t="s">
        <v>27</v>
      </c>
      <c r="J458" s="3" t="s">
        <v>122</v>
      </c>
      <c r="K458" s="3" t="str">
        <f t="shared" si="29"/>
        <v>IT</v>
      </c>
      <c r="L458" s="3" t="s">
        <v>89</v>
      </c>
      <c r="M458" s="4">
        <v>43195</v>
      </c>
      <c r="N458" s="4">
        <v>43195</v>
      </c>
      <c r="O458" s="3" t="s">
        <v>78</v>
      </c>
      <c r="P458" s="3">
        <v>87</v>
      </c>
      <c r="Q458" s="3" t="s">
        <v>663</v>
      </c>
      <c r="R458" s="3" t="s">
        <v>104</v>
      </c>
      <c r="S458" s="3" t="s">
        <v>66</v>
      </c>
      <c r="T458" s="3" t="str">
        <f t="shared" si="30"/>
        <v>Contract</v>
      </c>
      <c r="V458" s="3">
        <v>7</v>
      </c>
      <c r="Y458" s="4">
        <v>44732</v>
      </c>
      <c r="Z458" s="3">
        <v>20</v>
      </c>
      <c r="AA458" s="3" t="s">
        <v>33</v>
      </c>
      <c r="AB458" s="3" t="str" cm="1">
        <f t="array" ref="AB458">_xlfn.IFS(AA458="N","No",  AA458 = "Y", "Yes", TRUE, PROPER(TRIM(AA458)))</f>
        <v>Yes</v>
      </c>
      <c r="AC458" s="3">
        <v>1</v>
      </c>
      <c r="AD458" s="3" t="s">
        <v>46</v>
      </c>
      <c r="AE458">
        <f t="shared" si="31"/>
        <v>1</v>
      </c>
    </row>
    <row r="459" spans="1:31" ht="14.25" customHeight="1" x14ac:dyDescent="0.35">
      <c r="A459" s="3" t="s">
        <v>1006</v>
      </c>
      <c r="B459" s="3" t="s">
        <v>75</v>
      </c>
      <c r="C459" s="3" t="s">
        <v>359</v>
      </c>
      <c r="D459" s="3">
        <v>25</v>
      </c>
      <c r="E459" s="3">
        <f t="shared" si="28"/>
        <v>25</v>
      </c>
      <c r="F459" s="3">
        <v>1999</v>
      </c>
      <c r="G459" s="3">
        <v>55000</v>
      </c>
      <c r="H459" s="12" cm="1">
        <f t="array" ref="H459">_xlfn.IFS(TRIM(G459)="SIXTY THOUSAND",60000,TRIM(G459)="NAN",AVERAGEIFS(G:G,J:J,J459,L:L,L459),TRUE,G459)</f>
        <v>55000</v>
      </c>
      <c r="I459" s="3" t="s">
        <v>38</v>
      </c>
      <c r="J459" s="3" t="s">
        <v>122</v>
      </c>
      <c r="K459" s="3" t="str">
        <f t="shared" si="29"/>
        <v>IT</v>
      </c>
      <c r="L459" s="3" t="s">
        <v>40</v>
      </c>
      <c r="M459" s="4">
        <v>43549</v>
      </c>
      <c r="N459" s="4">
        <v>43549</v>
      </c>
      <c r="O459" s="3" t="s">
        <v>52</v>
      </c>
      <c r="P459" s="3">
        <v>70</v>
      </c>
      <c r="Q459" s="3" t="s">
        <v>1007</v>
      </c>
      <c r="S459" s="3" t="s">
        <v>44</v>
      </c>
      <c r="T459" s="3" t="str">
        <f t="shared" si="30"/>
        <v>Full-Time</v>
      </c>
      <c r="V459" s="3">
        <v>2</v>
      </c>
      <c r="X459" s="3">
        <v>12</v>
      </c>
      <c r="Y459" s="9">
        <v>44990</v>
      </c>
      <c r="AB459" s="3" t="str" cm="1">
        <f t="array" ref="AB459">_xlfn.IFS(AA459="N","No",  AA459 = "Y", "Yes", TRUE, PROPER(TRIM(AA459)))</f>
        <v/>
      </c>
      <c r="AC459" s="3">
        <v>2</v>
      </c>
      <c r="AD459" s="3" t="s">
        <v>34</v>
      </c>
      <c r="AE459">
        <f t="shared" si="31"/>
        <v>0</v>
      </c>
    </row>
    <row r="460" spans="1:31" ht="14.25" customHeight="1" x14ac:dyDescent="0.35">
      <c r="A460" s="3" t="s">
        <v>1008</v>
      </c>
      <c r="B460" s="3" t="s">
        <v>114</v>
      </c>
      <c r="C460" s="3" t="s">
        <v>115</v>
      </c>
      <c r="D460" s="3">
        <v>25</v>
      </c>
      <c r="E460" s="3">
        <f t="shared" si="28"/>
        <v>25</v>
      </c>
      <c r="F460" s="3">
        <v>1999</v>
      </c>
      <c r="G460" s="3">
        <v>55000</v>
      </c>
      <c r="H460" s="12" cm="1">
        <f t="array" ref="H460">_xlfn.IFS(TRIM(G460)="SIXTY THOUSAND",60000,TRIM(G460)="NAN",AVERAGEIFS(G:G,J:J,J460,L:L,L460),TRUE,G460)</f>
        <v>55000</v>
      </c>
      <c r="I460" s="3" t="s">
        <v>38</v>
      </c>
      <c r="J460" s="3" t="s">
        <v>64</v>
      </c>
      <c r="K460" s="3" t="str">
        <f t="shared" si="29"/>
        <v>Finance</v>
      </c>
      <c r="L460" s="3" t="s">
        <v>89</v>
      </c>
      <c r="M460" s="4">
        <v>43845</v>
      </c>
      <c r="N460" s="4">
        <v>43845</v>
      </c>
      <c r="O460" s="3" t="s">
        <v>52</v>
      </c>
      <c r="P460" s="3">
        <v>74</v>
      </c>
      <c r="Q460" s="3" t="s">
        <v>182</v>
      </c>
      <c r="R460" s="3" t="s">
        <v>43</v>
      </c>
      <c r="S460" s="3" t="s">
        <v>72</v>
      </c>
      <c r="T460" s="3" t="str">
        <f t="shared" si="30"/>
        <v>Part-Time</v>
      </c>
      <c r="V460" s="3">
        <v>3</v>
      </c>
      <c r="W460" s="3">
        <v>0</v>
      </c>
      <c r="AA460" s="3" t="s">
        <v>73</v>
      </c>
      <c r="AB460" s="3" t="str" cm="1">
        <f t="array" ref="AB460">_xlfn.IFS(AA460="N","No",  AA460 = "Y", "Yes", TRUE, PROPER(TRIM(AA460)))</f>
        <v>No</v>
      </c>
      <c r="AC460" s="3">
        <v>4</v>
      </c>
      <c r="AD460" s="3" t="s">
        <v>34</v>
      </c>
      <c r="AE460">
        <f t="shared" si="31"/>
        <v>0</v>
      </c>
    </row>
    <row r="461" spans="1:31" ht="14.25" customHeight="1" x14ac:dyDescent="0.35">
      <c r="A461" s="3" t="s">
        <v>1009</v>
      </c>
      <c r="B461" s="3" t="s">
        <v>75</v>
      </c>
      <c r="C461" s="3" t="s">
        <v>277</v>
      </c>
      <c r="D461" s="3" t="s">
        <v>88</v>
      </c>
      <c r="E461" s="3">
        <f t="shared" si="28"/>
        <v>30</v>
      </c>
      <c r="F461" s="3">
        <v>1994</v>
      </c>
      <c r="G461" s="3">
        <v>70000</v>
      </c>
      <c r="H461" s="12" cm="1">
        <f t="array" ref="H461">_xlfn.IFS(TRIM(G461)="SIXTY THOUSAND",60000,TRIM(G461)="NAN",AVERAGEIFS(G:G,J:J,J461,L:L,L461),TRUE,G461)</f>
        <v>70000</v>
      </c>
      <c r="I461" s="3" t="s">
        <v>27</v>
      </c>
      <c r="J461" s="3" t="s">
        <v>93</v>
      </c>
      <c r="K461" s="3" t="str">
        <f t="shared" si="29"/>
        <v>Marketing</v>
      </c>
      <c r="L461" s="3" t="s">
        <v>94</v>
      </c>
      <c r="M461" s="4">
        <v>43845</v>
      </c>
      <c r="N461" s="4">
        <v>43845</v>
      </c>
      <c r="O461" s="3" t="s">
        <v>59</v>
      </c>
      <c r="P461" s="3">
        <v>91</v>
      </c>
      <c r="Q461" s="3" t="s">
        <v>1010</v>
      </c>
      <c r="R461" s="3" t="s">
        <v>61</v>
      </c>
      <c r="S461" s="3" t="s">
        <v>66</v>
      </c>
      <c r="T461" s="3" t="str">
        <f t="shared" si="30"/>
        <v>Contract</v>
      </c>
      <c r="V461" s="3">
        <v>1</v>
      </c>
      <c r="W461" s="3">
        <v>3</v>
      </c>
      <c r="X461" s="3">
        <v>15</v>
      </c>
      <c r="Y461" s="4">
        <v>45516</v>
      </c>
      <c r="AA461" s="3" t="s">
        <v>46</v>
      </c>
      <c r="AB461" s="3" t="str" cm="1">
        <f t="array" ref="AB461">_xlfn.IFS(AA461="N","No",  AA461 = "Y", "Yes", TRUE, PROPER(TRIM(AA461)))</f>
        <v>Yes</v>
      </c>
      <c r="AC461" s="3">
        <v>1</v>
      </c>
      <c r="AD461" s="3" t="s">
        <v>46</v>
      </c>
      <c r="AE461">
        <f t="shared" si="31"/>
        <v>1</v>
      </c>
    </row>
    <row r="462" spans="1:31" ht="14.25" customHeight="1" x14ac:dyDescent="0.35">
      <c r="A462" s="3" t="s">
        <v>1011</v>
      </c>
      <c r="B462" s="3" t="s">
        <v>25</v>
      </c>
      <c r="C462" s="3" t="s">
        <v>63</v>
      </c>
      <c r="D462" s="3">
        <v>35</v>
      </c>
      <c r="E462" s="3">
        <f t="shared" si="28"/>
        <v>35</v>
      </c>
      <c r="F462" s="3">
        <v>1989</v>
      </c>
      <c r="G462" s="3">
        <v>50000</v>
      </c>
      <c r="H462" s="12" cm="1">
        <f t="array" ref="H462">_xlfn.IFS(TRIM(G462)="SIXTY THOUSAND",60000,TRIM(G462)="NAN",AVERAGEIFS(G:G,J:J,J462,L:L,L462),TRUE,G462)</f>
        <v>50000</v>
      </c>
      <c r="I462" s="3" t="s">
        <v>27</v>
      </c>
      <c r="J462" s="3" t="s">
        <v>39</v>
      </c>
      <c r="K462" s="3" t="str">
        <f t="shared" si="29"/>
        <v>Finance</v>
      </c>
      <c r="L462" s="3" t="s">
        <v>94</v>
      </c>
      <c r="M462" s="4">
        <v>43845</v>
      </c>
      <c r="N462" s="4">
        <v>43845</v>
      </c>
      <c r="O462" s="3" t="s">
        <v>41</v>
      </c>
      <c r="P462" s="3">
        <v>25</v>
      </c>
      <c r="Q462" s="3" t="s">
        <v>65</v>
      </c>
      <c r="S462" s="3" t="s">
        <v>66</v>
      </c>
      <c r="T462" s="3" t="str">
        <f t="shared" si="30"/>
        <v>Contract</v>
      </c>
      <c r="U462" s="3" t="s">
        <v>763</v>
      </c>
      <c r="V462" s="3">
        <v>8</v>
      </c>
      <c r="AB462" s="3" t="str" cm="1">
        <f t="array" ref="AB462">_xlfn.IFS(AA462="N","No",  AA462 = "Y", "Yes", TRUE, PROPER(TRIM(AA462)))</f>
        <v/>
      </c>
      <c r="AC462" s="3">
        <v>5</v>
      </c>
      <c r="AD462" s="3" t="s">
        <v>34</v>
      </c>
      <c r="AE462">
        <f t="shared" si="31"/>
        <v>0</v>
      </c>
    </row>
    <row r="463" spans="1:31" ht="14.25" customHeight="1" x14ac:dyDescent="0.35">
      <c r="A463" s="3" t="s">
        <v>1012</v>
      </c>
      <c r="B463" s="3" t="s">
        <v>131</v>
      </c>
      <c r="C463" s="3" t="s">
        <v>84</v>
      </c>
      <c r="D463" s="3">
        <v>50</v>
      </c>
      <c r="E463" s="3">
        <f t="shared" si="28"/>
        <v>50</v>
      </c>
      <c r="F463" s="3">
        <v>1974</v>
      </c>
      <c r="G463" s="3">
        <v>70000</v>
      </c>
      <c r="H463" s="12" cm="1">
        <f t="array" ref="H463">_xlfn.IFS(TRIM(G463)="SIXTY THOUSAND",60000,TRIM(G463)="NAN",AVERAGEIFS(G:G,J:J,J463,L:L,L463),TRUE,G463)</f>
        <v>70000</v>
      </c>
      <c r="I463" s="3" t="s">
        <v>38</v>
      </c>
      <c r="J463" s="3" t="s">
        <v>51</v>
      </c>
      <c r="K463" s="3" t="str">
        <f t="shared" si="29"/>
        <v>Sales</v>
      </c>
      <c r="L463" s="3" t="s">
        <v>77</v>
      </c>
      <c r="M463" s="4">
        <v>43549</v>
      </c>
      <c r="N463" s="4">
        <v>43549</v>
      </c>
      <c r="O463" s="3" t="s">
        <v>78</v>
      </c>
      <c r="P463" s="3">
        <v>89</v>
      </c>
      <c r="Q463" s="3" t="s">
        <v>1013</v>
      </c>
      <c r="R463" s="3" t="s">
        <v>54</v>
      </c>
      <c r="S463" s="3" t="s">
        <v>72</v>
      </c>
      <c r="T463" s="3" t="str">
        <f t="shared" si="30"/>
        <v>Part-Time</v>
      </c>
      <c r="U463" s="3" t="s">
        <v>1014</v>
      </c>
      <c r="V463" s="3">
        <v>6</v>
      </c>
      <c r="AA463" s="3" t="s">
        <v>33</v>
      </c>
      <c r="AB463" s="3" t="str" cm="1">
        <f t="array" ref="AB463">_xlfn.IFS(AA463="N","No",  AA463 = "Y", "Yes", TRUE, PROPER(TRIM(AA463)))</f>
        <v>Yes</v>
      </c>
      <c r="AC463" s="3">
        <v>5</v>
      </c>
      <c r="AD463" s="3" t="s">
        <v>46</v>
      </c>
      <c r="AE463">
        <f t="shared" si="31"/>
        <v>1</v>
      </c>
    </row>
    <row r="464" spans="1:31" ht="14.25" customHeight="1" x14ac:dyDescent="0.35">
      <c r="A464" s="3" t="s">
        <v>1015</v>
      </c>
      <c r="B464" s="3" t="s">
        <v>68</v>
      </c>
      <c r="C464" s="3" t="s">
        <v>209</v>
      </c>
      <c r="D464" s="3">
        <v>40</v>
      </c>
      <c r="E464" s="3">
        <f t="shared" si="28"/>
        <v>40</v>
      </c>
      <c r="F464" s="3">
        <v>1984</v>
      </c>
      <c r="G464" s="3">
        <v>70000</v>
      </c>
      <c r="H464" s="12" cm="1">
        <f t="array" ref="H464">_xlfn.IFS(TRIM(G464)="SIXTY THOUSAND",60000,TRIM(G464)="NAN",AVERAGEIFS(G:G,J:J,J464,L:L,L464),TRUE,G464)</f>
        <v>70000</v>
      </c>
      <c r="I464" s="3" t="s">
        <v>27</v>
      </c>
      <c r="J464" s="3" t="s">
        <v>39</v>
      </c>
      <c r="K464" s="3" t="str">
        <f t="shared" si="29"/>
        <v>Finance</v>
      </c>
      <c r="L464" s="3" t="s">
        <v>77</v>
      </c>
      <c r="M464" s="4">
        <v>43845</v>
      </c>
      <c r="N464" s="4">
        <v>43845</v>
      </c>
      <c r="O464" s="3" t="s">
        <v>52</v>
      </c>
      <c r="P464" s="3">
        <v>71</v>
      </c>
      <c r="Q464" s="3" t="s">
        <v>1016</v>
      </c>
      <c r="R464" s="3" t="s">
        <v>54</v>
      </c>
      <c r="S464" s="3" t="s">
        <v>112</v>
      </c>
      <c r="T464" s="3" t="str">
        <f t="shared" si="30"/>
        <v>Full-Time</v>
      </c>
      <c r="V464" s="3">
        <v>1</v>
      </c>
      <c r="W464" s="3">
        <v>1</v>
      </c>
      <c r="X464" s="3">
        <v>19</v>
      </c>
      <c r="Z464" s="3">
        <v>61</v>
      </c>
      <c r="AB464" s="3" t="str" cm="1">
        <f t="array" ref="AB464">_xlfn.IFS(AA464="N","No",  AA464 = "Y", "Yes", TRUE, PROPER(TRIM(AA464)))</f>
        <v/>
      </c>
      <c r="AC464" s="3">
        <v>5</v>
      </c>
      <c r="AD464" s="3" t="s">
        <v>34</v>
      </c>
      <c r="AE464">
        <f t="shared" si="31"/>
        <v>0</v>
      </c>
    </row>
    <row r="465" spans="1:31" ht="14.25" customHeight="1" x14ac:dyDescent="0.35">
      <c r="A465" s="3" t="s">
        <v>1017</v>
      </c>
      <c r="B465" s="3" t="s">
        <v>48</v>
      </c>
      <c r="C465" s="3" t="s">
        <v>334</v>
      </c>
      <c r="D465" s="3">
        <v>40</v>
      </c>
      <c r="E465" s="3">
        <f t="shared" si="28"/>
        <v>40</v>
      </c>
      <c r="F465" s="3">
        <v>1984</v>
      </c>
      <c r="G465" s="3">
        <v>55000</v>
      </c>
      <c r="H465" s="12" cm="1">
        <f t="array" ref="H465">_xlfn.IFS(TRIM(G465)="SIXTY THOUSAND",60000,TRIM(G465)="NAN",AVERAGEIFS(G:G,J:J,J465,L:L,L465),TRUE,G465)</f>
        <v>55000</v>
      </c>
      <c r="I465" s="3" t="s">
        <v>38</v>
      </c>
      <c r="J465" s="3" t="s">
        <v>122</v>
      </c>
      <c r="K465" s="3" t="str">
        <f t="shared" si="29"/>
        <v>IT</v>
      </c>
      <c r="L465" s="3" t="s">
        <v>77</v>
      </c>
      <c r="M465" s="4">
        <v>43195</v>
      </c>
      <c r="N465" s="4">
        <v>43195</v>
      </c>
      <c r="O465" s="3" t="s">
        <v>30</v>
      </c>
      <c r="P465" s="3">
        <v>69</v>
      </c>
      <c r="Q465" s="3" t="s">
        <v>335</v>
      </c>
      <c r="R465" s="3" t="s">
        <v>54</v>
      </c>
      <c r="S465" s="3" t="s">
        <v>174</v>
      </c>
      <c r="T465" s="3" t="str">
        <f t="shared" si="30"/>
        <v>Full-Time</v>
      </c>
      <c r="V465" s="3">
        <v>2</v>
      </c>
      <c r="Y465" s="4">
        <v>44470</v>
      </c>
      <c r="Z465" s="3">
        <v>65</v>
      </c>
      <c r="AA465" s="3" t="s">
        <v>169</v>
      </c>
      <c r="AB465" s="3" t="str" cm="1">
        <f t="array" ref="AB465">_xlfn.IFS(AA465="N","No",  AA465 = "Y", "Yes", TRUE, PROPER(TRIM(AA465)))</f>
        <v>Yes</v>
      </c>
      <c r="AC465" s="3">
        <v>4</v>
      </c>
      <c r="AD465" s="3" t="s">
        <v>46</v>
      </c>
      <c r="AE465">
        <f t="shared" si="31"/>
        <v>1</v>
      </c>
    </row>
    <row r="466" spans="1:31" ht="14.25" customHeight="1" x14ac:dyDescent="0.35">
      <c r="A466" s="3" t="s">
        <v>1018</v>
      </c>
      <c r="B466" s="3" t="s">
        <v>68</v>
      </c>
      <c r="C466" s="3" t="s">
        <v>479</v>
      </c>
      <c r="D466" s="3">
        <v>50</v>
      </c>
      <c r="E466" s="3">
        <f t="shared" si="28"/>
        <v>50</v>
      </c>
      <c r="F466" s="3">
        <v>1974</v>
      </c>
      <c r="G466" s="3">
        <v>55000</v>
      </c>
      <c r="H466" s="12" cm="1">
        <f t="array" ref="H466">_xlfn.IFS(TRIM(G466)="SIXTY THOUSAND",60000,TRIM(G466)="NAN",AVERAGEIFS(G:G,J:J,J466,L:L,L466),TRUE,G466)</f>
        <v>55000</v>
      </c>
      <c r="I466" s="3" t="s">
        <v>38</v>
      </c>
      <c r="J466" s="3" t="s">
        <v>28</v>
      </c>
      <c r="K466" s="3" t="str">
        <f t="shared" si="29"/>
        <v>HR</v>
      </c>
      <c r="L466" s="3" t="s">
        <v>89</v>
      </c>
      <c r="M466" s="4">
        <v>43549</v>
      </c>
      <c r="N466" s="4">
        <v>43549</v>
      </c>
      <c r="O466" s="3" t="s">
        <v>52</v>
      </c>
      <c r="P466" s="3">
        <v>72</v>
      </c>
      <c r="Q466" s="3" t="s">
        <v>768</v>
      </c>
      <c r="S466" s="3" t="s">
        <v>100</v>
      </c>
      <c r="T466" s="3" t="str">
        <f t="shared" si="30"/>
        <v>Part-Time</v>
      </c>
      <c r="V466" s="3">
        <v>2</v>
      </c>
      <c r="W466" s="3">
        <v>8</v>
      </c>
      <c r="X466" s="3">
        <v>3</v>
      </c>
      <c r="AA466" s="3" t="s">
        <v>46</v>
      </c>
      <c r="AB466" s="3" t="str" cm="1">
        <f t="array" ref="AB466">_xlfn.IFS(AA466="N","No",  AA466 = "Y", "Yes", TRUE, PROPER(TRIM(AA466)))</f>
        <v>Yes</v>
      </c>
      <c r="AC466" s="3">
        <v>3</v>
      </c>
      <c r="AD466" s="3" t="s">
        <v>46</v>
      </c>
      <c r="AE466">
        <f t="shared" si="31"/>
        <v>1</v>
      </c>
    </row>
    <row r="467" spans="1:31" ht="14.25" customHeight="1" x14ac:dyDescent="0.35">
      <c r="A467" s="3" t="s">
        <v>1019</v>
      </c>
      <c r="B467" s="3" t="s">
        <v>68</v>
      </c>
      <c r="C467" s="3" t="s">
        <v>250</v>
      </c>
      <c r="D467" s="3">
        <v>25</v>
      </c>
      <c r="E467" s="3">
        <f t="shared" si="28"/>
        <v>25</v>
      </c>
      <c r="F467" s="3">
        <v>1999</v>
      </c>
      <c r="G467" s="3">
        <v>70000</v>
      </c>
      <c r="H467" s="12" cm="1">
        <f t="array" ref="H467">_xlfn.IFS(TRIM(G467)="SIXTY THOUSAND",60000,TRIM(G467)="NAN",AVERAGEIFS(G:G,J:J,J467,L:L,L467),TRUE,G467)</f>
        <v>70000</v>
      </c>
      <c r="I467" s="3" t="s">
        <v>27</v>
      </c>
      <c r="J467" s="3" t="s">
        <v>39</v>
      </c>
      <c r="K467" s="3" t="str">
        <f t="shared" si="29"/>
        <v>Finance</v>
      </c>
      <c r="L467" s="3" t="s">
        <v>89</v>
      </c>
      <c r="M467" s="4">
        <v>43800</v>
      </c>
      <c r="N467" s="4">
        <v>43800</v>
      </c>
      <c r="O467" s="3" t="s">
        <v>78</v>
      </c>
      <c r="P467" s="3">
        <v>85</v>
      </c>
      <c r="Q467" s="3" t="s">
        <v>251</v>
      </c>
      <c r="R467" s="3" t="s">
        <v>61</v>
      </c>
      <c r="S467" s="3" t="s">
        <v>32</v>
      </c>
      <c r="T467" s="3" t="str">
        <f t="shared" si="30"/>
        <v>Contract</v>
      </c>
      <c r="V467" s="3">
        <v>1</v>
      </c>
      <c r="W467" s="3">
        <v>3</v>
      </c>
      <c r="X467" s="3">
        <v>6</v>
      </c>
      <c r="AB467" s="3" t="str" cm="1">
        <f t="array" ref="AB467">_xlfn.IFS(AA467="N","No",  AA467 = "Y", "Yes", TRUE, PROPER(TRIM(AA467)))</f>
        <v/>
      </c>
      <c r="AC467" s="3">
        <v>1</v>
      </c>
      <c r="AD467" s="3" t="s">
        <v>46</v>
      </c>
      <c r="AE467">
        <f t="shared" si="31"/>
        <v>1</v>
      </c>
    </row>
    <row r="468" spans="1:31" ht="14.25" customHeight="1" x14ac:dyDescent="0.35">
      <c r="A468" s="3" t="s">
        <v>1020</v>
      </c>
      <c r="B468" s="3" t="s">
        <v>68</v>
      </c>
      <c r="C468" s="3" t="s">
        <v>421</v>
      </c>
      <c r="D468" s="3">
        <v>25</v>
      </c>
      <c r="E468" s="3">
        <f t="shared" si="28"/>
        <v>25</v>
      </c>
      <c r="F468" s="3">
        <v>1999</v>
      </c>
      <c r="G468" s="3">
        <v>70000</v>
      </c>
      <c r="H468" s="12" cm="1">
        <f t="array" ref="H468">_xlfn.IFS(TRIM(G468)="SIXTY THOUSAND",60000,TRIM(G468)="NAN",AVERAGEIFS(G:G,J:J,J468,L:L,L468),TRUE,G468)</f>
        <v>70000</v>
      </c>
      <c r="I468" s="3" t="s">
        <v>38</v>
      </c>
      <c r="J468" s="3" t="s">
        <v>39</v>
      </c>
      <c r="K468" s="3" t="str">
        <f t="shared" si="29"/>
        <v>Finance</v>
      </c>
      <c r="L468" s="3" t="s">
        <v>40</v>
      </c>
      <c r="M468" s="4">
        <v>43549</v>
      </c>
      <c r="N468" s="4">
        <v>43549</v>
      </c>
      <c r="O468" s="3" t="s">
        <v>52</v>
      </c>
      <c r="P468" s="3">
        <v>79</v>
      </c>
      <c r="Q468" s="3" t="s">
        <v>422</v>
      </c>
      <c r="R468" s="3" t="s">
        <v>104</v>
      </c>
      <c r="S468" s="3" t="s">
        <v>66</v>
      </c>
      <c r="T468" s="3" t="str">
        <f t="shared" si="30"/>
        <v>Contract</v>
      </c>
      <c r="V468" s="3">
        <v>3</v>
      </c>
      <c r="X468" s="3">
        <v>9</v>
      </c>
      <c r="Z468" s="3">
        <v>28</v>
      </c>
      <c r="AA468" s="3" t="s">
        <v>73</v>
      </c>
      <c r="AB468" s="3" t="str" cm="1">
        <f t="array" ref="AB468">_xlfn.IFS(AA468="N","No",  AA468 = "Y", "Yes", TRUE, PROPER(TRIM(AA468)))</f>
        <v>No</v>
      </c>
      <c r="AC468" s="3">
        <v>3</v>
      </c>
      <c r="AD468" s="3" t="s">
        <v>34</v>
      </c>
      <c r="AE468">
        <f t="shared" si="31"/>
        <v>0</v>
      </c>
    </row>
    <row r="469" spans="1:31" ht="14.25" customHeight="1" x14ac:dyDescent="0.35">
      <c r="A469" s="3" t="s">
        <v>1021</v>
      </c>
      <c r="B469" s="3" t="s">
        <v>114</v>
      </c>
      <c r="C469" s="3" t="s">
        <v>110</v>
      </c>
      <c r="D469" s="3">
        <v>35</v>
      </c>
      <c r="E469" s="3">
        <f t="shared" si="28"/>
        <v>35</v>
      </c>
      <c r="F469" s="3">
        <v>1989</v>
      </c>
      <c r="G469" s="3">
        <v>70000</v>
      </c>
      <c r="H469" s="12" cm="1">
        <f t="array" ref="H469">_xlfn.IFS(TRIM(G469)="SIXTY THOUSAND",60000,TRIM(G469)="NAN",AVERAGEIFS(G:G,J:J,J469,L:L,L469),TRUE,G469)</f>
        <v>70000</v>
      </c>
      <c r="I469" s="3" t="s">
        <v>27</v>
      </c>
      <c r="J469" s="3" t="s">
        <v>122</v>
      </c>
      <c r="K469" s="3" t="str">
        <f t="shared" si="29"/>
        <v>IT</v>
      </c>
      <c r="L469" s="3" t="s">
        <v>77</v>
      </c>
      <c r="M469" s="4">
        <v>43195</v>
      </c>
      <c r="N469" s="4">
        <v>43195</v>
      </c>
      <c r="O469" s="3" t="s">
        <v>59</v>
      </c>
      <c r="P469" s="3">
        <v>98</v>
      </c>
      <c r="Q469" s="3" t="s">
        <v>1022</v>
      </c>
      <c r="R469" s="3" t="s">
        <v>43</v>
      </c>
      <c r="S469" s="3" t="s">
        <v>100</v>
      </c>
      <c r="T469" s="3" t="str">
        <f t="shared" si="30"/>
        <v>Part-Time</v>
      </c>
      <c r="U469" s="3" t="s">
        <v>314</v>
      </c>
      <c r="V469" s="3">
        <v>5</v>
      </c>
      <c r="W469" s="3">
        <v>5</v>
      </c>
      <c r="X469" s="3">
        <v>3</v>
      </c>
      <c r="AA469" s="3" t="s">
        <v>34</v>
      </c>
      <c r="AB469" s="3" t="str" cm="1">
        <f t="array" ref="AB469">_xlfn.IFS(AA469="N","No",  AA469 = "Y", "Yes", TRUE, PROPER(TRIM(AA469)))</f>
        <v>No</v>
      </c>
      <c r="AC469" s="3">
        <v>5</v>
      </c>
      <c r="AD469" s="3" t="s">
        <v>46</v>
      </c>
      <c r="AE469">
        <f t="shared" si="31"/>
        <v>1</v>
      </c>
    </row>
    <row r="470" spans="1:31" ht="14.25" customHeight="1" x14ac:dyDescent="0.35">
      <c r="A470" s="3" t="s">
        <v>1023</v>
      </c>
      <c r="B470" s="3" t="s">
        <v>75</v>
      </c>
      <c r="C470" s="3" t="s">
        <v>315</v>
      </c>
      <c r="E470" s="3">
        <f t="shared" si="28"/>
        <v>46</v>
      </c>
      <c r="F470" s="3">
        <v>1978</v>
      </c>
      <c r="G470" s="3">
        <v>55000</v>
      </c>
      <c r="H470" s="12" cm="1">
        <f t="array" ref="H470">_xlfn.IFS(TRIM(G470)="SIXTY THOUSAND",60000,TRIM(G470)="NAN",AVERAGEIFS(G:G,J:J,J470,L:L,L470),TRUE,G470)</f>
        <v>55000</v>
      </c>
      <c r="I470" s="3" t="s">
        <v>27</v>
      </c>
      <c r="J470" s="3" t="s">
        <v>28</v>
      </c>
      <c r="K470" s="3" t="str">
        <f t="shared" si="29"/>
        <v>HR</v>
      </c>
      <c r="L470" s="3" t="s">
        <v>29</v>
      </c>
      <c r="M470" s="4">
        <v>43800</v>
      </c>
      <c r="N470" s="4">
        <v>43800</v>
      </c>
      <c r="O470" s="3" t="s">
        <v>52</v>
      </c>
      <c r="P470" s="3">
        <v>78</v>
      </c>
      <c r="Q470" s="3" t="s">
        <v>1024</v>
      </c>
      <c r="R470" s="3" t="s">
        <v>104</v>
      </c>
      <c r="S470" s="3" t="s">
        <v>174</v>
      </c>
      <c r="T470" s="3" t="str">
        <f t="shared" si="30"/>
        <v>Full-Time</v>
      </c>
      <c r="V470" s="3">
        <v>2</v>
      </c>
      <c r="AA470" s="3" t="s">
        <v>46</v>
      </c>
      <c r="AB470" s="3" t="str" cm="1">
        <f t="array" ref="AB470">_xlfn.IFS(AA470="N","No",  AA470 = "Y", "Yes", TRUE, PROPER(TRIM(AA470)))</f>
        <v>Yes</v>
      </c>
      <c r="AC470" s="3">
        <v>2</v>
      </c>
      <c r="AD470" s="3" t="s">
        <v>34</v>
      </c>
      <c r="AE470">
        <f t="shared" si="31"/>
        <v>0</v>
      </c>
    </row>
    <row r="471" spans="1:31" ht="14.25" customHeight="1" x14ac:dyDescent="0.35">
      <c r="A471" s="3" t="s">
        <v>1025</v>
      </c>
      <c r="B471" s="3" t="s">
        <v>140</v>
      </c>
      <c r="C471" s="3" t="s">
        <v>395</v>
      </c>
      <c r="D471" s="3" t="s">
        <v>88</v>
      </c>
      <c r="E471" s="3">
        <f t="shared" si="28"/>
        <v>30</v>
      </c>
      <c r="F471" s="3">
        <v>1994</v>
      </c>
      <c r="G471" s="3">
        <v>70000</v>
      </c>
      <c r="H471" s="12" cm="1">
        <f t="array" ref="H471">_xlfn.IFS(TRIM(G471)="SIXTY THOUSAND",60000,TRIM(G471)="NAN",AVERAGEIFS(G:G,J:J,J471,L:L,L471),TRUE,G471)</f>
        <v>70000</v>
      </c>
      <c r="I471" s="3" t="s">
        <v>38</v>
      </c>
      <c r="J471" s="3" t="s">
        <v>82</v>
      </c>
      <c r="K471" s="3" t="str">
        <f t="shared" si="29"/>
        <v>HR</v>
      </c>
      <c r="L471" s="3" t="s">
        <v>40</v>
      </c>
      <c r="M471" s="4">
        <v>43549</v>
      </c>
      <c r="N471" s="4">
        <v>43549</v>
      </c>
      <c r="O471" s="3" t="s">
        <v>52</v>
      </c>
      <c r="P471" s="3">
        <v>72</v>
      </c>
      <c r="Q471" s="3" t="s">
        <v>1026</v>
      </c>
      <c r="R471" s="3" t="s">
        <v>61</v>
      </c>
      <c r="S471" s="3" t="s">
        <v>32</v>
      </c>
      <c r="T471" s="3" t="str">
        <f t="shared" si="30"/>
        <v>Contract</v>
      </c>
      <c r="V471" s="3">
        <v>4</v>
      </c>
      <c r="W471" s="3" t="s">
        <v>79</v>
      </c>
      <c r="X471" s="3">
        <v>3</v>
      </c>
      <c r="Y471" s="3" t="s">
        <v>79</v>
      </c>
      <c r="AA471" s="3" t="s">
        <v>34</v>
      </c>
      <c r="AB471" s="3" t="str" cm="1">
        <f t="array" ref="AB471">_xlfn.IFS(AA471="N","No",  AA471 = "Y", "Yes", TRUE, PROPER(TRIM(AA471)))</f>
        <v>No</v>
      </c>
      <c r="AC471" s="3">
        <v>1</v>
      </c>
      <c r="AD471" s="3" t="s">
        <v>46</v>
      </c>
      <c r="AE471">
        <f t="shared" si="31"/>
        <v>1</v>
      </c>
    </row>
    <row r="472" spans="1:31" ht="14.25" customHeight="1" x14ac:dyDescent="0.35">
      <c r="A472" s="3" t="s">
        <v>1027</v>
      </c>
      <c r="B472" s="3" t="s">
        <v>25</v>
      </c>
      <c r="C472" s="3" t="s">
        <v>189</v>
      </c>
      <c r="D472" s="3">
        <v>25</v>
      </c>
      <c r="E472" s="3">
        <f t="shared" si="28"/>
        <v>25</v>
      </c>
      <c r="F472" s="3">
        <v>1999</v>
      </c>
      <c r="G472" s="3">
        <v>70000</v>
      </c>
      <c r="H472" s="12" cm="1">
        <f t="array" ref="H472">_xlfn.IFS(TRIM(G472)="SIXTY THOUSAND",60000,TRIM(G472)="NAN",AVERAGEIFS(G:G,J:J,J472,L:L,L472),TRUE,G472)</f>
        <v>70000</v>
      </c>
      <c r="I472" s="3" t="s">
        <v>27</v>
      </c>
      <c r="J472" s="3" t="s">
        <v>145</v>
      </c>
      <c r="K472" s="3" t="str">
        <f t="shared" si="29"/>
        <v>Sales</v>
      </c>
      <c r="L472" s="3" t="s">
        <v>29</v>
      </c>
      <c r="M472" s="4">
        <v>43845</v>
      </c>
      <c r="N472" s="4">
        <v>43845</v>
      </c>
      <c r="O472" s="3" t="s">
        <v>30</v>
      </c>
      <c r="P472" s="3">
        <v>66</v>
      </c>
      <c r="Q472" s="3" t="s">
        <v>1028</v>
      </c>
      <c r="R472" s="3" t="s">
        <v>104</v>
      </c>
      <c r="S472" s="3" t="s">
        <v>100</v>
      </c>
      <c r="T472" s="3" t="str">
        <f t="shared" si="30"/>
        <v>Part-Time</v>
      </c>
      <c r="V472" s="3">
        <v>5</v>
      </c>
      <c r="Y472" s="9">
        <v>44990</v>
      </c>
      <c r="Z472" s="3">
        <v>43</v>
      </c>
      <c r="AA472" s="3" t="s">
        <v>34</v>
      </c>
      <c r="AB472" s="3" t="str" cm="1">
        <f t="array" ref="AB472">_xlfn.IFS(AA472="N","No",  AA472 = "Y", "Yes", TRUE, PROPER(TRIM(AA472)))</f>
        <v>No</v>
      </c>
      <c r="AC472" s="3">
        <v>2</v>
      </c>
      <c r="AD472" s="3" t="s">
        <v>46</v>
      </c>
      <c r="AE472">
        <f t="shared" si="31"/>
        <v>1</v>
      </c>
    </row>
    <row r="473" spans="1:31" ht="14.25" customHeight="1" x14ac:dyDescent="0.35">
      <c r="A473" s="3" t="s">
        <v>1029</v>
      </c>
      <c r="B473" s="3" t="s">
        <v>36</v>
      </c>
      <c r="C473" s="3" t="s">
        <v>37</v>
      </c>
      <c r="D473" s="3">
        <v>40</v>
      </c>
      <c r="E473" s="3">
        <f t="shared" si="28"/>
        <v>40</v>
      </c>
      <c r="F473" s="3">
        <v>1984</v>
      </c>
      <c r="G473" s="3">
        <v>65000</v>
      </c>
      <c r="H473" s="12" cm="1">
        <f t="array" ref="H473">_xlfn.IFS(TRIM(G473)="SIXTY THOUSAND",60000,TRIM(G473)="NAN",AVERAGEIFS(G:G,J:J,J473,L:L,L473),TRUE,G473)</f>
        <v>65000</v>
      </c>
      <c r="I473" s="3" t="s">
        <v>27</v>
      </c>
      <c r="J473" s="3" t="s">
        <v>64</v>
      </c>
      <c r="K473" s="3" t="str">
        <f t="shared" si="29"/>
        <v>Finance</v>
      </c>
      <c r="L473" s="3" t="s">
        <v>89</v>
      </c>
      <c r="M473" s="4">
        <v>43881</v>
      </c>
      <c r="N473" s="4">
        <v>43881</v>
      </c>
      <c r="O473" s="3" t="s">
        <v>59</v>
      </c>
      <c r="P473" s="3">
        <v>94</v>
      </c>
      <c r="Q473" s="3" t="s">
        <v>42</v>
      </c>
      <c r="S473" s="3" t="s">
        <v>44</v>
      </c>
      <c r="T473" s="3" t="str">
        <f t="shared" si="30"/>
        <v>Full-Time</v>
      </c>
      <c r="V473" s="3">
        <v>7</v>
      </c>
      <c r="Y473" s="4">
        <v>45516</v>
      </c>
      <c r="AB473" s="3" t="str" cm="1">
        <f t="array" ref="AB473">_xlfn.IFS(AA473="N","No",  AA473 = "Y", "Yes", TRUE, PROPER(TRIM(AA473)))</f>
        <v/>
      </c>
      <c r="AC473" s="3">
        <v>5</v>
      </c>
      <c r="AD473" s="3" t="s">
        <v>34</v>
      </c>
      <c r="AE473">
        <f t="shared" si="31"/>
        <v>0</v>
      </c>
    </row>
    <row r="474" spans="1:31" ht="14.25" customHeight="1" x14ac:dyDescent="0.35">
      <c r="A474" s="3" t="s">
        <v>1030</v>
      </c>
      <c r="B474" s="3" t="s">
        <v>68</v>
      </c>
      <c r="C474" s="3" t="s">
        <v>546</v>
      </c>
      <c r="D474" s="3">
        <v>35</v>
      </c>
      <c r="E474" s="3">
        <f t="shared" si="28"/>
        <v>35</v>
      </c>
      <c r="F474" s="3">
        <v>1989</v>
      </c>
      <c r="G474" s="3">
        <v>50000</v>
      </c>
      <c r="H474" s="12" cm="1">
        <f t="array" ref="H474">_xlfn.IFS(TRIM(G474)="SIXTY THOUSAND",60000,TRIM(G474)="NAN",AVERAGEIFS(G:G,J:J,J474,L:L,L474),TRUE,G474)</f>
        <v>50000</v>
      </c>
      <c r="I474" s="3" t="s">
        <v>27</v>
      </c>
      <c r="J474" s="3" t="s">
        <v>28</v>
      </c>
      <c r="K474" s="3" t="str">
        <f t="shared" si="29"/>
        <v>HR</v>
      </c>
      <c r="L474" s="3" t="s">
        <v>40</v>
      </c>
      <c r="M474" s="4">
        <v>43881</v>
      </c>
      <c r="N474" s="4">
        <v>43881</v>
      </c>
      <c r="O474" s="3" t="s">
        <v>59</v>
      </c>
      <c r="P474" s="3">
        <v>98</v>
      </c>
      <c r="Q474" s="3" t="s">
        <v>1031</v>
      </c>
      <c r="R474" s="3" t="s">
        <v>54</v>
      </c>
      <c r="S474" s="3" t="s">
        <v>32</v>
      </c>
      <c r="T474" s="3" t="str">
        <f t="shared" si="30"/>
        <v>Contract</v>
      </c>
      <c r="U474" s="3" t="s">
        <v>1032</v>
      </c>
      <c r="V474" s="3">
        <v>7</v>
      </c>
      <c r="X474" s="3">
        <v>8</v>
      </c>
      <c r="Y474" s="3" t="s">
        <v>79</v>
      </c>
      <c r="AA474" s="3" t="s">
        <v>73</v>
      </c>
      <c r="AB474" s="3" t="str" cm="1">
        <f t="array" ref="AB474">_xlfn.IFS(AA474="N","No",  AA474 = "Y", "Yes", TRUE, PROPER(TRIM(AA474)))</f>
        <v>No</v>
      </c>
      <c r="AC474" s="3">
        <v>2</v>
      </c>
      <c r="AD474" s="3" t="s">
        <v>34</v>
      </c>
      <c r="AE474">
        <f t="shared" si="31"/>
        <v>0</v>
      </c>
    </row>
    <row r="475" spans="1:31" ht="14.25" customHeight="1" x14ac:dyDescent="0.35">
      <c r="A475" s="3" t="s">
        <v>1033</v>
      </c>
      <c r="B475" s="3" t="s">
        <v>56</v>
      </c>
      <c r="C475" s="3" t="s">
        <v>413</v>
      </c>
      <c r="D475" s="3" t="s">
        <v>88</v>
      </c>
      <c r="E475" s="3">
        <f t="shared" si="28"/>
        <v>30</v>
      </c>
      <c r="F475" s="3">
        <v>1994</v>
      </c>
      <c r="G475" s="3" t="s">
        <v>50</v>
      </c>
      <c r="H475" s="12" cm="1">
        <f t="array" ref="H475">_xlfn.IFS(TRIM(G475)="SIXTY THOUSAND",60000,TRIM(G475)="NAN",AVERAGEIFS(G:G,J:J,J475,L:L,L475),TRUE,G475)</f>
        <v>60000</v>
      </c>
      <c r="I475" s="3" t="s">
        <v>38</v>
      </c>
      <c r="J475" s="3" t="s">
        <v>82</v>
      </c>
      <c r="K475" s="3" t="str">
        <f t="shared" si="29"/>
        <v>HR</v>
      </c>
      <c r="L475" s="3" t="s">
        <v>40</v>
      </c>
      <c r="M475" s="4">
        <v>43845</v>
      </c>
      <c r="N475" s="4">
        <v>43845</v>
      </c>
      <c r="O475" s="3" t="s">
        <v>52</v>
      </c>
      <c r="P475" s="3">
        <v>75</v>
      </c>
      <c r="Q475" s="3" t="s">
        <v>414</v>
      </c>
      <c r="R475" s="3" t="s">
        <v>61</v>
      </c>
      <c r="S475" s="3" t="s">
        <v>174</v>
      </c>
      <c r="T475" s="3" t="str">
        <f t="shared" si="30"/>
        <v>Full-Time</v>
      </c>
      <c r="V475" s="3">
        <v>8</v>
      </c>
      <c r="X475" s="3">
        <v>20</v>
      </c>
      <c r="AA475" s="3" t="s">
        <v>33</v>
      </c>
      <c r="AB475" s="3" t="str" cm="1">
        <f t="array" ref="AB475">_xlfn.IFS(AA475="N","No",  AA475 = "Y", "Yes", TRUE, PROPER(TRIM(AA475)))</f>
        <v>Yes</v>
      </c>
      <c r="AC475" s="3">
        <v>2</v>
      </c>
      <c r="AD475" s="3" t="s">
        <v>34</v>
      </c>
      <c r="AE475">
        <f t="shared" si="31"/>
        <v>0</v>
      </c>
    </row>
    <row r="476" spans="1:31" ht="14.25" customHeight="1" x14ac:dyDescent="0.35">
      <c r="A476" s="3" t="s">
        <v>1034</v>
      </c>
      <c r="B476" s="3" t="s">
        <v>114</v>
      </c>
      <c r="C476" s="3" t="s">
        <v>499</v>
      </c>
      <c r="D476" s="3">
        <v>35</v>
      </c>
      <c r="E476" s="3">
        <f t="shared" si="28"/>
        <v>35</v>
      </c>
      <c r="F476" s="3">
        <v>1989</v>
      </c>
      <c r="G476" s="3">
        <v>50000</v>
      </c>
      <c r="H476" s="12" cm="1">
        <f t="array" ref="H476">_xlfn.IFS(TRIM(G476)="SIXTY THOUSAND",60000,TRIM(G476)="NAN",AVERAGEIFS(G:G,J:J,J476,L:L,L476),TRUE,G476)</f>
        <v>50000</v>
      </c>
      <c r="I476" s="3" t="s">
        <v>38</v>
      </c>
      <c r="J476" s="3" t="s">
        <v>70</v>
      </c>
      <c r="K476" s="3" t="str">
        <f t="shared" si="29"/>
        <v>Marketing</v>
      </c>
      <c r="L476" s="3" t="s">
        <v>94</v>
      </c>
      <c r="M476" s="4">
        <v>43881</v>
      </c>
      <c r="N476" s="4">
        <v>43881</v>
      </c>
      <c r="O476" s="3" t="s">
        <v>30</v>
      </c>
      <c r="P476" s="3">
        <v>64</v>
      </c>
      <c r="Q476" s="3" t="s">
        <v>1035</v>
      </c>
      <c r="R476" s="3" t="s">
        <v>61</v>
      </c>
      <c r="S476" s="3" t="s">
        <v>100</v>
      </c>
      <c r="T476" s="3" t="str">
        <f t="shared" si="30"/>
        <v>Part-Time</v>
      </c>
      <c r="V476" s="3">
        <v>7</v>
      </c>
      <c r="W476" s="3">
        <v>10</v>
      </c>
      <c r="X476" s="3">
        <v>10</v>
      </c>
      <c r="Y476" s="3" t="s">
        <v>79</v>
      </c>
      <c r="AA476" s="3" t="s">
        <v>46</v>
      </c>
      <c r="AB476" s="3" t="str" cm="1">
        <f t="array" ref="AB476">_xlfn.IFS(AA476="N","No",  AA476 = "Y", "Yes", TRUE, PROPER(TRIM(AA476)))</f>
        <v>Yes</v>
      </c>
      <c r="AC476" s="3">
        <v>5</v>
      </c>
      <c r="AD476" s="3" t="s">
        <v>34</v>
      </c>
      <c r="AE476">
        <f t="shared" si="31"/>
        <v>0</v>
      </c>
    </row>
    <row r="477" spans="1:31" ht="14.25" customHeight="1" x14ac:dyDescent="0.35">
      <c r="A477" s="3" t="s">
        <v>1036</v>
      </c>
      <c r="B477" s="3" t="s">
        <v>48</v>
      </c>
      <c r="C477" s="3" t="s">
        <v>199</v>
      </c>
      <c r="D477" s="3" t="s">
        <v>88</v>
      </c>
      <c r="E477" s="3">
        <f t="shared" si="28"/>
        <v>30</v>
      </c>
      <c r="F477" s="3">
        <v>1994</v>
      </c>
      <c r="G477" s="3">
        <v>65000</v>
      </c>
      <c r="H477" s="12" cm="1">
        <f t="array" ref="H477">_xlfn.IFS(TRIM(G477)="SIXTY THOUSAND",60000,TRIM(G477)="NAN",AVERAGEIFS(G:G,J:J,J477,L:L,L477),TRUE,G477)</f>
        <v>65000</v>
      </c>
      <c r="I477" s="3" t="s">
        <v>27</v>
      </c>
      <c r="J477" s="3" t="s">
        <v>70</v>
      </c>
      <c r="K477" s="3" t="str">
        <f t="shared" si="29"/>
        <v>Marketing</v>
      </c>
      <c r="L477" s="3" t="s">
        <v>89</v>
      </c>
      <c r="M477" s="4">
        <v>43881</v>
      </c>
      <c r="N477" s="4">
        <v>43881</v>
      </c>
      <c r="O477" s="3" t="s">
        <v>52</v>
      </c>
      <c r="P477" s="3">
        <v>79</v>
      </c>
      <c r="Q477" s="3" t="s">
        <v>1037</v>
      </c>
      <c r="R477" s="3" t="s">
        <v>104</v>
      </c>
      <c r="S477" s="3" t="s">
        <v>66</v>
      </c>
      <c r="T477" s="3" t="str">
        <f t="shared" si="30"/>
        <v>Contract</v>
      </c>
      <c r="V477" s="3">
        <v>7</v>
      </c>
      <c r="X477" s="3">
        <v>12</v>
      </c>
      <c r="Z477" s="3">
        <v>7</v>
      </c>
      <c r="AA477" s="3" t="s">
        <v>34</v>
      </c>
      <c r="AB477" s="3" t="str" cm="1">
        <f t="array" ref="AB477">_xlfn.IFS(AA477="N","No",  AA477 = "Y", "Yes", TRUE, PROPER(TRIM(AA477)))</f>
        <v>No</v>
      </c>
      <c r="AC477" s="3">
        <v>2</v>
      </c>
      <c r="AD477" s="3" t="s">
        <v>46</v>
      </c>
      <c r="AE477">
        <f t="shared" si="31"/>
        <v>1</v>
      </c>
    </row>
    <row r="478" spans="1:31" ht="14.25" customHeight="1" x14ac:dyDescent="0.35">
      <c r="A478" s="3" t="s">
        <v>1038</v>
      </c>
      <c r="B478" s="3" t="s">
        <v>36</v>
      </c>
      <c r="C478" s="3" t="s">
        <v>154</v>
      </c>
      <c r="D478" s="3" t="s">
        <v>88</v>
      </c>
      <c r="E478" s="3">
        <f t="shared" si="28"/>
        <v>30</v>
      </c>
      <c r="F478" s="3">
        <v>1994</v>
      </c>
      <c r="G478" s="3" t="s">
        <v>50</v>
      </c>
      <c r="H478" s="12" cm="1">
        <f t="array" ref="H478">_xlfn.IFS(TRIM(G478)="SIXTY THOUSAND",60000,TRIM(G478)="NAN",AVERAGEIFS(G:G,J:J,J478,L:L,L478),TRUE,G478)</f>
        <v>60000</v>
      </c>
      <c r="I478" s="3" t="s">
        <v>27</v>
      </c>
      <c r="J478" s="3" t="s">
        <v>28</v>
      </c>
      <c r="K478" s="3" t="str">
        <f t="shared" si="29"/>
        <v>HR</v>
      </c>
      <c r="L478" s="3" t="s">
        <v>89</v>
      </c>
      <c r="M478" s="4">
        <v>43845</v>
      </c>
      <c r="N478" s="4">
        <v>43845</v>
      </c>
      <c r="O478" s="3" t="s">
        <v>52</v>
      </c>
      <c r="P478" s="3">
        <v>79</v>
      </c>
      <c r="Q478" s="3" t="s">
        <v>1039</v>
      </c>
      <c r="S478" s="3" t="s">
        <v>32</v>
      </c>
      <c r="T478" s="3" t="str">
        <f t="shared" si="30"/>
        <v>Contract</v>
      </c>
      <c r="U478" s="3" t="s">
        <v>494</v>
      </c>
      <c r="V478" s="3">
        <v>6</v>
      </c>
      <c r="AA478" s="3" t="s">
        <v>46</v>
      </c>
      <c r="AB478" s="3" t="str" cm="1">
        <f t="array" ref="AB478">_xlfn.IFS(AA478="N","No",  AA478 = "Y", "Yes", TRUE, PROPER(TRIM(AA478)))</f>
        <v>Yes</v>
      </c>
      <c r="AC478" s="3">
        <v>3</v>
      </c>
      <c r="AD478" s="3" t="s">
        <v>34</v>
      </c>
      <c r="AE478">
        <f t="shared" si="31"/>
        <v>0</v>
      </c>
    </row>
    <row r="479" spans="1:31" ht="14.25" customHeight="1" x14ac:dyDescent="0.35">
      <c r="A479" s="3" t="s">
        <v>1040</v>
      </c>
      <c r="B479" s="3" t="s">
        <v>140</v>
      </c>
      <c r="C479" s="3" t="s">
        <v>359</v>
      </c>
      <c r="D479" s="3">
        <v>50</v>
      </c>
      <c r="E479" s="3">
        <f t="shared" si="28"/>
        <v>50</v>
      </c>
      <c r="F479" s="3">
        <v>1974</v>
      </c>
      <c r="G479" s="3">
        <v>70000</v>
      </c>
      <c r="H479" s="12" cm="1">
        <f t="array" ref="H479">_xlfn.IFS(TRIM(G479)="SIXTY THOUSAND",60000,TRIM(G479)="NAN",AVERAGEIFS(G:G,J:J,J479,L:L,L479),TRUE,G479)</f>
        <v>70000</v>
      </c>
      <c r="I479" s="3" t="s">
        <v>27</v>
      </c>
      <c r="J479" s="3" t="s">
        <v>145</v>
      </c>
      <c r="K479" s="3" t="str">
        <f t="shared" si="29"/>
        <v>Sales</v>
      </c>
      <c r="L479" s="3" t="s">
        <v>40</v>
      </c>
      <c r="M479" s="4">
        <v>43845</v>
      </c>
      <c r="N479" s="4">
        <v>43845</v>
      </c>
      <c r="O479" s="3" t="s">
        <v>78</v>
      </c>
      <c r="P479" s="3">
        <v>89</v>
      </c>
      <c r="Q479" s="3" t="s">
        <v>1041</v>
      </c>
      <c r="R479" s="3" t="s">
        <v>104</v>
      </c>
      <c r="S479" s="3" t="s">
        <v>44</v>
      </c>
      <c r="T479" s="3" t="str">
        <f t="shared" si="30"/>
        <v>Full-Time</v>
      </c>
      <c r="V479" s="3">
        <v>1</v>
      </c>
      <c r="W479" s="3" t="s">
        <v>79</v>
      </c>
      <c r="X479" s="3">
        <v>3</v>
      </c>
      <c r="AA479" s="3" t="s">
        <v>46</v>
      </c>
      <c r="AB479" s="3" t="str" cm="1">
        <f t="array" ref="AB479">_xlfn.IFS(AA479="N","No",  AA479 = "Y", "Yes", TRUE, PROPER(TRIM(AA479)))</f>
        <v>Yes</v>
      </c>
      <c r="AC479" s="3">
        <v>4</v>
      </c>
      <c r="AD479" s="3" t="s">
        <v>34</v>
      </c>
      <c r="AE479">
        <f t="shared" si="31"/>
        <v>0</v>
      </c>
    </row>
    <row r="480" spans="1:31" ht="14.25" customHeight="1" x14ac:dyDescent="0.35">
      <c r="A480" s="3" t="s">
        <v>1042</v>
      </c>
      <c r="B480" s="3" t="s">
        <v>56</v>
      </c>
      <c r="C480" s="3" t="s">
        <v>1043</v>
      </c>
      <c r="D480" s="3">
        <v>25</v>
      </c>
      <c r="E480" s="3">
        <f t="shared" si="28"/>
        <v>25</v>
      </c>
      <c r="F480" s="3">
        <v>1999</v>
      </c>
      <c r="G480" s="3">
        <v>65000</v>
      </c>
      <c r="H480" s="12" cm="1">
        <f t="array" ref="H480">_xlfn.IFS(TRIM(G480)="SIXTY THOUSAND",60000,TRIM(G480)="NAN",AVERAGEIFS(G:G,J:J,J480,L:L,L480),TRUE,G480)</f>
        <v>65000</v>
      </c>
      <c r="I480" s="3" t="s">
        <v>27</v>
      </c>
      <c r="J480" s="3" t="s">
        <v>28</v>
      </c>
      <c r="K480" s="3" t="str">
        <f t="shared" si="29"/>
        <v>HR</v>
      </c>
      <c r="L480" s="3" t="s">
        <v>89</v>
      </c>
      <c r="M480" s="4">
        <v>43549</v>
      </c>
      <c r="N480" s="4">
        <v>43549</v>
      </c>
      <c r="O480" s="3" t="s">
        <v>78</v>
      </c>
      <c r="P480" s="3">
        <v>89</v>
      </c>
      <c r="Q480" s="3" t="s">
        <v>1044</v>
      </c>
      <c r="R480" s="3" t="s">
        <v>104</v>
      </c>
      <c r="S480" s="3" t="s">
        <v>72</v>
      </c>
      <c r="T480" s="3" t="str">
        <f t="shared" si="30"/>
        <v>Part-Time</v>
      </c>
      <c r="V480" s="3">
        <v>7</v>
      </c>
      <c r="AB480" s="3" t="str" cm="1">
        <f t="array" ref="AB480">_xlfn.IFS(AA480="N","No",  AA480 = "Y", "Yes", TRUE, PROPER(TRIM(AA480)))</f>
        <v/>
      </c>
      <c r="AC480" s="3">
        <v>5</v>
      </c>
      <c r="AD480" s="3" t="s">
        <v>34</v>
      </c>
      <c r="AE480">
        <f t="shared" si="31"/>
        <v>0</v>
      </c>
    </row>
    <row r="481" spans="1:31" ht="14.25" customHeight="1" x14ac:dyDescent="0.35">
      <c r="A481" s="3" t="s">
        <v>1045</v>
      </c>
      <c r="B481" s="3" t="s">
        <v>140</v>
      </c>
      <c r="C481" s="3" t="s">
        <v>268</v>
      </c>
      <c r="D481" s="3">
        <v>35</v>
      </c>
      <c r="E481" s="3">
        <f t="shared" si="28"/>
        <v>35</v>
      </c>
      <c r="F481" s="3">
        <v>1989</v>
      </c>
      <c r="G481" s="3">
        <v>70000</v>
      </c>
      <c r="H481" s="12" cm="1">
        <f t="array" ref="H481">_xlfn.IFS(TRIM(G481)="SIXTY THOUSAND",60000,TRIM(G481)="NAN",AVERAGEIFS(G:G,J:J,J481,L:L,L481),TRUE,G481)</f>
        <v>70000</v>
      </c>
      <c r="I481" s="3" t="s">
        <v>38</v>
      </c>
      <c r="J481" s="3" t="s">
        <v>122</v>
      </c>
      <c r="K481" s="3" t="str">
        <f t="shared" si="29"/>
        <v>IT</v>
      </c>
      <c r="L481" s="3" t="s">
        <v>40</v>
      </c>
      <c r="M481" s="4">
        <v>43549</v>
      </c>
      <c r="N481" s="4">
        <v>43549</v>
      </c>
      <c r="O481" s="3" t="s">
        <v>30</v>
      </c>
      <c r="P481" s="3">
        <v>69</v>
      </c>
      <c r="Q481" s="3" t="s">
        <v>269</v>
      </c>
      <c r="R481" s="3" t="s">
        <v>61</v>
      </c>
      <c r="S481" s="3" t="s">
        <v>66</v>
      </c>
      <c r="T481" s="3" t="str">
        <f t="shared" si="30"/>
        <v>Contract</v>
      </c>
      <c r="V481" s="3">
        <v>2</v>
      </c>
      <c r="W481" s="3" t="s">
        <v>79</v>
      </c>
      <c r="AB481" s="3" t="str" cm="1">
        <f t="array" ref="AB481">_xlfn.IFS(AA481="N","No",  AA481 = "Y", "Yes", TRUE, PROPER(TRIM(AA481)))</f>
        <v/>
      </c>
      <c r="AC481" s="3">
        <v>4</v>
      </c>
      <c r="AD481" s="3" t="s">
        <v>46</v>
      </c>
      <c r="AE481">
        <f t="shared" si="31"/>
        <v>1</v>
      </c>
    </row>
    <row r="482" spans="1:31" ht="14.25" customHeight="1" x14ac:dyDescent="0.35">
      <c r="A482" s="3" t="s">
        <v>1046</v>
      </c>
      <c r="B482" s="3" t="s">
        <v>36</v>
      </c>
      <c r="C482" s="3" t="s">
        <v>219</v>
      </c>
      <c r="D482" s="3">
        <v>35</v>
      </c>
      <c r="E482" s="3">
        <f t="shared" si="28"/>
        <v>35</v>
      </c>
      <c r="F482" s="3">
        <v>1989</v>
      </c>
      <c r="G482" s="3">
        <v>55000</v>
      </c>
      <c r="H482" s="12" cm="1">
        <f t="array" ref="H482">_xlfn.IFS(TRIM(G482)="SIXTY THOUSAND",60000,TRIM(G482)="NAN",AVERAGEIFS(G:G,J:J,J482,L:L,L482),TRUE,G482)</f>
        <v>55000</v>
      </c>
      <c r="I482" s="3" t="s">
        <v>27</v>
      </c>
      <c r="J482" s="3" t="s">
        <v>64</v>
      </c>
      <c r="K482" s="3" t="str">
        <f t="shared" si="29"/>
        <v>Finance</v>
      </c>
      <c r="L482" s="3" t="s">
        <v>94</v>
      </c>
      <c r="M482" s="4">
        <v>43845</v>
      </c>
      <c r="N482" s="4">
        <v>43845</v>
      </c>
      <c r="O482" s="3" t="s">
        <v>41</v>
      </c>
      <c r="P482" s="3">
        <v>20</v>
      </c>
      <c r="Q482" s="3" t="s">
        <v>220</v>
      </c>
      <c r="R482" s="3" t="s">
        <v>104</v>
      </c>
      <c r="S482" s="3" t="s">
        <v>44</v>
      </c>
      <c r="T482" s="3" t="str">
        <f t="shared" si="30"/>
        <v>Full-Time</v>
      </c>
      <c r="V482" s="3">
        <v>1</v>
      </c>
      <c r="X482" s="3">
        <v>10</v>
      </c>
      <c r="Y482" s="3" t="s">
        <v>79</v>
      </c>
      <c r="Z482" s="3">
        <v>45</v>
      </c>
      <c r="AA482" s="3" t="s">
        <v>169</v>
      </c>
      <c r="AB482" s="3" t="str" cm="1">
        <f t="array" ref="AB482">_xlfn.IFS(AA482="N","No",  AA482 = "Y", "Yes", TRUE, PROPER(TRIM(AA482)))</f>
        <v>Yes</v>
      </c>
      <c r="AC482" s="3">
        <v>4</v>
      </c>
      <c r="AD482" s="3" t="s">
        <v>46</v>
      </c>
      <c r="AE482">
        <f t="shared" si="31"/>
        <v>1</v>
      </c>
    </row>
    <row r="483" spans="1:31" ht="14.25" customHeight="1" x14ac:dyDescent="0.35">
      <c r="A483" s="3" t="s">
        <v>1047</v>
      </c>
      <c r="B483" s="3" t="s">
        <v>68</v>
      </c>
      <c r="C483" s="3" t="s">
        <v>193</v>
      </c>
      <c r="D483" s="3">
        <v>50</v>
      </c>
      <c r="E483" s="3">
        <f t="shared" si="28"/>
        <v>50</v>
      </c>
      <c r="F483" s="3">
        <v>1974</v>
      </c>
      <c r="G483" s="3">
        <v>63000</v>
      </c>
      <c r="H483" s="12" cm="1">
        <f t="array" ref="H483">_xlfn.IFS(TRIM(G483)="SIXTY THOUSAND",60000,TRIM(G483)="NAN",AVERAGEIFS(G:G,J:J,J483,L:L,L483),TRUE,G483)</f>
        <v>63000</v>
      </c>
      <c r="I483" s="3" t="s">
        <v>38</v>
      </c>
      <c r="J483" s="3" t="s">
        <v>51</v>
      </c>
      <c r="K483" s="3" t="str">
        <f t="shared" si="29"/>
        <v>Sales</v>
      </c>
      <c r="L483" s="3" t="s">
        <v>40</v>
      </c>
      <c r="M483" s="4">
        <v>43195</v>
      </c>
      <c r="N483" s="4">
        <v>43195</v>
      </c>
      <c r="O483" s="3" t="s">
        <v>78</v>
      </c>
      <c r="P483" s="3">
        <v>82</v>
      </c>
      <c r="Q483" s="3" t="s">
        <v>194</v>
      </c>
      <c r="R483" s="3" t="s">
        <v>54</v>
      </c>
      <c r="S483" s="3" t="s">
        <v>44</v>
      </c>
      <c r="T483" s="3" t="str">
        <f t="shared" si="30"/>
        <v>Full-Time</v>
      </c>
      <c r="V483" s="3">
        <v>2</v>
      </c>
      <c r="W483" s="3">
        <v>2</v>
      </c>
      <c r="Z483" s="3">
        <v>38</v>
      </c>
      <c r="AA483" s="3" t="s">
        <v>46</v>
      </c>
      <c r="AB483" s="3" t="str" cm="1">
        <f t="array" ref="AB483">_xlfn.IFS(AA483="N","No",  AA483 = "Y", "Yes", TRUE, PROPER(TRIM(AA483)))</f>
        <v>Yes</v>
      </c>
      <c r="AC483" s="3">
        <v>2</v>
      </c>
      <c r="AD483" s="3" t="s">
        <v>34</v>
      </c>
      <c r="AE483">
        <f t="shared" si="31"/>
        <v>0</v>
      </c>
    </row>
    <row r="484" spans="1:31" ht="14.25" customHeight="1" x14ac:dyDescent="0.35">
      <c r="A484" s="3" t="s">
        <v>1048</v>
      </c>
      <c r="B484" s="3" t="s">
        <v>56</v>
      </c>
      <c r="C484" s="3" t="s">
        <v>676</v>
      </c>
      <c r="D484" s="3">
        <v>40</v>
      </c>
      <c r="E484" s="3">
        <f t="shared" si="28"/>
        <v>40</v>
      </c>
      <c r="F484" s="3">
        <v>1984</v>
      </c>
      <c r="G484" s="3">
        <v>65000</v>
      </c>
      <c r="H484" s="12" cm="1">
        <f t="array" ref="H484">_xlfn.IFS(TRIM(G484)="SIXTY THOUSAND",60000,TRIM(G484)="NAN",AVERAGEIFS(G:G,J:J,J484,L:L,L484),TRUE,G484)</f>
        <v>65000</v>
      </c>
      <c r="I484" s="3" t="s">
        <v>27</v>
      </c>
      <c r="J484" s="3" t="s">
        <v>122</v>
      </c>
      <c r="K484" s="3" t="str">
        <f t="shared" si="29"/>
        <v>IT</v>
      </c>
      <c r="L484" s="3" t="s">
        <v>89</v>
      </c>
      <c r="M484" s="4">
        <v>43881</v>
      </c>
      <c r="N484" s="4">
        <v>43881</v>
      </c>
      <c r="O484" s="3" t="s">
        <v>41</v>
      </c>
      <c r="P484" s="3">
        <v>45</v>
      </c>
      <c r="Q484" s="3" t="s">
        <v>677</v>
      </c>
      <c r="R484" s="3" t="s">
        <v>104</v>
      </c>
      <c r="S484" s="3" t="s">
        <v>32</v>
      </c>
      <c r="T484" s="3" t="str">
        <f t="shared" si="30"/>
        <v>Contract</v>
      </c>
      <c r="U484" s="3" t="s">
        <v>1049</v>
      </c>
      <c r="V484" s="3">
        <v>1</v>
      </c>
      <c r="W484" s="3" t="s">
        <v>79</v>
      </c>
      <c r="AA484" s="3" t="s">
        <v>34</v>
      </c>
      <c r="AB484" s="3" t="str" cm="1">
        <f t="array" ref="AB484">_xlfn.IFS(AA484="N","No",  AA484 = "Y", "Yes", TRUE, PROPER(TRIM(AA484)))</f>
        <v>No</v>
      </c>
      <c r="AC484" s="3">
        <v>4</v>
      </c>
      <c r="AD484" s="3" t="s">
        <v>46</v>
      </c>
      <c r="AE484">
        <f t="shared" si="31"/>
        <v>1</v>
      </c>
    </row>
    <row r="485" spans="1:31" ht="14.25" customHeight="1" x14ac:dyDescent="0.35">
      <c r="A485" s="3" t="s">
        <v>1050</v>
      </c>
      <c r="B485" s="3" t="s">
        <v>140</v>
      </c>
      <c r="C485" s="3" t="s">
        <v>620</v>
      </c>
      <c r="D485" s="3">
        <v>40</v>
      </c>
      <c r="E485" s="3">
        <f t="shared" si="28"/>
        <v>40</v>
      </c>
      <c r="F485" s="3">
        <v>1984</v>
      </c>
      <c r="G485" s="3">
        <v>55000</v>
      </c>
      <c r="H485" s="12" cm="1">
        <f t="array" ref="H485">_xlfn.IFS(TRIM(G485)="SIXTY THOUSAND",60000,TRIM(G485)="NAN",AVERAGEIFS(G:G,J:J,J485,L:L,L485),TRUE,G485)</f>
        <v>55000</v>
      </c>
      <c r="I485" s="3" t="s">
        <v>27</v>
      </c>
      <c r="J485" s="3" t="s">
        <v>145</v>
      </c>
      <c r="K485" s="3" t="str">
        <f t="shared" si="29"/>
        <v>Sales</v>
      </c>
      <c r="L485" s="3" t="s">
        <v>89</v>
      </c>
      <c r="M485" s="4">
        <v>43549</v>
      </c>
      <c r="N485" s="4">
        <v>43549</v>
      </c>
      <c r="O485" s="3" t="s">
        <v>59</v>
      </c>
      <c r="P485" s="3">
        <v>92</v>
      </c>
      <c r="Q485" s="3" t="s">
        <v>621</v>
      </c>
      <c r="R485" s="3" t="s">
        <v>54</v>
      </c>
      <c r="S485" s="3" t="s">
        <v>100</v>
      </c>
      <c r="T485" s="3" t="str">
        <f t="shared" si="30"/>
        <v>Part-Time</v>
      </c>
      <c r="U485" s="3" t="s">
        <v>1051</v>
      </c>
      <c r="V485" s="3">
        <v>2</v>
      </c>
      <c r="Y485" s="4">
        <v>45516</v>
      </c>
      <c r="Z485" s="3">
        <v>39</v>
      </c>
      <c r="AA485" s="3" t="s">
        <v>46</v>
      </c>
      <c r="AB485" s="3" t="str" cm="1">
        <f t="array" ref="AB485">_xlfn.IFS(AA485="N","No",  AA485 = "Y", "Yes", TRUE, PROPER(TRIM(AA485)))</f>
        <v>Yes</v>
      </c>
      <c r="AC485" s="3">
        <v>4</v>
      </c>
      <c r="AD485" s="3" t="s">
        <v>34</v>
      </c>
      <c r="AE485">
        <f t="shared" si="31"/>
        <v>0</v>
      </c>
    </row>
    <row r="486" spans="1:31" ht="14.25" customHeight="1" x14ac:dyDescent="0.35">
      <c r="A486" s="3" t="s">
        <v>1052</v>
      </c>
      <c r="B486" s="3" t="s">
        <v>48</v>
      </c>
      <c r="C486" s="3" t="s">
        <v>359</v>
      </c>
      <c r="D486" s="3">
        <v>25</v>
      </c>
      <c r="E486" s="3">
        <f t="shared" si="28"/>
        <v>25</v>
      </c>
      <c r="F486" s="3">
        <v>1999</v>
      </c>
      <c r="G486" s="3">
        <v>65000</v>
      </c>
      <c r="H486" s="12" cm="1">
        <f t="array" ref="H486">_xlfn.IFS(TRIM(G486)="SIXTY THOUSAND",60000,TRIM(G486)="NAN",AVERAGEIFS(G:G,J:J,J486,L:L,L486),TRUE,G486)</f>
        <v>65000</v>
      </c>
      <c r="I486" s="3" t="s">
        <v>38</v>
      </c>
      <c r="J486" s="3" t="s">
        <v>122</v>
      </c>
      <c r="K486" s="3" t="str">
        <f t="shared" si="29"/>
        <v>IT</v>
      </c>
      <c r="L486" s="3" t="s">
        <v>40</v>
      </c>
      <c r="M486" s="4">
        <v>43881</v>
      </c>
      <c r="N486" s="4">
        <v>43881</v>
      </c>
      <c r="O486" s="3" t="s">
        <v>78</v>
      </c>
      <c r="P486" s="3">
        <v>87</v>
      </c>
      <c r="Q486" s="3" t="s">
        <v>1053</v>
      </c>
      <c r="R486" s="3" t="s">
        <v>61</v>
      </c>
      <c r="S486" s="3" t="s">
        <v>72</v>
      </c>
      <c r="T486" s="3" t="str">
        <f t="shared" si="30"/>
        <v>Part-Time</v>
      </c>
      <c r="V486" s="3">
        <v>6</v>
      </c>
      <c r="W486" s="3">
        <v>0</v>
      </c>
      <c r="Z486" s="3">
        <v>9</v>
      </c>
      <c r="AA486" s="3" t="s">
        <v>33</v>
      </c>
      <c r="AB486" s="3" t="str" cm="1">
        <f t="array" ref="AB486">_xlfn.IFS(AA486="N","No",  AA486 = "Y", "Yes", TRUE, PROPER(TRIM(AA486)))</f>
        <v>Yes</v>
      </c>
      <c r="AC486" s="3">
        <v>1</v>
      </c>
      <c r="AD486" s="3" t="s">
        <v>46</v>
      </c>
      <c r="AE486">
        <f t="shared" si="31"/>
        <v>1</v>
      </c>
    </row>
    <row r="487" spans="1:31" ht="14.25" customHeight="1" x14ac:dyDescent="0.35">
      <c r="A487" s="3" t="s">
        <v>1054</v>
      </c>
      <c r="B487" s="3" t="s">
        <v>75</v>
      </c>
      <c r="C487" s="3" t="s">
        <v>783</v>
      </c>
      <c r="D487" s="3">
        <v>25</v>
      </c>
      <c r="E487" s="3">
        <f t="shared" si="28"/>
        <v>25</v>
      </c>
      <c r="F487" s="3">
        <v>1999</v>
      </c>
      <c r="G487" s="3">
        <v>65000</v>
      </c>
      <c r="H487" s="12" cm="1">
        <f t="array" ref="H487">_xlfn.IFS(TRIM(G487)="SIXTY THOUSAND",60000,TRIM(G487)="NAN",AVERAGEIFS(G:G,J:J,J487,L:L,L487),TRUE,G487)</f>
        <v>65000</v>
      </c>
      <c r="I487" s="3" t="s">
        <v>27</v>
      </c>
      <c r="J487" s="3" t="s">
        <v>64</v>
      </c>
      <c r="K487" s="3" t="str">
        <f t="shared" si="29"/>
        <v>Finance</v>
      </c>
      <c r="L487" s="3" t="s">
        <v>40</v>
      </c>
      <c r="M487" s="4">
        <v>43800</v>
      </c>
      <c r="N487" s="4">
        <v>43800</v>
      </c>
      <c r="O487" s="3" t="s">
        <v>78</v>
      </c>
      <c r="P487" s="3">
        <v>87</v>
      </c>
      <c r="Q487" s="3" t="s">
        <v>1055</v>
      </c>
      <c r="S487" s="3" t="s">
        <v>66</v>
      </c>
      <c r="T487" s="3" t="str">
        <f t="shared" si="30"/>
        <v>Contract</v>
      </c>
      <c r="V487" s="3">
        <v>2</v>
      </c>
      <c r="X487" s="3">
        <v>17</v>
      </c>
      <c r="AA487" s="3" t="s">
        <v>73</v>
      </c>
      <c r="AB487" s="3" t="str" cm="1">
        <f t="array" ref="AB487">_xlfn.IFS(AA487="N","No",  AA487 = "Y", "Yes", TRUE, PROPER(TRIM(AA487)))</f>
        <v>No</v>
      </c>
      <c r="AC487" s="3">
        <v>3</v>
      </c>
      <c r="AD487" s="3" t="s">
        <v>46</v>
      </c>
      <c r="AE487">
        <f t="shared" si="31"/>
        <v>1</v>
      </c>
    </row>
    <row r="488" spans="1:31" ht="14.25" customHeight="1" x14ac:dyDescent="0.35">
      <c r="A488" s="3" t="s">
        <v>1056</v>
      </c>
      <c r="B488" s="3" t="s">
        <v>131</v>
      </c>
      <c r="C488" s="3" t="s">
        <v>135</v>
      </c>
      <c r="E488" s="3">
        <f t="shared" si="28"/>
        <v>46</v>
      </c>
      <c r="F488" s="3">
        <v>1978</v>
      </c>
      <c r="G488" s="3">
        <v>55000</v>
      </c>
      <c r="H488" s="12" cm="1">
        <f t="array" ref="H488">_xlfn.IFS(TRIM(G488)="SIXTY THOUSAND",60000,TRIM(G488)="NAN",AVERAGEIFS(G:G,J:J,J488,L:L,L488),TRUE,G488)</f>
        <v>55000</v>
      </c>
      <c r="I488" s="3" t="s">
        <v>27</v>
      </c>
      <c r="J488" s="3" t="s">
        <v>64</v>
      </c>
      <c r="K488" s="3" t="str">
        <f t="shared" si="29"/>
        <v>Finance</v>
      </c>
      <c r="L488" s="3" t="s">
        <v>40</v>
      </c>
      <c r="M488" s="4">
        <v>43845</v>
      </c>
      <c r="N488" s="4">
        <v>43845</v>
      </c>
      <c r="O488" s="3" t="s">
        <v>30</v>
      </c>
      <c r="P488" s="3">
        <v>67</v>
      </c>
      <c r="Q488" s="3" t="s">
        <v>1057</v>
      </c>
      <c r="R488" s="3" t="s">
        <v>54</v>
      </c>
      <c r="S488" s="3" t="s">
        <v>66</v>
      </c>
      <c r="T488" s="3" t="str">
        <f t="shared" si="30"/>
        <v>Contract</v>
      </c>
      <c r="V488" s="3">
        <v>5</v>
      </c>
      <c r="X488" s="3">
        <v>7</v>
      </c>
      <c r="Z488" s="3">
        <v>30</v>
      </c>
      <c r="AA488" s="3" t="s">
        <v>169</v>
      </c>
      <c r="AB488" s="3" t="str" cm="1">
        <f t="array" ref="AB488">_xlfn.IFS(AA488="N","No",  AA488 = "Y", "Yes", TRUE, PROPER(TRIM(AA488)))</f>
        <v>Yes</v>
      </c>
      <c r="AC488" s="3">
        <v>1</v>
      </c>
      <c r="AD488" s="3" t="s">
        <v>34</v>
      </c>
      <c r="AE488">
        <f t="shared" si="31"/>
        <v>0</v>
      </c>
    </row>
    <row r="489" spans="1:31" ht="14.25" customHeight="1" x14ac:dyDescent="0.35">
      <c r="A489" s="3" t="s">
        <v>1058</v>
      </c>
      <c r="B489" s="3" t="s">
        <v>75</v>
      </c>
      <c r="C489" s="3" t="s">
        <v>151</v>
      </c>
      <c r="D489" s="3">
        <v>50</v>
      </c>
      <c r="E489" s="3">
        <f t="shared" si="28"/>
        <v>50</v>
      </c>
      <c r="F489" s="3">
        <v>1974</v>
      </c>
      <c r="G489" s="3" t="s">
        <v>50</v>
      </c>
      <c r="H489" s="12" cm="1">
        <f t="array" ref="H489">_xlfn.IFS(TRIM(G489)="SIXTY THOUSAND",60000,TRIM(G489)="NAN",AVERAGEIFS(G:G,J:J,J489,L:L,L489),TRUE,G489)</f>
        <v>60000</v>
      </c>
      <c r="I489" s="3" t="s">
        <v>27</v>
      </c>
      <c r="J489" s="3" t="s">
        <v>70</v>
      </c>
      <c r="K489" s="3" t="str">
        <f t="shared" si="29"/>
        <v>Marketing</v>
      </c>
      <c r="L489" s="3" t="s">
        <v>77</v>
      </c>
      <c r="M489" s="4">
        <v>43195</v>
      </c>
      <c r="N489" s="4">
        <v>43195</v>
      </c>
      <c r="O489" s="3" t="s">
        <v>41</v>
      </c>
      <c r="P489" s="3">
        <v>14</v>
      </c>
      <c r="Q489" s="3" t="s">
        <v>152</v>
      </c>
      <c r="S489" s="3" t="s">
        <v>100</v>
      </c>
      <c r="T489" s="3" t="str">
        <f t="shared" si="30"/>
        <v>Part-Time</v>
      </c>
      <c r="U489" s="3" t="s">
        <v>770</v>
      </c>
      <c r="V489" s="3">
        <v>5</v>
      </c>
      <c r="Y489" s="3" t="s">
        <v>79</v>
      </c>
      <c r="Z489" s="3">
        <v>39</v>
      </c>
      <c r="AA489" s="3" t="s">
        <v>169</v>
      </c>
      <c r="AB489" s="3" t="str" cm="1">
        <f t="array" ref="AB489">_xlfn.IFS(AA489="N","No",  AA489 = "Y", "Yes", TRUE, PROPER(TRIM(AA489)))</f>
        <v>Yes</v>
      </c>
      <c r="AC489" s="3">
        <v>1</v>
      </c>
      <c r="AD489" s="3" t="s">
        <v>46</v>
      </c>
      <c r="AE489">
        <f t="shared" si="31"/>
        <v>1</v>
      </c>
    </row>
    <row r="490" spans="1:31" ht="14.25" customHeight="1" x14ac:dyDescent="0.35">
      <c r="A490" s="3" t="s">
        <v>1059</v>
      </c>
      <c r="B490" s="3" t="s">
        <v>36</v>
      </c>
      <c r="C490" s="3" t="s">
        <v>380</v>
      </c>
      <c r="D490" s="3">
        <v>40</v>
      </c>
      <c r="E490" s="3">
        <f t="shared" si="28"/>
        <v>40</v>
      </c>
      <c r="F490" s="3">
        <v>1984</v>
      </c>
      <c r="G490" s="3">
        <v>50000</v>
      </c>
      <c r="H490" s="12" cm="1">
        <f t="array" ref="H490">_xlfn.IFS(TRIM(G490)="SIXTY THOUSAND",60000,TRIM(G490)="NAN",AVERAGEIFS(G:G,J:J,J490,L:L,L490),TRUE,G490)</f>
        <v>50000</v>
      </c>
      <c r="I490" s="3" t="s">
        <v>27</v>
      </c>
      <c r="J490" s="3" t="s">
        <v>122</v>
      </c>
      <c r="K490" s="3" t="str">
        <f t="shared" si="29"/>
        <v>IT</v>
      </c>
      <c r="L490" s="3" t="s">
        <v>89</v>
      </c>
      <c r="M490" s="4">
        <v>43800</v>
      </c>
      <c r="N490" s="4">
        <v>43800</v>
      </c>
      <c r="O490" s="3" t="s">
        <v>78</v>
      </c>
      <c r="P490" s="3">
        <v>84</v>
      </c>
      <c r="Q490" s="3" t="s">
        <v>1060</v>
      </c>
      <c r="S490" s="3" t="s">
        <v>72</v>
      </c>
      <c r="T490" s="3" t="str">
        <f t="shared" si="30"/>
        <v>Part-Time</v>
      </c>
      <c r="U490" s="3" t="s">
        <v>105</v>
      </c>
      <c r="V490" s="3">
        <v>2</v>
      </c>
      <c r="W490" s="3" t="s">
        <v>79</v>
      </c>
      <c r="Y490" s="4">
        <v>45516</v>
      </c>
      <c r="Z490" s="3">
        <v>59</v>
      </c>
      <c r="AA490" s="3" t="s">
        <v>73</v>
      </c>
      <c r="AB490" s="3" t="str" cm="1">
        <f t="array" ref="AB490">_xlfn.IFS(AA490="N","No",  AA490 = "Y", "Yes", TRUE, PROPER(TRIM(AA490)))</f>
        <v>No</v>
      </c>
      <c r="AC490" s="3">
        <v>2</v>
      </c>
      <c r="AD490" s="3" t="s">
        <v>34</v>
      </c>
      <c r="AE490">
        <f t="shared" si="31"/>
        <v>0</v>
      </c>
    </row>
    <row r="491" spans="1:31" ht="14.25" customHeight="1" x14ac:dyDescent="0.35">
      <c r="A491" s="3" t="s">
        <v>1061</v>
      </c>
      <c r="B491" s="3" t="s">
        <v>114</v>
      </c>
      <c r="C491" s="3" t="s">
        <v>148</v>
      </c>
      <c r="D491" s="3" t="s">
        <v>88</v>
      </c>
      <c r="E491" s="3">
        <f t="shared" si="28"/>
        <v>30</v>
      </c>
      <c r="F491" s="3">
        <v>1994</v>
      </c>
      <c r="G491" s="3">
        <v>70000</v>
      </c>
      <c r="H491" s="12" cm="1">
        <f t="array" ref="H491">_xlfn.IFS(TRIM(G491)="SIXTY THOUSAND",60000,TRIM(G491)="NAN",AVERAGEIFS(G:G,J:J,J491,L:L,L491),TRUE,G491)</f>
        <v>70000</v>
      </c>
      <c r="I491" s="3" t="s">
        <v>27</v>
      </c>
      <c r="J491" s="3" t="s">
        <v>70</v>
      </c>
      <c r="K491" s="3" t="str">
        <f t="shared" si="29"/>
        <v>Marketing</v>
      </c>
      <c r="L491" s="3" t="s">
        <v>89</v>
      </c>
      <c r="M491" s="4">
        <v>43800</v>
      </c>
      <c r="N491" s="4">
        <v>43800</v>
      </c>
      <c r="O491" s="3" t="s">
        <v>78</v>
      </c>
      <c r="P491" s="3">
        <v>85</v>
      </c>
      <c r="Q491" s="3" t="s">
        <v>1062</v>
      </c>
      <c r="R491" s="3" t="s">
        <v>54</v>
      </c>
      <c r="S491" s="3" t="s">
        <v>32</v>
      </c>
      <c r="T491" s="3" t="str">
        <f t="shared" si="30"/>
        <v>Contract</v>
      </c>
      <c r="V491" s="3">
        <v>5</v>
      </c>
      <c r="X491" s="3">
        <v>8</v>
      </c>
      <c r="AA491" s="3" t="s">
        <v>46</v>
      </c>
      <c r="AB491" s="3" t="str" cm="1">
        <f t="array" ref="AB491">_xlfn.IFS(AA491="N","No",  AA491 = "Y", "Yes", TRUE, PROPER(TRIM(AA491)))</f>
        <v>Yes</v>
      </c>
      <c r="AC491" s="3">
        <v>5</v>
      </c>
      <c r="AD491" s="3" t="s">
        <v>46</v>
      </c>
      <c r="AE491">
        <f t="shared" si="31"/>
        <v>1</v>
      </c>
    </row>
    <row r="492" spans="1:31" ht="14.25" customHeight="1" x14ac:dyDescent="0.35">
      <c r="A492" s="3" t="s">
        <v>1063</v>
      </c>
      <c r="B492" s="3" t="s">
        <v>131</v>
      </c>
      <c r="C492" s="3" t="s">
        <v>285</v>
      </c>
      <c r="D492" s="3">
        <v>35</v>
      </c>
      <c r="E492" s="3">
        <f t="shared" si="28"/>
        <v>35</v>
      </c>
      <c r="F492" s="3">
        <v>1989</v>
      </c>
      <c r="G492" s="3">
        <v>65000</v>
      </c>
      <c r="H492" s="12" cm="1">
        <f t="array" ref="H492">_xlfn.IFS(TRIM(G492)="SIXTY THOUSAND",60000,TRIM(G492)="NAN",AVERAGEIFS(G:G,J:J,J492,L:L,L492),TRUE,G492)</f>
        <v>65000</v>
      </c>
      <c r="I492" s="3" t="s">
        <v>38</v>
      </c>
      <c r="J492" s="3" t="s">
        <v>58</v>
      </c>
      <c r="K492" s="3" t="str">
        <f t="shared" si="29"/>
        <v>IT</v>
      </c>
      <c r="L492" s="3" t="s">
        <v>77</v>
      </c>
      <c r="M492" s="4">
        <v>43800</v>
      </c>
      <c r="N492" s="4">
        <v>43800</v>
      </c>
      <c r="O492" s="3" t="s">
        <v>30</v>
      </c>
      <c r="P492" s="3">
        <v>66</v>
      </c>
      <c r="Q492" s="3" t="s">
        <v>286</v>
      </c>
      <c r="R492" s="3" t="s">
        <v>61</v>
      </c>
      <c r="S492" s="3" t="s">
        <v>66</v>
      </c>
      <c r="T492" s="3" t="str">
        <f t="shared" si="30"/>
        <v>Contract</v>
      </c>
      <c r="V492" s="3">
        <v>8</v>
      </c>
      <c r="W492" s="3">
        <v>15</v>
      </c>
      <c r="Y492" s="9">
        <v>44990</v>
      </c>
      <c r="AA492" s="3" t="s">
        <v>169</v>
      </c>
      <c r="AB492" s="3" t="str" cm="1">
        <f t="array" ref="AB492">_xlfn.IFS(AA492="N","No",  AA492 = "Y", "Yes", TRUE, PROPER(TRIM(AA492)))</f>
        <v>Yes</v>
      </c>
      <c r="AC492" s="3">
        <v>1</v>
      </c>
      <c r="AD492" s="3" t="s">
        <v>34</v>
      </c>
      <c r="AE492">
        <f t="shared" si="31"/>
        <v>0</v>
      </c>
    </row>
    <row r="493" spans="1:31" ht="14.25" customHeight="1" x14ac:dyDescent="0.35">
      <c r="A493" s="3" t="s">
        <v>1064</v>
      </c>
      <c r="B493" s="3" t="s">
        <v>25</v>
      </c>
      <c r="C493" s="3" t="s">
        <v>377</v>
      </c>
      <c r="D493" s="3">
        <v>25</v>
      </c>
      <c r="E493" s="3">
        <f t="shared" si="28"/>
        <v>25</v>
      </c>
      <c r="F493" s="3">
        <v>1999</v>
      </c>
      <c r="G493" s="3">
        <v>70000</v>
      </c>
      <c r="H493" s="12" cm="1">
        <f t="array" ref="H493">_xlfn.IFS(TRIM(G493)="SIXTY THOUSAND",60000,TRIM(G493)="NAN",AVERAGEIFS(G:G,J:J,J493,L:L,L493),TRUE,G493)</f>
        <v>70000</v>
      </c>
      <c r="I493" s="3" t="s">
        <v>27</v>
      </c>
      <c r="J493" s="3" t="s">
        <v>93</v>
      </c>
      <c r="K493" s="3" t="str">
        <f t="shared" si="29"/>
        <v>Marketing</v>
      </c>
      <c r="L493" s="3" t="s">
        <v>40</v>
      </c>
      <c r="M493" s="4">
        <v>43845</v>
      </c>
      <c r="N493" s="4">
        <v>43845</v>
      </c>
      <c r="O493" s="3" t="s">
        <v>30</v>
      </c>
      <c r="P493" s="3">
        <v>64</v>
      </c>
      <c r="Q493" s="3" t="s">
        <v>378</v>
      </c>
      <c r="R493" s="3" t="s">
        <v>43</v>
      </c>
      <c r="S493" s="3" t="s">
        <v>72</v>
      </c>
      <c r="T493" s="3" t="str">
        <f t="shared" si="30"/>
        <v>Part-Time</v>
      </c>
      <c r="V493" s="3">
        <v>7</v>
      </c>
      <c r="Y493" s="4">
        <v>44941</v>
      </c>
      <c r="Z493" s="3">
        <v>15</v>
      </c>
      <c r="AA493" s="3" t="s">
        <v>73</v>
      </c>
      <c r="AB493" s="3" t="str" cm="1">
        <f t="array" ref="AB493">_xlfn.IFS(AA493="N","No",  AA493 = "Y", "Yes", TRUE, PROPER(TRIM(AA493)))</f>
        <v>No</v>
      </c>
      <c r="AC493" s="3">
        <v>2</v>
      </c>
      <c r="AD493" s="3" t="s">
        <v>34</v>
      </c>
      <c r="AE493">
        <f t="shared" si="31"/>
        <v>0</v>
      </c>
    </row>
    <row r="494" spans="1:31" ht="14.25" customHeight="1" x14ac:dyDescent="0.35">
      <c r="A494" s="3" t="s">
        <v>1065</v>
      </c>
      <c r="B494" s="3" t="s">
        <v>48</v>
      </c>
      <c r="C494" s="3" t="s">
        <v>271</v>
      </c>
      <c r="D494" s="3">
        <v>35</v>
      </c>
      <c r="E494" s="3">
        <f t="shared" si="28"/>
        <v>35</v>
      </c>
      <c r="F494" s="3">
        <v>1989</v>
      </c>
      <c r="G494" s="3">
        <v>60800</v>
      </c>
      <c r="H494" s="12" cm="1">
        <f t="array" ref="H494">_xlfn.IFS(TRIM(G494)="SIXTY THOUSAND",60000,TRIM(G494)="NAN",AVERAGEIFS(G:G,J:J,J494,L:L,L494),TRUE,G494)</f>
        <v>60800</v>
      </c>
      <c r="I494" s="3" t="s">
        <v>38</v>
      </c>
      <c r="J494" s="3" t="s">
        <v>64</v>
      </c>
      <c r="K494" s="3" t="str">
        <f t="shared" si="29"/>
        <v>Finance</v>
      </c>
      <c r="L494" s="3" t="s">
        <v>94</v>
      </c>
      <c r="M494" s="4">
        <v>43549</v>
      </c>
      <c r="N494" s="4">
        <v>43549</v>
      </c>
      <c r="O494" s="3" t="s">
        <v>41</v>
      </c>
      <c r="P494" s="3">
        <v>41</v>
      </c>
      <c r="Q494" s="3" t="s">
        <v>272</v>
      </c>
      <c r="S494" s="3" t="s">
        <v>32</v>
      </c>
      <c r="T494" s="3" t="str">
        <f t="shared" si="30"/>
        <v>Contract</v>
      </c>
      <c r="V494" s="3">
        <v>7</v>
      </c>
      <c r="W494" s="3">
        <v>12</v>
      </c>
      <c r="X494" s="3">
        <v>6</v>
      </c>
      <c r="AA494" s="3" t="s">
        <v>73</v>
      </c>
      <c r="AB494" s="3" t="str" cm="1">
        <f t="array" ref="AB494">_xlfn.IFS(AA494="N","No",  AA494 = "Y", "Yes", TRUE, PROPER(TRIM(AA494)))</f>
        <v>No</v>
      </c>
      <c r="AC494" s="3">
        <v>1</v>
      </c>
      <c r="AD494" s="3" t="s">
        <v>46</v>
      </c>
      <c r="AE494">
        <f t="shared" si="31"/>
        <v>1</v>
      </c>
    </row>
    <row r="495" spans="1:31" ht="14.25" customHeight="1" x14ac:dyDescent="0.35">
      <c r="A495" s="3" t="s">
        <v>1066</v>
      </c>
      <c r="B495" s="3" t="s">
        <v>25</v>
      </c>
      <c r="C495" s="3" t="s">
        <v>176</v>
      </c>
      <c r="D495" s="3">
        <v>35</v>
      </c>
      <c r="E495" s="3">
        <f t="shared" si="28"/>
        <v>35</v>
      </c>
      <c r="F495" s="3">
        <v>1989</v>
      </c>
      <c r="G495" s="3">
        <v>55000</v>
      </c>
      <c r="H495" s="12" cm="1">
        <f t="array" ref="H495">_xlfn.IFS(TRIM(G495)="SIXTY THOUSAND",60000,TRIM(G495)="NAN",AVERAGEIFS(G:G,J:J,J495,L:L,L495),TRUE,G495)</f>
        <v>55000</v>
      </c>
      <c r="I495" s="3" t="s">
        <v>27</v>
      </c>
      <c r="J495" s="3" t="s">
        <v>51</v>
      </c>
      <c r="K495" s="3" t="str">
        <f t="shared" si="29"/>
        <v>Sales</v>
      </c>
      <c r="L495" s="3" t="s">
        <v>40</v>
      </c>
      <c r="M495" s="4">
        <v>43845</v>
      </c>
      <c r="N495" s="4">
        <v>43845</v>
      </c>
      <c r="O495" s="3" t="s">
        <v>59</v>
      </c>
      <c r="P495" s="3">
        <v>94</v>
      </c>
      <c r="Q495" s="3" t="s">
        <v>1067</v>
      </c>
      <c r="S495" s="3" t="s">
        <v>32</v>
      </c>
      <c r="T495" s="3" t="str">
        <f t="shared" si="30"/>
        <v>Contract</v>
      </c>
      <c r="U495" s="3" t="s">
        <v>153</v>
      </c>
      <c r="V495" s="3">
        <v>1</v>
      </c>
      <c r="Y495" s="4">
        <v>44470</v>
      </c>
      <c r="Z495" s="3">
        <v>45</v>
      </c>
      <c r="AA495" s="3" t="s">
        <v>73</v>
      </c>
      <c r="AB495" s="3" t="str" cm="1">
        <f t="array" ref="AB495">_xlfn.IFS(AA495="N","No",  AA495 = "Y", "Yes", TRUE, PROPER(TRIM(AA495)))</f>
        <v>No</v>
      </c>
      <c r="AC495" s="3">
        <v>5</v>
      </c>
      <c r="AD495" s="3" t="s">
        <v>34</v>
      </c>
      <c r="AE495">
        <f t="shared" si="31"/>
        <v>0</v>
      </c>
    </row>
    <row r="496" spans="1:31" ht="14.25" customHeight="1" x14ac:dyDescent="0.35">
      <c r="A496" s="3" t="s">
        <v>1068</v>
      </c>
      <c r="B496" s="3" t="s">
        <v>56</v>
      </c>
      <c r="C496" s="3" t="s">
        <v>87</v>
      </c>
      <c r="E496" s="3">
        <f t="shared" si="28"/>
        <v>58</v>
      </c>
      <c r="F496" s="3">
        <v>1966</v>
      </c>
      <c r="G496" s="3">
        <v>70000</v>
      </c>
      <c r="H496" s="12" cm="1">
        <f t="array" ref="H496">_xlfn.IFS(TRIM(G496)="SIXTY THOUSAND",60000,TRIM(G496)="NAN",AVERAGEIFS(G:G,J:J,J496,L:L,L496),TRUE,G496)</f>
        <v>70000</v>
      </c>
      <c r="I496" s="3" t="s">
        <v>38</v>
      </c>
      <c r="J496" s="3" t="s">
        <v>70</v>
      </c>
      <c r="K496" s="3" t="str">
        <f t="shared" si="29"/>
        <v>Marketing</v>
      </c>
      <c r="L496" s="3" t="s">
        <v>40</v>
      </c>
      <c r="M496" s="4">
        <v>43549</v>
      </c>
      <c r="N496" s="4">
        <v>43549</v>
      </c>
      <c r="O496" s="3" t="s">
        <v>59</v>
      </c>
      <c r="P496" s="3">
        <v>98</v>
      </c>
      <c r="Q496" s="3" t="s">
        <v>129</v>
      </c>
      <c r="R496" s="3" t="s">
        <v>61</v>
      </c>
      <c r="S496" s="3" t="s">
        <v>174</v>
      </c>
      <c r="T496" s="3" t="str">
        <f t="shared" si="30"/>
        <v>Full-Time</v>
      </c>
      <c r="V496" s="3">
        <v>8</v>
      </c>
      <c r="W496" s="3">
        <v>10</v>
      </c>
      <c r="Y496" s="4">
        <v>44732</v>
      </c>
      <c r="AA496" s="3" t="s">
        <v>169</v>
      </c>
      <c r="AB496" s="3" t="str" cm="1">
        <f t="array" ref="AB496">_xlfn.IFS(AA496="N","No",  AA496 = "Y", "Yes", TRUE, PROPER(TRIM(AA496)))</f>
        <v>Yes</v>
      </c>
      <c r="AC496" s="3">
        <v>1</v>
      </c>
      <c r="AD496" s="3" t="s">
        <v>34</v>
      </c>
      <c r="AE496">
        <f t="shared" si="31"/>
        <v>0</v>
      </c>
    </row>
    <row r="497" spans="1:31" ht="14.25" customHeight="1" x14ac:dyDescent="0.35">
      <c r="A497" s="3" t="s">
        <v>1069</v>
      </c>
      <c r="B497" s="3" t="s">
        <v>131</v>
      </c>
      <c r="C497" s="3" t="s">
        <v>692</v>
      </c>
      <c r="D497" s="3">
        <v>40</v>
      </c>
      <c r="E497" s="3">
        <f t="shared" si="28"/>
        <v>40</v>
      </c>
      <c r="F497" s="3">
        <v>1984</v>
      </c>
      <c r="G497" s="3">
        <v>55000</v>
      </c>
      <c r="H497" s="12" cm="1">
        <f t="array" ref="H497">_xlfn.IFS(TRIM(G497)="SIXTY THOUSAND",60000,TRIM(G497)="NAN",AVERAGEIFS(G:G,J:J,J497,L:L,L497),TRUE,G497)</f>
        <v>55000</v>
      </c>
      <c r="I497" s="3" t="s">
        <v>38</v>
      </c>
      <c r="J497" s="3" t="s">
        <v>122</v>
      </c>
      <c r="K497" s="3" t="str">
        <f t="shared" si="29"/>
        <v>IT</v>
      </c>
      <c r="L497" s="3" t="s">
        <v>77</v>
      </c>
      <c r="M497" s="4">
        <v>43800</v>
      </c>
      <c r="N497" s="4">
        <v>43800</v>
      </c>
      <c r="O497" s="3" t="s">
        <v>52</v>
      </c>
      <c r="P497" s="3">
        <v>79</v>
      </c>
      <c r="Q497" s="3" t="s">
        <v>693</v>
      </c>
      <c r="R497" s="3" t="s">
        <v>61</v>
      </c>
      <c r="S497" s="3" t="s">
        <v>66</v>
      </c>
      <c r="T497" s="3" t="str">
        <f t="shared" si="30"/>
        <v>Contract</v>
      </c>
      <c r="V497" s="3">
        <v>3</v>
      </c>
      <c r="AA497" s="3" t="s">
        <v>33</v>
      </c>
      <c r="AB497" s="3" t="str" cm="1">
        <f t="array" ref="AB497">_xlfn.IFS(AA497="N","No",  AA497 = "Y", "Yes", TRUE, PROPER(TRIM(AA497)))</f>
        <v>Yes</v>
      </c>
      <c r="AC497" s="3">
        <v>1</v>
      </c>
      <c r="AD497" s="3" t="s">
        <v>46</v>
      </c>
      <c r="AE497">
        <f t="shared" si="31"/>
        <v>1</v>
      </c>
    </row>
    <row r="498" spans="1:31" ht="14.25" customHeight="1" x14ac:dyDescent="0.35">
      <c r="A498" s="3" t="s">
        <v>1070</v>
      </c>
      <c r="B498" s="3" t="s">
        <v>25</v>
      </c>
      <c r="C498" s="3" t="s">
        <v>328</v>
      </c>
      <c r="D498" s="3">
        <v>25</v>
      </c>
      <c r="E498" s="3">
        <f t="shared" si="28"/>
        <v>25</v>
      </c>
      <c r="F498" s="3">
        <v>1999</v>
      </c>
      <c r="G498" s="3">
        <v>70000</v>
      </c>
      <c r="H498" s="12" cm="1">
        <f t="array" ref="H498">_xlfn.IFS(TRIM(G498)="SIXTY THOUSAND",60000,TRIM(G498)="NAN",AVERAGEIFS(G:G,J:J,J498,L:L,L498),TRUE,G498)</f>
        <v>70000</v>
      </c>
      <c r="I498" s="3" t="s">
        <v>38</v>
      </c>
      <c r="J498" s="3" t="s">
        <v>122</v>
      </c>
      <c r="K498" s="3" t="str">
        <f t="shared" si="29"/>
        <v>IT</v>
      </c>
      <c r="L498" s="3" t="s">
        <v>89</v>
      </c>
      <c r="M498" s="4">
        <v>43800</v>
      </c>
      <c r="N498" s="4">
        <v>43800</v>
      </c>
      <c r="O498" s="3" t="s">
        <v>78</v>
      </c>
      <c r="P498" s="3">
        <v>88</v>
      </c>
      <c r="Q498" s="3" t="s">
        <v>329</v>
      </c>
      <c r="R498" s="3" t="s">
        <v>104</v>
      </c>
      <c r="S498" s="3" t="s">
        <v>100</v>
      </c>
      <c r="T498" s="3" t="str">
        <f t="shared" si="30"/>
        <v>Part-Time</v>
      </c>
      <c r="V498" s="3">
        <v>4</v>
      </c>
      <c r="W498" s="3">
        <v>7</v>
      </c>
      <c r="X498" s="3">
        <v>9</v>
      </c>
      <c r="Z498" s="3">
        <v>35</v>
      </c>
      <c r="AB498" s="3" t="str" cm="1">
        <f t="array" ref="AB498">_xlfn.IFS(AA498="N","No",  AA498 = "Y", "Yes", TRUE, PROPER(TRIM(AA498)))</f>
        <v/>
      </c>
      <c r="AC498" s="3">
        <v>2</v>
      </c>
      <c r="AD498" s="3" t="s">
        <v>34</v>
      </c>
      <c r="AE498">
        <f t="shared" si="31"/>
        <v>0</v>
      </c>
    </row>
    <row r="499" spans="1:31" ht="14.25" customHeight="1" x14ac:dyDescent="0.35">
      <c r="A499" s="3" t="s">
        <v>1071</v>
      </c>
      <c r="B499" s="3" t="s">
        <v>25</v>
      </c>
      <c r="C499" s="3" t="s">
        <v>377</v>
      </c>
      <c r="D499" s="3">
        <v>35</v>
      </c>
      <c r="E499" s="3">
        <f t="shared" si="28"/>
        <v>35</v>
      </c>
      <c r="F499" s="3">
        <v>1989</v>
      </c>
      <c r="G499" s="3">
        <v>50000</v>
      </c>
      <c r="H499" s="12" cm="1">
        <f t="array" ref="H499">_xlfn.IFS(TRIM(G499)="SIXTY THOUSAND",60000,TRIM(G499)="NAN",AVERAGEIFS(G:G,J:J,J499,L:L,L499),TRUE,G499)</f>
        <v>50000</v>
      </c>
      <c r="I499" s="3" t="s">
        <v>38</v>
      </c>
      <c r="J499" s="3" t="s">
        <v>39</v>
      </c>
      <c r="K499" s="3" t="str">
        <f t="shared" si="29"/>
        <v>Finance</v>
      </c>
      <c r="L499" s="3" t="s">
        <v>40</v>
      </c>
      <c r="M499" s="4">
        <v>43195</v>
      </c>
      <c r="N499" s="4">
        <v>43195</v>
      </c>
      <c r="O499" s="3" t="s">
        <v>41</v>
      </c>
      <c r="P499" s="3">
        <v>6</v>
      </c>
      <c r="Q499" s="3" t="s">
        <v>378</v>
      </c>
      <c r="R499" s="3" t="s">
        <v>61</v>
      </c>
      <c r="S499" s="3" t="s">
        <v>112</v>
      </c>
      <c r="T499" s="3" t="str">
        <f t="shared" si="30"/>
        <v>Full-Time</v>
      </c>
      <c r="U499" s="3" t="s">
        <v>1072</v>
      </c>
      <c r="V499" s="3">
        <v>3</v>
      </c>
      <c r="X499" s="3">
        <v>13</v>
      </c>
      <c r="Y499" s="4">
        <v>44941</v>
      </c>
      <c r="Z499" s="3">
        <v>6</v>
      </c>
      <c r="AA499" s="3" t="s">
        <v>46</v>
      </c>
      <c r="AB499" s="3" t="str" cm="1">
        <f t="array" ref="AB499">_xlfn.IFS(AA499="N","No",  AA499 = "Y", "Yes", TRUE, PROPER(TRIM(AA499)))</f>
        <v>Yes</v>
      </c>
      <c r="AC499" s="3">
        <v>1</v>
      </c>
      <c r="AD499" s="3" t="s">
        <v>46</v>
      </c>
      <c r="AE499">
        <f t="shared" si="31"/>
        <v>1</v>
      </c>
    </row>
    <row r="500" spans="1:31" ht="14.25" customHeight="1" x14ac:dyDescent="0.35">
      <c r="A500" s="3" t="s">
        <v>1073</v>
      </c>
      <c r="B500" s="3" t="s">
        <v>140</v>
      </c>
      <c r="C500" s="3" t="s">
        <v>203</v>
      </c>
      <c r="D500" s="3">
        <v>25</v>
      </c>
      <c r="E500" s="3">
        <f t="shared" si="28"/>
        <v>25</v>
      </c>
      <c r="F500" s="3">
        <v>1999</v>
      </c>
      <c r="G500" s="3">
        <v>50000</v>
      </c>
      <c r="H500" s="12" cm="1">
        <f t="array" ref="H500">_xlfn.IFS(TRIM(G500)="SIXTY THOUSAND",60000,TRIM(G500)="NAN",AVERAGEIFS(G:G,J:J,J500,L:L,L500),TRUE,G500)</f>
        <v>50000</v>
      </c>
      <c r="I500" s="3" t="s">
        <v>38</v>
      </c>
      <c r="J500" s="3" t="s">
        <v>122</v>
      </c>
      <c r="K500" s="3" t="str">
        <f t="shared" si="29"/>
        <v>IT</v>
      </c>
      <c r="L500" s="3" t="s">
        <v>89</v>
      </c>
      <c r="M500" s="4">
        <v>43549</v>
      </c>
      <c r="N500" s="4">
        <v>43549</v>
      </c>
      <c r="O500" s="3" t="s">
        <v>78</v>
      </c>
      <c r="P500" s="3">
        <v>82</v>
      </c>
      <c r="Q500" s="3" t="s">
        <v>1074</v>
      </c>
      <c r="S500" s="3" t="s">
        <v>66</v>
      </c>
      <c r="T500" s="3" t="str">
        <f t="shared" si="30"/>
        <v>Contract</v>
      </c>
      <c r="V500" s="3">
        <v>7</v>
      </c>
      <c r="Z500" s="3">
        <v>63</v>
      </c>
      <c r="AB500" s="3" t="str" cm="1">
        <f t="array" ref="AB500">_xlfn.IFS(AA500="N","No",  AA500 = "Y", "Yes", TRUE, PROPER(TRIM(AA500)))</f>
        <v/>
      </c>
      <c r="AC500" s="3">
        <v>1</v>
      </c>
      <c r="AD500" s="3" t="s">
        <v>34</v>
      </c>
      <c r="AE500">
        <f t="shared" si="31"/>
        <v>0</v>
      </c>
    </row>
    <row r="501" spans="1:31" ht="14.25" customHeight="1" x14ac:dyDescent="0.35">
      <c r="A501" s="3" t="s">
        <v>1075</v>
      </c>
      <c r="B501" s="3" t="s">
        <v>75</v>
      </c>
      <c r="C501" s="3" t="s">
        <v>310</v>
      </c>
      <c r="D501" s="3" t="s">
        <v>88</v>
      </c>
      <c r="E501" s="3">
        <f t="shared" si="28"/>
        <v>30</v>
      </c>
      <c r="F501" s="3">
        <v>1994</v>
      </c>
      <c r="G501" s="3">
        <v>50000</v>
      </c>
      <c r="H501" s="12" cm="1">
        <f t="array" ref="H501">_xlfn.IFS(TRIM(G501)="SIXTY THOUSAND",60000,TRIM(G501)="NAN",AVERAGEIFS(G:G,J:J,J501,L:L,L501),TRUE,G501)</f>
        <v>50000</v>
      </c>
      <c r="I501" s="3" t="s">
        <v>38</v>
      </c>
      <c r="J501" s="3" t="s">
        <v>82</v>
      </c>
      <c r="K501" s="3" t="str">
        <f t="shared" si="29"/>
        <v>HR</v>
      </c>
      <c r="L501" s="3" t="s">
        <v>29</v>
      </c>
      <c r="M501" s="4">
        <v>43800</v>
      </c>
      <c r="N501" s="4">
        <v>43800</v>
      </c>
      <c r="O501" s="3" t="s">
        <v>41</v>
      </c>
      <c r="P501" s="3">
        <v>41</v>
      </c>
      <c r="Q501" s="3" t="s">
        <v>311</v>
      </c>
      <c r="R501" s="3" t="s">
        <v>54</v>
      </c>
      <c r="S501" s="3" t="s">
        <v>174</v>
      </c>
      <c r="T501" s="3" t="str">
        <f t="shared" si="30"/>
        <v>Full-Time</v>
      </c>
      <c r="U501" s="3" t="s">
        <v>1076</v>
      </c>
      <c r="V501" s="3">
        <v>5</v>
      </c>
      <c r="W501" s="3">
        <v>12</v>
      </c>
      <c r="AA501" s="3" t="s">
        <v>73</v>
      </c>
      <c r="AB501" s="3" t="str" cm="1">
        <f t="array" ref="AB501">_xlfn.IFS(AA501="N","No",  AA501 = "Y", "Yes", TRUE, PROPER(TRIM(AA501)))</f>
        <v>No</v>
      </c>
      <c r="AC501" s="3">
        <v>4</v>
      </c>
      <c r="AD501" s="3" t="s">
        <v>34</v>
      </c>
      <c r="AE501">
        <f t="shared" si="31"/>
        <v>0</v>
      </c>
    </row>
    <row r="502" spans="1:31" ht="14.25" customHeight="1" x14ac:dyDescent="0.35">
      <c r="A502" s="3" t="s">
        <v>1077</v>
      </c>
      <c r="B502" s="3" t="s">
        <v>140</v>
      </c>
      <c r="C502" s="3" t="s">
        <v>240</v>
      </c>
      <c r="E502" s="3">
        <f t="shared" si="28"/>
        <v>32</v>
      </c>
      <c r="F502" s="3">
        <v>1992</v>
      </c>
      <c r="G502" s="3">
        <v>50000</v>
      </c>
      <c r="H502" s="12" cm="1">
        <f t="array" ref="H502">_xlfn.IFS(TRIM(G502)="SIXTY THOUSAND",60000,TRIM(G502)="NAN",AVERAGEIFS(G:G,J:J,J502,L:L,L502),TRUE,G502)</f>
        <v>50000</v>
      </c>
      <c r="I502" s="3" t="s">
        <v>27</v>
      </c>
      <c r="J502" s="3" t="s">
        <v>145</v>
      </c>
      <c r="K502" s="3" t="str">
        <f t="shared" si="29"/>
        <v>Sales</v>
      </c>
      <c r="L502" s="3" t="s">
        <v>89</v>
      </c>
      <c r="M502" s="4">
        <v>43881</v>
      </c>
      <c r="N502" s="4">
        <v>43881</v>
      </c>
      <c r="O502" s="3" t="s">
        <v>41</v>
      </c>
      <c r="P502" s="3">
        <v>41</v>
      </c>
      <c r="Q502" s="3" t="s">
        <v>1078</v>
      </c>
      <c r="R502" s="3" t="s">
        <v>43</v>
      </c>
      <c r="S502" s="3" t="s">
        <v>44</v>
      </c>
      <c r="T502" s="3" t="str">
        <f t="shared" si="30"/>
        <v>Full-Time</v>
      </c>
      <c r="V502" s="3">
        <v>3</v>
      </c>
      <c r="W502" s="3" t="s">
        <v>79</v>
      </c>
      <c r="AA502" s="3" t="s">
        <v>169</v>
      </c>
      <c r="AB502" s="3" t="str" cm="1">
        <f t="array" ref="AB502">_xlfn.IFS(AA502="N","No",  AA502 = "Y", "Yes", TRUE, PROPER(TRIM(AA502)))</f>
        <v>Yes</v>
      </c>
      <c r="AC502" s="3">
        <v>5</v>
      </c>
      <c r="AD502" s="3" t="s">
        <v>46</v>
      </c>
      <c r="AE502">
        <f t="shared" si="31"/>
        <v>1</v>
      </c>
    </row>
    <row r="503" spans="1:31" ht="14.25" customHeight="1" x14ac:dyDescent="0.35">
      <c r="A503" s="3" t="s">
        <v>1079</v>
      </c>
      <c r="B503" s="3" t="s">
        <v>131</v>
      </c>
      <c r="C503" s="3" t="s">
        <v>524</v>
      </c>
      <c r="D503" s="3" t="s">
        <v>88</v>
      </c>
      <c r="E503" s="3">
        <f t="shared" si="28"/>
        <v>30</v>
      </c>
      <c r="F503" s="3">
        <v>1994</v>
      </c>
      <c r="G503" s="3">
        <v>50000</v>
      </c>
      <c r="H503" s="12" cm="1">
        <f t="array" ref="H503">_xlfn.IFS(TRIM(G503)="SIXTY THOUSAND",60000,TRIM(G503)="NAN",AVERAGEIFS(G:G,J:J,J503,L:L,L503),TRUE,G503)</f>
        <v>50000</v>
      </c>
      <c r="I503" s="3" t="s">
        <v>38</v>
      </c>
      <c r="J503" s="3" t="s">
        <v>93</v>
      </c>
      <c r="K503" s="3" t="str">
        <f t="shared" si="29"/>
        <v>Marketing</v>
      </c>
      <c r="L503" s="3" t="s">
        <v>94</v>
      </c>
      <c r="M503" s="4">
        <v>43195</v>
      </c>
      <c r="N503" s="4">
        <v>43195</v>
      </c>
      <c r="O503" s="3" t="s">
        <v>41</v>
      </c>
      <c r="P503" s="3">
        <v>34</v>
      </c>
      <c r="Q503" s="3" t="s">
        <v>1080</v>
      </c>
      <c r="R503" s="3" t="s">
        <v>104</v>
      </c>
      <c r="S503" s="3" t="s">
        <v>44</v>
      </c>
      <c r="T503" s="3" t="str">
        <f t="shared" si="30"/>
        <v>Full-Time</v>
      </c>
      <c r="U503" s="3" t="s">
        <v>1081</v>
      </c>
      <c r="V503" s="3">
        <v>5</v>
      </c>
      <c r="X503" s="3">
        <v>17</v>
      </c>
      <c r="AA503" s="3" t="s">
        <v>46</v>
      </c>
      <c r="AB503" s="3" t="str" cm="1">
        <f t="array" ref="AB503">_xlfn.IFS(AA503="N","No",  AA503 = "Y", "Yes", TRUE, PROPER(TRIM(AA503)))</f>
        <v>Yes</v>
      </c>
      <c r="AC503" s="3">
        <v>2</v>
      </c>
      <c r="AD503" s="3" t="s">
        <v>46</v>
      </c>
      <c r="AE503">
        <f t="shared" si="31"/>
        <v>1</v>
      </c>
    </row>
    <row r="504" spans="1:31" ht="14.25" customHeight="1" x14ac:dyDescent="0.35">
      <c r="A504" s="3" t="s">
        <v>1082</v>
      </c>
      <c r="B504" s="3" t="s">
        <v>131</v>
      </c>
      <c r="C504" s="3" t="s">
        <v>305</v>
      </c>
      <c r="D504" s="3">
        <v>25</v>
      </c>
      <c r="E504" s="3">
        <f t="shared" si="28"/>
        <v>25</v>
      </c>
      <c r="F504" s="3">
        <v>1999</v>
      </c>
      <c r="G504" s="3">
        <v>50000</v>
      </c>
      <c r="H504" s="12" cm="1">
        <f t="array" ref="H504">_xlfn.IFS(TRIM(G504)="SIXTY THOUSAND",60000,TRIM(G504)="NAN",AVERAGEIFS(G:G,J:J,J504,L:L,L504),TRUE,G504)</f>
        <v>50000</v>
      </c>
      <c r="I504" s="3" t="s">
        <v>38</v>
      </c>
      <c r="J504" s="3" t="s">
        <v>145</v>
      </c>
      <c r="K504" s="3" t="str">
        <f t="shared" si="29"/>
        <v>Sales</v>
      </c>
      <c r="L504" s="3" t="s">
        <v>94</v>
      </c>
      <c r="M504" s="4">
        <v>43845</v>
      </c>
      <c r="N504" s="4">
        <v>43845</v>
      </c>
      <c r="O504" s="3" t="s">
        <v>78</v>
      </c>
      <c r="P504" s="3">
        <v>82</v>
      </c>
      <c r="Q504" s="3" t="s">
        <v>306</v>
      </c>
      <c r="R504" s="3" t="s">
        <v>54</v>
      </c>
      <c r="S504" s="3" t="s">
        <v>32</v>
      </c>
      <c r="T504" s="3" t="str">
        <f t="shared" si="30"/>
        <v>Contract</v>
      </c>
      <c r="V504" s="3">
        <v>6</v>
      </c>
      <c r="W504" s="3">
        <v>6</v>
      </c>
      <c r="X504" s="3">
        <v>10</v>
      </c>
      <c r="Z504" s="3">
        <v>5</v>
      </c>
      <c r="AA504" s="3" t="s">
        <v>34</v>
      </c>
      <c r="AB504" s="3" t="str" cm="1">
        <f t="array" ref="AB504">_xlfn.IFS(AA504="N","No",  AA504 = "Y", "Yes", TRUE, PROPER(TRIM(AA504)))</f>
        <v>No</v>
      </c>
      <c r="AC504" s="3">
        <v>4</v>
      </c>
      <c r="AD504" s="3" t="s">
        <v>34</v>
      </c>
      <c r="AE504">
        <f t="shared" si="31"/>
        <v>0</v>
      </c>
    </row>
    <row r="505" spans="1:31" ht="14.25" customHeight="1" x14ac:dyDescent="0.35">
      <c r="A505" s="3" t="s">
        <v>1083</v>
      </c>
      <c r="B505" s="3" t="s">
        <v>36</v>
      </c>
      <c r="C505" s="3" t="s">
        <v>256</v>
      </c>
      <c r="D505" s="3">
        <v>25</v>
      </c>
      <c r="E505" s="3">
        <f t="shared" si="28"/>
        <v>25</v>
      </c>
      <c r="F505" s="3">
        <v>1999</v>
      </c>
      <c r="G505" s="3">
        <v>55000</v>
      </c>
      <c r="H505" s="12" cm="1">
        <f t="array" ref="H505">_xlfn.IFS(TRIM(G505)="SIXTY THOUSAND",60000,TRIM(G505)="NAN",AVERAGEIFS(G:G,J:J,J505,L:L,L505),TRUE,G505)</f>
        <v>55000</v>
      </c>
      <c r="I505" s="3" t="s">
        <v>27</v>
      </c>
      <c r="J505" s="3" t="s">
        <v>64</v>
      </c>
      <c r="K505" s="3" t="str">
        <f t="shared" si="29"/>
        <v>Finance</v>
      </c>
      <c r="L505" s="3" t="s">
        <v>40</v>
      </c>
      <c r="M505" s="4">
        <v>43195</v>
      </c>
      <c r="N505" s="4">
        <v>43195</v>
      </c>
      <c r="O505" s="3" t="s">
        <v>30</v>
      </c>
      <c r="P505" s="3">
        <v>62</v>
      </c>
      <c r="Q505" s="3" t="s">
        <v>669</v>
      </c>
      <c r="R505" s="3" t="s">
        <v>43</v>
      </c>
      <c r="S505" s="3" t="s">
        <v>112</v>
      </c>
      <c r="T505" s="3" t="str">
        <f t="shared" si="30"/>
        <v>Full-Time</v>
      </c>
      <c r="V505" s="3">
        <v>1</v>
      </c>
      <c r="Y505" s="4">
        <v>44941</v>
      </c>
      <c r="AA505" s="3" t="s">
        <v>73</v>
      </c>
      <c r="AB505" s="3" t="str" cm="1">
        <f t="array" ref="AB505">_xlfn.IFS(AA505="N","No",  AA505 = "Y", "Yes", TRUE, PROPER(TRIM(AA505)))</f>
        <v>No</v>
      </c>
      <c r="AC505" s="3">
        <v>1</v>
      </c>
      <c r="AD505" s="3" t="s">
        <v>46</v>
      </c>
      <c r="AE505">
        <f t="shared" si="31"/>
        <v>1</v>
      </c>
    </row>
    <row r="506" spans="1:31" ht="14.25" customHeight="1" x14ac:dyDescent="0.35">
      <c r="A506" s="3" t="s">
        <v>1084</v>
      </c>
      <c r="B506" s="3" t="s">
        <v>140</v>
      </c>
      <c r="C506" s="3" t="s">
        <v>179</v>
      </c>
      <c r="D506" s="3">
        <v>40</v>
      </c>
      <c r="E506" s="3">
        <f t="shared" si="28"/>
        <v>40</v>
      </c>
      <c r="F506" s="3">
        <v>1984</v>
      </c>
      <c r="G506" s="3">
        <v>65000</v>
      </c>
      <c r="H506" s="12" cm="1">
        <f t="array" ref="H506">_xlfn.IFS(TRIM(G506)="SIXTY THOUSAND",60000,TRIM(G506)="NAN",AVERAGEIFS(G:G,J:J,J506,L:L,L506),TRUE,G506)</f>
        <v>65000</v>
      </c>
      <c r="I506" s="3" t="s">
        <v>27</v>
      </c>
      <c r="J506" s="3" t="s">
        <v>93</v>
      </c>
      <c r="K506" s="3" t="str">
        <f t="shared" si="29"/>
        <v>Marketing</v>
      </c>
      <c r="L506" s="3" t="s">
        <v>89</v>
      </c>
      <c r="M506" s="4">
        <v>43881</v>
      </c>
      <c r="N506" s="4">
        <v>43881</v>
      </c>
      <c r="O506" s="3" t="s">
        <v>78</v>
      </c>
      <c r="P506" s="3">
        <v>80</v>
      </c>
      <c r="Q506" s="3" t="s">
        <v>1085</v>
      </c>
      <c r="R506" s="3" t="s">
        <v>43</v>
      </c>
      <c r="S506" s="3" t="s">
        <v>174</v>
      </c>
      <c r="T506" s="3" t="str">
        <f t="shared" si="30"/>
        <v>Full-Time</v>
      </c>
      <c r="V506" s="3">
        <v>3</v>
      </c>
      <c r="W506" s="3" t="s">
        <v>79</v>
      </c>
      <c r="Z506" s="3">
        <v>15</v>
      </c>
      <c r="AA506" s="3" t="s">
        <v>46</v>
      </c>
      <c r="AB506" s="3" t="str" cm="1">
        <f t="array" ref="AB506">_xlfn.IFS(AA506="N","No",  AA506 = "Y", "Yes", TRUE, PROPER(TRIM(AA506)))</f>
        <v>Yes</v>
      </c>
      <c r="AC506" s="3">
        <v>3</v>
      </c>
      <c r="AD506" s="3" t="s">
        <v>34</v>
      </c>
      <c r="AE506">
        <f t="shared" si="31"/>
        <v>0</v>
      </c>
    </row>
    <row r="507" spans="1:31" ht="14.25" customHeight="1" x14ac:dyDescent="0.35">
      <c r="A507" s="3" t="s">
        <v>1086</v>
      </c>
      <c r="B507" s="3" t="s">
        <v>107</v>
      </c>
      <c r="C507" s="3" t="s">
        <v>229</v>
      </c>
      <c r="D507" s="3">
        <v>35</v>
      </c>
      <c r="E507" s="3">
        <f t="shared" si="28"/>
        <v>35</v>
      </c>
      <c r="F507" s="3">
        <v>1989</v>
      </c>
      <c r="G507" s="3">
        <v>70000</v>
      </c>
      <c r="H507" s="12" cm="1">
        <f t="array" ref="H507">_xlfn.IFS(TRIM(G507)="SIXTY THOUSAND",60000,TRIM(G507)="NAN",AVERAGEIFS(G:G,J:J,J507,L:L,L507),TRUE,G507)</f>
        <v>70000</v>
      </c>
      <c r="I507" s="3" t="s">
        <v>38</v>
      </c>
      <c r="J507" s="3" t="s">
        <v>70</v>
      </c>
      <c r="K507" s="3" t="str">
        <f t="shared" si="29"/>
        <v>Marketing</v>
      </c>
      <c r="L507" s="3" t="s">
        <v>40</v>
      </c>
      <c r="M507" s="4">
        <v>43549</v>
      </c>
      <c r="N507" s="4">
        <v>43549</v>
      </c>
      <c r="O507" s="3" t="s">
        <v>41</v>
      </c>
      <c r="P507" s="3">
        <v>29</v>
      </c>
      <c r="Q507" s="3" t="s">
        <v>1087</v>
      </c>
      <c r="R507" s="3" t="s">
        <v>43</v>
      </c>
      <c r="S507" s="3" t="s">
        <v>66</v>
      </c>
      <c r="T507" s="3" t="str">
        <f t="shared" si="30"/>
        <v>Contract</v>
      </c>
      <c r="V507" s="3">
        <v>2</v>
      </c>
      <c r="W507" s="3" t="s">
        <v>79</v>
      </c>
      <c r="Y507" s="4">
        <v>44470</v>
      </c>
      <c r="Z507" s="3">
        <v>29</v>
      </c>
      <c r="AA507" s="3" t="s">
        <v>33</v>
      </c>
      <c r="AB507" s="3" t="str" cm="1">
        <f t="array" ref="AB507">_xlfn.IFS(AA507="N","No",  AA507 = "Y", "Yes", TRUE, PROPER(TRIM(AA507)))</f>
        <v>Yes</v>
      </c>
      <c r="AC507" s="3">
        <v>4</v>
      </c>
      <c r="AD507" s="3" t="s">
        <v>34</v>
      </c>
      <c r="AE507">
        <f t="shared" si="31"/>
        <v>0</v>
      </c>
    </row>
    <row r="508" spans="1:31" ht="14.25" customHeight="1" x14ac:dyDescent="0.35">
      <c r="A508" s="3" t="s">
        <v>1088</v>
      </c>
      <c r="B508" s="3" t="s">
        <v>75</v>
      </c>
      <c r="C508" s="3" t="s">
        <v>151</v>
      </c>
      <c r="D508" s="3">
        <v>35</v>
      </c>
      <c r="E508" s="3">
        <f t="shared" si="28"/>
        <v>35</v>
      </c>
      <c r="F508" s="3">
        <v>1989</v>
      </c>
      <c r="G508" s="3">
        <v>50000</v>
      </c>
      <c r="H508" s="12" cm="1">
        <f t="array" ref="H508">_xlfn.IFS(TRIM(G508)="SIXTY THOUSAND",60000,TRIM(G508)="NAN",AVERAGEIFS(G:G,J:J,J508,L:L,L508),TRUE,G508)</f>
        <v>50000</v>
      </c>
      <c r="I508" s="3" t="s">
        <v>27</v>
      </c>
      <c r="J508" s="3" t="s">
        <v>82</v>
      </c>
      <c r="K508" s="3" t="str">
        <f t="shared" si="29"/>
        <v>HR</v>
      </c>
      <c r="L508" s="3" t="s">
        <v>77</v>
      </c>
      <c r="M508" s="4">
        <v>43845</v>
      </c>
      <c r="N508" s="4">
        <v>43845</v>
      </c>
      <c r="O508" s="3" t="s">
        <v>52</v>
      </c>
      <c r="P508" s="3">
        <v>78</v>
      </c>
      <c r="Q508" s="3" t="s">
        <v>152</v>
      </c>
      <c r="R508" s="3" t="s">
        <v>54</v>
      </c>
      <c r="S508" s="3" t="s">
        <v>44</v>
      </c>
      <c r="T508" s="3" t="str">
        <f t="shared" si="30"/>
        <v>Full-Time</v>
      </c>
      <c r="V508" s="3">
        <v>1</v>
      </c>
      <c r="W508" s="3">
        <v>14</v>
      </c>
      <c r="AA508" s="3" t="s">
        <v>34</v>
      </c>
      <c r="AB508" s="3" t="str" cm="1">
        <f t="array" ref="AB508">_xlfn.IFS(AA508="N","No",  AA508 = "Y", "Yes", TRUE, PROPER(TRIM(AA508)))</f>
        <v>No</v>
      </c>
      <c r="AC508" s="3">
        <v>1</v>
      </c>
      <c r="AD508" s="3" t="s">
        <v>46</v>
      </c>
      <c r="AE508">
        <f t="shared" si="31"/>
        <v>1</v>
      </c>
    </row>
    <row r="509" spans="1:31" ht="14.25" customHeight="1" x14ac:dyDescent="0.35">
      <c r="A509" s="3" t="s">
        <v>1089</v>
      </c>
      <c r="B509" s="3" t="s">
        <v>131</v>
      </c>
      <c r="C509" s="3" t="s">
        <v>1090</v>
      </c>
      <c r="D509" s="3" t="s">
        <v>88</v>
      </c>
      <c r="E509" s="3">
        <f t="shared" si="28"/>
        <v>30</v>
      </c>
      <c r="F509" s="3">
        <v>1994</v>
      </c>
      <c r="G509" s="3">
        <v>55000</v>
      </c>
      <c r="H509" s="12" cm="1">
        <f t="array" ref="H509">_xlfn.IFS(TRIM(G509)="SIXTY THOUSAND",60000,TRIM(G509)="NAN",AVERAGEIFS(G:G,J:J,J509,L:L,L509),TRUE,G509)</f>
        <v>55000</v>
      </c>
      <c r="I509" s="3" t="s">
        <v>27</v>
      </c>
      <c r="J509" s="3" t="s">
        <v>64</v>
      </c>
      <c r="K509" s="3" t="str">
        <f t="shared" si="29"/>
        <v>Finance</v>
      </c>
      <c r="L509" s="3" t="s">
        <v>94</v>
      </c>
      <c r="M509" s="4">
        <v>43845</v>
      </c>
      <c r="N509" s="4">
        <v>43845</v>
      </c>
      <c r="O509" s="3" t="s">
        <v>59</v>
      </c>
      <c r="P509" s="3">
        <v>92</v>
      </c>
      <c r="Q509" s="3" t="s">
        <v>1091</v>
      </c>
      <c r="R509" s="3" t="s">
        <v>104</v>
      </c>
      <c r="S509" s="3" t="s">
        <v>44</v>
      </c>
      <c r="T509" s="3" t="str">
        <f t="shared" si="30"/>
        <v>Full-Time</v>
      </c>
      <c r="V509" s="3">
        <v>1</v>
      </c>
      <c r="X509" s="3">
        <v>6</v>
      </c>
      <c r="Y509" s="9">
        <v>44990</v>
      </c>
      <c r="AA509" s="3" t="s">
        <v>169</v>
      </c>
      <c r="AB509" s="3" t="str" cm="1">
        <f t="array" ref="AB509">_xlfn.IFS(AA509="N","No",  AA509 = "Y", "Yes", TRUE, PROPER(TRIM(AA509)))</f>
        <v>Yes</v>
      </c>
      <c r="AC509" s="3">
        <v>2</v>
      </c>
      <c r="AD509" s="3" t="s">
        <v>46</v>
      </c>
      <c r="AE509">
        <f t="shared" si="31"/>
        <v>1</v>
      </c>
    </row>
    <row r="510" spans="1:31" ht="14.25" customHeight="1" x14ac:dyDescent="0.35">
      <c r="A510" s="3" t="s">
        <v>1092</v>
      </c>
      <c r="B510" s="3" t="s">
        <v>36</v>
      </c>
      <c r="C510" s="3" t="s">
        <v>556</v>
      </c>
      <c r="E510" s="3">
        <f t="shared" si="28"/>
        <v>54</v>
      </c>
      <c r="F510" s="3">
        <v>1970</v>
      </c>
      <c r="G510" s="3">
        <v>55000</v>
      </c>
      <c r="H510" s="12" cm="1">
        <f t="array" ref="H510">_xlfn.IFS(TRIM(G510)="SIXTY THOUSAND",60000,TRIM(G510)="NAN",AVERAGEIFS(G:G,J:J,J510,L:L,L510),TRUE,G510)</f>
        <v>55000</v>
      </c>
      <c r="I510" s="3" t="s">
        <v>27</v>
      </c>
      <c r="J510" s="3" t="s">
        <v>58</v>
      </c>
      <c r="K510" s="3" t="str">
        <f t="shared" si="29"/>
        <v>IT</v>
      </c>
      <c r="L510" s="3" t="s">
        <v>40</v>
      </c>
      <c r="M510" s="4">
        <v>43549</v>
      </c>
      <c r="N510" s="4">
        <v>43549</v>
      </c>
      <c r="O510" s="3" t="s">
        <v>41</v>
      </c>
      <c r="P510" s="3">
        <v>41</v>
      </c>
      <c r="Q510" s="3" t="s">
        <v>557</v>
      </c>
      <c r="R510" s="3" t="s">
        <v>104</v>
      </c>
      <c r="S510" s="3" t="s">
        <v>66</v>
      </c>
      <c r="T510" s="3" t="str">
        <f t="shared" si="30"/>
        <v>Contract</v>
      </c>
      <c r="U510" s="3" t="s">
        <v>1093</v>
      </c>
      <c r="V510" s="3">
        <v>7</v>
      </c>
      <c r="Y510" s="4">
        <v>44470</v>
      </c>
      <c r="AA510" s="3" t="s">
        <v>34</v>
      </c>
      <c r="AB510" s="3" t="str" cm="1">
        <f t="array" ref="AB510">_xlfn.IFS(AA510="N","No",  AA510 = "Y", "Yes", TRUE, PROPER(TRIM(AA510)))</f>
        <v>No</v>
      </c>
      <c r="AC510" s="3">
        <v>3</v>
      </c>
      <c r="AD510" s="3" t="s">
        <v>34</v>
      </c>
      <c r="AE510">
        <f t="shared" si="31"/>
        <v>0</v>
      </c>
    </row>
    <row r="511" spans="1:31" ht="14.25" customHeight="1" x14ac:dyDescent="0.35">
      <c r="A511" s="3" t="s">
        <v>1094</v>
      </c>
      <c r="B511" s="3" t="s">
        <v>140</v>
      </c>
      <c r="C511" s="3" t="s">
        <v>462</v>
      </c>
      <c r="D511" s="3">
        <v>50</v>
      </c>
      <c r="E511" s="3">
        <f t="shared" si="28"/>
        <v>50</v>
      </c>
      <c r="F511" s="3">
        <v>1974</v>
      </c>
      <c r="G511" s="3">
        <v>55000</v>
      </c>
      <c r="H511" s="12" cm="1">
        <f t="array" ref="H511">_xlfn.IFS(TRIM(G511)="SIXTY THOUSAND",60000,TRIM(G511)="NAN",AVERAGEIFS(G:G,J:J,J511,L:L,L511),TRUE,G511)</f>
        <v>55000</v>
      </c>
      <c r="I511" s="3" t="s">
        <v>38</v>
      </c>
      <c r="J511" s="3" t="s">
        <v>28</v>
      </c>
      <c r="K511" s="3" t="str">
        <f t="shared" si="29"/>
        <v>HR</v>
      </c>
      <c r="L511" s="3" t="s">
        <v>77</v>
      </c>
      <c r="M511" s="4">
        <v>43195</v>
      </c>
      <c r="N511" s="4">
        <v>43195</v>
      </c>
      <c r="O511" s="3" t="s">
        <v>52</v>
      </c>
      <c r="P511" s="3">
        <v>70</v>
      </c>
      <c r="Q511" s="3" t="s">
        <v>1095</v>
      </c>
      <c r="R511" s="3" t="s">
        <v>43</v>
      </c>
      <c r="S511" s="3" t="s">
        <v>174</v>
      </c>
      <c r="T511" s="3" t="str">
        <f t="shared" si="30"/>
        <v>Full-Time</v>
      </c>
      <c r="U511" s="3" t="s">
        <v>1096</v>
      </c>
      <c r="V511" s="3">
        <v>2</v>
      </c>
      <c r="X511" s="3">
        <v>13</v>
      </c>
      <c r="AA511" s="3" t="s">
        <v>169</v>
      </c>
      <c r="AB511" s="3" t="str" cm="1">
        <f t="array" ref="AB511">_xlfn.IFS(AA511="N","No",  AA511 = "Y", "Yes", TRUE, PROPER(TRIM(AA511)))</f>
        <v>Yes</v>
      </c>
      <c r="AC511" s="3">
        <v>3</v>
      </c>
      <c r="AD511" s="3" t="s">
        <v>34</v>
      </c>
      <c r="AE511">
        <f t="shared" si="31"/>
        <v>0</v>
      </c>
    </row>
    <row r="512" spans="1:31" ht="14.25" customHeight="1" x14ac:dyDescent="0.35">
      <c r="A512" s="3" t="s">
        <v>1097</v>
      </c>
      <c r="B512" s="3" t="s">
        <v>75</v>
      </c>
      <c r="C512" s="3" t="s">
        <v>305</v>
      </c>
      <c r="D512" s="3">
        <v>35</v>
      </c>
      <c r="E512" s="3">
        <f t="shared" si="28"/>
        <v>35</v>
      </c>
      <c r="F512" s="3">
        <v>1989</v>
      </c>
      <c r="G512" s="3">
        <v>65000</v>
      </c>
      <c r="H512" s="12" cm="1">
        <f t="array" ref="H512">_xlfn.IFS(TRIM(G512)="SIXTY THOUSAND",60000,TRIM(G512)="NAN",AVERAGEIFS(G:G,J:J,J512,L:L,L512),TRUE,G512)</f>
        <v>65000</v>
      </c>
      <c r="I512" s="3" t="s">
        <v>27</v>
      </c>
      <c r="J512" s="3" t="s">
        <v>82</v>
      </c>
      <c r="K512" s="3" t="str">
        <f t="shared" si="29"/>
        <v>HR</v>
      </c>
      <c r="L512" s="3" t="s">
        <v>40</v>
      </c>
      <c r="M512" s="4">
        <v>43800</v>
      </c>
      <c r="N512" s="4">
        <v>43800</v>
      </c>
      <c r="O512" s="3" t="s">
        <v>30</v>
      </c>
      <c r="P512" s="3">
        <v>62</v>
      </c>
      <c r="Q512" s="3" t="s">
        <v>1098</v>
      </c>
      <c r="R512" s="3" t="s">
        <v>54</v>
      </c>
      <c r="S512" s="3" t="s">
        <v>72</v>
      </c>
      <c r="T512" s="3" t="str">
        <f t="shared" si="30"/>
        <v>Part-Time</v>
      </c>
      <c r="V512" s="3">
        <v>5</v>
      </c>
      <c r="X512" s="3">
        <v>15</v>
      </c>
      <c r="Y512" s="9">
        <v>44990</v>
      </c>
      <c r="AB512" s="3" t="str" cm="1">
        <f t="array" ref="AB512">_xlfn.IFS(AA512="N","No",  AA512 = "Y", "Yes", TRUE, PROPER(TRIM(AA512)))</f>
        <v/>
      </c>
      <c r="AC512" s="3">
        <v>1</v>
      </c>
      <c r="AD512" s="3" t="s">
        <v>46</v>
      </c>
      <c r="AE512">
        <f t="shared" si="31"/>
        <v>1</v>
      </c>
    </row>
    <row r="513" spans="1:31" ht="14.25" customHeight="1" x14ac:dyDescent="0.35">
      <c r="A513" s="3" t="s">
        <v>1099</v>
      </c>
      <c r="B513" s="3" t="s">
        <v>140</v>
      </c>
      <c r="C513" s="3" t="s">
        <v>588</v>
      </c>
      <c r="D513" s="3">
        <v>40</v>
      </c>
      <c r="E513" s="3">
        <f t="shared" si="28"/>
        <v>40</v>
      </c>
      <c r="F513" s="3">
        <v>1984</v>
      </c>
      <c r="G513" s="3">
        <v>70000</v>
      </c>
      <c r="H513" s="12" cm="1">
        <f t="array" ref="H513">_xlfn.IFS(TRIM(G513)="SIXTY THOUSAND",60000,TRIM(G513)="NAN",AVERAGEIFS(G:G,J:J,J513,L:L,L513),TRUE,G513)</f>
        <v>70000</v>
      </c>
      <c r="I513" s="3" t="s">
        <v>27</v>
      </c>
      <c r="J513" s="3" t="s">
        <v>145</v>
      </c>
      <c r="K513" s="3" t="str">
        <f t="shared" si="29"/>
        <v>Sales</v>
      </c>
      <c r="L513" s="3" t="s">
        <v>89</v>
      </c>
      <c r="M513" s="4">
        <v>43195</v>
      </c>
      <c r="N513" s="4">
        <v>43195</v>
      </c>
      <c r="O513" s="3" t="s">
        <v>41</v>
      </c>
      <c r="P513" s="3">
        <v>20</v>
      </c>
      <c r="Q513" s="3" t="s">
        <v>589</v>
      </c>
      <c r="R513" s="3" t="s">
        <v>43</v>
      </c>
      <c r="S513" s="3" t="s">
        <v>32</v>
      </c>
      <c r="T513" s="3" t="str">
        <f t="shared" si="30"/>
        <v>Contract</v>
      </c>
      <c r="U513" s="3" t="s">
        <v>907</v>
      </c>
      <c r="V513" s="3">
        <v>4</v>
      </c>
      <c r="Y513" s="4">
        <v>44990</v>
      </c>
      <c r="AA513" s="3" t="s">
        <v>34</v>
      </c>
      <c r="AB513" s="3" t="str" cm="1">
        <f t="array" ref="AB513">_xlfn.IFS(AA513="N","No",  AA513 = "Y", "Yes", TRUE, PROPER(TRIM(AA513)))</f>
        <v>No</v>
      </c>
      <c r="AC513" s="3">
        <v>5</v>
      </c>
      <c r="AD513" s="3" t="s">
        <v>34</v>
      </c>
      <c r="AE513">
        <f t="shared" si="31"/>
        <v>0</v>
      </c>
    </row>
    <row r="514" spans="1:31" ht="14.25" customHeight="1" x14ac:dyDescent="0.35">
      <c r="A514" s="3" t="s">
        <v>1100</v>
      </c>
      <c r="B514" s="3" t="s">
        <v>25</v>
      </c>
      <c r="C514" s="3" t="s">
        <v>81</v>
      </c>
      <c r="D514" s="3" t="s">
        <v>88</v>
      </c>
      <c r="E514" s="3">
        <f t="shared" ref="E514:E577" si="32">2024-F514</f>
        <v>30</v>
      </c>
      <c r="F514" s="3">
        <v>1994</v>
      </c>
      <c r="G514" s="3">
        <v>65000</v>
      </c>
      <c r="H514" s="12" cm="1">
        <f t="array" ref="H514">_xlfn.IFS(TRIM(G514)="SIXTY THOUSAND",60000,TRIM(G514)="NAN",AVERAGEIFS(G:G,J:J,J514,L:L,L514),TRUE,G514)</f>
        <v>65000</v>
      </c>
      <c r="I514" s="3" t="s">
        <v>38</v>
      </c>
      <c r="J514" s="3" t="s">
        <v>145</v>
      </c>
      <c r="K514" s="3" t="str">
        <f t="shared" ref="K514:K577" si="33">IF(OR(J514="HR",J514="IT"),UPPER(J514),PROPER(J514))</f>
        <v>Sales</v>
      </c>
      <c r="L514" s="3" t="s">
        <v>89</v>
      </c>
      <c r="M514" s="4">
        <v>43881</v>
      </c>
      <c r="N514" s="4">
        <v>43881</v>
      </c>
      <c r="O514" s="3" t="s">
        <v>52</v>
      </c>
      <c r="P514" s="3">
        <v>71</v>
      </c>
      <c r="Q514" s="3" t="s">
        <v>401</v>
      </c>
      <c r="R514" s="3" t="s">
        <v>61</v>
      </c>
      <c r="S514" s="3" t="s">
        <v>66</v>
      </c>
      <c r="T514" s="3" t="str">
        <f t="shared" ref="T514:T577" si="34">PROPER(S514)</f>
        <v>Contract</v>
      </c>
      <c r="V514" s="3">
        <v>6</v>
      </c>
      <c r="X514" s="3">
        <v>20</v>
      </c>
      <c r="AA514" s="3" t="s">
        <v>46</v>
      </c>
      <c r="AB514" s="3" t="str" cm="1">
        <f t="array" ref="AB514">_xlfn.IFS(AA514="N","No",  AA514 = "Y", "Yes", TRUE, PROPER(TRIM(AA514)))</f>
        <v>Yes</v>
      </c>
      <c r="AC514" s="3">
        <v>5</v>
      </c>
      <c r="AD514" s="3" t="s">
        <v>34</v>
      </c>
      <c r="AE514">
        <f t="shared" si="31"/>
        <v>0</v>
      </c>
    </row>
    <row r="515" spans="1:31" ht="14.25" customHeight="1" x14ac:dyDescent="0.35">
      <c r="A515" s="3" t="s">
        <v>1101</v>
      </c>
      <c r="B515" s="3" t="s">
        <v>36</v>
      </c>
      <c r="C515" s="3" t="s">
        <v>247</v>
      </c>
      <c r="D515" s="3" t="s">
        <v>88</v>
      </c>
      <c r="E515" s="3">
        <f t="shared" si="32"/>
        <v>30</v>
      </c>
      <c r="F515" s="3">
        <v>1994</v>
      </c>
      <c r="G515" s="3" t="s">
        <v>50</v>
      </c>
      <c r="H515" s="12" cm="1">
        <f t="array" ref="H515">_xlfn.IFS(TRIM(G515)="SIXTY THOUSAND",60000,TRIM(G515)="NAN",AVERAGEIFS(G:G,J:J,J515,L:L,L515),TRUE,G515)</f>
        <v>60000</v>
      </c>
      <c r="I515" s="3" t="s">
        <v>27</v>
      </c>
      <c r="J515" s="3" t="s">
        <v>145</v>
      </c>
      <c r="K515" s="3" t="str">
        <f t="shared" si="33"/>
        <v>Sales</v>
      </c>
      <c r="L515" s="3" t="s">
        <v>89</v>
      </c>
      <c r="M515" s="4">
        <v>43800</v>
      </c>
      <c r="N515" s="4">
        <v>43800</v>
      </c>
      <c r="O515" s="3" t="s">
        <v>41</v>
      </c>
      <c r="P515" s="3">
        <v>16</v>
      </c>
      <c r="Q515" s="3" t="s">
        <v>1102</v>
      </c>
      <c r="R515" s="3" t="s">
        <v>104</v>
      </c>
      <c r="S515" s="3" t="s">
        <v>72</v>
      </c>
      <c r="T515" s="3" t="str">
        <f t="shared" si="34"/>
        <v>Part-Time</v>
      </c>
      <c r="U515" s="3" t="s">
        <v>1103</v>
      </c>
      <c r="V515" s="3">
        <v>4</v>
      </c>
      <c r="W515" s="3">
        <v>2</v>
      </c>
      <c r="X515" s="3">
        <v>7</v>
      </c>
      <c r="Y515" s="4">
        <v>44941</v>
      </c>
      <c r="AA515" s="3" t="s">
        <v>169</v>
      </c>
      <c r="AB515" s="3" t="str" cm="1">
        <f t="array" ref="AB515">_xlfn.IFS(AA515="N","No",  AA515 = "Y", "Yes", TRUE, PROPER(TRIM(AA515)))</f>
        <v>Yes</v>
      </c>
      <c r="AC515" s="3">
        <v>1</v>
      </c>
      <c r="AD515" s="3" t="s">
        <v>34</v>
      </c>
      <c r="AE515">
        <f t="shared" ref="AE515:AE578" si="35">IF(AD515="Yes",1,0)</f>
        <v>0</v>
      </c>
    </row>
    <row r="516" spans="1:31" ht="14.25" customHeight="1" x14ac:dyDescent="0.35">
      <c r="A516" s="3" t="s">
        <v>1104</v>
      </c>
      <c r="B516" s="3" t="s">
        <v>75</v>
      </c>
      <c r="C516" s="3" t="s">
        <v>625</v>
      </c>
      <c r="D516" s="3">
        <v>50</v>
      </c>
      <c r="E516" s="3">
        <f t="shared" si="32"/>
        <v>50</v>
      </c>
      <c r="F516" s="3">
        <v>1974</v>
      </c>
      <c r="G516" s="3">
        <v>55000</v>
      </c>
      <c r="H516" s="12" cm="1">
        <f t="array" ref="H516">_xlfn.IFS(TRIM(G516)="SIXTY THOUSAND",60000,TRIM(G516)="NAN",AVERAGEIFS(G:G,J:J,J516,L:L,L516),TRUE,G516)</f>
        <v>55000</v>
      </c>
      <c r="I516" s="3" t="s">
        <v>27</v>
      </c>
      <c r="J516" s="3" t="s">
        <v>28</v>
      </c>
      <c r="K516" s="3" t="str">
        <f t="shared" si="33"/>
        <v>HR</v>
      </c>
      <c r="L516" s="3" t="s">
        <v>89</v>
      </c>
      <c r="M516" s="4">
        <v>43195</v>
      </c>
      <c r="N516" s="4">
        <v>43195</v>
      </c>
      <c r="O516" s="3" t="s">
        <v>78</v>
      </c>
      <c r="P516" s="3">
        <v>83</v>
      </c>
      <c r="Q516" s="3" t="s">
        <v>626</v>
      </c>
      <c r="S516" s="3" t="s">
        <v>32</v>
      </c>
      <c r="T516" s="3" t="str">
        <f t="shared" si="34"/>
        <v>Contract</v>
      </c>
      <c r="V516" s="3">
        <v>7</v>
      </c>
      <c r="X516" s="3">
        <v>5</v>
      </c>
      <c r="AA516" s="3" t="s">
        <v>46</v>
      </c>
      <c r="AB516" s="3" t="str" cm="1">
        <f t="array" ref="AB516">_xlfn.IFS(AA516="N","No",  AA516 = "Y", "Yes", TRUE, PROPER(TRIM(AA516)))</f>
        <v>Yes</v>
      </c>
      <c r="AC516" s="3">
        <v>5</v>
      </c>
      <c r="AD516" s="3" t="s">
        <v>46</v>
      </c>
      <c r="AE516">
        <f t="shared" si="35"/>
        <v>1</v>
      </c>
    </row>
    <row r="517" spans="1:31" ht="14.25" customHeight="1" x14ac:dyDescent="0.35">
      <c r="A517" s="3" t="s">
        <v>1105</v>
      </c>
      <c r="B517" s="3" t="s">
        <v>68</v>
      </c>
      <c r="C517" s="3" t="s">
        <v>318</v>
      </c>
      <c r="D517" s="3">
        <v>40</v>
      </c>
      <c r="E517" s="3">
        <f t="shared" si="32"/>
        <v>40</v>
      </c>
      <c r="F517" s="3">
        <v>1984</v>
      </c>
      <c r="G517" s="3" t="s">
        <v>50</v>
      </c>
      <c r="H517" s="12" cm="1">
        <f t="array" ref="H517">_xlfn.IFS(TRIM(G517)="SIXTY THOUSAND",60000,TRIM(G517)="NAN",AVERAGEIFS(G:G,J:J,J517,L:L,L517),TRUE,G517)</f>
        <v>60000</v>
      </c>
      <c r="I517" s="3" t="s">
        <v>27</v>
      </c>
      <c r="J517" s="3" t="s">
        <v>122</v>
      </c>
      <c r="K517" s="3" t="str">
        <f t="shared" si="33"/>
        <v>IT</v>
      </c>
      <c r="L517" s="3" t="s">
        <v>29</v>
      </c>
      <c r="M517" s="4">
        <v>43549</v>
      </c>
      <c r="N517" s="4">
        <v>43549</v>
      </c>
      <c r="O517" s="3" t="s">
        <v>52</v>
      </c>
      <c r="P517" s="3">
        <v>79</v>
      </c>
      <c r="Q517" s="3" t="s">
        <v>319</v>
      </c>
      <c r="R517" s="3" t="s">
        <v>43</v>
      </c>
      <c r="S517" s="3" t="s">
        <v>112</v>
      </c>
      <c r="T517" s="3" t="str">
        <f t="shared" si="34"/>
        <v>Full-Time</v>
      </c>
      <c r="V517" s="3">
        <v>3</v>
      </c>
      <c r="W517" s="3" t="s">
        <v>79</v>
      </c>
      <c r="AA517" s="3" t="s">
        <v>46</v>
      </c>
      <c r="AB517" s="3" t="str" cm="1">
        <f t="array" ref="AB517">_xlfn.IFS(AA517="N","No",  AA517 = "Y", "Yes", TRUE, PROPER(TRIM(AA517)))</f>
        <v>Yes</v>
      </c>
      <c r="AC517" s="3">
        <v>4</v>
      </c>
      <c r="AD517" s="3" t="s">
        <v>46</v>
      </c>
      <c r="AE517">
        <f t="shared" si="35"/>
        <v>1</v>
      </c>
    </row>
    <row r="518" spans="1:31" ht="14.25" customHeight="1" x14ac:dyDescent="0.35">
      <c r="A518" s="3" t="s">
        <v>1106</v>
      </c>
      <c r="B518" s="3" t="s">
        <v>56</v>
      </c>
      <c r="C518" s="3" t="s">
        <v>209</v>
      </c>
      <c r="E518" s="3">
        <f t="shared" si="32"/>
        <v>25</v>
      </c>
      <c r="F518" s="3">
        <v>1999</v>
      </c>
      <c r="G518" s="3">
        <v>58600</v>
      </c>
      <c r="H518" s="12" cm="1">
        <f t="array" ref="H518">_xlfn.IFS(TRIM(G518)="SIXTY THOUSAND",60000,TRIM(G518)="NAN",AVERAGEIFS(G:G,J:J,J518,L:L,L518),TRUE,G518)</f>
        <v>58600</v>
      </c>
      <c r="I518" s="3" t="s">
        <v>38</v>
      </c>
      <c r="J518" s="3" t="s">
        <v>93</v>
      </c>
      <c r="K518" s="3" t="str">
        <f t="shared" si="33"/>
        <v>Marketing</v>
      </c>
      <c r="L518" s="3" t="s">
        <v>77</v>
      </c>
      <c r="M518" s="4">
        <v>43881</v>
      </c>
      <c r="N518" s="4">
        <v>43881</v>
      </c>
      <c r="O518" s="3" t="s">
        <v>78</v>
      </c>
      <c r="P518" s="3">
        <v>85</v>
      </c>
      <c r="Q518" s="3" t="s">
        <v>1107</v>
      </c>
      <c r="R518" s="3" t="s">
        <v>61</v>
      </c>
      <c r="S518" s="3" t="s">
        <v>100</v>
      </c>
      <c r="T518" s="3" t="str">
        <f t="shared" si="34"/>
        <v>Part-Time</v>
      </c>
      <c r="V518" s="3">
        <v>3</v>
      </c>
      <c r="Z518" s="3">
        <v>42</v>
      </c>
      <c r="AB518" s="3" t="str" cm="1">
        <f t="array" ref="AB518">_xlfn.IFS(AA518="N","No",  AA518 = "Y", "Yes", TRUE, PROPER(TRIM(AA518)))</f>
        <v/>
      </c>
      <c r="AC518" s="3">
        <v>5</v>
      </c>
      <c r="AD518" s="3" t="s">
        <v>34</v>
      </c>
      <c r="AE518">
        <f t="shared" si="35"/>
        <v>0</v>
      </c>
    </row>
    <row r="519" spans="1:31" ht="14.25" customHeight="1" x14ac:dyDescent="0.35">
      <c r="A519" s="3" t="s">
        <v>1108</v>
      </c>
      <c r="B519" s="3" t="s">
        <v>56</v>
      </c>
      <c r="C519" s="3" t="s">
        <v>259</v>
      </c>
      <c r="D519" s="3">
        <v>40</v>
      </c>
      <c r="E519" s="3">
        <f t="shared" si="32"/>
        <v>40</v>
      </c>
      <c r="F519" s="3">
        <v>1984</v>
      </c>
      <c r="G519" s="3">
        <v>50000</v>
      </c>
      <c r="H519" s="12" cm="1">
        <f t="array" ref="H519">_xlfn.IFS(TRIM(G519)="SIXTY THOUSAND",60000,TRIM(G519)="NAN",AVERAGEIFS(G:G,J:J,J519,L:L,L519),TRUE,G519)</f>
        <v>50000</v>
      </c>
      <c r="I519" s="3" t="s">
        <v>38</v>
      </c>
      <c r="J519" s="3" t="s">
        <v>51</v>
      </c>
      <c r="K519" s="3" t="str">
        <f t="shared" si="33"/>
        <v>Sales</v>
      </c>
      <c r="L519" s="3" t="s">
        <v>77</v>
      </c>
      <c r="M519" s="4">
        <v>43881</v>
      </c>
      <c r="N519" s="4">
        <v>43881</v>
      </c>
      <c r="O519" s="3" t="s">
        <v>78</v>
      </c>
      <c r="P519" s="3">
        <v>87</v>
      </c>
      <c r="Q519" s="3" t="s">
        <v>1109</v>
      </c>
      <c r="R519" s="3" t="s">
        <v>104</v>
      </c>
      <c r="S519" s="3" t="s">
        <v>32</v>
      </c>
      <c r="T519" s="3" t="str">
        <f t="shared" si="34"/>
        <v>Contract</v>
      </c>
      <c r="V519" s="3">
        <v>3</v>
      </c>
      <c r="X519" s="3">
        <v>14</v>
      </c>
      <c r="Y519" s="4">
        <v>45516</v>
      </c>
      <c r="Z519" s="3">
        <v>32</v>
      </c>
      <c r="AA519" s="3" t="s">
        <v>169</v>
      </c>
      <c r="AB519" s="3" t="str" cm="1">
        <f t="array" ref="AB519">_xlfn.IFS(AA519="N","No",  AA519 = "Y", "Yes", TRUE, PROPER(TRIM(AA519)))</f>
        <v>Yes</v>
      </c>
      <c r="AC519" s="3">
        <v>4</v>
      </c>
      <c r="AD519" s="3" t="s">
        <v>34</v>
      </c>
      <c r="AE519">
        <f t="shared" si="35"/>
        <v>0</v>
      </c>
    </row>
    <row r="520" spans="1:31" ht="14.25" customHeight="1" x14ac:dyDescent="0.35">
      <c r="A520" s="3" t="s">
        <v>1110</v>
      </c>
      <c r="B520" s="3" t="s">
        <v>75</v>
      </c>
      <c r="C520" s="3" t="s">
        <v>76</v>
      </c>
      <c r="E520" s="3">
        <f t="shared" si="32"/>
        <v>26</v>
      </c>
      <c r="F520" s="3">
        <v>1998</v>
      </c>
      <c r="G520" s="3">
        <v>50000</v>
      </c>
      <c r="H520" s="12" cm="1">
        <f t="array" ref="H520">_xlfn.IFS(TRIM(G520)="SIXTY THOUSAND",60000,TRIM(G520)="NAN",AVERAGEIFS(G:G,J:J,J520,L:L,L520),TRUE,G520)</f>
        <v>50000</v>
      </c>
      <c r="I520" s="3" t="s">
        <v>27</v>
      </c>
      <c r="J520" s="3" t="s">
        <v>58</v>
      </c>
      <c r="K520" s="3" t="str">
        <f t="shared" si="33"/>
        <v>IT</v>
      </c>
      <c r="L520" s="3" t="s">
        <v>89</v>
      </c>
      <c r="M520" s="4">
        <v>43881</v>
      </c>
      <c r="N520" s="4">
        <v>43881</v>
      </c>
      <c r="O520" s="3" t="s">
        <v>52</v>
      </c>
      <c r="P520" s="3">
        <v>74</v>
      </c>
      <c r="Q520" s="3" t="s">
        <v>653</v>
      </c>
      <c r="R520" s="3" t="s">
        <v>54</v>
      </c>
      <c r="S520" s="3" t="s">
        <v>112</v>
      </c>
      <c r="T520" s="3" t="str">
        <f t="shared" si="34"/>
        <v>Full-Time</v>
      </c>
      <c r="U520" s="3" t="s">
        <v>1111</v>
      </c>
      <c r="V520" s="3">
        <v>4</v>
      </c>
      <c r="Y520" s="4">
        <v>44990</v>
      </c>
      <c r="Z520" s="3">
        <v>49</v>
      </c>
      <c r="AA520" s="3" t="s">
        <v>34</v>
      </c>
      <c r="AB520" s="3" t="str" cm="1">
        <f t="array" ref="AB520">_xlfn.IFS(AA520="N","No",  AA520 = "Y", "Yes", TRUE, PROPER(TRIM(AA520)))</f>
        <v>No</v>
      </c>
      <c r="AC520" s="3">
        <v>2</v>
      </c>
      <c r="AD520" s="3" t="s">
        <v>34</v>
      </c>
      <c r="AE520">
        <f t="shared" si="35"/>
        <v>0</v>
      </c>
    </row>
    <row r="521" spans="1:31" ht="14.25" customHeight="1" x14ac:dyDescent="0.35">
      <c r="A521" s="3" t="s">
        <v>1112</v>
      </c>
      <c r="B521" s="3" t="s">
        <v>140</v>
      </c>
      <c r="C521" s="3" t="s">
        <v>49</v>
      </c>
      <c r="D521" s="3">
        <v>40</v>
      </c>
      <c r="E521" s="3">
        <f t="shared" si="32"/>
        <v>40</v>
      </c>
      <c r="F521" s="3">
        <v>1984</v>
      </c>
      <c r="G521" s="3">
        <v>65000</v>
      </c>
      <c r="H521" s="12" cm="1">
        <f t="array" ref="H521">_xlfn.IFS(TRIM(G521)="SIXTY THOUSAND",60000,TRIM(G521)="NAN",AVERAGEIFS(G:G,J:J,J521,L:L,L521),TRUE,G521)</f>
        <v>65000</v>
      </c>
      <c r="I521" s="3" t="s">
        <v>38</v>
      </c>
      <c r="J521" s="3" t="s">
        <v>64</v>
      </c>
      <c r="K521" s="3" t="str">
        <f t="shared" si="33"/>
        <v>Finance</v>
      </c>
      <c r="L521" s="3" t="s">
        <v>29</v>
      </c>
      <c r="M521" s="4">
        <v>43800</v>
      </c>
      <c r="N521" s="4">
        <v>43800</v>
      </c>
      <c r="O521" s="3" t="s">
        <v>59</v>
      </c>
      <c r="P521" s="3">
        <v>94</v>
      </c>
      <c r="Q521" s="3" t="s">
        <v>1113</v>
      </c>
      <c r="R521" s="3" t="s">
        <v>104</v>
      </c>
      <c r="S521" s="3" t="s">
        <v>100</v>
      </c>
      <c r="T521" s="3" t="str">
        <f t="shared" si="34"/>
        <v>Part-Time</v>
      </c>
      <c r="V521" s="3">
        <v>5</v>
      </c>
      <c r="W521" s="3">
        <v>7</v>
      </c>
      <c r="X521" s="3">
        <v>3</v>
      </c>
      <c r="AA521" s="3" t="s">
        <v>34</v>
      </c>
      <c r="AB521" s="3" t="str" cm="1">
        <f t="array" ref="AB521">_xlfn.IFS(AA521="N","No",  AA521 = "Y", "Yes", TRUE, PROPER(TRIM(AA521)))</f>
        <v>No</v>
      </c>
      <c r="AC521" s="3">
        <v>1</v>
      </c>
      <c r="AD521" s="3" t="s">
        <v>46</v>
      </c>
      <c r="AE521">
        <f t="shared" si="35"/>
        <v>1</v>
      </c>
    </row>
    <row r="522" spans="1:31" ht="14.25" customHeight="1" x14ac:dyDescent="0.35">
      <c r="A522" s="3" t="s">
        <v>1114</v>
      </c>
      <c r="B522" s="3" t="s">
        <v>36</v>
      </c>
      <c r="C522" s="3" t="s">
        <v>37</v>
      </c>
      <c r="D522" s="3">
        <v>40</v>
      </c>
      <c r="E522" s="3">
        <f t="shared" si="32"/>
        <v>40</v>
      </c>
      <c r="F522" s="3">
        <v>1984</v>
      </c>
      <c r="G522" s="3">
        <v>70000</v>
      </c>
      <c r="H522" s="12" cm="1">
        <f t="array" ref="H522">_xlfn.IFS(TRIM(G522)="SIXTY THOUSAND",60000,TRIM(G522)="NAN",AVERAGEIFS(G:G,J:J,J522,L:L,L522),TRUE,G522)</f>
        <v>70000</v>
      </c>
      <c r="I522" s="3" t="s">
        <v>27</v>
      </c>
      <c r="J522" s="3" t="s">
        <v>145</v>
      </c>
      <c r="K522" s="3" t="str">
        <f t="shared" si="33"/>
        <v>Sales</v>
      </c>
      <c r="L522" s="3" t="s">
        <v>89</v>
      </c>
      <c r="M522" s="4">
        <v>43845</v>
      </c>
      <c r="N522" s="4">
        <v>43845</v>
      </c>
      <c r="O522" s="3" t="s">
        <v>52</v>
      </c>
      <c r="P522" s="3">
        <v>72</v>
      </c>
      <c r="Q522" s="3" t="s">
        <v>42</v>
      </c>
      <c r="R522" s="3" t="s">
        <v>54</v>
      </c>
      <c r="S522" s="3" t="s">
        <v>44</v>
      </c>
      <c r="T522" s="3" t="str">
        <f t="shared" si="34"/>
        <v>Full-Time</v>
      </c>
      <c r="U522" s="3" t="s">
        <v>1115</v>
      </c>
      <c r="V522" s="3">
        <v>4</v>
      </c>
      <c r="W522" s="3">
        <v>5</v>
      </c>
      <c r="X522" s="3">
        <v>16</v>
      </c>
      <c r="AA522" s="3" t="s">
        <v>34</v>
      </c>
      <c r="AB522" s="3" t="str" cm="1">
        <f t="array" ref="AB522">_xlfn.IFS(AA522="N","No",  AA522 = "Y", "Yes", TRUE, PROPER(TRIM(AA522)))</f>
        <v>No</v>
      </c>
      <c r="AC522" s="3">
        <v>3</v>
      </c>
      <c r="AD522" s="3" t="s">
        <v>34</v>
      </c>
      <c r="AE522">
        <f t="shared" si="35"/>
        <v>0</v>
      </c>
    </row>
    <row r="523" spans="1:31" ht="14.25" customHeight="1" x14ac:dyDescent="0.35">
      <c r="A523" s="3" t="s">
        <v>1116</v>
      </c>
      <c r="B523" s="3" t="s">
        <v>56</v>
      </c>
      <c r="C523" s="3" t="s">
        <v>57</v>
      </c>
      <c r="D523" s="3">
        <v>25</v>
      </c>
      <c r="E523" s="3">
        <f t="shared" si="32"/>
        <v>25</v>
      </c>
      <c r="F523" s="3">
        <v>1999</v>
      </c>
      <c r="G523" s="3" t="s">
        <v>50</v>
      </c>
      <c r="H523" s="12" cm="1">
        <f t="array" ref="H523">_xlfn.IFS(TRIM(G523)="SIXTY THOUSAND",60000,TRIM(G523)="NAN",AVERAGEIFS(G:G,J:J,J523,L:L,L523),TRUE,G523)</f>
        <v>60000</v>
      </c>
      <c r="I523" s="3" t="s">
        <v>27</v>
      </c>
      <c r="J523" s="3" t="s">
        <v>70</v>
      </c>
      <c r="K523" s="3" t="str">
        <f t="shared" si="33"/>
        <v>Marketing</v>
      </c>
      <c r="L523" s="3" t="s">
        <v>29</v>
      </c>
      <c r="M523" s="4">
        <v>43800</v>
      </c>
      <c r="N523" s="4">
        <v>43800</v>
      </c>
      <c r="O523" s="3" t="s">
        <v>59</v>
      </c>
      <c r="P523" s="3">
        <v>99</v>
      </c>
      <c r="Q523" s="3" t="s">
        <v>60</v>
      </c>
      <c r="R523" s="3" t="s">
        <v>54</v>
      </c>
      <c r="S523" s="3" t="s">
        <v>44</v>
      </c>
      <c r="T523" s="3" t="str">
        <f t="shared" si="34"/>
        <v>Full-Time</v>
      </c>
      <c r="V523" s="3">
        <v>2</v>
      </c>
      <c r="Y523" s="4">
        <v>44732</v>
      </c>
      <c r="Z523" s="3">
        <v>25</v>
      </c>
      <c r="AA523" s="3" t="s">
        <v>169</v>
      </c>
      <c r="AB523" s="3" t="str" cm="1">
        <f t="array" ref="AB523">_xlfn.IFS(AA523="N","No",  AA523 = "Y", "Yes", TRUE, PROPER(TRIM(AA523)))</f>
        <v>Yes</v>
      </c>
      <c r="AC523" s="3">
        <v>5</v>
      </c>
      <c r="AD523" s="3" t="s">
        <v>34</v>
      </c>
      <c r="AE523">
        <f t="shared" si="35"/>
        <v>0</v>
      </c>
    </row>
    <row r="524" spans="1:31" ht="14.25" customHeight="1" x14ac:dyDescent="0.35">
      <c r="A524" s="3" t="s">
        <v>1117</v>
      </c>
      <c r="B524" s="3" t="s">
        <v>36</v>
      </c>
      <c r="C524" s="3" t="s">
        <v>479</v>
      </c>
      <c r="D524" s="3" t="s">
        <v>88</v>
      </c>
      <c r="E524" s="3">
        <f t="shared" si="32"/>
        <v>30</v>
      </c>
      <c r="F524" s="3">
        <v>1994</v>
      </c>
      <c r="G524" s="3">
        <v>70000</v>
      </c>
      <c r="H524" s="12" cm="1">
        <f t="array" ref="H524">_xlfn.IFS(TRIM(G524)="SIXTY THOUSAND",60000,TRIM(G524)="NAN",AVERAGEIFS(G:G,J:J,J524,L:L,L524),TRUE,G524)</f>
        <v>70000</v>
      </c>
      <c r="I524" s="3" t="s">
        <v>27</v>
      </c>
      <c r="J524" s="3" t="s">
        <v>64</v>
      </c>
      <c r="K524" s="3" t="str">
        <f t="shared" si="33"/>
        <v>Finance</v>
      </c>
      <c r="L524" s="3" t="s">
        <v>89</v>
      </c>
      <c r="M524" s="4">
        <v>43195</v>
      </c>
      <c r="N524" s="4">
        <v>43195</v>
      </c>
      <c r="O524" s="3" t="s">
        <v>41</v>
      </c>
      <c r="P524" s="3">
        <v>43</v>
      </c>
      <c r="Q524" s="3" t="s">
        <v>480</v>
      </c>
      <c r="R524" s="3" t="s">
        <v>43</v>
      </c>
      <c r="S524" s="3" t="s">
        <v>44</v>
      </c>
      <c r="T524" s="3" t="str">
        <f t="shared" si="34"/>
        <v>Full-Time</v>
      </c>
      <c r="V524" s="3">
        <v>3</v>
      </c>
      <c r="Z524" s="3">
        <v>12</v>
      </c>
      <c r="AA524" s="3" t="s">
        <v>73</v>
      </c>
      <c r="AB524" s="3" t="str" cm="1">
        <f t="array" ref="AB524">_xlfn.IFS(AA524="N","No",  AA524 = "Y", "Yes", TRUE, PROPER(TRIM(AA524)))</f>
        <v>No</v>
      </c>
      <c r="AC524" s="3">
        <v>3</v>
      </c>
      <c r="AD524" s="3" t="s">
        <v>46</v>
      </c>
      <c r="AE524">
        <f t="shared" si="35"/>
        <v>1</v>
      </c>
    </row>
    <row r="525" spans="1:31" ht="14.25" customHeight="1" x14ac:dyDescent="0.35">
      <c r="A525" s="3" t="s">
        <v>1118</v>
      </c>
      <c r="B525" s="3" t="s">
        <v>56</v>
      </c>
      <c r="C525" s="3" t="s">
        <v>26</v>
      </c>
      <c r="D525" s="3">
        <v>40</v>
      </c>
      <c r="E525" s="3">
        <f t="shared" si="32"/>
        <v>40</v>
      </c>
      <c r="F525" s="3">
        <v>1984</v>
      </c>
      <c r="G525" s="3">
        <v>65000</v>
      </c>
      <c r="H525" s="12" cm="1">
        <f t="array" ref="H525">_xlfn.IFS(TRIM(G525)="SIXTY THOUSAND",60000,TRIM(G525)="NAN",AVERAGEIFS(G:G,J:J,J525,L:L,L525),TRUE,G525)</f>
        <v>65000</v>
      </c>
      <c r="I525" s="3" t="s">
        <v>38</v>
      </c>
      <c r="J525" s="3" t="s">
        <v>64</v>
      </c>
      <c r="K525" s="3" t="str">
        <f t="shared" si="33"/>
        <v>Finance</v>
      </c>
      <c r="L525" s="3" t="s">
        <v>94</v>
      </c>
      <c r="M525" s="4">
        <v>43845</v>
      </c>
      <c r="N525" s="4">
        <v>43845</v>
      </c>
      <c r="O525" s="3" t="s">
        <v>41</v>
      </c>
      <c r="P525" s="3">
        <v>33</v>
      </c>
      <c r="Q525" s="3" t="s">
        <v>1119</v>
      </c>
      <c r="R525" s="3" t="s">
        <v>43</v>
      </c>
      <c r="S525" s="3" t="s">
        <v>32</v>
      </c>
      <c r="T525" s="3" t="str">
        <f t="shared" si="34"/>
        <v>Contract</v>
      </c>
      <c r="V525" s="3">
        <v>1</v>
      </c>
      <c r="W525" s="3" t="s">
        <v>79</v>
      </c>
      <c r="Z525" s="3">
        <v>62</v>
      </c>
      <c r="AA525" s="3" t="s">
        <v>34</v>
      </c>
      <c r="AB525" s="3" t="str" cm="1">
        <f t="array" ref="AB525">_xlfn.IFS(AA525="N","No",  AA525 = "Y", "Yes", TRUE, PROPER(TRIM(AA525)))</f>
        <v>No</v>
      </c>
      <c r="AC525" s="3">
        <v>2</v>
      </c>
      <c r="AD525" s="3" t="s">
        <v>34</v>
      </c>
      <c r="AE525">
        <f t="shared" si="35"/>
        <v>0</v>
      </c>
    </row>
    <row r="526" spans="1:31" ht="14.25" customHeight="1" x14ac:dyDescent="0.35">
      <c r="A526" s="3" t="s">
        <v>1120</v>
      </c>
      <c r="B526" s="3" t="s">
        <v>25</v>
      </c>
      <c r="C526" s="3" t="s">
        <v>277</v>
      </c>
      <c r="D526" s="3">
        <v>50</v>
      </c>
      <c r="E526" s="3">
        <f t="shared" si="32"/>
        <v>50</v>
      </c>
      <c r="F526" s="3">
        <v>1974</v>
      </c>
      <c r="G526" s="3">
        <v>50000</v>
      </c>
      <c r="H526" s="12" cm="1">
        <f t="array" ref="H526">_xlfn.IFS(TRIM(G526)="SIXTY THOUSAND",60000,TRIM(G526)="NAN",AVERAGEIFS(G:G,J:J,J526,L:L,L526),TRUE,G526)</f>
        <v>50000</v>
      </c>
      <c r="I526" s="3" t="s">
        <v>38</v>
      </c>
      <c r="J526" s="3" t="s">
        <v>70</v>
      </c>
      <c r="K526" s="3" t="str">
        <f t="shared" si="33"/>
        <v>Marketing</v>
      </c>
      <c r="L526" s="3" t="s">
        <v>94</v>
      </c>
      <c r="M526" s="4">
        <v>43195</v>
      </c>
      <c r="N526" s="4">
        <v>43195</v>
      </c>
      <c r="O526" s="3" t="s">
        <v>52</v>
      </c>
      <c r="P526" s="3">
        <v>79</v>
      </c>
      <c r="Q526" s="3" t="s">
        <v>1121</v>
      </c>
      <c r="R526" s="3" t="s">
        <v>104</v>
      </c>
      <c r="S526" s="3" t="s">
        <v>72</v>
      </c>
      <c r="T526" s="3" t="str">
        <f t="shared" si="34"/>
        <v>Part-Time</v>
      </c>
      <c r="V526" s="3">
        <v>8</v>
      </c>
      <c r="X526" s="3">
        <v>3</v>
      </c>
      <c r="Y526" s="4">
        <v>45516</v>
      </c>
      <c r="AA526" s="3" t="s">
        <v>169</v>
      </c>
      <c r="AB526" s="3" t="str" cm="1">
        <f t="array" ref="AB526">_xlfn.IFS(AA526="N","No",  AA526 = "Y", "Yes", TRUE, PROPER(TRIM(AA526)))</f>
        <v>Yes</v>
      </c>
      <c r="AC526" s="3">
        <v>1</v>
      </c>
      <c r="AD526" s="3" t="s">
        <v>46</v>
      </c>
      <c r="AE526">
        <f t="shared" si="35"/>
        <v>1</v>
      </c>
    </row>
    <row r="527" spans="1:31" ht="14.25" customHeight="1" x14ac:dyDescent="0.35">
      <c r="A527" s="3" t="s">
        <v>1122</v>
      </c>
      <c r="B527" s="3" t="s">
        <v>140</v>
      </c>
      <c r="C527" s="3" t="s">
        <v>154</v>
      </c>
      <c r="D527" s="3">
        <v>40</v>
      </c>
      <c r="E527" s="3">
        <f t="shared" si="32"/>
        <v>40</v>
      </c>
      <c r="F527" s="3">
        <v>1984</v>
      </c>
      <c r="G527" s="3">
        <v>70000</v>
      </c>
      <c r="H527" s="12" cm="1">
        <f t="array" ref="H527">_xlfn.IFS(TRIM(G527)="SIXTY THOUSAND",60000,TRIM(G527)="NAN",AVERAGEIFS(G:G,J:J,J527,L:L,L527),TRUE,G527)</f>
        <v>70000</v>
      </c>
      <c r="I527" s="3" t="s">
        <v>27</v>
      </c>
      <c r="J527" s="3" t="s">
        <v>145</v>
      </c>
      <c r="K527" s="3" t="str">
        <f t="shared" si="33"/>
        <v>Sales</v>
      </c>
      <c r="L527" s="3" t="s">
        <v>40</v>
      </c>
      <c r="M527" s="4">
        <v>43845</v>
      </c>
      <c r="N527" s="4">
        <v>43845</v>
      </c>
      <c r="O527" s="3" t="s">
        <v>41</v>
      </c>
      <c r="P527" s="3">
        <v>34</v>
      </c>
      <c r="Q527" s="3" t="s">
        <v>1123</v>
      </c>
      <c r="R527" s="3" t="s">
        <v>61</v>
      </c>
      <c r="S527" s="3" t="s">
        <v>100</v>
      </c>
      <c r="T527" s="3" t="str">
        <f t="shared" si="34"/>
        <v>Part-Time</v>
      </c>
      <c r="V527" s="3">
        <v>2</v>
      </c>
      <c r="X527" s="3">
        <v>5</v>
      </c>
      <c r="AA527" s="3" t="s">
        <v>34</v>
      </c>
      <c r="AB527" s="3" t="str" cm="1">
        <f t="array" ref="AB527">_xlfn.IFS(AA527="N","No",  AA527 = "Y", "Yes", TRUE, PROPER(TRIM(AA527)))</f>
        <v>No</v>
      </c>
      <c r="AC527" s="3">
        <v>4</v>
      </c>
      <c r="AD527" s="3" t="s">
        <v>34</v>
      </c>
      <c r="AE527">
        <f t="shared" si="35"/>
        <v>0</v>
      </c>
    </row>
    <row r="528" spans="1:31" ht="14.25" customHeight="1" x14ac:dyDescent="0.35">
      <c r="A528" s="3" t="s">
        <v>1124</v>
      </c>
      <c r="B528" s="3" t="s">
        <v>25</v>
      </c>
      <c r="C528" s="3" t="s">
        <v>209</v>
      </c>
      <c r="D528" s="3">
        <v>35</v>
      </c>
      <c r="E528" s="3">
        <f t="shared" si="32"/>
        <v>35</v>
      </c>
      <c r="F528" s="3">
        <v>1989</v>
      </c>
      <c r="G528" s="3">
        <v>70000</v>
      </c>
      <c r="H528" s="12" cm="1">
        <f t="array" ref="H528">_xlfn.IFS(TRIM(G528)="SIXTY THOUSAND",60000,TRIM(G528)="NAN",AVERAGEIFS(G:G,J:J,J528,L:L,L528),TRUE,G528)</f>
        <v>70000</v>
      </c>
      <c r="I528" s="3" t="s">
        <v>38</v>
      </c>
      <c r="J528" s="3" t="s">
        <v>28</v>
      </c>
      <c r="K528" s="3" t="str">
        <f t="shared" si="33"/>
        <v>HR</v>
      </c>
      <c r="L528" s="3" t="s">
        <v>89</v>
      </c>
      <c r="M528" s="4">
        <v>43800</v>
      </c>
      <c r="N528" s="4">
        <v>43800</v>
      </c>
      <c r="O528" s="3" t="s">
        <v>30</v>
      </c>
      <c r="P528" s="3">
        <v>68</v>
      </c>
      <c r="Q528" s="3" t="s">
        <v>1125</v>
      </c>
      <c r="R528" s="3" t="s">
        <v>104</v>
      </c>
      <c r="S528" s="3" t="s">
        <v>44</v>
      </c>
      <c r="T528" s="3" t="str">
        <f t="shared" si="34"/>
        <v>Full-Time</v>
      </c>
      <c r="U528" s="3" t="s">
        <v>638</v>
      </c>
      <c r="V528" s="3">
        <v>5</v>
      </c>
      <c r="AA528" s="3" t="s">
        <v>34</v>
      </c>
      <c r="AB528" s="3" t="str" cm="1">
        <f t="array" ref="AB528">_xlfn.IFS(AA528="N","No",  AA528 = "Y", "Yes", TRUE, PROPER(TRIM(AA528)))</f>
        <v>No</v>
      </c>
      <c r="AC528" s="3">
        <v>3</v>
      </c>
      <c r="AD528" s="3" t="s">
        <v>34</v>
      </c>
      <c r="AE528">
        <f t="shared" si="35"/>
        <v>0</v>
      </c>
    </row>
    <row r="529" spans="1:31" ht="14.25" customHeight="1" x14ac:dyDescent="0.35">
      <c r="A529" s="3" t="s">
        <v>1126</v>
      </c>
      <c r="B529" s="3" t="s">
        <v>56</v>
      </c>
      <c r="C529" s="3" t="s">
        <v>413</v>
      </c>
      <c r="D529" s="3" t="s">
        <v>88</v>
      </c>
      <c r="E529" s="3">
        <f t="shared" si="32"/>
        <v>30</v>
      </c>
      <c r="F529" s="3">
        <v>1994</v>
      </c>
      <c r="G529" s="3">
        <v>50000</v>
      </c>
      <c r="H529" s="12" cm="1">
        <f t="array" ref="H529">_xlfn.IFS(TRIM(G529)="SIXTY THOUSAND",60000,TRIM(G529)="NAN",AVERAGEIFS(G:G,J:J,J529,L:L,L529),TRUE,G529)</f>
        <v>50000</v>
      </c>
      <c r="I529" s="3" t="s">
        <v>38</v>
      </c>
      <c r="J529" s="3" t="s">
        <v>93</v>
      </c>
      <c r="K529" s="3" t="str">
        <f t="shared" si="33"/>
        <v>Marketing</v>
      </c>
      <c r="L529" s="3" t="s">
        <v>77</v>
      </c>
      <c r="M529" s="4">
        <v>43881</v>
      </c>
      <c r="N529" s="4">
        <v>43881</v>
      </c>
      <c r="O529" s="3" t="s">
        <v>78</v>
      </c>
      <c r="P529" s="3">
        <v>83</v>
      </c>
      <c r="Q529" s="3" t="s">
        <v>414</v>
      </c>
      <c r="S529" s="3" t="s">
        <v>174</v>
      </c>
      <c r="T529" s="3" t="str">
        <f t="shared" si="34"/>
        <v>Full-Time</v>
      </c>
      <c r="V529" s="3">
        <v>2</v>
      </c>
      <c r="X529" s="3">
        <v>17</v>
      </c>
      <c r="Y529" s="4">
        <v>44470</v>
      </c>
      <c r="AA529" s="3" t="s">
        <v>34</v>
      </c>
      <c r="AB529" s="3" t="str" cm="1">
        <f t="array" ref="AB529">_xlfn.IFS(AA529="N","No",  AA529 = "Y", "Yes", TRUE, PROPER(TRIM(AA529)))</f>
        <v>No</v>
      </c>
      <c r="AC529" s="3">
        <v>2</v>
      </c>
      <c r="AD529" s="3" t="s">
        <v>46</v>
      </c>
      <c r="AE529">
        <f t="shared" si="35"/>
        <v>1</v>
      </c>
    </row>
    <row r="530" spans="1:31" ht="14.25" customHeight="1" x14ac:dyDescent="0.35">
      <c r="A530" s="3" t="s">
        <v>1127</v>
      </c>
      <c r="B530" s="3" t="s">
        <v>68</v>
      </c>
      <c r="C530" s="3" t="s">
        <v>849</v>
      </c>
      <c r="D530" s="3">
        <v>35</v>
      </c>
      <c r="E530" s="3">
        <f t="shared" si="32"/>
        <v>35</v>
      </c>
      <c r="F530" s="3">
        <v>1989</v>
      </c>
      <c r="G530" s="3" t="s">
        <v>50</v>
      </c>
      <c r="H530" s="12" cm="1">
        <f t="array" ref="H530">_xlfn.IFS(TRIM(G530)="SIXTY THOUSAND",60000,TRIM(G530)="NAN",AVERAGEIFS(G:G,J:J,J530,L:L,L530),TRUE,G530)</f>
        <v>60000</v>
      </c>
      <c r="I530" s="3" t="s">
        <v>27</v>
      </c>
      <c r="J530" s="3" t="s">
        <v>93</v>
      </c>
      <c r="K530" s="3" t="str">
        <f t="shared" si="33"/>
        <v>Marketing</v>
      </c>
      <c r="L530" s="3" t="s">
        <v>40</v>
      </c>
      <c r="M530" s="4">
        <v>43549</v>
      </c>
      <c r="N530" s="4">
        <v>43549</v>
      </c>
      <c r="O530" s="3" t="s">
        <v>78</v>
      </c>
      <c r="P530" s="3">
        <v>87</v>
      </c>
      <c r="Q530" s="3" t="s">
        <v>850</v>
      </c>
      <c r="R530" s="3" t="s">
        <v>54</v>
      </c>
      <c r="S530" s="3" t="s">
        <v>66</v>
      </c>
      <c r="T530" s="3" t="str">
        <f t="shared" si="34"/>
        <v>Contract</v>
      </c>
      <c r="U530" s="3" t="s">
        <v>1128</v>
      </c>
      <c r="V530" s="3">
        <v>5</v>
      </c>
      <c r="W530" s="3">
        <v>5</v>
      </c>
      <c r="X530" s="3">
        <v>18</v>
      </c>
      <c r="AA530" s="3" t="s">
        <v>73</v>
      </c>
      <c r="AB530" s="3" t="str" cm="1">
        <f t="array" ref="AB530">_xlfn.IFS(AA530="N","No",  AA530 = "Y", "Yes", TRUE, PROPER(TRIM(AA530)))</f>
        <v>No</v>
      </c>
      <c r="AC530" s="3">
        <v>4</v>
      </c>
      <c r="AD530" s="3" t="s">
        <v>34</v>
      </c>
      <c r="AE530">
        <f t="shared" si="35"/>
        <v>0</v>
      </c>
    </row>
    <row r="531" spans="1:31" ht="14.25" customHeight="1" x14ac:dyDescent="0.35">
      <c r="A531" s="3" t="s">
        <v>1129</v>
      </c>
      <c r="B531" s="3" t="s">
        <v>68</v>
      </c>
      <c r="C531" s="3" t="s">
        <v>193</v>
      </c>
      <c r="D531" s="3" t="s">
        <v>88</v>
      </c>
      <c r="E531" s="3">
        <f t="shared" si="32"/>
        <v>30</v>
      </c>
      <c r="F531" s="3">
        <v>1994</v>
      </c>
      <c r="G531" s="3">
        <v>50000</v>
      </c>
      <c r="H531" s="12" cm="1">
        <f t="array" ref="H531">_xlfn.IFS(TRIM(G531)="SIXTY THOUSAND",60000,TRIM(G531)="NAN",AVERAGEIFS(G:G,J:J,J531,L:L,L531),TRUE,G531)</f>
        <v>50000</v>
      </c>
      <c r="I531" s="3" t="s">
        <v>27</v>
      </c>
      <c r="J531" s="3" t="s">
        <v>93</v>
      </c>
      <c r="K531" s="3" t="str">
        <f t="shared" si="33"/>
        <v>Marketing</v>
      </c>
      <c r="L531" s="3" t="s">
        <v>94</v>
      </c>
      <c r="M531" s="4">
        <v>43881</v>
      </c>
      <c r="N531" s="4">
        <v>43881</v>
      </c>
      <c r="O531" s="3" t="s">
        <v>59</v>
      </c>
      <c r="P531" s="3">
        <v>98</v>
      </c>
      <c r="Q531" s="3" t="s">
        <v>194</v>
      </c>
      <c r="R531" s="3" t="s">
        <v>54</v>
      </c>
      <c r="S531" s="3" t="s">
        <v>100</v>
      </c>
      <c r="T531" s="3" t="str">
        <f t="shared" si="34"/>
        <v>Part-Time</v>
      </c>
      <c r="U531" s="3" t="s">
        <v>1130</v>
      </c>
      <c r="V531" s="3">
        <v>2</v>
      </c>
      <c r="W531" s="3">
        <v>10</v>
      </c>
      <c r="Y531" s="4">
        <v>45516</v>
      </c>
      <c r="Z531" s="3">
        <v>46</v>
      </c>
      <c r="AA531" s="3" t="s">
        <v>169</v>
      </c>
      <c r="AB531" s="3" t="str" cm="1">
        <f t="array" ref="AB531">_xlfn.IFS(AA531="N","No",  AA531 = "Y", "Yes", TRUE, PROPER(TRIM(AA531)))</f>
        <v>Yes</v>
      </c>
      <c r="AC531" s="3">
        <v>4</v>
      </c>
      <c r="AD531" s="3" t="s">
        <v>34</v>
      </c>
      <c r="AE531">
        <f t="shared" si="35"/>
        <v>0</v>
      </c>
    </row>
    <row r="532" spans="1:31" ht="14.25" customHeight="1" x14ac:dyDescent="0.35">
      <c r="A532" s="3" t="s">
        <v>1131</v>
      </c>
      <c r="B532" s="3" t="s">
        <v>25</v>
      </c>
      <c r="C532" s="3" t="s">
        <v>137</v>
      </c>
      <c r="D532" s="3">
        <v>35</v>
      </c>
      <c r="E532" s="3">
        <f t="shared" si="32"/>
        <v>35</v>
      </c>
      <c r="F532" s="3">
        <v>1989</v>
      </c>
      <c r="G532" s="3">
        <v>70000</v>
      </c>
      <c r="H532" s="12" cm="1">
        <f t="array" ref="H532">_xlfn.IFS(TRIM(G532)="SIXTY THOUSAND",60000,TRIM(G532)="NAN",AVERAGEIFS(G:G,J:J,J532,L:L,L532),TRUE,G532)</f>
        <v>70000</v>
      </c>
      <c r="I532" s="3" t="s">
        <v>27</v>
      </c>
      <c r="J532" s="3" t="s">
        <v>39</v>
      </c>
      <c r="K532" s="3" t="str">
        <f t="shared" si="33"/>
        <v>Finance</v>
      </c>
      <c r="L532" s="3" t="s">
        <v>89</v>
      </c>
      <c r="M532" s="4">
        <v>43800</v>
      </c>
      <c r="N532" s="4">
        <v>43800</v>
      </c>
      <c r="O532" s="3" t="s">
        <v>41</v>
      </c>
      <c r="P532" s="3">
        <v>25</v>
      </c>
      <c r="Q532" s="3" t="s">
        <v>1132</v>
      </c>
      <c r="R532" s="3" t="s">
        <v>43</v>
      </c>
      <c r="S532" s="3" t="s">
        <v>100</v>
      </c>
      <c r="T532" s="3" t="str">
        <f t="shared" si="34"/>
        <v>Part-Time</v>
      </c>
      <c r="V532" s="3">
        <v>4</v>
      </c>
      <c r="W532" s="3" t="s">
        <v>79</v>
      </c>
      <c r="AA532" s="3" t="s">
        <v>33</v>
      </c>
      <c r="AB532" s="3" t="str" cm="1">
        <f t="array" ref="AB532">_xlfn.IFS(AA532="N","No",  AA532 = "Y", "Yes", TRUE, PROPER(TRIM(AA532)))</f>
        <v>Yes</v>
      </c>
      <c r="AC532" s="3">
        <v>5</v>
      </c>
      <c r="AD532" s="3" t="s">
        <v>46</v>
      </c>
      <c r="AE532">
        <f t="shared" si="35"/>
        <v>1</v>
      </c>
    </row>
    <row r="533" spans="1:31" ht="14.25" customHeight="1" x14ac:dyDescent="0.35">
      <c r="A533" s="3" t="s">
        <v>1133</v>
      </c>
      <c r="B533" s="3" t="s">
        <v>68</v>
      </c>
      <c r="C533" s="3" t="s">
        <v>117</v>
      </c>
      <c r="D533" s="3">
        <v>40</v>
      </c>
      <c r="E533" s="3">
        <f t="shared" si="32"/>
        <v>40</v>
      </c>
      <c r="F533" s="3">
        <v>1984</v>
      </c>
      <c r="G533" s="3" t="s">
        <v>50</v>
      </c>
      <c r="H533" s="12" cm="1">
        <f t="array" ref="H533">_xlfn.IFS(TRIM(G533)="SIXTY THOUSAND",60000,TRIM(G533)="NAN",AVERAGEIFS(G:G,J:J,J533,L:L,L533),TRUE,G533)</f>
        <v>60000</v>
      </c>
      <c r="I533" s="3" t="s">
        <v>27</v>
      </c>
      <c r="J533" s="3" t="s">
        <v>122</v>
      </c>
      <c r="K533" s="3" t="str">
        <f t="shared" si="33"/>
        <v>IT</v>
      </c>
      <c r="L533" s="3" t="s">
        <v>40</v>
      </c>
      <c r="M533" s="4">
        <v>43845</v>
      </c>
      <c r="N533" s="4">
        <v>43845</v>
      </c>
      <c r="O533" s="3" t="s">
        <v>59</v>
      </c>
      <c r="P533" s="3">
        <v>94</v>
      </c>
      <c r="Q533" s="3" t="s">
        <v>1134</v>
      </c>
      <c r="R533" s="3" t="s">
        <v>61</v>
      </c>
      <c r="S533" s="3" t="s">
        <v>72</v>
      </c>
      <c r="T533" s="3" t="str">
        <f t="shared" si="34"/>
        <v>Part-Time</v>
      </c>
      <c r="V533" s="3">
        <v>8</v>
      </c>
      <c r="X533" s="3">
        <v>14</v>
      </c>
      <c r="Y533" s="4">
        <v>44941</v>
      </c>
      <c r="Z533" s="3">
        <v>54</v>
      </c>
      <c r="AB533" s="3" t="str" cm="1">
        <f t="array" ref="AB533">_xlfn.IFS(AA533="N","No",  AA533 = "Y", "Yes", TRUE, PROPER(TRIM(AA533)))</f>
        <v/>
      </c>
      <c r="AC533" s="3">
        <v>5</v>
      </c>
      <c r="AD533" s="3" t="s">
        <v>34</v>
      </c>
      <c r="AE533">
        <f t="shared" si="35"/>
        <v>0</v>
      </c>
    </row>
    <row r="534" spans="1:31" ht="14.25" customHeight="1" x14ac:dyDescent="0.35">
      <c r="A534" s="3" t="s">
        <v>1135</v>
      </c>
      <c r="B534" s="3" t="s">
        <v>56</v>
      </c>
      <c r="C534" s="3" t="s">
        <v>92</v>
      </c>
      <c r="D534" s="3">
        <v>40</v>
      </c>
      <c r="E534" s="3">
        <f t="shared" si="32"/>
        <v>40</v>
      </c>
      <c r="F534" s="3">
        <v>1984</v>
      </c>
      <c r="G534" s="3" t="s">
        <v>50</v>
      </c>
      <c r="H534" s="12" cm="1">
        <f t="array" ref="H534">_xlfn.IFS(TRIM(G534)="SIXTY THOUSAND",60000,TRIM(G534)="NAN",AVERAGEIFS(G:G,J:J,J534,L:L,L534),TRUE,G534)</f>
        <v>60000</v>
      </c>
      <c r="I534" s="3" t="s">
        <v>27</v>
      </c>
      <c r="J534" s="3" t="s">
        <v>28</v>
      </c>
      <c r="K534" s="3" t="str">
        <f t="shared" si="33"/>
        <v>HR</v>
      </c>
      <c r="L534" s="3" t="s">
        <v>89</v>
      </c>
      <c r="M534" s="4">
        <v>43881</v>
      </c>
      <c r="N534" s="4">
        <v>43881</v>
      </c>
      <c r="O534" s="3" t="s">
        <v>78</v>
      </c>
      <c r="P534" s="3">
        <v>86</v>
      </c>
      <c r="Q534" s="3" t="s">
        <v>1136</v>
      </c>
      <c r="R534" s="3" t="s">
        <v>43</v>
      </c>
      <c r="S534" s="3" t="s">
        <v>112</v>
      </c>
      <c r="T534" s="3" t="str">
        <f t="shared" si="34"/>
        <v>Full-Time</v>
      </c>
      <c r="V534" s="3">
        <v>6</v>
      </c>
      <c r="Y534" s="3" t="s">
        <v>79</v>
      </c>
      <c r="AB534" s="3" t="str" cm="1">
        <f t="array" ref="AB534">_xlfn.IFS(AA534="N","No",  AA534 = "Y", "Yes", TRUE, PROPER(TRIM(AA534)))</f>
        <v/>
      </c>
      <c r="AC534" s="3">
        <v>3</v>
      </c>
      <c r="AD534" s="3" t="s">
        <v>34</v>
      </c>
      <c r="AE534">
        <f t="shared" si="35"/>
        <v>0</v>
      </c>
    </row>
    <row r="535" spans="1:31" ht="14.25" customHeight="1" x14ac:dyDescent="0.35">
      <c r="A535" s="3" t="s">
        <v>1137</v>
      </c>
      <c r="B535" s="3" t="s">
        <v>75</v>
      </c>
      <c r="C535" s="3" t="s">
        <v>135</v>
      </c>
      <c r="D535" s="3">
        <v>25</v>
      </c>
      <c r="E535" s="3">
        <f t="shared" si="32"/>
        <v>25</v>
      </c>
      <c r="F535" s="3">
        <v>1999</v>
      </c>
      <c r="G535" s="3">
        <v>50000</v>
      </c>
      <c r="H535" s="12" cm="1">
        <f t="array" ref="H535">_xlfn.IFS(TRIM(G535)="SIXTY THOUSAND",60000,TRIM(G535)="NAN",AVERAGEIFS(G:G,J:J,J535,L:L,L535),TRUE,G535)</f>
        <v>50000</v>
      </c>
      <c r="I535" s="3" t="s">
        <v>27</v>
      </c>
      <c r="J535" s="3" t="s">
        <v>51</v>
      </c>
      <c r="K535" s="3" t="str">
        <f t="shared" si="33"/>
        <v>Sales</v>
      </c>
      <c r="L535" s="3" t="s">
        <v>94</v>
      </c>
      <c r="M535" s="4">
        <v>43800</v>
      </c>
      <c r="N535" s="4">
        <v>43800</v>
      </c>
      <c r="O535" s="3" t="s">
        <v>78</v>
      </c>
      <c r="P535" s="3">
        <v>81</v>
      </c>
      <c r="Q535" s="3" t="s">
        <v>1138</v>
      </c>
      <c r="S535" s="3" t="s">
        <v>72</v>
      </c>
      <c r="T535" s="3" t="str">
        <f t="shared" si="34"/>
        <v>Part-Time</v>
      </c>
      <c r="U535" s="3" t="s">
        <v>1049</v>
      </c>
      <c r="V535" s="3">
        <v>6</v>
      </c>
      <c r="X535" s="3">
        <v>8</v>
      </c>
      <c r="Y535" s="4">
        <v>45516</v>
      </c>
      <c r="AB535" s="3" t="str" cm="1">
        <f t="array" ref="AB535">_xlfn.IFS(AA535="N","No",  AA535 = "Y", "Yes", TRUE, PROPER(TRIM(AA535)))</f>
        <v/>
      </c>
      <c r="AC535" s="3">
        <v>4</v>
      </c>
      <c r="AD535" s="3" t="s">
        <v>34</v>
      </c>
      <c r="AE535">
        <f t="shared" si="35"/>
        <v>0</v>
      </c>
    </row>
    <row r="536" spans="1:31" ht="14.25" customHeight="1" x14ac:dyDescent="0.35">
      <c r="A536" s="3" t="s">
        <v>1139</v>
      </c>
      <c r="B536" s="3" t="s">
        <v>25</v>
      </c>
      <c r="C536" s="3" t="s">
        <v>81</v>
      </c>
      <c r="D536" s="3">
        <v>50</v>
      </c>
      <c r="E536" s="3">
        <f t="shared" si="32"/>
        <v>50</v>
      </c>
      <c r="F536" s="3">
        <v>1974</v>
      </c>
      <c r="G536" s="3">
        <v>70000</v>
      </c>
      <c r="H536" s="12" cm="1">
        <f t="array" ref="H536">_xlfn.IFS(TRIM(G536)="SIXTY THOUSAND",60000,TRIM(G536)="NAN",AVERAGEIFS(G:G,J:J,J536,L:L,L536),TRUE,G536)</f>
        <v>70000</v>
      </c>
      <c r="I536" s="3" t="s">
        <v>38</v>
      </c>
      <c r="J536" s="3" t="s">
        <v>145</v>
      </c>
      <c r="K536" s="3" t="str">
        <f t="shared" si="33"/>
        <v>Sales</v>
      </c>
      <c r="L536" s="3" t="s">
        <v>40</v>
      </c>
      <c r="M536" s="4">
        <v>43195</v>
      </c>
      <c r="N536" s="4">
        <v>43195</v>
      </c>
      <c r="O536" s="3" t="s">
        <v>41</v>
      </c>
      <c r="P536" s="3">
        <v>23</v>
      </c>
      <c r="Q536" s="3" t="s">
        <v>401</v>
      </c>
      <c r="R536" s="3" t="s">
        <v>104</v>
      </c>
      <c r="S536" s="3" t="s">
        <v>44</v>
      </c>
      <c r="T536" s="3" t="str">
        <f t="shared" si="34"/>
        <v>Full-Time</v>
      </c>
      <c r="V536" s="3">
        <v>3</v>
      </c>
      <c r="W536" s="3">
        <v>15</v>
      </c>
      <c r="AA536" s="3" t="s">
        <v>46</v>
      </c>
      <c r="AB536" s="3" t="str" cm="1">
        <f t="array" ref="AB536">_xlfn.IFS(AA536="N","No",  AA536 = "Y", "Yes", TRUE, PROPER(TRIM(AA536)))</f>
        <v>Yes</v>
      </c>
      <c r="AC536" s="3">
        <v>2</v>
      </c>
      <c r="AD536" s="3" t="s">
        <v>46</v>
      </c>
      <c r="AE536">
        <f t="shared" si="35"/>
        <v>1</v>
      </c>
    </row>
    <row r="537" spans="1:31" ht="14.25" customHeight="1" x14ac:dyDescent="0.35">
      <c r="A537" s="3" t="s">
        <v>1140</v>
      </c>
      <c r="B537" s="3" t="s">
        <v>114</v>
      </c>
      <c r="C537" s="3" t="s">
        <v>137</v>
      </c>
      <c r="D537" s="3">
        <v>35</v>
      </c>
      <c r="E537" s="3">
        <f t="shared" si="32"/>
        <v>35</v>
      </c>
      <c r="F537" s="3">
        <v>1989</v>
      </c>
      <c r="G537" s="3">
        <v>65000</v>
      </c>
      <c r="H537" s="12" cm="1">
        <f t="array" ref="H537">_xlfn.IFS(TRIM(G537)="SIXTY THOUSAND",60000,TRIM(G537)="NAN",AVERAGEIFS(G:G,J:J,J537,L:L,L537),TRUE,G537)</f>
        <v>65000</v>
      </c>
      <c r="I537" s="3" t="s">
        <v>27</v>
      </c>
      <c r="J537" s="3" t="s">
        <v>122</v>
      </c>
      <c r="K537" s="3" t="str">
        <f t="shared" si="33"/>
        <v>IT</v>
      </c>
      <c r="L537" s="3" t="s">
        <v>94</v>
      </c>
      <c r="M537" s="4">
        <v>43549</v>
      </c>
      <c r="N537" s="4">
        <v>43549</v>
      </c>
      <c r="O537" s="3" t="s">
        <v>30</v>
      </c>
      <c r="P537" s="3">
        <v>66</v>
      </c>
      <c r="Q537" s="3" t="s">
        <v>1141</v>
      </c>
      <c r="R537" s="3" t="s">
        <v>104</v>
      </c>
      <c r="S537" s="3" t="s">
        <v>66</v>
      </c>
      <c r="T537" s="3" t="str">
        <f t="shared" si="34"/>
        <v>Contract</v>
      </c>
      <c r="U537" s="3" t="s">
        <v>1142</v>
      </c>
      <c r="V537" s="3">
        <v>4</v>
      </c>
      <c r="W537" s="3">
        <v>5</v>
      </c>
      <c r="AB537" s="3" t="str" cm="1">
        <f t="array" ref="AB537">_xlfn.IFS(AA537="N","No",  AA537 = "Y", "Yes", TRUE, PROPER(TRIM(AA537)))</f>
        <v/>
      </c>
      <c r="AC537" s="3">
        <v>5</v>
      </c>
      <c r="AD537" s="3" t="s">
        <v>46</v>
      </c>
      <c r="AE537">
        <f t="shared" si="35"/>
        <v>1</v>
      </c>
    </row>
    <row r="538" spans="1:31" ht="14.25" customHeight="1" x14ac:dyDescent="0.35">
      <c r="A538" s="3" t="s">
        <v>1143</v>
      </c>
      <c r="B538" s="3" t="s">
        <v>140</v>
      </c>
      <c r="C538" s="3" t="s">
        <v>588</v>
      </c>
      <c r="E538" s="3">
        <f t="shared" si="32"/>
        <v>47</v>
      </c>
      <c r="F538" s="3">
        <v>1977</v>
      </c>
      <c r="G538" s="3">
        <v>70000</v>
      </c>
      <c r="H538" s="12" cm="1">
        <f t="array" ref="H538">_xlfn.IFS(TRIM(G538)="SIXTY THOUSAND",60000,TRIM(G538)="NAN",AVERAGEIFS(G:G,J:J,J538,L:L,L538),TRUE,G538)</f>
        <v>70000</v>
      </c>
      <c r="I538" s="3" t="s">
        <v>38</v>
      </c>
      <c r="J538" s="3" t="s">
        <v>93</v>
      </c>
      <c r="K538" s="3" t="str">
        <f t="shared" si="33"/>
        <v>Marketing</v>
      </c>
      <c r="L538" s="3" t="s">
        <v>29</v>
      </c>
      <c r="M538" s="4">
        <v>43881</v>
      </c>
      <c r="N538" s="4">
        <v>43881</v>
      </c>
      <c r="O538" s="3" t="s">
        <v>30</v>
      </c>
      <c r="P538" s="3">
        <v>65</v>
      </c>
      <c r="Q538" s="3" t="s">
        <v>589</v>
      </c>
      <c r="R538" s="3" t="s">
        <v>61</v>
      </c>
      <c r="S538" s="3" t="s">
        <v>66</v>
      </c>
      <c r="T538" s="3" t="str">
        <f t="shared" si="34"/>
        <v>Contract</v>
      </c>
      <c r="U538" s="3" t="s">
        <v>1144</v>
      </c>
      <c r="V538" s="3">
        <v>2</v>
      </c>
      <c r="Y538" s="4">
        <v>44732</v>
      </c>
      <c r="Z538" s="3">
        <v>55</v>
      </c>
      <c r="AA538" s="3" t="s">
        <v>169</v>
      </c>
      <c r="AB538" s="3" t="str" cm="1">
        <f t="array" ref="AB538">_xlfn.IFS(AA538="N","No",  AA538 = "Y", "Yes", TRUE, PROPER(TRIM(AA538)))</f>
        <v>Yes</v>
      </c>
      <c r="AC538" s="3">
        <v>5</v>
      </c>
      <c r="AD538" s="3" t="s">
        <v>46</v>
      </c>
      <c r="AE538">
        <f t="shared" si="35"/>
        <v>1</v>
      </c>
    </row>
    <row r="539" spans="1:31" ht="14.25" customHeight="1" x14ac:dyDescent="0.35">
      <c r="A539" s="3" t="s">
        <v>1145</v>
      </c>
      <c r="B539" s="3" t="s">
        <v>68</v>
      </c>
      <c r="C539" s="3" t="s">
        <v>849</v>
      </c>
      <c r="D539" s="3">
        <v>25</v>
      </c>
      <c r="E539" s="3">
        <f t="shared" si="32"/>
        <v>25</v>
      </c>
      <c r="F539" s="3">
        <v>1999</v>
      </c>
      <c r="G539" s="3">
        <v>55000</v>
      </c>
      <c r="H539" s="12" cm="1">
        <f t="array" ref="H539">_xlfn.IFS(TRIM(G539)="SIXTY THOUSAND",60000,TRIM(G539)="NAN",AVERAGEIFS(G:G,J:J,J539,L:L,L539),TRUE,G539)</f>
        <v>55000</v>
      </c>
      <c r="I539" s="3" t="s">
        <v>27</v>
      </c>
      <c r="J539" s="3" t="s">
        <v>28</v>
      </c>
      <c r="K539" s="3" t="str">
        <f t="shared" si="33"/>
        <v>HR</v>
      </c>
      <c r="L539" s="3" t="s">
        <v>94</v>
      </c>
      <c r="M539" s="4">
        <v>43845</v>
      </c>
      <c r="N539" s="4">
        <v>43845</v>
      </c>
      <c r="O539" s="3" t="s">
        <v>41</v>
      </c>
      <c r="P539" s="3">
        <v>8</v>
      </c>
      <c r="Q539" s="3" t="s">
        <v>850</v>
      </c>
      <c r="R539" s="3" t="s">
        <v>43</v>
      </c>
      <c r="S539" s="3" t="s">
        <v>174</v>
      </c>
      <c r="T539" s="3" t="str">
        <f t="shared" si="34"/>
        <v>Full-Time</v>
      </c>
      <c r="V539" s="3">
        <v>5</v>
      </c>
      <c r="W539" s="3" t="s">
        <v>79</v>
      </c>
      <c r="X539" s="3">
        <v>9</v>
      </c>
      <c r="Z539" s="3">
        <v>48</v>
      </c>
      <c r="AB539" s="3" t="str" cm="1">
        <f t="array" ref="AB539">_xlfn.IFS(AA539="N","No",  AA539 = "Y", "Yes", TRUE, PROPER(TRIM(AA539)))</f>
        <v/>
      </c>
      <c r="AC539" s="3">
        <v>4</v>
      </c>
      <c r="AD539" s="3" t="s">
        <v>46</v>
      </c>
      <c r="AE539">
        <f t="shared" si="35"/>
        <v>1</v>
      </c>
    </row>
    <row r="540" spans="1:31" ht="14.25" customHeight="1" x14ac:dyDescent="0.35">
      <c r="A540" s="3" t="s">
        <v>1146</v>
      </c>
      <c r="B540" s="3" t="s">
        <v>68</v>
      </c>
      <c r="C540" s="3" t="s">
        <v>259</v>
      </c>
      <c r="D540" s="3">
        <v>35</v>
      </c>
      <c r="E540" s="3">
        <f t="shared" si="32"/>
        <v>35</v>
      </c>
      <c r="F540" s="3">
        <v>1989</v>
      </c>
      <c r="G540" s="3">
        <v>58300</v>
      </c>
      <c r="H540" s="12" cm="1">
        <f t="array" ref="H540">_xlfn.IFS(TRIM(G540)="SIXTY THOUSAND",60000,TRIM(G540)="NAN",AVERAGEIFS(G:G,J:J,J540,L:L,L540),TRUE,G540)</f>
        <v>58300</v>
      </c>
      <c r="I540" s="3" t="s">
        <v>27</v>
      </c>
      <c r="J540" s="3" t="s">
        <v>145</v>
      </c>
      <c r="K540" s="3" t="str">
        <f t="shared" si="33"/>
        <v>Sales</v>
      </c>
      <c r="L540" s="3" t="s">
        <v>89</v>
      </c>
      <c r="M540" s="4">
        <v>43195</v>
      </c>
      <c r="N540" s="4">
        <v>43195</v>
      </c>
      <c r="O540" s="3" t="s">
        <v>41</v>
      </c>
      <c r="P540" s="3">
        <v>29</v>
      </c>
      <c r="Q540" s="3" t="s">
        <v>1147</v>
      </c>
      <c r="R540" s="3" t="s">
        <v>43</v>
      </c>
      <c r="S540" s="3" t="s">
        <v>174</v>
      </c>
      <c r="T540" s="3" t="str">
        <f t="shared" si="34"/>
        <v>Full-Time</v>
      </c>
      <c r="V540" s="3">
        <v>2</v>
      </c>
      <c r="Y540" s="3" t="s">
        <v>79</v>
      </c>
      <c r="AA540" s="3" t="s">
        <v>73</v>
      </c>
      <c r="AB540" s="3" t="str" cm="1">
        <f t="array" ref="AB540">_xlfn.IFS(AA540="N","No",  AA540 = "Y", "Yes", TRUE, PROPER(TRIM(AA540)))</f>
        <v>No</v>
      </c>
      <c r="AC540" s="3">
        <v>5</v>
      </c>
      <c r="AD540" s="3" t="s">
        <v>46</v>
      </c>
      <c r="AE540">
        <f t="shared" si="35"/>
        <v>1</v>
      </c>
    </row>
    <row r="541" spans="1:31" ht="14.25" customHeight="1" x14ac:dyDescent="0.35">
      <c r="A541" s="3" t="s">
        <v>1148</v>
      </c>
      <c r="B541" s="3" t="s">
        <v>131</v>
      </c>
      <c r="C541" s="3" t="s">
        <v>315</v>
      </c>
      <c r="D541" s="3">
        <v>35</v>
      </c>
      <c r="E541" s="3">
        <f t="shared" si="32"/>
        <v>35</v>
      </c>
      <c r="F541" s="3">
        <v>1989</v>
      </c>
      <c r="G541" s="3">
        <v>65000</v>
      </c>
      <c r="H541" s="12" cm="1">
        <f t="array" ref="H541">_xlfn.IFS(TRIM(G541)="SIXTY THOUSAND",60000,TRIM(G541)="NAN",AVERAGEIFS(G:G,J:J,J541,L:L,L541),TRUE,G541)</f>
        <v>65000</v>
      </c>
      <c r="I541" s="3" t="s">
        <v>38</v>
      </c>
      <c r="J541" s="3" t="s">
        <v>51</v>
      </c>
      <c r="K541" s="3" t="str">
        <f t="shared" si="33"/>
        <v>Sales</v>
      </c>
      <c r="L541" s="3" t="s">
        <v>77</v>
      </c>
      <c r="M541" s="4">
        <v>43800</v>
      </c>
      <c r="N541" s="4">
        <v>43800</v>
      </c>
      <c r="O541" s="3" t="s">
        <v>59</v>
      </c>
      <c r="P541" s="3">
        <v>100</v>
      </c>
      <c r="Q541" s="3" t="s">
        <v>1149</v>
      </c>
      <c r="S541" s="3" t="s">
        <v>44</v>
      </c>
      <c r="T541" s="3" t="str">
        <f t="shared" si="34"/>
        <v>Full-Time</v>
      </c>
      <c r="V541" s="3">
        <v>4</v>
      </c>
      <c r="W541" s="3" t="s">
        <v>79</v>
      </c>
      <c r="X541" s="3">
        <v>16</v>
      </c>
      <c r="Y541" s="4">
        <v>44990</v>
      </c>
      <c r="Z541" s="3">
        <v>68</v>
      </c>
      <c r="AB541" s="3" t="str" cm="1">
        <f t="array" ref="AB541">_xlfn.IFS(AA541="N","No",  AA541 = "Y", "Yes", TRUE, PROPER(TRIM(AA541)))</f>
        <v/>
      </c>
      <c r="AC541" s="3">
        <v>1</v>
      </c>
      <c r="AD541" s="3" t="s">
        <v>34</v>
      </c>
      <c r="AE541">
        <f t="shared" si="35"/>
        <v>0</v>
      </c>
    </row>
    <row r="542" spans="1:31" ht="14.25" customHeight="1" x14ac:dyDescent="0.35">
      <c r="A542" s="3" t="s">
        <v>1150</v>
      </c>
      <c r="B542" s="3" t="s">
        <v>107</v>
      </c>
      <c r="C542" s="3" t="s">
        <v>729</v>
      </c>
      <c r="D542" s="3">
        <v>25</v>
      </c>
      <c r="E542" s="3">
        <f t="shared" si="32"/>
        <v>25</v>
      </c>
      <c r="F542" s="3">
        <v>1999</v>
      </c>
      <c r="G542" s="3" t="s">
        <v>50</v>
      </c>
      <c r="H542" s="12" cm="1">
        <f t="array" ref="H542">_xlfn.IFS(TRIM(G542)="SIXTY THOUSAND",60000,TRIM(G542)="NAN",AVERAGEIFS(G:G,J:J,J542,L:L,L542),TRUE,G542)</f>
        <v>60000</v>
      </c>
      <c r="I542" s="3" t="s">
        <v>27</v>
      </c>
      <c r="J542" s="3" t="s">
        <v>70</v>
      </c>
      <c r="K542" s="3" t="str">
        <f t="shared" si="33"/>
        <v>Marketing</v>
      </c>
      <c r="L542" s="3" t="s">
        <v>94</v>
      </c>
      <c r="M542" s="4">
        <v>43549</v>
      </c>
      <c r="N542" s="4">
        <v>43549</v>
      </c>
      <c r="O542" s="3" t="s">
        <v>41</v>
      </c>
      <c r="P542" s="3">
        <v>9</v>
      </c>
      <c r="Q542" s="3" t="s">
        <v>730</v>
      </c>
      <c r="R542" s="3" t="s">
        <v>104</v>
      </c>
      <c r="S542" s="3" t="s">
        <v>66</v>
      </c>
      <c r="T542" s="3" t="str">
        <f t="shared" si="34"/>
        <v>Contract</v>
      </c>
      <c r="V542" s="3">
        <v>6</v>
      </c>
      <c r="W542" s="3">
        <v>5</v>
      </c>
      <c r="X542" s="3">
        <v>1</v>
      </c>
      <c r="Y542" s="3" t="s">
        <v>79</v>
      </c>
      <c r="Z542" s="3">
        <v>25</v>
      </c>
      <c r="AA542" s="3" t="s">
        <v>34</v>
      </c>
      <c r="AB542" s="3" t="str" cm="1">
        <f t="array" ref="AB542">_xlfn.IFS(AA542="N","No",  AA542 = "Y", "Yes", TRUE, PROPER(TRIM(AA542)))</f>
        <v>No</v>
      </c>
      <c r="AC542" s="3">
        <v>1</v>
      </c>
      <c r="AD542" s="3" t="s">
        <v>46</v>
      </c>
      <c r="AE542">
        <f t="shared" si="35"/>
        <v>1</v>
      </c>
    </row>
    <row r="543" spans="1:31" ht="14.25" customHeight="1" x14ac:dyDescent="0.35">
      <c r="A543" s="3" t="s">
        <v>1151</v>
      </c>
      <c r="B543" s="3" t="s">
        <v>25</v>
      </c>
      <c r="C543" s="3" t="s">
        <v>199</v>
      </c>
      <c r="D543" s="3">
        <v>40</v>
      </c>
      <c r="E543" s="3">
        <f t="shared" si="32"/>
        <v>40</v>
      </c>
      <c r="F543" s="3">
        <v>1984</v>
      </c>
      <c r="G543" s="3">
        <v>65000</v>
      </c>
      <c r="H543" s="12" cm="1">
        <f t="array" ref="H543">_xlfn.IFS(TRIM(G543)="SIXTY THOUSAND",60000,TRIM(G543)="NAN",AVERAGEIFS(G:G,J:J,J543,L:L,L543),TRUE,G543)</f>
        <v>65000</v>
      </c>
      <c r="I543" s="3" t="s">
        <v>38</v>
      </c>
      <c r="J543" s="3" t="s">
        <v>122</v>
      </c>
      <c r="K543" s="3" t="str">
        <f t="shared" si="33"/>
        <v>IT</v>
      </c>
      <c r="L543" s="3" t="s">
        <v>77</v>
      </c>
      <c r="M543" s="4">
        <v>43845</v>
      </c>
      <c r="N543" s="4">
        <v>43845</v>
      </c>
      <c r="O543" s="3" t="s">
        <v>30</v>
      </c>
      <c r="P543" s="3">
        <v>60</v>
      </c>
      <c r="Q543" s="3" t="s">
        <v>1152</v>
      </c>
      <c r="R543" s="3" t="s">
        <v>43</v>
      </c>
      <c r="S543" s="3" t="s">
        <v>72</v>
      </c>
      <c r="T543" s="3" t="str">
        <f t="shared" si="34"/>
        <v>Part-Time</v>
      </c>
      <c r="U543" s="3" t="s">
        <v>1014</v>
      </c>
      <c r="V543" s="3">
        <v>8</v>
      </c>
      <c r="W543" s="3">
        <v>15</v>
      </c>
      <c r="AA543" s="3" t="s">
        <v>169</v>
      </c>
      <c r="AB543" s="3" t="str" cm="1">
        <f t="array" ref="AB543">_xlfn.IFS(AA543="N","No",  AA543 = "Y", "Yes", TRUE, PROPER(TRIM(AA543)))</f>
        <v>Yes</v>
      </c>
      <c r="AC543" s="3">
        <v>3</v>
      </c>
      <c r="AD543" s="3" t="s">
        <v>34</v>
      </c>
      <c r="AE543">
        <f t="shared" si="35"/>
        <v>0</v>
      </c>
    </row>
    <row r="544" spans="1:31" ht="14.25" customHeight="1" x14ac:dyDescent="0.35">
      <c r="A544" s="3" t="s">
        <v>1153</v>
      </c>
      <c r="B544" s="3" t="s">
        <v>48</v>
      </c>
      <c r="C544" s="3" t="s">
        <v>253</v>
      </c>
      <c r="D544" s="3">
        <v>35</v>
      </c>
      <c r="E544" s="3">
        <f t="shared" si="32"/>
        <v>35</v>
      </c>
      <c r="F544" s="3">
        <v>1989</v>
      </c>
      <c r="G544" s="3" t="s">
        <v>50</v>
      </c>
      <c r="H544" s="12" cm="1">
        <f t="array" ref="H544">_xlfn.IFS(TRIM(G544)="SIXTY THOUSAND",60000,TRIM(G544)="NAN",AVERAGEIFS(G:G,J:J,J544,L:L,L544),TRUE,G544)</f>
        <v>60000</v>
      </c>
      <c r="I544" s="3" t="s">
        <v>27</v>
      </c>
      <c r="J544" s="3" t="s">
        <v>82</v>
      </c>
      <c r="K544" s="3" t="str">
        <f t="shared" si="33"/>
        <v>HR</v>
      </c>
      <c r="L544" s="3" t="s">
        <v>29</v>
      </c>
      <c r="M544" s="4">
        <v>43800</v>
      </c>
      <c r="N544" s="4">
        <v>43800</v>
      </c>
      <c r="O544" s="3" t="s">
        <v>41</v>
      </c>
      <c r="P544" s="3">
        <v>15</v>
      </c>
      <c r="Q544" s="3" t="s">
        <v>1154</v>
      </c>
      <c r="R544" s="3" t="s">
        <v>61</v>
      </c>
      <c r="S544" s="3" t="s">
        <v>32</v>
      </c>
      <c r="T544" s="3" t="str">
        <f t="shared" si="34"/>
        <v>Contract</v>
      </c>
      <c r="U544" s="3" t="s">
        <v>309</v>
      </c>
      <c r="V544" s="3">
        <v>8</v>
      </c>
      <c r="AB544" s="3" t="str" cm="1">
        <f t="array" ref="AB544">_xlfn.IFS(AA544="N","No",  AA544 = "Y", "Yes", TRUE, PROPER(TRIM(AA544)))</f>
        <v/>
      </c>
      <c r="AC544" s="3">
        <v>5</v>
      </c>
      <c r="AD544" s="3" t="s">
        <v>34</v>
      </c>
      <c r="AE544">
        <f t="shared" si="35"/>
        <v>0</v>
      </c>
    </row>
    <row r="545" spans="1:31" ht="14.25" customHeight="1" x14ac:dyDescent="0.35">
      <c r="A545" s="3" t="s">
        <v>1155</v>
      </c>
      <c r="B545" s="3" t="s">
        <v>68</v>
      </c>
      <c r="C545" s="3" t="s">
        <v>849</v>
      </c>
      <c r="D545" s="3">
        <v>40</v>
      </c>
      <c r="E545" s="3">
        <f t="shared" si="32"/>
        <v>40</v>
      </c>
      <c r="F545" s="3">
        <v>1984</v>
      </c>
      <c r="G545" s="3" t="s">
        <v>50</v>
      </c>
      <c r="H545" s="12" cm="1">
        <f t="array" ref="H545">_xlfn.IFS(TRIM(G545)="SIXTY THOUSAND",60000,TRIM(G545)="NAN",AVERAGEIFS(G:G,J:J,J545,L:L,L545),TRUE,G545)</f>
        <v>60000</v>
      </c>
      <c r="I545" s="3" t="s">
        <v>27</v>
      </c>
      <c r="J545" s="3" t="s">
        <v>58</v>
      </c>
      <c r="K545" s="3" t="str">
        <f t="shared" si="33"/>
        <v>IT</v>
      </c>
      <c r="L545" s="3" t="s">
        <v>40</v>
      </c>
      <c r="M545" s="4">
        <v>43800</v>
      </c>
      <c r="N545" s="4">
        <v>43800</v>
      </c>
      <c r="O545" s="3" t="s">
        <v>59</v>
      </c>
      <c r="P545" s="3">
        <v>93</v>
      </c>
      <c r="Q545" s="3" t="s">
        <v>850</v>
      </c>
      <c r="R545" s="3" t="s">
        <v>104</v>
      </c>
      <c r="S545" s="3" t="s">
        <v>72</v>
      </c>
      <c r="T545" s="3" t="str">
        <f t="shared" si="34"/>
        <v>Part-Time</v>
      </c>
      <c r="V545" s="3">
        <v>6</v>
      </c>
      <c r="X545" s="3">
        <v>19</v>
      </c>
      <c r="Z545" s="3">
        <v>35</v>
      </c>
      <c r="AA545" s="3" t="s">
        <v>33</v>
      </c>
      <c r="AB545" s="3" t="str" cm="1">
        <f t="array" ref="AB545">_xlfn.IFS(AA545="N","No",  AA545 = "Y", "Yes", TRUE, PROPER(TRIM(AA545)))</f>
        <v>Yes</v>
      </c>
      <c r="AC545" s="3">
        <v>2</v>
      </c>
      <c r="AD545" s="3" t="s">
        <v>46</v>
      </c>
      <c r="AE545">
        <f t="shared" si="35"/>
        <v>1</v>
      </c>
    </row>
    <row r="546" spans="1:31" ht="14.25" customHeight="1" x14ac:dyDescent="0.35">
      <c r="A546" s="3" t="s">
        <v>1156</v>
      </c>
      <c r="B546" s="3" t="s">
        <v>140</v>
      </c>
      <c r="C546" s="3" t="s">
        <v>299</v>
      </c>
      <c r="D546" s="3">
        <v>25</v>
      </c>
      <c r="E546" s="3">
        <f t="shared" si="32"/>
        <v>25</v>
      </c>
      <c r="F546" s="3">
        <v>1999</v>
      </c>
      <c r="G546" s="3">
        <v>65000</v>
      </c>
      <c r="H546" s="12" cm="1">
        <f t="array" ref="H546">_xlfn.IFS(TRIM(G546)="SIXTY THOUSAND",60000,TRIM(G546)="NAN",AVERAGEIFS(G:G,J:J,J546,L:L,L546),TRUE,G546)</f>
        <v>65000</v>
      </c>
      <c r="I546" s="3" t="s">
        <v>38</v>
      </c>
      <c r="J546" s="3" t="s">
        <v>122</v>
      </c>
      <c r="K546" s="3" t="str">
        <f t="shared" si="33"/>
        <v>IT</v>
      </c>
      <c r="L546" s="3" t="s">
        <v>40</v>
      </c>
      <c r="M546" s="4">
        <v>43881</v>
      </c>
      <c r="N546" s="4">
        <v>43881</v>
      </c>
      <c r="O546" s="3" t="s">
        <v>59</v>
      </c>
      <c r="P546" s="3">
        <v>97</v>
      </c>
      <c r="Q546" s="3" t="s">
        <v>1157</v>
      </c>
      <c r="S546" s="3" t="s">
        <v>32</v>
      </c>
      <c r="T546" s="3" t="str">
        <f t="shared" si="34"/>
        <v>Contract</v>
      </c>
      <c r="V546" s="3">
        <v>5</v>
      </c>
      <c r="AA546" s="3" t="s">
        <v>46</v>
      </c>
      <c r="AB546" s="3" t="str" cm="1">
        <f t="array" ref="AB546">_xlfn.IFS(AA546="N","No",  AA546 = "Y", "Yes", TRUE, PROPER(TRIM(AA546)))</f>
        <v>Yes</v>
      </c>
      <c r="AC546" s="3">
        <v>2</v>
      </c>
      <c r="AD546" s="3" t="s">
        <v>46</v>
      </c>
      <c r="AE546">
        <f t="shared" si="35"/>
        <v>1</v>
      </c>
    </row>
    <row r="547" spans="1:31" ht="14.25" customHeight="1" x14ac:dyDescent="0.35">
      <c r="A547" s="3" t="s">
        <v>1158</v>
      </c>
      <c r="B547" s="3" t="s">
        <v>114</v>
      </c>
      <c r="C547" s="3" t="s">
        <v>608</v>
      </c>
      <c r="D547" s="3">
        <v>40</v>
      </c>
      <c r="E547" s="3">
        <f t="shared" si="32"/>
        <v>40</v>
      </c>
      <c r="F547" s="3">
        <v>1984</v>
      </c>
      <c r="G547" s="3" t="s">
        <v>50</v>
      </c>
      <c r="H547" s="12" cm="1">
        <f t="array" ref="H547">_xlfn.IFS(TRIM(G547)="SIXTY THOUSAND",60000,TRIM(G547)="NAN",AVERAGEIFS(G:G,J:J,J547,L:L,L547),TRUE,G547)</f>
        <v>60000</v>
      </c>
      <c r="I547" s="3" t="s">
        <v>27</v>
      </c>
      <c r="J547" s="3" t="s">
        <v>28</v>
      </c>
      <c r="K547" s="3" t="str">
        <f t="shared" si="33"/>
        <v>HR</v>
      </c>
      <c r="L547" s="3" t="s">
        <v>77</v>
      </c>
      <c r="M547" s="4">
        <v>43881</v>
      </c>
      <c r="N547" s="4">
        <v>43881</v>
      </c>
      <c r="O547" s="3" t="s">
        <v>59</v>
      </c>
      <c r="P547" s="3">
        <v>90</v>
      </c>
      <c r="Q547" s="3" t="s">
        <v>609</v>
      </c>
      <c r="R547" s="3" t="s">
        <v>61</v>
      </c>
      <c r="S547" s="3" t="s">
        <v>44</v>
      </c>
      <c r="T547" s="3" t="str">
        <f t="shared" si="34"/>
        <v>Full-Time</v>
      </c>
      <c r="U547" s="3" t="s">
        <v>1159</v>
      </c>
      <c r="V547" s="3">
        <v>3</v>
      </c>
      <c r="X547" s="3">
        <v>8</v>
      </c>
      <c r="Y547" s="4">
        <v>44941</v>
      </c>
      <c r="AA547" s="3" t="s">
        <v>33</v>
      </c>
      <c r="AB547" s="3" t="str" cm="1">
        <f t="array" ref="AB547">_xlfn.IFS(AA547="N","No",  AA547 = "Y", "Yes", TRUE, PROPER(TRIM(AA547)))</f>
        <v>Yes</v>
      </c>
      <c r="AC547" s="3">
        <v>2</v>
      </c>
      <c r="AD547" s="3" t="s">
        <v>46</v>
      </c>
      <c r="AE547">
        <f t="shared" si="35"/>
        <v>1</v>
      </c>
    </row>
    <row r="548" spans="1:31" ht="14.25" customHeight="1" x14ac:dyDescent="0.35">
      <c r="A548" s="3" t="s">
        <v>1160</v>
      </c>
      <c r="B548" s="3" t="s">
        <v>68</v>
      </c>
      <c r="C548" s="3" t="s">
        <v>154</v>
      </c>
      <c r="D548" s="3" t="s">
        <v>88</v>
      </c>
      <c r="E548" s="3">
        <f t="shared" si="32"/>
        <v>30</v>
      </c>
      <c r="F548" s="3">
        <v>1994</v>
      </c>
      <c r="G548" s="3" t="s">
        <v>50</v>
      </c>
      <c r="H548" s="12" cm="1">
        <f t="array" ref="H548">_xlfn.IFS(TRIM(G548)="SIXTY THOUSAND",60000,TRIM(G548)="NAN",AVERAGEIFS(G:G,J:J,J548,L:L,L548),TRUE,G548)</f>
        <v>60000</v>
      </c>
      <c r="I548" s="3" t="s">
        <v>38</v>
      </c>
      <c r="J548" s="3" t="s">
        <v>28</v>
      </c>
      <c r="K548" s="3" t="str">
        <f t="shared" si="33"/>
        <v>HR</v>
      </c>
      <c r="L548" s="3" t="s">
        <v>40</v>
      </c>
      <c r="M548" s="4">
        <v>43845</v>
      </c>
      <c r="N548" s="4">
        <v>43845</v>
      </c>
      <c r="O548" s="3" t="s">
        <v>59</v>
      </c>
      <c r="P548" s="3">
        <v>93</v>
      </c>
      <c r="Q548" s="3" t="s">
        <v>1161</v>
      </c>
      <c r="R548" s="3" t="s">
        <v>54</v>
      </c>
      <c r="S548" s="3" t="s">
        <v>66</v>
      </c>
      <c r="T548" s="3" t="str">
        <f t="shared" si="34"/>
        <v>Contract</v>
      </c>
      <c r="U548" s="3" t="s">
        <v>793</v>
      </c>
      <c r="V548" s="3">
        <v>6</v>
      </c>
      <c r="Y548" s="4">
        <v>44990</v>
      </c>
      <c r="Z548" s="3">
        <v>44</v>
      </c>
      <c r="AA548" s="3" t="s">
        <v>73</v>
      </c>
      <c r="AB548" s="3" t="str" cm="1">
        <f t="array" ref="AB548">_xlfn.IFS(AA548="N","No",  AA548 = "Y", "Yes", TRUE, PROPER(TRIM(AA548)))</f>
        <v>No</v>
      </c>
      <c r="AC548" s="3">
        <v>2</v>
      </c>
      <c r="AD548" s="3" t="s">
        <v>34</v>
      </c>
      <c r="AE548">
        <f t="shared" si="35"/>
        <v>0</v>
      </c>
    </row>
    <row r="549" spans="1:31" ht="14.25" customHeight="1" x14ac:dyDescent="0.35">
      <c r="A549" s="3" t="s">
        <v>1162</v>
      </c>
      <c r="B549" s="3" t="s">
        <v>114</v>
      </c>
      <c r="C549" s="3" t="s">
        <v>462</v>
      </c>
      <c r="E549" s="3">
        <f t="shared" si="32"/>
        <v>36</v>
      </c>
      <c r="F549" s="3">
        <v>1988</v>
      </c>
      <c r="G549" s="3">
        <v>55000</v>
      </c>
      <c r="H549" s="12" cm="1">
        <f t="array" ref="H549">_xlfn.IFS(TRIM(G549)="SIXTY THOUSAND",60000,TRIM(G549)="NAN",AVERAGEIFS(G:G,J:J,J549,L:L,L549),TRUE,G549)</f>
        <v>55000</v>
      </c>
      <c r="I549" s="3" t="s">
        <v>27</v>
      </c>
      <c r="J549" s="3" t="s">
        <v>145</v>
      </c>
      <c r="K549" s="3" t="str">
        <f t="shared" si="33"/>
        <v>Sales</v>
      </c>
      <c r="L549" s="3" t="s">
        <v>94</v>
      </c>
      <c r="M549" s="4">
        <v>43800</v>
      </c>
      <c r="N549" s="4">
        <v>43800</v>
      </c>
      <c r="O549" s="3" t="s">
        <v>52</v>
      </c>
      <c r="P549" s="3">
        <v>75</v>
      </c>
      <c r="Q549" s="3" t="s">
        <v>1163</v>
      </c>
      <c r="S549" s="3" t="s">
        <v>174</v>
      </c>
      <c r="T549" s="3" t="str">
        <f t="shared" si="34"/>
        <v>Full-Time</v>
      </c>
      <c r="V549" s="3">
        <v>6</v>
      </c>
      <c r="Y549" s="3" t="s">
        <v>79</v>
      </c>
      <c r="AA549" s="3" t="s">
        <v>46</v>
      </c>
      <c r="AB549" s="3" t="str" cm="1">
        <f t="array" ref="AB549">_xlfn.IFS(AA549="N","No",  AA549 = "Y", "Yes", TRUE, PROPER(TRIM(AA549)))</f>
        <v>Yes</v>
      </c>
      <c r="AC549" s="3">
        <v>4</v>
      </c>
      <c r="AD549" s="3" t="s">
        <v>34</v>
      </c>
      <c r="AE549">
        <f t="shared" si="35"/>
        <v>0</v>
      </c>
    </row>
    <row r="550" spans="1:31" ht="14.25" customHeight="1" x14ac:dyDescent="0.35">
      <c r="A550" s="3" t="s">
        <v>1164</v>
      </c>
      <c r="B550" s="3" t="s">
        <v>56</v>
      </c>
      <c r="C550" s="3" t="s">
        <v>87</v>
      </c>
      <c r="D550" s="3">
        <v>35</v>
      </c>
      <c r="E550" s="3">
        <f t="shared" si="32"/>
        <v>35</v>
      </c>
      <c r="F550" s="3">
        <v>1989</v>
      </c>
      <c r="G550" s="3">
        <v>70000</v>
      </c>
      <c r="H550" s="12" cm="1">
        <f t="array" ref="H550">_xlfn.IFS(TRIM(G550)="SIXTY THOUSAND",60000,TRIM(G550)="NAN",AVERAGEIFS(G:G,J:J,J550,L:L,L550),TRUE,G550)</f>
        <v>70000</v>
      </c>
      <c r="I550" s="3" t="s">
        <v>38</v>
      </c>
      <c r="J550" s="3" t="s">
        <v>145</v>
      </c>
      <c r="K550" s="3" t="str">
        <f t="shared" si="33"/>
        <v>Sales</v>
      </c>
      <c r="L550" s="3" t="s">
        <v>77</v>
      </c>
      <c r="M550" s="4">
        <v>43881</v>
      </c>
      <c r="N550" s="4">
        <v>43881</v>
      </c>
      <c r="O550" s="3" t="s">
        <v>41</v>
      </c>
      <c r="P550" s="3">
        <v>56</v>
      </c>
      <c r="Q550" s="3" t="s">
        <v>129</v>
      </c>
      <c r="R550" s="3" t="s">
        <v>61</v>
      </c>
      <c r="S550" s="3" t="s">
        <v>100</v>
      </c>
      <c r="T550" s="3" t="str">
        <f t="shared" si="34"/>
        <v>Part-Time</v>
      </c>
      <c r="V550" s="3">
        <v>7</v>
      </c>
      <c r="W550" s="3">
        <v>6</v>
      </c>
      <c r="Y550" s="4">
        <v>45516</v>
      </c>
      <c r="AA550" s="3" t="s">
        <v>73</v>
      </c>
      <c r="AB550" s="3" t="str" cm="1">
        <f t="array" ref="AB550">_xlfn.IFS(AA550="N","No",  AA550 = "Y", "Yes", TRUE, PROPER(TRIM(AA550)))</f>
        <v>No</v>
      </c>
      <c r="AC550" s="3">
        <v>4</v>
      </c>
      <c r="AD550" s="3" t="s">
        <v>34</v>
      </c>
      <c r="AE550">
        <f t="shared" si="35"/>
        <v>0</v>
      </c>
    </row>
    <row r="551" spans="1:31" ht="14.25" customHeight="1" x14ac:dyDescent="0.35">
      <c r="A551" s="3" t="s">
        <v>1165</v>
      </c>
      <c r="B551" s="3" t="s">
        <v>56</v>
      </c>
      <c r="C551" s="3" t="s">
        <v>164</v>
      </c>
      <c r="D551" s="3">
        <v>50</v>
      </c>
      <c r="E551" s="3">
        <f t="shared" si="32"/>
        <v>50</v>
      </c>
      <c r="F551" s="3">
        <v>1974</v>
      </c>
      <c r="G551" s="3">
        <v>70000</v>
      </c>
      <c r="H551" s="12" cm="1">
        <f t="array" ref="H551">_xlfn.IFS(TRIM(G551)="SIXTY THOUSAND",60000,TRIM(G551)="NAN",AVERAGEIFS(G:G,J:J,J551,L:L,L551),TRUE,G551)</f>
        <v>70000</v>
      </c>
      <c r="I551" s="3" t="s">
        <v>27</v>
      </c>
      <c r="J551" s="3" t="s">
        <v>82</v>
      </c>
      <c r="K551" s="3" t="str">
        <f t="shared" si="33"/>
        <v>HR</v>
      </c>
      <c r="L551" s="3" t="s">
        <v>89</v>
      </c>
      <c r="M551" s="4">
        <v>43549</v>
      </c>
      <c r="N551" s="4">
        <v>43549</v>
      </c>
      <c r="O551" s="3" t="s">
        <v>78</v>
      </c>
      <c r="P551" s="3">
        <v>88</v>
      </c>
      <c r="Q551" s="3" t="s">
        <v>165</v>
      </c>
      <c r="R551" s="3" t="s">
        <v>43</v>
      </c>
      <c r="S551" s="3" t="s">
        <v>174</v>
      </c>
      <c r="T551" s="3" t="str">
        <f t="shared" si="34"/>
        <v>Full-Time</v>
      </c>
      <c r="V551" s="3">
        <v>3</v>
      </c>
      <c r="Y551" s="4">
        <v>44732</v>
      </c>
      <c r="AA551" s="3" t="s">
        <v>34</v>
      </c>
      <c r="AB551" s="3" t="str" cm="1">
        <f t="array" ref="AB551">_xlfn.IFS(AA551="N","No",  AA551 = "Y", "Yes", TRUE, PROPER(TRIM(AA551)))</f>
        <v>No</v>
      </c>
      <c r="AC551" s="3">
        <v>5</v>
      </c>
      <c r="AD551" s="3" t="s">
        <v>46</v>
      </c>
      <c r="AE551">
        <f t="shared" si="35"/>
        <v>1</v>
      </c>
    </row>
    <row r="552" spans="1:31" ht="14.25" customHeight="1" x14ac:dyDescent="0.35">
      <c r="A552" s="3" t="s">
        <v>1166</v>
      </c>
      <c r="B552" s="3" t="s">
        <v>107</v>
      </c>
      <c r="C552" s="3" t="s">
        <v>729</v>
      </c>
      <c r="E552" s="3">
        <f t="shared" si="32"/>
        <v>33</v>
      </c>
      <c r="F552" s="3">
        <v>1991</v>
      </c>
      <c r="G552" s="3">
        <v>60800</v>
      </c>
      <c r="H552" s="12" cm="1">
        <f t="array" ref="H552">_xlfn.IFS(TRIM(G552)="SIXTY THOUSAND",60000,TRIM(G552)="NAN",AVERAGEIFS(G:G,J:J,J552,L:L,L552),TRUE,G552)</f>
        <v>60800</v>
      </c>
      <c r="I552" s="3" t="s">
        <v>27</v>
      </c>
      <c r="J552" s="3" t="s">
        <v>64</v>
      </c>
      <c r="K552" s="3" t="str">
        <f t="shared" si="33"/>
        <v>Finance</v>
      </c>
      <c r="L552" s="3" t="s">
        <v>94</v>
      </c>
      <c r="M552" s="4">
        <v>43549</v>
      </c>
      <c r="N552" s="4">
        <v>43549</v>
      </c>
      <c r="O552" s="3" t="s">
        <v>41</v>
      </c>
      <c r="P552" s="3">
        <v>56</v>
      </c>
      <c r="Q552" s="3" t="s">
        <v>730</v>
      </c>
      <c r="R552" s="3" t="s">
        <v>54</v>
      </c>
      <c r="S552" s="3" t="s">
        <v>112</v>
      </c>
      <c r="T552" s="3" t="str">
        <f t="shared" si="34"/>
        <v>Full-Time</v>
      </c>
      <c r="U552" s="3" t="s">
        <v>897</v>
      </c>
      <c r="V552" s="3">
        <v>1</v>
      </c>
      <c r="W552" s="3" t="s">
        <v>79</v>
      </c>
      <c r="X552" s="3">
        <v>10</v>
      </c>
      <c r="Y552" s="4">
        <v>44470</v>
      </c>
      <c r="AA552" s="3" t="s">
        <v>33</v>
      </c>
      <c r="AB552" s="3" t="str" cm="1">
        <f t="array" ref="AB552">_xlfn.IFS(AA552="N","No",  AA552 = "Y", "Yes", TRUE, PROPER(TRIM(AA552)))</f>
        <v>Yes</v>
      </c>
      <c r="AC552" s="3">
        <v>5</v>
      </c>
      <c r="AD552" s="3" t="s">
        <v>34</v>
      </c>
      <c r="AE552">
        <f t="shared" si="35"/>
        <v>0</v>
      </c>
    </row>
    <row r="553" spans="1:31" ht="14.25" customHeight="1" x14ac:dyDescent="0.35">
      <c r="A553" s="3" t="s">
        <v>1167</v>
      </c>
      <c r="B553" s="3" t="s">
        <v>75</v>
      </c>
      <c r="C553" s="3" t="s">
        <v>151</v>
      </c>
      <c r="D553" s="3">
        <v>40</v>
      </c>
      <c r="E553" s="3">
        <f t="shared" si="32"/>
        <v>40</v>
      </c>
      <c r="F553" s="3">
        <v>1984</v>
      </c>
      <c r="G553" s="3">
        <v>60000</v>
      </c>
      <c r="H553" s="12" cm="1">
        <f t="array" ref="H553">_xlfn.IFS(TRIM(G553)="SIXTY THOUSAND",60000,TRIM(G553)="NAN",AVERAGEIFS(G:G,J:J,J553,L:L,L553),TRUE,G553)</f>
        <v>60000</v>
      </c>
      <c r="I553" s="3" t="s">
        <v>27</v>
      </c>
      <c r="J553" s="3" t="s">
        <v>145</v>
      </c>
      <c r="K553" s="3" t="str">
        <f t="shared" si="33"/>
        <v>Sales</v>
      </c>
      <c r="L553" s="3" t="s">
        <v>94</v>
      </c>
      <c r="M553" s="4">
        <v>43800</v>
      </c>
      <c r="N553" s="4">
        <v>43800</v>
      </c>
      <c r="O553" s="3" t="s">
        <v>52</v>
      </c>
      <c r="P553" s="3">
        <v>78</v>
      </c>
      <c r="Q553" s="3" t="s">
        <v>152</v>
      </c>
      <c r="S553" s="3" t="s">
        <v>100</v>
      </c>
      <c r="T553" s="3" t="str">
        <f t="shared" si="34"/>
        <v>Part-Time</v>
      </c>
      <c r="V553" s="3">
        <v>6</v>
      </c>
      <c r="W553" s="3">
        <v>1</v>
      </c>
      <c r="X553" s="3">
        <v>19</v>
      </c>
      <c r="Y553" s="3" t="s">
        <v>79</v>
      </c>
      <c r="Z553" s="3">
        <v>65</v>
      </c>
      <c r="AA553" s="3" t="s">
        <v>34</v>
      </c>
      <c r="AB553" s="3" t="str" cm="1">
        <f t="array" ref="AB553">_xlfn.IFS(AA553="N","No",  AA553 = "Y", "Yes", TRUE, PROPER(TRIM(AA553)))</f>
        <v>No</v>
      </c>
      <c r="AC553" s="3">
        <v>1</v>
      </c>
      <c r="AD553" s="3" t="s">
        <v>46</v>
      </c>
      <c r="AE553">
        <f t="shared" si="35"/>
        <v>1</v>
      </c>
    </row>
    <row r="554" spans="1:31" ht="14.25" customHeight="1" x14ac:dyDescent="0.35">
      <c r="A554" s="3" t="s">
        <v>1168</v>
      </c>
      <c r="B554" s="3" t="s">
        <v>48</v>
      </c>
      <c r="C554" s="3" t="s">
        <v>96</v>
      </c>
      <c r="D554" s="3">
        <v>35</v>
      </c>
      <c r="E554" s="3">
        <f t="shared" si="32"/>
        <v>35</v>
      </c>
      <c r="F554" s="3">
        <v>1989</v>
      </c>
      <c r="G554" s="3">
        <v>55000</v>
      </c>
      <c r="H554" s="12" cm="1">
        <f t="array" ref="H554">_xlfn.IFS(TRIM(G554)="SIXTY THOUSAND",60000,TRIM(G554)="NAN",AVERAGEIFS(G:G,J:J,J554,L:L,L554),TRUE,G554)</f>
        <v>55000</v>
      </c>
      <c r="I554" s="3" t="s">
        <v>38</v>
      </c>
      <c r="J554" s="3" t="s">
        <v>39</v>
      </c>
      <c r="K554" s="3" t="str">
        <f t="shared" si="33"/>
        <v>Finance</v>
      </c>
      <c r="L554" s="3" t="s">
        <v>94</v>
      </c>
      <c r="M554" s="4">
        <v>43881</v>
      </c>
      <c r="N554" s="4">
        <v>43881</v>
      </c>
      <c r="O554" s="3" t="s">
        <v>59</v>
      </c>
      <c r="P554" s="3">
        <v>95</v>
      </c>
      <c r="Q554" s="3" t="s">
        <v>97</v>
      </c>
      <c r="R554" s="3" t="s">
        <v>43</v>
      </c>
      <c r="S554" s="3" t="s">
        <v>32</v>
      </c>
      <c r="T554" s="3" t="str">
        <f t="shared" si="34"/>
        <v>Contract</v>
      </c>
      <c r="V554" s="3">
        <v>4</v>
      </c>
      <c r="X554" s="3">
        <v>3</v>
      </c>
      <c r="Y554" s="4">
        <v>44732</v>
      </c>
      <c r="AB554" s="3" t="str" cm="1">
        <f t="array" ref="AB554">_xlfn.IFS(AA554="N","No",  AA554 = "Y", "Yes", TRUE, PROPER(TRIM(AA554)))</f>
        <v/>
      </c>
      <c r="AC554" s="3">
        <v>4</v>
      </c>
      <c r="AD554" s="3" t="s">
        <v>34</v>
      </c>
      <c r="AE554">
        <f t="shared" si="35"/>
        <v>0</v>
      </c>
    </row>
    <row r="555" spans="1:31" ht="14.25" customHeight="1" x14ac:dyDescent="0.35">
      <c r="A555" s="3" t="s">
        <v>1169</v>
      </c>
      <c r="B555" s="3" t="s">
        <v>131</v>
      </c>
      <c r="C555" s="3" t="s">
        <v>635</v>
      </c>
      <c r="D555" s="3">
        <v>40</v>
      </c>
      <c r="E555" s="3">
        <f t="shared" si="32"/>
        <v>40</v>
      </c>
      <c r="F555" s="3">
        <v>1984</v>
      </c>
      <c r="G555" s="3">
        <v>61500</v>
      </c>
      <c r="H555" s="12" cm="1">
        <f t="array" ref="H555">_xlfn.IFS(TRIM(G555)="SIXTY THOUSAND",60000,TRIM(G555)="NAN",AVERAGEIFS(G:G,J:J,J555,L:L,L555),TRUE,G555)</f>
        <v>61500</v>
      </c>
      <c r="I555" s="3" t="s">
        <v>38</v>
      </c>
      <c r="J555" s="3" t="s">
        <v>28</v>
      </c>
      <c r="K555" s="3" t="str">
        <f t="shared" si="33"/>
        <v>HR</v>
      </c>
      <c r="L555" s="3" t="s">
        <v>89</v>
      </c>
      <c r="M555" s="4">
        <v>43845</v>
      </c>
      <c r="N555" s="4">
        <v>43845</v>
      </c>
      <c r="O555" s="3" t="s">
        <v>52</v>
      </c>
      <c r="P555" s="3">
        <v>72</v>
      </c>
      <c r="Q555" s="3" t="s">
        <v>636</v>
      </c>
      <c r="R555" s="3" t="s">
        <v>54</v>
      </c>
      <c r="S555" s="3" t="s">
        <v>72</v>
      </c>
      <c r="T555" s="3" t="str">
        <f t="shared" si="34"/>
        <v>Part-Time</v>
      </c>
      <c r="U555" s="3" t="s">
        <v>1170</v>
      </c>
      <c r="V555" s="3">
        <v>4</v>
      </c>
      <c r="W555" s="3" t="s">
        <v>79</v>
      </c>
      <c r="Y555" s="3" t="s">
        <v>79</v>
      </c>
      <c r="AB555" s="3" t="str" cm="1">
        <f t="array" ref="AB555">_xlfn.IFS(AA555="N","No",  AA555 = "Y", "Yes", TRUE, PROPER(TRIM(AA555)))</f>
        <v/>
      </c>
      <c r="AC555" s="3">
        <v>5</v>
      </c>
      <c r="AD555" s="3" t="s">
        <v>34</v>
      </c>
      <c r="AE555">
        <f t="shared" si="35"/>
        <v>0</v>
      </c>
    </row>
    <row r="556" spans="1:31" ht="14.25" customHeight="1" x14ac:dyDescent="0.35">
      <c r="A556" s="3" t="s">
        <v>1171</v>
      </c>
      <c r="B556" s="3" t="s">
        <v>107</v>
      </c>
      <c r="C556" s="3" t="s">
        <v>837</v>
      </c>
      <c r="D556" s="3" t="s">
        <v>88</v>
      </c>
      <c r="E556" s="3">
        <f t="shared" si="32"/>
        <v>30</v>
      </c>
      <c r="F556" s="3">
        <v>1994</v>
      </c>
      <c r="G556" s="3">
        <v>65000</v>
      </c>
      <c r="H556" s="12" cm="1">
        <f t="array" ref="H556">_xlfn.IFS(TRIM(G556)="SIXTY THOUSAND",60000,TRIM(G556)="NAN",AVERAGEIFS(G:G,J:J,J556,L:L,L556),TRUE,G556)</f>
        <v>65000</v>
      </c>
      <c r="I556" s="3" t="s">
        <v>38</v>
      </c>
      <c r="J556" s="3" t="s">
        <v>145</v>
      </c>
      <c r="K556" s="3" t="str">
        <f t="shared" si="33"/>
        <v>Sales</v>
      </c>
      <c r="L556" s="3" t="s">
        <v>29</v>
      </c>
      <c r="M556" s="4">
        <v>43845</v>
      </c>
      <c r="N556" s="4">
        <v>43845</v>
      </c>
      <c r="O556" s="3" t="s">
        <v>30</v>
      </c>
      <c r="P556" s="3">
        <v>63</v>
      </c>
      <c r="Q556" s="3" t="s">
        <v>838</v>
      </c>
      <c r="R556" s="3" t="s">
        <v>104</v>
      </c>
      <c r="S556" s="3" t="s">
        <v>72</v>
      </c>
      <c r="T556" s="3" t="str">
        <f t="shared" si="34"/>
        <v>Part-Time</v>
      </c>
      <c r="V556" s="3">
        <v>7</v>
      </c>
      <c r="Y556" s="4">
        <v>44990</v>
      </c>
      <c r="AA556" s="3" t="s">
        <v>34</v>
      </c>
      <c r="AB556" s="3" t="str" cm="1">
        <f t="array" ref="AB556">_xlfn.IFS(AA556="N","No",  AA556 = "Y", "Yes", TRUE, PROPER(TRIM(AA556)))</f>
        <v>No</v>
      </c>
      <c r="AC556" s="3">
        <v>2</v>
      </c>
      <c r="AD556" s="3" t="s">
        <v>34</v>
      </c>
      <c r="AE556">
        <f t="shared" si="35"/>
        <v>0</v>
      </c>
    </row>
    <row r="557" spans="1:31" ht="14.25" customHeight="1" x14ac:dyDescent="0.35">
      <c r="A557" s="3" t="s">
        <v>1172</v>
      </c>
      <c r="B557" s="3" t="s">
        <v>36</v>
      </c>
      <c r="C557" s="3" t="s">
        <v>315</v>
      </c>
      <c r="D557" s="3">
        <v>25</v>
      </c>
      <c r="E557" s="3">
        <f t="shared" si="32"/>
        <v>25</v>
      </c>
      <c r="F557" s="3">
        <v>1999</v>
      </c>
      <c r="G557" s="3">
        <v>50000</v>
      </c>
      <c r="H557" s="12" cm="1">
        <f t="array" ref="H557">_xlfn.IFS(TRIM(G557)="SIXTY THOUSAND",60000,TRIM(G557)="NAN",AVERAGEIFS(G:G,J:J,J557,L:L,L557),TRUE,G557)</f>
        <v>50000</v>
      </c>
      <c r="I557" s="3" t="s">
        <v>27</v>
      </c>
      <c r="J557" s="3" t="s">
        <v>122</v>
      </c>
      <c r="K557" s="3" t="str">
        <f t="shared" si="33"/>
        <v>IT</v>
      </c>
      <c r="L557" s="3" t="s">
        <v>40</v>
      </c>
      <c r="M557" s="4">
        <v>43845</v>
      </c>
      <c r="N557" s="4">
        <v>43845</v>
      </c>
      <c r="O557" s="3" t="s">
        <v>30</v>
      </c>
      <c r="P557" s="3">
        <v>67</v>
      </c>
      <c r="Q557" s="3" t="s">
        <v>1173</v>
      </c>
      <c r="R557" s="3" t="s">
        <v>43</v>
      </c>
      <c r="S557" s="3" t="s">
        <v>174</v>
      </c>
      <c r="T557" s="3" t="str">
        <f t="shared" si="34"/>
        <v>Full-Time</v>
      </c>
      <c r="V557" s="3">
        <v>5</v>
      </c>
      <c r="W557" s="3" t="s">
        <v>79</v>
      </c>
      <c r="Y557" s="3" t="s">
        <v>79</v>
      </c>
      <c r="AA557" s="3" t="s">
        <v>34</v>
      </c>
      <c r="AB557" s="3" t="str" cm="1">
        <f t="array" ref="AB557">_xlfn.IFS(AA557="N","No",  AA557 = "Y", "Yes", TRUE, PROPER(TRIM(AA557)))</f>
        <v>No</v>
      </c>
      <c r="AC557" s="3">
        <v>4</v>
      </c>
      <c r="AD557" s="3" t="s">
        <v>34</v>
      </c>
      <c r="AE557">
        <f t="shared" si="35"/>
        <v>0</v>
      </c>
    </row>
    <row r="558" spans="1:31" ht="14.25" customHeight="1" x14ac:dyDescent="0.35">
      <c r="A558" s="3" t="s">
        <v>1174</v>
      </c>
      <c r="B558" s="3" t="s">
        <v>131</v>
      </c>
      <c r="C558" s="3" t="s">
        <v>285</v>
      </c>
      <c r="D558" s="3">
        <v>35</v>
      </c>
      <c r="E558" s="3">
        <f t="shared" si="32"/>
        <v>35</v>
      </c>
      <c r="F558" s="3">
        <v>1989</v>
      </c>
      <c r="G558" s="3">
        <v>50000</v>
      </c>
      <c r="H558" s="12" cm="1">
        <f t="array" ref="H558">_xlfn.IFS(TRIM(G558)="SIXTY THOUSAND",60000,TRIM(G558)="NAN",AVERAGEIFS(G:G,J:J,J558,L:L,L558),TRUE,G558)</f>
        <v>50000</v>
      </c>
      <c r="I558" s="3" t="s">
        <v>38</v>
      </c>
      <c r="J558" s="3" t="s">
        <v>82</v>
      </c>
      <c r="K558" s="3" t="str">
        <f t="shared" si="33"/>
        <v>HR</v>
      </c>
      <c r="L558" s="3" t="s">
        <v>77</v>
      </c>
      <c r="M558" s="4">
        <v>43549</v>
      </c>
      <c r="N558" s="4">
        <v>43549</v>
      </c>
      <c r="O558" s="3" t="s">
        <v>41</v>
      </c>
      <c r="P558" s="3">
        <v>35</v>
      </c>
      <c r="Q558" s="3" t="s">
        <v>286</v>
      </c>
      <c r="R558" s="3" t="s">
        <v>61</v>
      </c>
      <c r="S558" s="3" t="s">
        <v>72</v>
      </c>
      <c r="T558" s="3" t="str">
        <f t="shared" si="34"/>
        <v>Part-Time</v>
      </c>
      <c r="U558" s="3" t="s">
        <v>212</v>
      </c>
      <c r="V558" s="3">
        <v>6</v>
      </c>
      <c r="X558" s="3">
        <v>7</v>
      </c>
      <c r="Y558" s="4">
        <v>45516</v>
      </c>
      <c r="AA558" s="3" t="s">
        <v>169</v>
      </c>
      <c r="AB558" s="3" t="str" cm="1">
        <f t="array" ref="AB558">_xlfn.IFS(AA558="N","No",  AA558 = "Y", "Yes", TRUE, PROPER(TRIM(AA558)))</f>
        <v>Yes</v>
      </c>
      <c r="AC558" s="3">
        <v>4</v>
      </c>
      <c r="AD558" s="3" t="s">
        <v>46</v>
      </c>
      <c r="AE558">
        <f t="shared" si="35"/>
        <v>1</v>
      </c>
    </row>
    <row r="559" spans="1:31" ht="14.25" customHeight="1" x14ac:dyDescent="0.35">
      <c r="A559" s="3" t="s">
        <v>1175</v>
      </c>
      <c r="B559" s="3" t="s">
        <v>25</v>
      </c>
      <c r="C559" s="3" t="s">
        <v>81</v>
      </c>
      <c r="D559" s="3" t="s">
        <v>88</v>
      </c>
      <c r="E559" s="3">
        <f t="shared" si="32"/>
        <v>30</v>
      </c>
      <c r="F559" s="3">
        <v>1994</v>
      </c>
      <c r="G559" s="3">
        <v>50000</v>
      </c>
      <c r="H559" s="12" cm="1">
        <f t="array" ref="H559">_xlfn.IFS(TRIM(G559)="SIXTY THOUSAND",60000,TRIM(G559)="NAN",AVERAGEIFS(G:G,J:J,J559,L:L,L559),TRUE,G559)</f>
        <v>50000</v>
      </c>
      <c r="I559" s="3" t="s">
        <v>38</v>
      </c>
      <c r="J559" s="3" t="s">
        <v>70</v>
      </c>
      <c r="K559" s="3" t="str">
        <f t="shared" si="33"/>
        <v>Marketing</v>
      </c>
      <c r="L559" s="3" t="s">
        <v>29</v>
      </c>
      <c r="M559" s="4">
        <v>43881</v>
      </c>
      <c r="N559" s="4">
        <v>43881</v>
      </c>
      <c r="O559" s="3" t="s">
        <v>41</v>
      </c>
      <c r="P559" s="3">
        <v>16</v>
      </c>
      <c r="Q559" s="3" t="s">
        <v>401</v>
      </c>
      <c r="S559" s="3" t="s">
        <v>174</v>
      </c>
      <c r="T559" s="3" t="str">
        <f t="shared" si="34"/>
        <v>Full-Time</v>
      </c>
      <c r="V559" s="3">
        <v>3</v>
      </c>
      <c r="X559" s="3">
        <v>7</v>
      </c>
      <c r="AA559" s="3" t="s">
        <v>46</v>
      </c>
      <c r="AB559" s="3" t="str" cm="1">
        <f t="array" ref="AB559">_xlfn.IFS(AA559="N","No",  AA559 = "Y", "Yes", TRUE, PROPER(TRIM(AA559)))</f>
        <v>Yes</v>
      </c>
      <c r="AC559" s="3">
        <v>2</v>
      </c>
      <c r="AD559" s="3" t="s">
        <v>46</v>
      </c>
      <c r="AE559">
        <f t="shared" si="35"/>
        <v>1</v>
      </c>
    </row>
    <row r="560" spans="1:31" ht="14.25" customHeight="1" x14ac:dyDescent="0.35">
      <c r="A560" s="3" t="s">
        <v>1176</v>
      </c>
      <c r="B560" s="3" t="s">
        <v>140</v>
      </c>
      <c r="C560" s="3" t="s">
        <v>620</v>
      </c>
      <c r="D560" s="3" t="s">
        <v>88</v>
      </c>
      <c r="E560" s="3">
        <f t="shared" si="32"/>
        <v>30</v>
      </c>
      <c r="F560" s="3">
        <v>1994</v>
      </c>
      <c r="G560" s="3">
        <v>55000</v>
      </c>
      <c r="H560" s="12" cm="1">
        <f t="array" ref="H560">_xlfn.IFS(TRIM(G560)="SIXTY THOUSAND",60000,TRIM(G560)="NAN",AVERAGEIFS(G:G,J:J,J560,L:L,L560),TRUE,G560)</f>
        <v>55000</v>
      </c>
      <c r="I560" s="3" t="s">
        <v>38</v>
      </c>
      <c r="J560" s="3" t="s">
        <v>64</v>
      </c>
      <c r="K560" s="3" t="str">
        <f t="shared" si="33"/>
        <v>Finance</v>
      </c>
      <c r="L560" s="3" t="s">
        <v>77</v>
      </c>
      <c r="M560" s="4">
        <v>43881</v>
      </c>
      <c r="N560" s="4">
        <v>43881</v>
      </c>
      <c r="O560" s="3" t="s">
        <v>78</v>
      </c>
      <c r="P560" s="3">
        <v>85</v>
      </c>
      <c r="Q560" s="3" t="s">
        <v>621</v>
      </c>
      <c r="R560" s="3" t="s">
        <v>54</v>
      </c>
      <c r="S560" s="3" t="s">
        <v>174</v>
      </c>
      <c r="T560" s="3" t="str">
        <f t="shared" si="34"/>
        <v>Full-Time</v>
      </c>
      <c r="V560" s="3">
        <v>6</v>
      </c>
      <c r="W560" s="3" t="s">
        <v>79</v>
      </c>
      <c r="AA560" s="3" t="s">
        <v>73</v>
      </c>
      <c r="AB560" s="3" t="str" cm="1">
        <f t="array" ref="AB560">_xlfn.IFS(AA560="N","No",  AA560 = "Y", "Yes", TRUE, PROPER(TRIM(AA560)))</f>
        <v>No</v>
      </c>
      <c r="AC560" s="3">
        <v>4</v>
      </c>
      <c r="AD560" s="3" t="s">
        <v>34</v>
      </c>
      <c r="AE560">
        <f t="shared" si="35"/>
        <v>0</v>
      </c>
    </row>
    <row r="561" spans="1:31" ht="14.25" customHeight="1" x14ac:dyDescent="0.35">
      <c r="A561" s="3" t="s">
        <v>1177</v>
      </c>
      <c r="B561" s="3" t="s">
        <v>36</v>
      </c>
      <c r="C561" s="3" t="s">
        <v>256</v>
      </c>
      <c r="D561" s="3">
        <v>35</v>
      </c>
      <c r="E561" s="3">
        <f t="shared" si="32"/>
        <v>35</v>
      </c>
      <c r="F561" s="3">
        <v>1989</v>
      </c>
      <c r="G561" s="3">
        <v>55000</v>
      </c>
      <c r="H561" s="12" cm="1">
        <f t="array" ref="H561">_xlfn.IFS(TRIM(G561)="SIXTY THOUSAND",60000,TRIM(G561)="NAN",AVERAGEIFS(G:G,J:J,J561,L:L,L561),TRUE,G561)</f>
        <v>55000</v>
      </c>
      <c r="I561" s="3" t="s">
        <v>38</v>
      </c>
      <c r="J561" s="3" t="s">
        <v>28</v>
      </c>
      <c r="K561" s="3" t="str">
        <f t="shared" si="33"/>
        <v>HR</v>
      </c>
      <c r="L561" s="3" t="s">
        <v>40</v>
      </c>
      <c r="M561" s="4">
        <v>43549</v>
      </c>
      <c r="N561" s="4">
        <v>43549</v>
      </c>
      <c r="O561" s="3" t="s">
        <v>78</v>
      </c>
      <c r="P561" s="3">
        <v>81</v>
      </c>
      <c r="Q561" s="3" t="s">
        <v>669</v>
      </c>
      <c r="R561" s="3" t="s">
        <v>43</v>
      </c>
      <c r="S561" s="3" t="s">
        <v>72</v>
      </c>
      <c r="T561" s="3" t="str">
        <f t="shared" si="34"/>
        <v>Part-Time</v>
      </c>
      <c r="U561" s="3" t="s">
        <v>910</v>
      </c>
      <c r="V561" s="3">
        <v>8</v>
      </c>
      <c r="X561" s="3">
        <v>9</v>
      </c>
      <c r="AB561" s="3" t="str" cm="1">
        <f t="array" ref="AB561">_xlfn.IFS(AA561="N","No",  AA561 = "Y", "Yes", TRUE, PROPER(TRIM(AA561)))</f>
        <v/>
      </c>
      <c r="AC561" s="3">
        <v>2</v>
      </c>
      <c r="AD561" s="3" t="s">
        <v>34</v>
      </c>
      <c r="AE561">
        <f t="shared" si="35"/>
        <v>0</v>
      </c>
    </row>
    <row r="562" spans="1:31" ht="14.25" customHeight="1" x14ac:dyDescent="0.35">
      <c r="A562" s="3" t="s">
        <v>1178</v>
      </c>
      <c r="B562" s="3" t="s">
        <v>36</v>
      </c>
      <c r="C562" s="3" t="s">
        <v>141</v>
      </c>
      <c r="D562" s="3">
        <v>40</v>
      </c>
      <c r="E562" s="3">
        <f t="shared" si="32"/>
        <v>40</v>
      </c>
      <c r="F562" s="3">
        <v>1984</v>
      </c>
      <c r="G562" s="3" t="s">
        <v>50</v>
      </c>
      <c r="H562" s="12" cm="1">
        <f t="array" ref="H562">_xlfn.IFS(TRIM(G562)="SIXTY THOUSAND",60000,TRIM(G562)="NAN",AVERAGEIFS(G:G,J:J,J562,L:L,L562),TRUE,G562)</f>
        <v>60000</v>
      </c>
      <c r="I562" s="3" t="s">
        <v>27</v>
      </c>
      <c r="J562" s="3" t="s">
        <v>28</v>
      </c>
      <c r="K562" s="3" t="str">
        <f t="shared" si="33"/>
        <v>HR</v>
      </c>
      <c r="L562" s="3" t="s">
        <v>89</v>
      </c>
      <c r="M562" s="4">
        <v>43845</v>
      </c>
      <c r="N562" s="4">
        <v>43845</v>
      </c>
      <c r="O562" s="3" t="s">
        <v>30</v>
      </c>
      <c r="P562" s="3">
        <v>69</v>
      </c>
      <c r="Q562" s="3" t="s">
        <v>1179</v>
      </c>
      <c r="R562" s="3" t="s">
        <v>104</v>
      </c>
      <c r="S562" s="3" t="s">
        <v>112</v>
      </c>
      <c r="T562" s="3" t="str">
        <f t="shared" si="34"/>
        <v>Full-Time</v>
      </c>
      <c r="V562" s="3">
        <v>8</v>
      </c>
      <c r="AA562" s="3" t="s">
        <v>34</v>
      </c>
      <c r="AB562" s="3" t="str" cm="1">
        <f t="array" ref="AB562">_xlfn.IFS(AA562="N","No",  AA562 = "Y", "Yes", TRUE, PROPER(TRIM(AA562)))</f>
        <v>No</v>
      </c>
      <c r="AC562" s="3">
        <v>5</v>
      </c>
      <c r="AD562" s="3" t="s">
        <v>34</v>
      </c>
      <c r="AE562">
        <f t="shared" si="35"/>
        <v>0</v>
      </c>
    </row>
    <row r="563" spans="1:31" ht="14.25" customHeight="1" x14ac:dyDescent="0.35">
      <c r="A563" s="3" t="s">
        <v>1180</v>
      </c>
      <c r="B563" s="3" t="s">
        <v>107</v>
      </c>
      <c r="C563" s="3" t="s">
        <v>110</v>
      </c>
      <c r="D563" s="3">
        <v>50</v>
      </c>
      <c r="E563" s="3">
        <f t="shared" si="32"/>
        <v>50</v>
      </c>
      <c r="F563" s="3">
        <v>1974</v>
      </c>
      <c r="G563" s="3">
        <v>50000</v>
      </c>
      <c r="H563" s="12" cm="1">
        <f t="array" ref="H563">_xlfn.IFS(TRIM(G563)="SIXTY THOUSAND",60000,TRIM(G563)="NAN",AVERAGEIFS(G:G,J:J,J563,L:L,L563),TRUE,G563)</f>
        <v>50000</v>
      </c>
      <c r="I563" s="3" t="s">
        <v>27</v>
      </c>
      <c r="J563" s="3" t="s">
        <v>145</v>
      </c>
      <c r="K563" s="3" t="str">
        <f t="shared" si="33"/>
        <v>Sales</v>
      </c>
      <c r="L563" s="3" t="s">
        <v>94</v>
      </c>
      <c r="M563" s="4">
        <v>43845</v>
      </c>
      <c r="N563" s="4">
        <v>43845</v>
      </c>
      <c r="O563" s="3" t="s">
        <v>59</v>
      </c>
      <c r="P563" s="3">
        <v>91</v>
      </c>
      <c r="Q563" s="3" t="s">
        <v>1181</v>
      </c>
      <c r="S563" s="3" t="s">
        <v>44</v>
      </c>
      <c r="T563" s="3" t="str">
        <f t="shared" si="34"/>
        <v>Full-Time</v>
      </c>
      <c r="V563" s="3">
        <v>8</v>
      </c>
      <c r="X563" s="3">
        <v>19</v>
      </c>
      <c r="Y563" s="4">
        <v>44990</v>
      </c>
      <c r="AB563" s="3" t="str" cm="1">
        <f t="array" ref="AB563">_xlfn.IFS(AA563="N","No",  AA563 = "Y", "Yes", TRUE, PROPER(TRIM(AA563)))</f>
        <v/>
      </c>
      <c r="AC563" s="3">
        <v>1</v>
      </c>
      <c r="AD563" s="3" t="s">
        <v>34</v>
      </c>
      <c r="AE563">
        <f t="shared" si="35"/>
        <v>0</v>
      </c>
    </row>
    <row r="564" spans="1:31" ht="14.25" customHeight="1" x14ac:dyDescent="0.35">
      <c r="A564" s="3" t="s">
        <v>1182</v>
      </c>
      <c r="B564" s="3" t="s">
        <v>75</v>
      </c>
      <c r="C564" s="3" t="s">
        <v>213</v>
      </c>
      <c r="D564" s="3" t="s">
        <v>88</v>
      </c>
      <c r="E564" s="3">
        <f t="shared" si="32"/>
        <v>30</v>
      </c>
      <c r="F564" s="3">
        <v>1994</v>
      </c>
      <c r="G564" s="3">
        <v>65000</v>
      </c>
      <c r="H564" s="12" cm="1">
        <f t="array" ref="H564">_xlfn.IFS(TRIM(G564)="SIXTY THOUSAND",60000,TRIM(G564)="NAN",AVERAGEIFS(G:G,J:J,J564,L:L,L564),TRUE,G564)</f>
        <v>65000</v>
      </c>
      <c r="I564" s="3" t="s">
        <v>38</v>
      </c>
      <c r="J564" s="3" t="s">
        <v>145</v>
      </c>
      <c r="K564" s="3" t="str">
        <f t="shared" si="33"/>
        <v>Sales</v>
      </c>
      <c r="L564" s="3" t="s">
        <v>94</v>
      </c>
      <c r="M564" s="4">
        <v>43800</v>
      </c>
      <c r="N564" s="4">
        <v>43800</v>
      </c>
      <c r="O564" s="3" t="s">
        <v>52</v>
      </c>
      <c r="P564" s="3">
        <v>75</v>
      </c>
      <c r="Q564" s="3" t="s">
        <v>214</v>
      </c>
      <c r="S564" s="3" t="s">
        <v>72</v>
      </c>
      <c r="T564" s="3" t="str">
        <f t="shared" si="34"/>
        <v>Part-Time</v>
      </c>
      <c r="V564" s="3">
        <v>6</v>
      </c>
      <c r="AB564" s="3" t="str" cm="1">
        <f t="array" ref="AB564">_xlfn.IFS(AA564="N","No",  AA564 = "Y", "Yes", TRUE, PROPER(TRIM(AA564)))</f>
        <v/>
      </c>
      <c r="AC564" s="3">
        <v>3</v>
      </c>
      <c r="AD564" s="3" t="s">
        <v>46</v>
      </c>
      <c r="AE564">
        <f t="shared" si="35"/>
        <v>1</v>
      </c>
    </row>
    <row r="565" spans="1:31" ht="14.25" customHeight="1" x14ac:dyDescent="0.35">
      <c r="A565" s="3" t="s">
        <v>1183</v>
      </c>
      <c r="B565" s="3" t="s">
        <v>107</v>
      </c>
      <c r="C565" s="3" t="s">
        <v>167</v>
      </c>
      <c r="E565" s="3">
        <f t="shared" si="32"/>
        <v>32</v>
      </c>
      <c r="F565" s="3">
        <v>1992</v>
      </c>
      <c r="G565" s="3">
        <v>58300</v>
      </c>
      <c r="H565" s="12" cm="1">
        <f t="array" ref="H565">_xlfn.IFS(TRIM(G565)="SIXTY THOUSAND",60000,TRIM(G565)="NAN",AVERAGEIFS(G:G,J:J,J565,L:L,L565),TRUE,G565)</f>
        <v>58300</v>
      </c>
      <c r="I565" s="3" t="s">
        <v>38</v>
      </c>
      <c r="J565" s="3" t="s">
        <v>145</v>
      </c>
      <c r="K565" s="3" t="str">
        <f t="shared" si="33"/>
        <v>Sales</v>
      </c>
      <c r="L565" s="3" t="s">
        <v>89</v>
      </c>
      <c r="M565" s="4">
        <v>43195</v>
      </c>
      <c r="N565" s="4">
        <v>43195</v>
      </c>
      <c r="O565" s="3" t="s">
        <v>78</v>
      </c>
      <c r="P565" s="3">
        <v>83</v>
      </c>
      <c r="Q565" s="3" t="s">
        <v>1184</v>
      </c>
      <c r="R565" s="3" t="s">
        <v>43</v>
      </c>
      <c r="S565" s="3" t="s">
        <v>32</v>
      </c>
      <c r="T565" s="3" t="str">
        <f t="shared" si="34"/>
        <v>Contract</v>
      </c>
      <c r="V565" s="3">
        <v>5</v>
      </c>
      <c r="Z565" s="3">
        <v>77</v>
      </c>
      <c r="AA565" s="3" t="s">
        <v>34</v>
      </c>
      <c r="AB565" s="3" t="str" cm="1">
        <f t="array" ref="AB565">_xlfn.IFS(AA565="N","No",  AA565 = "Y", "Yes", TRUE, PROPER(TRIM(AA565)))</f>
        <v>No</v>
      </c>
      <c r="AC565" s="3">
        <v>1</v>
      </c>
      <c r="AD565" s="3" t="s">
        <v>46</v>
      </c>
      <c r="AE565">
        <f t="shared" si="35"/>
        <v>1</v>
      </c>
    </row>
    <row r="566" spans="1:31" ht="14.25" customHeight="1" x14ac:dyDescent="0.35">
      <c r="A566" s="3" t="s">
        <v>1185</v>
      </c>
      <c r="B566" s="3" t="s">
        <v>25</v>
      </c>
      <c r="C566" s="3" t="s">
        <v>148</v>
      </c>
      <c r="D566" s="3" t="s">
        <v>88</v>
      </c>
      <c r="E566" s="3">
        <f t="shared" si="32"/>
        <v>30</v>
      </c>
      <c r="F566" s="3">
        <v>1994</v>
      </c>
      <c r="G566" s="3">
        <v>65000</v>
      </c>
      <c r="H566" s="12" cm="1">
        <f t="array" ref="H566">_xlfn.IFS(TRIM(G566)="SIXTY THOUSAND",60000,TRIM(G566)="NAN",AVERAGEIFS(G:G,J:J,J566,L:L,L566),TRUE,G566)</f>
        <v>65000</v>
      </c>
      <c r="I566" s="3" t="s">
        <v>38</v>
      </c>
      <c r="J566" s="3" t="s">
        <v>70</v>
      </c>
      <c r="K566" s="3" t="str">
        <f t="shared" si="33"/>
        <v>Marketing</v>
      </c>
      <c r="L566" s="3" t="s">
        <v>29</v>
      </c>
      <c r="M566" s="4">
        <v>43881</v>
      </c>
      <c r="N566" s="4">
        <v>43881</v>
      </c>
      <c r="O566" s="3" t="s">
        <v>78</v>
      </c>
      <c r="P566" s="3">
        <v>83</v>
      </c>
      <c r="Q566" s="3" t="s">
        <v>1186</v>
      </c>
      <c r="R566" s="3" t="s">
        <v>104</v>
      </c>
      <c r="S566" s="3" t="s">
        <v>66</v>
      </c>
      <c r="T566" s="3" t="str">
        <f t="shared" si="34"/>
        <v>Contract</v>
      </c>
      <c r="V566" s="3">
        <v>8</v>
      </c>
      <c r="W566" s="3">
        <v>7</v>
      </c>
      <c r="X566" s="3">
        <v>17</v>
      </c>
      <c r="AA566" s="3" t="s">
        <v>169</v>
      </c>
      <c r="AB566" s="3" t="str" cm="1">
        <f t="array" ref="AB566">_xlfn.IFS(AA566="N","No",  AA566 = "Y", "Yes", TRUE, PROPER(TRIM(AA566)))</f>
        <v>Yes</v>
      </c>
      <c r="AC566" s="3">
        <v>5</v>
      </c>
      <c r="AD566" s="3" t="s">
        <v>46</v>
      </c>
      <c r="AE566">
        <f t="shared" si="35"/>
        <v>1</v>
      </c>
    </row>
    <row r="567" spans="1:31" ht="14.25" customHeight="1" x14ac:dyDescent="0.35">
      <c r="A567" s="3" t="s">
        <v>1187</v>
      </c>
      <c r="B567" s="3" t="s">
        <v>68</v>
      </c>
      <c r="C567" s="3" t="s">
        <v>250</v>
      </c>
      <c r="D567" s="3">
        <v>50</v>
      </c>
      <c r="E567" s="3">
        <f t="shared" si="32"/>
        <v>50</v>
      </c>
      <c r="F567" s="3">
        <v>1974</v>
      </c>
      <c r="G567" s="3">
        <v>61500</v>
      </c>
      <c r="H567" s="12" cm="1">
        <f t="array" ref="H567">_xlfn.IFS(TRIM(G567)="SIXTY THOUSAND",60000,TRIM(G567)="NAN",AVERAGEIFS(G:G,J:J,J567,L:L,L567),TRUE,G567)</f>
        <v>61500</v>
      </c>
      <c r="I567" s="3" t="s">
        <v>27</v>
      </c>
      <c r="J567" s="3" t="s">
        <v>145</v>
      </c>
      <c r="K567" s="3" t="str">
        <f t="shared" si="33"/>
        <v>Sales</v>
      </c>
      <c r="L567" s="3" t="s">
        <v>29</v>
      </c>
      <c r="M567" s="4">
        <v>43881</v>
      </c>
      <c r="N567" s="4">
        <v>43881</v>
      </c>
      <c r="O567" s="3" t="s">
        <v>59</v>
      </c>
      <c r="P567" s="3">
        <v>93</v>
      </c>
      <c r="Q567" s="3" t="s">
        <v>251</v>
      </c>
      <c r="R567" s="3" t="s">
        <v>54</v>
      </c>
      <c r="S567" s="3" t="s">
        <v>174</v>
      </c>
      <c r="T567" s="3" t="str">
        <f t="shared" si="34"/>
        <v>Full-Time</v>
      </c>
      <c r="V567" s="3">
        <v>2</v>
      </c>
      <c r="W567" s="3">
        <v>15</v>
      </c>
      <c r="X567" s="3">
        <v>4</v>
      </c>
      <c r="Z567" s="3">
        <v>72</v>
      </c>
      <c r="AA567" s="3" t="s">
        <v>46</v>
      </c>
      <c r="AB567" s="3" t="str" cm="1">
        <f t="array" ref="AB567">_xlfn.IFS(AA567="N","No",  AA567 = "Y", "Yes", TRUE, PROPER(TRIM(AA567)))</f>
        <v>Yes</v>
      </c>
      <c r="AC567" s="3">
        <v>5</v>
      </c>
      <c r="AD567" s="3" t="s">
        <v>34</v>
      </c>
      <c r="AE567">
        <f t="shared" si="35"/>
        <v>0</v>
      </c>
    </row>
    <row r="568" spans="1:31" ht="14.25" customHeight="1" x14ac:dyDescent="0.35">
      <c r="A568" s="3" t="s">
        <v>1188</v>
      </c>
      <c r="B568" s="3" t="s">
        <v>68</v>
      </c>
      <c r="C568" s="3" t="s">
        <v>343</v>
      </c>
      <c r="D568" s="3">
        <v>40</v>
      </c>
      <c r="E568" s="3">
        <f t="shared" si="32"/>
        <v>40</v>
      </c>
      <c r="F568" s="3">
        <v>1984</v>
      </c>
      <c r="G568" s="3">
        <v>50000</v>
      </c>
      <c r="H568" s="12" cm="1">
        <f t="array" ref="H568">_xlfn.IFS(TRIM(G568)="SIXTY THOUSAND",60000,TRIM(G568)="NAN",AVERAGEIFS(G:G,J:J,J568,L:L,L568),TRUE,G568)</f>
        <v>50000</v>
      </c>
      <c r="I568" s="3" t="s">
        <v>38</v>
      </c>
      <c r="J568" s="3" t="s">
        <v>82</v>
      </c>
      <c r="K568" s="3" t="str">
        <f t="shared" si="33"/>
        <v>HR</v>
      </c>
      <c r="L568" s="3" t="s">
        <v>77</v>
      </c>
      <c r="M568" s="4">
        <v>43881</v>
      </c>
      <c r="N568" s="4">
        <v>43881</v>
      </c>
      <c r="O568" s="3" t="s">
        <v>59</v>
      </c>
      <c r="P568" s="3">
        <v>97</v>
      </c>
      <c r="Q568" s="3" t="s">
        <v>1189</v>
      </c>
      <c r="R568" s="3" t="s">
        <v>43</v>
      </c>
      <c r="S568" s="3" t="s">
        <v>112</v>
      </c>
      <c r="T568" s="3" t="str">
        <f t="shared" si="34"/>
        <v>Full-Time</v>
      </c>
      <c r="U568" s="3" t="s">
        <v>1190</v>
      </c>
      <c r="V568" s="3">
        <v>3</v>
      </c>
      <c r="Y568" s="3" t="s">
        <v>79</v>
      </c>
      <c r="Z568" s="3">
        <v>13</v>
      </c>
      <c r="AB568" s="3" t="str" cm="1">
        <f t="array" ref="AB568">_xlfn.IFS(AA568="N","No",  AA568 = "Y", "Yes", TRUE, PROPER(TRIM(AA568)))</f>
        <v/>
      </c>
      <c r="AC568" s="3">
        <v>5</v>
      </c>
      <c r="AD568" s="3" t="s">
        <v>34</v>
      </c>
      <c r="AE568">
        <f t="shared" si="35"/>
        <v>0</v>
      </c>
    </row>
    <row r="569" spans="1:31" ht="14.25" customHeight="1" x14ac:dyDescent="0.35">
      <c r="A569" s="3" t="s">
        <v>1191</v>
      </c>
      <c r="B569" s="3" t="s">
        <v>75</v>
      </c>
      <c r="C569" s="3" t="s">
        <v>26</v>
      </c>
      <c r="D569" s="3">
        <v>40</v>
      </c>
      <c r="E569" s="3">
        <f t="shared" si="32"/>
        <v>40</v>
      </c>
      <c r="F569" s="3">
        <v>1984</v>
      </c>
      <c r="G569" s="3">
        <v>50000</v>
      </c>
      <c r="H569" s="12" cm="1">
        <f t="array" ref="H569">_xlfn.IFS(TRIM(G569)="SIXTY THOUSAND",60000,TRIM(G569)="NAN",AVERAGEIFS(G:G,J:J,J569,L:L,L569),TRUE,G569)</f>
        <v>50000</v>
      </c>
      <c r="I569" s="3" t="s">
        <v>27</v>
      </c>
      <c r="J569" s="3" t="s">
        <v>145</v>
      </c>
      <c r="K569" s="3" t="str">
        <f t="shared" si="33"/>
        <v>Sales</v>
      </c>
      <c r="L569" s="3" t="s">
        <v>89</v>
      </c>
      <c r="M569" s="4">
        <v>43195</v>
      </c>
      <c r="N569" s="4">
        <v>43195</v>
      </c>
      <c r="O569" s="3" t="s">
        <v>41</v>
      </c>
      <c r="P569" s="3">
        <v>6</v>
      </c>
      <c r="Q569" s="3" t="s">
        <v>1192</v>
      </c>
      <c r="R569" s="3" t="s">
        <v>54</v>
      </c>
      <c r="S569" s="3" t="s">
        <v>174</v>
      </c>
      <c r="T569" s="3" t="str">
        <f t="shared" si="34"/>
        <v>Full-Time</v>
      </c>
      <c r="V569" s="3">
        <v>2</v>
      </c>
      <c r="AA569" s="3" t="s">
        <v>169</v>
      </c>
      <c r="AB569" s="3" t="str" cm="1">
        <f t="array" ref="AB569">_xlfn.IFS(AA569="N","No",  AA569 = "Y", "Yes", TRUE, PROPER(TRIM(AA569)))</f>
        <v>Yes</v>
      </c>
      <c r="AC569" s="3">
        <v>1</v>
      </c>
      <c r="AD569" s="3" t="s">
        <v>46</v>
      </c>
      <c r="AE569">
        <f t="shared" si="35"/>
        <v>1</v>
      </c>
    </row>
    <row r="570" spans="1:31" ht="14.25" customHeight="1" x14ac:dyDescent="0.35">
      <c r="A570" s="3" t="s">
        <v>1193</v>
      </c>
      <c r="B570" s="3" t="s">
        <v>25</v>
      </c>
      <c r="C570" s="3" t="s">
        <v>247</v>
      </c>
      <c r="E570" s="3">
        <f t="shared" si="32"/>
        <v>40</v>
      </c>
      <c r="F570" s="3">
        <v>1984</v>
      </c>
      <c r="G570" s="3">
        <v>50000</v>
      </c>
      <c r="H570" s="12" cm="1">
        <f t="array" ref="H570">_xlfn.IFS(TRIM(G570)="SIXTY THOUSAND",60000,TRIM(G570)="NAN",AVERAGEIFS(G:G,J:J,J570,L:L,L570),TRUE,G570)</f>
        <v>50000</v>
      </c>
      <c r="I570" s="3" t="s">
        <v>38</v>
      </c>
      <c r="J570" s="3" t="s">
        <v>122</v>
      </c>
      <c r="K570" s="3" t="str">
        <f t="shared" si="33"/>
        <v>IT</v>
      </c>
      <c r="L570" s="3" t="s">
        <v>29</v>
      </c>
      <c r="M570" s="4">
        <v>43800</v>
      </c>
      <c r="N570" s="4">
        <v>43800</v>
      </c>
      <c r="O570" s="3" t="s">
        <v>52</v>
      </c>
      <c r="P570" s="3">
        <v>73</v>
      </c>
      <c r="Q570" s="3" t="s">
        <v>1194</v>
      </c>
      <c r="S570" s="3" t="s">
        <v>32</v>
      </c>
      <c r="T570" s="3" t="str">
        <f t="shared" si="34"/>
        <v>Contract</v>
      </c>
      <c r="V570" s="3">
        <v>5</v>
      </c>
      <c r="W570" s="3" t="s">
        <v>79</v>
      </c>
      <c r="X570" s="3">
        <v>19</v>
      </c>
      <c r="Y570" s="4">
        <v>44732</v>
      </c>
      <c r="AB570" s="3" t="str" cm="1">
        <f t="array" ref="AB570">_xlfn.IFS(AA570="N","No",  AA570 = "Y", "Yes", TRUE, PROPER(TRIM(AA570)))</f>
        <v/>
      </c>
      <c r="AC570" s="3">
        <v>5</v>
      </c>
      <c r="AD570" s="3" t="s">
        <v>46</v>
      </c>
      <c r="AE570">
        <f t="shared" si="35"/>
        <v>1</v>
      </c>
    </row>
    <row r="571" spans="1:31" ht="14.25" customHeight="1" x14ac:dyDescent="0.35">
      <c r="A571" s="3" t="s">
        <v>1195</v>
      </c>
      <c r="B571" s="3" t="s">
        <v>75</v>
      </c>
      <c r="C571" s="3" t="s">
        <v>84</v>
      </c>
      <c r="D571" s="3" t="s">
        <v>88</v>
      </c>
      <c r="E571" s="3">
        <f t="shared" si="32"/>
        <v>30</v>
      </c>
      <c r="F571" s="3">
        <v>1994</v>
      </c>
      <c r="G571" s="3">
        <v>55000</v>
      </c>
      <c r="H571" s="12" cm="1">
        <f t="array" ref="H571">_xlfn.IFS(TRIM(G571)="SIXTY THOUSAND",60000,TRIM(G571)="NAN",AVERAGEIFS(G:G,J:J,J571,L:L,L571),TRUE,G571)</f>
        <v>55000</v>
      </c>
      <c r="I571" s="3" t="s">
        <v>27</v>
      </c>
      <c r="J571" s="3" t="s">
        <v>145</v>
      </c>
      <c r="K571" s="3" t="str">
        <f t="shared" si="33"/>
        <v>Sales</v>
      </c>
      <c r="L571" s="3" t="s">
        <v>89</v>
      </c>
      <c r="M571" s="4">
        <v>43195</v>
      </c>
      <c r="N571" s="4">
        <v>43195</v>
      </c>
      <c r="O571" s="3" t="s">
        <v>59</v>
      </c>
      <c r="P571" s="3">
        <v>96</v>
      </c>
      <c r="Q571" s="3" t="s">
        <v>1196</v>
      </c>
      <c r="R571" s="3" t="s">
        <v>54</v>
      </c>
      <c r="S571" s="3" t="s">
        <v>174</v>
      </c>
      <c r="T571" s="3" t="str">
        <f t="shared" si="34"/>
        <v>Full-Time</v>
      </c>
      <c r="V571" s="3">
        <v>3</v>
      </c>
      <c r="AA571" s="3" t="s">
        <v>73</v>
      </c>
      <c r="AB571" s="3" t="str" cm="1">
        <f t="array" ref="AB571">_xlfn.IFS(AA571="N","No",  AA571 = "Y", "Yes", TRUE, PROPER(TRIM(AA571)))</f>
        <v>No</v>
      </c>
      <c r="AC571" s="3">
        <v>5</v>
      </c>
      <c r="AD571" s="3" t="s">
        <v>46</v>
      </c>
      <c r="AE571">
        <f t="shared" si="35"/>
        <v>1</v>
      </c>
    </row>
    <row r="572" spans="1:31" ht="14.25" customHeight="1" x14ac:dyDescent="0.35">
      <c r="A572" s="3" t="s">
        <v>1197</v>
      </c>
      <c r="B572" s="3" t="s">
        <v>114</v>
      </c>
      <c r="C572" s="3" t="s">
        <v>591</v>
      </c>
      <c r="D572" s="3">
        <v>40</v>
      </c>
      <c r="E572" s="3">
        <f t="shared" si="32"/>
        <v>40</v>
      </c>
      <c r="F572" s="3">
        <v>1984</v>
      </c>
      <c r="G572" s="3">
        <v>60500</v>
      </c>
      <c r="H572" s="12" cm="1">
        <f t="array" ref="H572">_xlfn.IFS(TRIM(G572)="SIXTY THOUSAND",60000,TRIM(G572)="NAN",AVERAGEIFS(G:G,J:J,J572,L:L,L572),TRUE,G572)</f>
        <v>60500</v>
      </c>
      <c r="I572" s="3" t="s">
        <v>27</v>
      </c>
      <c r="J572" s="3" t="s">
        <v>70</v>
      </c>
      <c r="K572" s="3" t="str">
        <f t="shared" si="33"/>
        <v>Marketing</v>
      </c>
      <c r="L572" s="3" t="s">
        <v>40</v>
      </c>
      <c r="M572" s="4">
        <v>43845</v>
      </c>
      <c r="N572" s="4">
        <v>43845</v>
      </c>
      <c r="O572" s="3" t="s">
        <v>78</v>
      </c>
      <c r="P572" s="3">
        <v>80</v>
      </c>
      <c r="Q572" s="3" t="s">
        <v>592</v>
      </c>
      <c r="R572" s="3" t="s">
        <v>104</v>
      </c>
      <c r="S572" s="3" t="s">
        <v>32</v>
      </c>
      <c r="T572" s="3" t="str">
        <f t="shared" si="34"/>
        <v>Contract</v>
      </c>
      <c r="V572" s="3">
        <v>4</v>
      </c>
      <c r="Y572" s="4">
        <v>44732</v>
      </c>
      <c r="AA572" s="3" t="s">
        <v>169</v>
      </c>
      <c r="AB572" s="3" t="str" cm="1">
        <f t="array" ref="AB572">_xlfn.IFS(AA572="N","No",  AA572 = "Y", "Yes", TRUE, PROPER(TRIM(AA572)))</f>
        <v>Yes</v>
      </c>
      <c r="AC572" s="3">
        <v>1</v>
      </c>
      <c r="AD572" s="3" t="s">
        <v>34</v>
      </c>
      <c r="AE572">
        <f t="shared" si="35"/>
        <v>0</v>
      </c>
    </row>
    <row r="573" spans="1:31" ht="14.25" customHeight="1" x14ac:dyDescent="0.35">
      <c r="A573" s="3" t="s">
        <v>1198</v>
      </c>
      <c r="B573" s="3" t="s">
        <v>68</v>
      </c>
      <c r="C573" s="3" t="s">
        <v>849</v>
      </c>
      <c r="D573" s="3">
        <v>50</v>
      </c>
      <c r="E573" s="3">
        <f t="shared" si="32"/>
        <v>50</v>
      </c>
      <c r="F573" s="3">
        <v>1974</v>
      </c>
      <c r="G573" s="3">
        <v>55000</v>
      </c>
      <c r="H573" s="12" cm="1">
        <f t="array" ref="H573">_xlfn.IFS(TRIM(G573)="SIXTY THOUSAND",60000,TRIM(G573)="NAN",AVERAGEIFS(G:G,J:J,J573,L:L,L573),TRUE,G573)</f>
        <v>55000</v>
      </c>
      <c r="I573" s="3" t="s">
        <v>27</v>
      </c>
      <c r="J573" s="3" t="s">
        <v>122</v>
      </c>
      <c r="K573" s="3" t="str">
        <f t="shared" si="33"/>
        <v>IT</v>
      </c>
      <c r="L573" s="3" t="s">
        <v>94</v>
      </c>
      <c r="M573" s="4">
        <v>43845</v>
      </c>
      <c r="N573" s="4">
        <v>43845</v>
      </c>
      <c r="O573" s="3" t="s">
        <v>78</v>
      </c>
      <c r="P573" s="3">
        <v>89</v>
      </c>
      <c r="Q573" s="3" t="s">
        <v>850</v>
      </c>
      <c r="R573" s="3" t="s">
        <v>61</v>
      </c>
      <c r="S573" s="3" t="s">
        <v>174</v>
      </c>
      <c r="T573" s="3" t="str">
        <f t="shared" si="34"/>
        <v>Full-Time</v>
      </c>
      <c r="V573" s="3">
        <v>5</v>
      </c>
      <c r="W573" s="3">
        <v>1</v>
      </c>
      <c r="Y573" s="4">
        <v>44941</v>
      </c>
      <c r="AA573" s="3" t="s">
        <v>73</v>
      </c>
      <c r="AB573" s="3" t="str" cm="1">
        <f t="array" ref="AB573">_xlfn.IFS(AA573="N","No",  AA573 = "Y", "Yes", TRUE, PROPER(TRIM(AA573)))</f>
        <v>No</v>
      </c>
      <c r="AC573" s="3">
        <v>5</v>
      </c>
      <c r="AD573" s="3" t="s">
        <v>34</v>
      </c>
      <c r="AE573">
        <f t="shared" si="35"/>
        <v>0</v>
      </c>
    </row>
    <row r="574" spans="1:31" ht="14.25" customHeight="1" x14ac:dyDescent="0.35">
      <c r="A574" s="3" t="s">
        <v>1199</v>
      </c>
      <c r="B574" s="3" t="s">
        <v>36</v>
      </c>
      <c r="C574" s="3" t="s">
        <v>199</v>
      </c>
      <c r="D574" s="3">
        <v>35</v>
      </c>
      <c r="E574" s="3">
        <f t="shared" si="32"/>
        <v>35</v>
      </c>
      <c r="F574" s="3">
        <v>1989</v>
      </c>
      <c r="G574" s="3">
        <v>55000</v>
      </c>
      <c r="H574" s="12" cm="1">
        <f t="array" ref="H574">_xlfn.IFS(TRIM(G574)="SIXTY THOUSAND",60000,TRIM(G574)="NAN",AVERAGEIFS(G:G,J:J,J574,L:L,L574),TRUE,G574)</f>
        <v>55000</v>
      </c>
      <c r="I574" s="3" t="s">
        <v>27</v>
      </c>
      <c r="J574" s="3" t="s">
        <v>28</v>
      </c>
      <c r="K574" s="3" t="str">
        <f t="shared" si="33"/>
        <v>HR</v>
      </c>
      <c r="L574" s="3" t="s">
        <v>94</v>
      </c>
      <c r="M574" s="4">
        <v>43881</v>
      </c>
      <c r="N574" s="4">
        <v>43881</v>
      </c>
      <c r="O574" s="3" t="s">
        <v>30</v>
      </c>
      <c r="P574" s="3">
        <v>66</v>
      </c>
      <c r="Q574" s="3" t="s">
        <v>1200</v>
      </c>
      <c r="R574" s="3" t="s">
        <v>104</v>
      </c>
      <c r="S574" s="3" t="s">
        <v>72</v>
      </c>
      <c r="T574" s="3" t="str">
        <f t="shared" si="34"/>
        <v>Part-Time</v>
      </c>
      <c r="V574" s="3">
        <v>2</v>
      </c>
      <c r="W574" s="3" t="s">
        <v>79</v>
      </c>
      <c r="X574" s="3">
        <v>9</v>
      </c>
      <c r="Y574" s="4">
        <v>44732</v>
      </c>
      <c r="AA574" s="3" t="s">
        <v>46</v>
      </c>
      <c r="AB574" s="3" t="str" cm="1">
        <f t="array" ref="AB574">_xlfn.IFS(AA574="N","No",  AA574 = "Y", "Yes", TRUE, PROPER(TRIM(AA574)))</f>
        <v>Yes</v>
      </c>
      <c r="AC574" s="3">
        <v>3</v>
      </c>
      <c r="AD574" s="3" t="s">
        <v>34</v>
      </c>
      <c r="AE574">
        <f t="shared" si="35"/>
        <v>0</v>
      </c>
    </row>
    <row r="575" spans="1:31" ht="14.25" customHeight="1" x14ac:dyDescent="0.35">
      <c r="A575" s="3" t="s">
        <v>1201</v>
      </c>
      <c r="B575" s="3" t="s">
        <v>48</v>
      </c>
      <c r="C575" s="3" t="s">
        <v>534</v>
      </c>
      <c r="D575" s="3">
        <v>25</v>
      </c>
      <c r="E575" s="3">
        <f t="shared" si="32"/>
        <v>25</v>
      </c>
      <c r="F575" s="3">
        <v>1999</v>
      </c>
      <c r="G575" s="3">
        <v>70000</v>
      </c>
      <c r="H575" s="12" cm="1">
        <f t="array" ref="H575">_xlfn.IFS(TRIM(G575)="SIXTY THOUSAND",60000,TRIM(G575)="NAN",AVERAGEIFS(G:G,J:J,J575,L:L,L575),TRUE,G575)</f>
        <v>70000</v>
      </c>
      <c r="I575" s="3" t="s">
        <v>38</v>
      </c>
      <c r="J575" s="3" t="s">
        <v>28</v>
      </c>
      <c r="K575" s="3" t="str">
        <f t="shared" si="33"/>
        <v>HR</v>
      </c>
      <c r="L575" s="3" t="s">
        <v>94</v>
      </c>
      <c r="M575" s="4">
        <v>43549</v>
      </c>
      <c r="N575" s="4">
        <v>43549</v>
      </c>
      <c r="O575" s="3" t="s">
        <v>59</v>
      </c>
      <c r="P575" s="3">
        <v>93</v>
      </c>
      <c r="Q575" s="3" t="s">
        <v>535</v>
      </c>
      <c r="R575" s="3" t="s">
        <v>54</v>
      </c>
      <c r="S575" s="3" t="s">
        <v>66</v>
      </c>
      <c r="T575" s="3" t="str">
        <f t="shared" si="34"/>
        <v>Contract</v>
      </c>
      <c r="V575" s="3">
        <v>2</v>
      </c>
      <c r="Y575" s="3" t="s">
        <v>79</v>
      </c>
      <c r="AB575" s="3" t="str" cm="1">
        <f t="array" ref="AB575">_xlfn.IFS(AA575="N","No",  AA575 = "Y", "Yes", TRUE, PROPER(TRIM(AA575)))</f>
        <v/>
      </c>
      <c r="AC575" s="3">
        <v>3</v>
      </c>
      <c r="AD575" s="3" t="s">
        <v>34</v>
      </c>
      <c r="AE575">
        <f t="shared" si="35"/>
        <v>0</v>
      </c>
    </row>
    <row r="576" spans="1:31" ht="14.25" customHeight="1" x14ac:dyDescent="0.35">
      <c r="A576" s="3" t="s">
        <v>1202</v>
      </c>
      <c r="B576" s="3" t="s">
        <v>140</v>
      </c>
      <c r="C576" s="3" t="s">
        <v>253</v>
      </c>
      <c r="D576" s="3">
        <v>25</v>
      </c>
      <c r="E576" s="3">
        <f t="shared" si="32"/>
        <v>25</v>
      </c>
      <c r="F576" s="3">
        <v>1999</v>
      </c>
      <c r="G576" s="3">
        <v>65000</v>
      </c>
      <c r="H576" s="12" cm="1">
        <f t="array" ref="H576">_xlfn.IFS(TRIM(G576)="SIXTY THOUSAND",60000,TRIM(G576)="NAN",AVERAGEIFS(G:G,J:J,J576,L:L,L576),TRUE,G576)</f>
        <v>65000</v>
      </c>
      <c r="I576" s="3" t="s">
        <v>27</v>
      </c>
      <c r="J576" s="3" t="s">
        <v>39</v>
      </c>
      <c r="K576" s="3" t="str">
        <f t="shared" si="33"/>
        <v>Finance</v>
      </c>
      <c r="L576" s="3" t="s">
        <v>89</v>
      </c>
      <c r="M576" s="4">
        <v>43881</v>
      </c>
      <c r="N576" s="4">
        <v>43881</v>
      </c>
      <c r="O576" s="3" t="s">
        <v>41</v>
      </c>
      <c r="P576" s="3">
        <v>46</v>
      </c>
      <c r="Q576" s="3" t="s">
        <v>1203</v>
      </c>
      <c r="R576" s="3" t="s">
        <v>43</v>
      </c>
      <c r="S576" s="3" t="s">
        <v>72</v>
      </c>
      <c r="T576" s="3" t="str">
        <f t="shared" si="34"/>
        <v>Part-Time</v>
      </c>
      <c r="V576" s="3">
        <v>1</v>
      </c>
      <c r="Z576" s="3">
        <v>20</v>
      </c>
      <c r="AB576" s="3" t="str" cm="1">
        <f t="array" ref="AB576">_xlfn.IFS(AA576="N","No",  AA576 = "Y", "Yes", TRUE, PROPER(TRIM(AA576)))</f>
        <v/>
      </c>
      <c r="AC576" s="3">
        <v>3</v>
      </c>
      <c r="AD576" s="3" t="s">
        <v>34</v>
      </c>
      <c r="AE576">
        <f t="shared" si="35"/>
        <v>0</v>
      </c>
    </row>
    <row r="577" spans="1:31" ht="14.25" customHeight="1" x14ac:dyDescent="0.35">
      <c r="A577" s="3" t="s">
        <v>1204</v>
      </c>
      <c r="B577" s="3" t="s">
        <v>25</v>
      </c>
      <c r="C577" s="3" t="s">
        <v>315</v>
      </c>
      <c r="D577" s="3">
        <v>25</v>
      </c>
      <c r="E577" s="3">
        <f t="shared" si="32"/>
        <v>25</v>
      </c>
      <c r="F577" s="3">
        <v>1999</v>
      </c>
      <c r="G577" s="3">
        <v>65000</v>
      </c>
      <c r="H577" s="12" cm="1">
        <f t="array" ref="H577">_xlfn.IFS(TRIM(G577)="SIXTY THOUSAND",60000,TRIM(G577)="NAN",AVERAGEIFS(G:G,J:J,J577,L:L,L577),TRUE,G577)</f>
        <v>65000</v>
      </c>
      <c r="I577" s="3" t="s">
        <v>38</v>
      </c>
      <c r="J577" s="3" t="s">
        <v>122</v>
      </c>
      <c r="K577" s="3" t="str">
        <f t="shared" si="33"/>
        <v>IT</v>
      </c>
      <c r="L577" s="3" t="s">
        <v>89</v>
      </c>
      <c r="M577" s="4">
        <v>43549</v>
      </c>
      <c r="N577" s="4">
        <v>43549</v>
      </c>
      <c r="O577" s="3" t="s">
        <v>52</v>
      </c>
      <c r="P577" s="3">
        <v>72</v>
      </c>
      <c r="Q577" s="3" t="s">
        <v>1205</v>
      </c>
      <c r="S577" s="3" t="s">
        <v>174</v>
      </c>
      <c r="T577" s="3" t="str">
        <f t="shared" si="34"/>
        <v>Full-Time</v>
      </c>
      <c r="U577" s="3" t="s">
        <v>1206</v>
      </c>
      <c r="V577" s="3">
        <v>1</v>
      </c>
      <c r="X577" s="3">
        <v>2</v>
      </c>
      <c r="AA577" s="3" t="s">
        <v>34</v>
      </c>
      <c r="AB577" s="3" t="str" cm="1">
        <f t="array" ref="AB577">_xlfn.IFS(AA577="N","No",  AA577 = "Y", "Yes", TRUE, PROPER(TRIM(AA577)))</f>
        <v>No</v>
      </c>
      <c r="AC577" s="3">
        <v>2</v>
      </c>
      <c r="AD577" s="3" t="s">
        <v>46</v>
      </c>
      <c r="AE577">
        <f t="shared" si="35"/>
        <v>1</v>
      </c>
    </row>
    <row r="578" spans="1:31" ht="14.25" customHeight="1" x14ac:dyDescent="0.35">
      <c r="A578" s="3" t="s">
        <v>1207</v>
      </c>
      <c r="B578" s="3" t="s">
        <v>131</v>
      </c>
      <c r="C578" s="3" t="s">
        <v>305</v>
      </c>
      <c r="D578" s="3" t="s">
        <v>88</v>
      </c>
      <c r="E578" s="3">
        <f t="shared" ref="E578:E641" si="36">2024-F578</f>
        <v>30</v>
      </c>
      <c r="F578" s="3">
        <v>1994</v>
      </c>
      <c r="G578" s="3" t="s">
        <v>50</v>
      </c>
      <c r="H578" s="12" cm="1">
        <f t="array" ref="H578">_xlfn.IFS(TRIM(G578)="SIXTY THOUSAND",60000,TRIM(G578)="NAN",AVERAGEIFS(G:G,J:J,J578,L:L,L578),TRUE,G578)</f>
        <v>60000</v>
      </c>
      <c r="I578" s="3" t="s">
        <v>27</v>
      </c>
      <c r="J578" s="3" t="s">
        <v>64</v>
      </c>
      <c r="K578" s="3" t="str">
        <f t="shared" ref="K578:K641" si="37">IF(OR(J578="HR",J578="IT"),UPPER(J578),PROPER(J578))</f>
        <v>Finance</v>
      </c>
      <c r="L578" s="3" t="s">
        <v>77</v>
      </c>
      <c r="M578" s="4">
        <v>43195</v>
      </c>
      <c r="N578" s="4">
        <v>43195</v>
      </c>
      <c r="O578" s="3" t="s">
        <v>41</v>
      </c>
      <c r="P578" s="3">
        <v>2</v>
      </c>
      <c r="Q578" s="3" t="s">
        <v>306</v>
      </c>
      <c r="R578" s="3" t="s">
        <v>61</v>
      </c>
      <c r="S578" s="3" t="s">
        <v>32</v>
      </c>
      <c r="T578" s="3" t="str">
        <f t="shared" ref="T578:T641" si="38">PROPER(S578)</f>
        <v>Contract</v>
      </c>
      <c r="V578" s="3">
        <v>7</v>
      </c>
      <c r="Y578" s="3" t="s">
        <v>79</v>
      </c>
      <c r="AA578" s="3" t="s">
        <v>73</v>
      </c>
      <c r="AB578" s="3" t="str" cm="1">
        <f t="array" ref="AB578">_xlfn.IFS(AA578="N","No",  AA578 = "Y", "Yes", TRUE, PROPER(TRIM(AA578)))</f>
        <v>No</v>
      </c>
      <c r="AC578" s="3">
        <v>1</v>
      </c>
      <c r="AD578" s="3" t="s">
        <v>34</v>
      </c>
      <c r="AE578">
        <f t="shared" si="35"/>
        <v>0</v>
      </c>
    </row>
    <row r="579" spans="1:31" ht="14.25" customHeight="1" x14ac:dyDescent="0.35">
      <c r="A579" s="3" t="s">
        <v>1208</v>
      </c>
      <c r="B579" s="3" t="s">
        <v>75</v>
      </c>
      <c r="C579" s="3" t="s">
        <v>499</v>
      </c>
      <c r="E579" s="3">
        <f t="shared" si="36"/>
        <v>27</v>
      </c>
      <c r="F579" s="3">
        <v>1997</v>
      </c>
      <c r="G579" s="3">
        <v>55000</v>
      </c>
      <c r="H579" s="12" cm="1">
        <f t="array" ref="H579">_xlfn.IFS(TRIM(G579)="SIXTY THOUSAND",60000,TRIM(G579)="NAN",AVERAGEIFS(G:G,J:J,J579,L:L,L579),TRUE,G579)</f>
        <v>55000</v>
      </c>
      <c r="I579" s="3" t="s">
        <v>38</v>
      </c>
      <c r="J579" s="3" t="s">
        <v>122</v>
      </c>
      <c r="K579" s="3" t="str">
        <f t="shared" si="37"/>
        <v>IT</v>
      </c>
      <c r="L579" s="3" t="s">
        <v>94</v>
      </c>
      <c r="M579" s="4">
        <v>43845</v>
      </c>
      <c r="N579" s="4">
        <v>43845</v>
      </c>
      <c r="O579" s="3" t="s">
        <v>78</v>
      </c>
      <c r="P579" s="3">
        <v>80</v>
      </c>
      <c r="Q579" s="3" t="s">
        <v>1209</v>
      </c>
      <c r="R579" s="3" t="s">
        <v>43</v>
      </c>
      <c r="S579" s="3" t="s">
        <v>44</v>
      </c>
      <c r="T579" s="3" t="str">
        <f t="shared" si="38"/>
        <v>Full-Time</v>
      </c>
      <c r="U579" s="3" t="s">
        <v>336</v>
      </c>
      <c r="V579" s="3">
        <v>4</v>
      </c>
      <c r="X579" s="3">
        <v>0</v>
      </c>
      <c r="AB579" s="3" t="str" cm="1">
        <f t="array" ref="AB579">_xlfn.IFS(AA579="N","No",  AA579 = "Y", "Yes", TRUE, PROPER(TRIM(AA579)))</f>
        <v/>
      </c>
      <c r="AC579" s="3">
        <v>1</v>
      </c>
      <c r="AD579" s="3" t="s">
        <v>34</v>
      </c>
      <c r="AE579">
        <f t="shared" ref="AE579:AE642" si="39">IF(AD579="Yes",1,0)</f>
        <v>0</v>
      </c>
    </row>
    <row r="580" spans="1:31" ht="14.25" customHeight="1" x14ac:dyDescent="0.35">
      <c r="A580" s="3" t="s">
        <v>1210</v>
      </c>
      <c r="B580" s="3" t="s">
        <v>140</v>
      </c>
      <c r="C580" s="3" t="s">
        <v>167</v>
      </c>
      <c r="D580" s="3">
        <v>40</v>
      </c>
      <c r="E580" s="3">
        <f t="shared" si="36"/>
        <v>40</v>
      </c>
      <c r="F580" s="3">
        <v>1984</v>
      </c>
      <c r="G580" s="3">
        <v>58600</v>
      </c>
      <c r="H580" s="12" cm="1">
        <f t="array" ref="H580">_xlfn.IFS(TRIM(G580)="SIXTY THOUSAND",60000,TRIM(G580)="NAN",AVERAGEIFS(G:G,J:J,J580,L:L,L580),TRUE,G580)</f>
        <v>58600</v>
      </c>
      <c r="I580" s="3" t="s">
        <v>38</v>
      </c>
      <c r="J580" s="3" t="s">
        <v>122</v>
      </c>
      <c r="K580" s="3" t="str">
        <f t="shared" si="37"/>
        <v>IT</v>
      </c>
      <c r="L580" s="3" t="s">
        <v>77</v>
      </c>
      <c r="M580" s="4">
        <v>43549</v>
      </c>
      <c r="N580" s="4">
        <v>43549</v>
      </c>
      <c r="O580" s="3" t="s">
        <v>41</v>
      </c>
      <c r="P580" s="3">
        <v>0</v>
      </c>
      <c r="Q580" s="3" t="s">
        <v>1211</v>
      </c>
      <c r="R580" s="3" t="s">
        <v>43</v>
      </c>
      <c r="S580" s="3" t="s">
        <v>112</v>
      </c>
      <c r="T580" s="3" t="str">
        <f t="shared" si="38"/>
        <v>Full-Time</v>
      </c>
      <c r="U580" s="3" t="s">
        <v>205</v>
      </c>
      <c r="V580" s="3">
        <v>1</v>
      </c>
      <c r="X580" s="3">
        <v>15</v>
      </c>
      <c r="Y580" s="4">
        <v>45516</v>
      </c>
      <c r="AB580" s="3" t="str" cm="1">
        <f t="array" ref="AB580">_xlfn.IFS(AA580="N","No",  AA580 = "Y", "Yes", TRUE, PROPER(TRIM(AA580)))</f>
        <v/>
      </c>
      <c r="AC580" s="3">
        <v>2</v>
      </c>
      <c r="AD580" s="3" t="s">
        <v>34</v>
      </c>
      <c r="AE580">
        <f t="shared" si="39"/>
        <v>0</v>
      </c>
    </row>
    <row r="581" spans="1:31" ht="14.25" customHeight="1" x14ac:dyDescent="0.35">
      <c r="A581" s="3" t="s">
        <v>1212</v>
      </c>
      <c r="B581" s="3" t="s">
        <v>131</v>
      </c>
      <c r="C581" s="3" t="s">
        <v>285</v>
      </c>
      <c r="D581" s="3">
        <v>35</v>
      </c>
      <c r="E581" s="3">
        <f t="shared" si="36"/>
        <v>35</v>
      </c>
      <c r="F581" s="3">
        <v>1989</v>
      </c>
      <c r="G581" s="3">
        <v>70000</v>
      </c>
      <c r="H581" s="12" cm="1">
        <f t="array" ref="H581">_xlfn.IFS(TRIM(G581)="SIXTY THOUSAND",60000,TRIM(G581)="NAN",AVERAGEIFS(G:G,J:J,J581,L:L,L581),TRUE,G581)</f>
        <v>70000</v>
      </c>
      <c r="I581" s="3" t="s">
        <v>38</v>
      </c>
      <c r="J581" s="3" t="s">
        <v>70</v>
      </c>
      <c r="K581" s="3" t="str">
        <f t="shared" si="37"/>
        <v>Marketing</v>
      </c>
      <c r="L581" s="3" t="s">
        <v>94</v>
      </c>
      <c r="M581" s="4">
        <v>43195</v>
      </c>
      <c r="N581" s="4">
        <v>43195</v>
      </c>
      <c r="O581" s="3" t="s">
        <v>78</v>
      </c>
      <c r="P581" s="3">
        <v>88</v>
      </c>
      <c r="Q581" s="3" t="s">
        <v>286</v>
      </c>
      <c r="R581" s="3" t="s">
        <v>104</v>
      </c>
      <c r="S581" s="3" t="s">
        <v>174</v>
      </c>
      <c r="T581" s="3" t="str">
        <f t="shared" si="38"/>
        <v>Full-Time</v>
      </c>
      <c r="V581" s="3">
        <v>5</v>
      </c>
      <c r="W581" s="3">
        <v>6</v>
      </c>
      <c r="X581" s="3">
        <v>3</v>
      </c>
      <c r="Y581" s="4">
        <v>45516</v>
      </c>
      <c r="Z581" s="3">
        <v>42</v>
      </c>
      <c r="AA581" s="3" t="s">
        <v>34</v>
      </c>
      <c r="AB581" s="3" t="str" cm="1">
        <f t="array" ref="AB581">_xlfn.IFS(AA581="N","No",  AA581 = "Y", "Yes", TRUE, PROPER(TRIM(AA581)))</f>
        <v>No</v>
      </c>
      <c r="AC581" s="3">
        <v>3</v>
      </c>
      <c r="AD581" s="3" t="s">
        <v>34</v>
      </c>
      <c r="AE581">
        <f t="shared" si="39"/>
        <v>0</v>
      </c>
    </row>
    <row r="582" spans="1:31" ht="14.25" customHeight="1" x14ac:dyDescent="0.35">
      <c r="A582" s="3" t="s">
        <v>1213</v>
      </c>
      <c r="B582" s="3" t="s">
        <v>140</v>
      </c>
      <c r="C582" s="3" t="s">
        <v>281</v>
      </c>
      <c r="D582" s="3">
        <v>50</v>
      </c>
      <c r="E582" s="3">
        <f t="shared" si="36"/>
        <v>50</v>
      </c>
      <c r="F582" s="3">
        <v>1974</v>
      </c>
      <c r="G582" s="3">
        <v>70000</v>
      </c>
      <c r="H582" s="12" cm="1">
        <f t="array" ref="H582">_xlfn.IFS(TRIM(G582)="SIXTY THOUSAND",60000,TRIM(G582)="NAN",AVERAGEIFS(G:G,J:J,J582,L:L,L582),TRUE,G582)</f>
        <v>70000</v>
      </c>
      <c r="I582" s="3" t="s">
        <v>38</v>
      </c>
      <c r="J582" s="3" t="s">
        <v>39</v>
      </c>
      <c r="K582" s="3" t="str">
        <f t="shared" si="37"/>
        <v>Finance</v>
      </c>
      <c r="L582" s="3" t="s">
        <v>77</v>
      </c>
      <c r="M582" s="4">
        <v>43845</v>
      </c>
      <c r="N582" s="4">
        <v>43845</v>
      </c>
      <c r="O582" s="3" t="s">
        <v>78</v>
      </c>
      <c r="P582" s="3">
        <v>89</v>
      </c>
      <c r="Q582" s="3" t="s">
        <v>282</v>
      </c>
      <c r="R582" s="3" t="s">
        <v>54</v>
      </c>
      <c r="S582" s="3" t="s">
        <v>44</v>
      </c>
      <c r="T582" s="3" t="str">
        <f t="shared" si="38"/>
        <v>Full-Time</v>
      </c>
      <c r="V582" s="3">
        <v>8</v>
      </c>
      <c r="X582" s="3">
        <v>0</v>
      </c>
      <c r="AA582" s="3" t="s">
        <v>46</v>
      </c>
      <c r="AB582" s="3" t="str" cm="1">
        <f t="array" ref="AB582">_xlfn.IFS(AA582="N","No",  AA582 = "Y", "Yes", TRUE, PROPER(TRIM(AA582)))</f>
        <v>Yes</v>
      </c>
      <c r="AC582" s="3">
        <v>5</v>
      </c>
      <c r="AD582" s="3" t="s">
        <v>46</v>
      </c>
      <c r="AE582">
        <f t="shared" si="39"/>
        <v>1</v>
      </c>
    </row>
    <row r="583" spans="1:31" ht="14.25" customHeight="1" x14ac:dyDescent="0.35">
      <c r="A583" s="3" t="s">
        <v>1214</v>
      </c>
      <c r="B583" s="3" t="s">
        <v>48</v>
      </c>
      <c r="C583" s="3" t="s">
        <v>225</v>
      </c>
      <c r="D583" s="3">
        <v>35</v>
      </c>
      <c r="E583" s="3">
        <f t="shared" si="36"/>
        <v>35</v>
      </c>
      <c r="F583" s="3">
        <v>1989</v>
      </c>
      <c r="G583" s="3">
        <v>65000</v>
      </c>
      <c r="H583" s="12" cm="1">
        <f t="array" ref="H583">_xlfn.IFS(TRIM(G583)="SIXTY THOUSAND",60000,TRIM(G583)="NAN",AVERAGEIFS(G:G,J:J,J583,L:L,L583),TRUE,G583)</f>
        <v>65000</v>
      </c>
      <c r="I583" s="3" t="s">
        <v>38</v>
      </c>
      <c r="J583" s="3" t="s">
        <v>70</v>
      </c>
      <c r="K583" s="3" t="str">
        <f t="shared" si="37"/>
        <v>Marketing</v>
      </c>
      <c r="L583" s="3" t="s">
        <v>77</v>
      </c>
      <c r="M583" s="4">
        <v>43549</v>
      </c>
      <c r="N583" s="4">
        <v>43549</v>
      </c>
      <c r="O583" s="3" t="s">
        <v>78</v>
      </c>
      <c r="P583" s="3">
        <v>88</v>
      </c>
      <c r="Q583" s="3" t="s">
        <v>226</v>
      </c>
      <c r="R583" s="3" t="s">
        <v>104</v>
      </c>
      <c r="S583" s="3" t="s">
        <v>174</v>
      </c>
      <c r="T583" s="3" t="str">
        <f t="shared" si="38"/>
        <v>Full-Time</v>
      </c>
      <c r="V583" s="3">
        <v>3</v>
      </c>
      <c r="X583" s="3">
        <v>11</v>
      </c>
      <c r="AB583" s="3" t="str" cm="1">
        <f t="array" ref="AB583">_xlfn.IFS(AA583="N","No",  AA583 = "Y", "Yes", TRUE, PROPER(TRIM(AA583)))</f>
        <v/>
      </c>
      <c r="AC583" s="3">
        <v>1</v>
      </c>
      <c r="AD583" s="3" t="s">
        <v>34</v>
      </c>
      <c r="AE583">
        <f t="shared" si="39"/>
        <v>0</v>
      </c>
    </row>
    <row r="584" spans="1:31" ht="14.25" customHeight="1" x14ac:dyDescent="0.35">
      <c r="A584" s="3" t="s">
        <v>1215</v>
      </c>
      <c r="B584" s="3" t="s">
        <v>131</v>
      </c>
      <c r="C584" s="3" t="s">
        <v>154</v>
      </c>
      <c r="D584" s="3">
        <v>50</v>
      </c>
      <c r="E584" s="3">
        <f t="shared" si="36"/>
        <v>50</v>
      </c>
      <c r="F584" s="3">
        <v>1974</v>
      </c>
      <c r="G584" s="3">
        <v>55000</v>
      </c>
      <c r="H584" s="12" cm="1">
        <f t="array" ref="H584">_xlfn.IFS(TRIM(G584)="SIXTY THOUSAND",60000,TRIM(G584)="NAN",AVERAGEIFS(G:G,J:J,J584,L:L,L584),TRUE,G584)</f>
        <v>55000</v>
      </c>
      <c r="I584" s="3" t="s">
        <v>38</v>
      </c>
      <c r="J584" s="3" t="s">
        <v>122</v>
      </c>
      <c r="K584" s="3" t="str">
        <f t="shared" si="37"/>
        <v>IT</v>
      </c>
      <c r="L584" s="3" t="s">
        <v>40</v>
      </c>
      <c r="M584" s="4">
        <v>43881</v>
      </c>
      <c r="N584" s="4">
        <v>43881</v>
      </c>
      <c r="O584" s="3" t="s">
        <v>78</v>
      </c>
      <c r="P584" s="3">
        <v>88</v>
      </c>
      <c r="Q584" s="3" t="s">
        <v>1216</v>
      </c>
      <c r="R584" s="3" t="s">
        <v>54</v>
      </c>
      <c r="S584" s="3" t="s">
        <v>112</v>
      </c>
      <c r="T584" s="3" t="str">
        <f t="shared" si="38"/>
        <v>Full-Time</v>
      </c>
      <c r="U584" s="3" t="s">
        <v>175</v>
      </c>
      <c r="V584" s="3">
        <v>6</v>
      </c>
      <c r="W584" s="3">
        <v>4</v>
      </c>
      <c r="Z584" s="3">
        <v>23</v>
      </c>
      <c r="AB584" s="3" t="str" cm="1">
        <f t="array" ref="AB584">_xlfn.IFS(AA584="N","No",  AA584 = "Y", "Yes", TRUE, PROPER(TRIM(AA584)))</f>
        <v/>
      </c>
      <c r="AC584" s="3">
        <v>1</v>
      </c>
      <c r="AD584" s="3" t="s">
        <v>34</v>
      </c>
      <c r="AE584">
        <f t="shared" si="39"/>
        <v>0</v>
      </c>
    </row>
    <row r="585" spans="1:31" ht="14.25" customHeight="1" x14ac:dyDescent="0.35">
      <c r="A585" s="3" t="s">
        <v>1217</v>
      </c>
      <c r="B585" s="3" t="s">
        <v>107</v>
      </c>
      <c r="C585" s="3" t="s">
        <v>244</v>
      </c>
      <c r="D585" s="3" t="s">
        <v>88</v>
      </c>
      <c r="E585" s="3">
        <f t="shared" si="36"/>
        <v>30</v>
      </c>
      <c r="F585" s="3">
        <v>1994</v>
      </c>
      <c r="G585" s="3" t="s">
        <v>50</v>
      </c>
      <c r="H585" s="12" cm="1">
        <f t="array" ref="H585">_xlfn.IFS(TRIM(G585)="SIXTY THOUSAND",60000,TRIM(G585)="NAN",AVERAGEIFS(G:G,J:J,J585,L:L,L585),TRUE,G585)</f>
        <v>60000</v>
      </c>
      <c r="I585" s="3" t="s">
        <v>27</v>
      </c>
      <c r="J585" s="3" t="s">
        <v>82</v>
      </c>
      <c r="K585" s="3" t="str">
        <f t="shared" si="37"/>
        <v>HR</v>
      </c>
      <c r="L585" s="3" t="s">
        <v>77</v>
      </c>
      <c r="M585" s="4">
        <v>43881</v>
      </c>
      <c r="N585" s="4">
        <v>43881</v>
      </c>
      <c r="O585" s="3" t="s">
        <v>78</v>
      </c>
      <c r="P585" s="3">
        <v>88</v>
      </c>
      <c r="Q585" s="3" t="s">
        <v>245</v>
      </c>
      <c r="R585" s="3" t="s">
        <v>104</v>
      </c>
      <c r="S585" s="3" t="s">
        <v>72</v>
      </c>
      <c r="T585" s="3" t="str">
        <f t="shared" si="38"/>
        <v>Part-Time</v>
      </c>
      <c r="V585" s="3">
        <v>7</v>
      </c>
      <c r="W585" s="3">
        <v>1</v>
      </c>
      <c r="Z585" s="3">
        <v>25</v>
      </c>
      <c r="AA585" s="3" t="s">
        <v>34</v>
      </c>
      <c r="AB585" s="3" t="str" cm="1">
        <f t="array" ref="AB585">_xlfn.IFS(AA585="N","No",  AA585 = "Y", "Yes", TRUE, PROPER(TRIM(AA585)))</f>
        <v>No</v>
      </c>
      <c r="AC585" s="3">
        <v>3</v>
      </c>
      <c r="AD585" s="3" t="s">
        <v>46</v>
      </c>
      <c r="AE585">
        <f t="shared" si="39"/>
        <v>1</v>
      </c>
    </row>
    <row r="586" spans="1:31" ht="14.25" customHeight="1" x14ac:dyDescent="0.35">
      <c r="A586" s="3" t="s">
        <v>1218</v>
      </c>
      <c r="B586" s="3" t="s">
        <v>56</v>
      </c>
      <c r="C586" s="3" t="s">
        <v>135</v>
      </c>
      <c r="D586" s="3">
        <v>25</v>
      </c>
      <c r="E586" s="3">
        <f t="shared" si="36"/>
        <v>25</v>
      </c>
      <c r="F586" s="3">
        <v>1999</v>
      </c>
      <c r="G586" s="3">
        <v>55000</v>
      </c>
      <c r="H586" s="12" cm="1">
        <f t="array" ref="H586">_xlfn.IFS(TRIM(G586)="SIXTY THOUSAND",60000,TRIM(G586)="NAN",AVERAGEIFS(G:G,J:J,J586,L:L,L586),TRUE,G586)</f>
        <v>55000</v>
      </c>
      <c r="I586" s="3" t="s">
        <v>38</v>
      </c>
      <c r="J586" s="3" t="s">
        <v>122</v>
      </c>
      <c r="K586" s="3" t="str">
        <f t="shared" si="37"/>
        <v>IT</v>
      </c>
      <c r="L586" s="3" t="s">
        <v>89</v>
      </c>
      <c r="M586" s="4">
        <v>43881</v>
      </c>
      <c r="N586" s="4">
        <v>43881</v>
      </c>
      <c r="O586" s="3" t="s">
        <v>30</v>
      </c>
      <c r="P586" s="3">
        <v>63</v>
      </c>
      <c r="Q586" s="3" t="s">
        <v>1219</v>
      </c>
      <c r="R586" s="3" t="s">
        <v>43</v>
      </c>
      <c r="S586" s="3" t="s">
        <v>72</v>
      </c>
      <c r="T586" s="3" t="str">
        <f t="shared" si="38"/>
        <v>Part-Time</v>
      </c>
      <c r="U586" s="3" t="s">
        <v>1220</v>
      </c>
      <c r="V586" s="3">
        <v>4</v>
      </c>
      <c r="Y586" s="4">
        <v>44470</v>
      </c>
      <c r="AA586" s="3" t="s">
        <v>33</v>
      </c>
      <c r="AB586" s="3" t="str" cm="1">
        <f t="array" ref="AB586">_xlfn.IFS(AA586="N","No",  AA586 = "Y", "Yes", TRUE, PROPER(TRIM(AA586)))</f>
        <v>Yes</v>
      </c>
      <c r="AC586" s="3">
        <v>3</v>
      </c>
      <c r="AD586" s="3" t="s">
        <v>34</v>
      </c>
      <c r="AE586">
        <f t="shared" si="39"/>
        <v>0</v>
      </c>
    </row>
    <row r="587" spans="1:31" ht="14.25" customHeight="1" x14ac:dyDescent="0.35">
      <c r="A587" s="3" t="s">
        <v>1221</v>
      </c>
      <c r="B587" s="3" t="s">
        <v>107</v>
      </c>
      <c r="C587" s="3" t="s">
        <v>355</v>
      </c>
      <c r="D587" s="3" t="s">
        <v>88</v>
      </c>
      <c r="E587" s="3">
        <f t="shared" si="36"/>
        <v>30</v>
      </c>
      <c r="F587" s="3">
        <v>1994</v>
      </c>
      <c r="G587" s="3">
        <v>50000</v>
      </c>
      <c r="H587" s="12" cm="1">
        <f t="array" ref="H587">_xlfn.IFS(TRIM(G587)="SIXTY THOUSAND",60000,TRIM(G587)="NAN",AVERAGEIFS(G:G,J:J,J587,L:L,L587),TRUE,G587)</f>
        <v>50000</v>
      </c>
      <c r="I587" s="3" t="s">
        <v>27</v>
      </c>
      <c r="J587" s="3" t="s">
        <v>93</v>
      </c>
      <c r="K587" s="3" t="str">
        <f t="shared" si="37"/>
        <v>Marketing</v>
      </c>
      <c r="L587" s="3" t="s">
        <v>77</v>
      </c>
      <c r="M587" s="4">
        <v>43195</v>
      </c>
      <c r="N587" s="4">
        <v>43195</v>
      </c>
      <c r="O587" s="3" t="s">
        <v>41</v>
      </c>
      <c r="P587" s="3">
        <v>17</v>
      </c>
      <c r="Q587" s="3" t="s">
        <v>356</v>
      </c>
      <c r="S587" s="3" t="s">
        <v>174</v>
      </c>
      <c r="T587" s="3" t="str">
        <f t="shared" si="38"/>
        <v>Full-Time</v>
      </c>
      <c r="V587" s="3">
        <v>5</v>
      </c>
      <c r="Y587" s="4">
        <v>44990</v>
      </c>
      <c r="AA587" s="3" t="s">
        <v>33</v>
      </c>
      <c r="AB587" s="3" t="str" cm="1">
        <f t="array" ref="AB587">_xlfn.IFS(AA587="N","No",  AA587 = "Y", "Yes", TRUE, PROPER(TRIM(AA587)))</f>
        <v>Yes</v>
      </c>
      <c r="AC587" s="3">
        <v>3</v>
      </c>
      <c r="AD587" s="3" t="s">
        <v>34</v>
      </c>
      <c r="AE587">
        <f t="shared" si="39"/>
        <v>0</v>
      </c>
    </row>
    <row r="588" spans="1:31" ht="14.25" customHeight="1" x14ac:dyDescent="0.35">
      <c r="A588" s="3" t="s">
        <v>1222</v>
      </c>
      <c r="B588" s="3" t="s">
        <v>68</v>
      </c>
      <c r="C588" s="3" t="s">
        <v>479</v>
      </c>
      <c r="E588" s="3">
        <f t="shared" si="36"/>
        <v>34</v>
      </c>
      <c r="F588" s="3">
        <v>1990</v>
      </c>
      <c r="G588" s="3">
        <v>55000</v>
      </c>
      <c r="H588" s="12" cm="1">
        <f t="array" ref="H588">_xlfn.IFS(TRIM(G588)="SIXTY THOUSAND",60000,TRIM(G588)="NAN",AVERAGEIFS(G:G,J:J,J588,L:L,L588),TRUE,G588)</f>
        <v>55000</v>
      </c>
      <c r="I588" s="3" t="s">
        <v>27</v>
      </c>
      <c r="J588" s="3" t="s">
        <v>64</v>
      </c>
      <c r="K588" s="3" t="str">
        <f t="shared" si="37"/>
        <v>Finance</v>
      </c>
      <c r="L588" s="3" t="s">
        <v>94</v>
      </c>
      <c r="M588" s="4">
        <v>43881</v>
      </c>
      <c r="N588" s="4">
        <v>43881</v>
      </c>
      <c r="O588" s="3" t="s">
        <v>30</v>
      </c>
      <c r="P588" s="3">
        <v>66</v>
      </c>
      <c r="Q588" s="3" t="s">
        <v>768</v>
      </c>
      <c r="R588" s="3" t="s">
        <v>54</v>
      </c>
      <c r="S588" s="3" t="s">
        <v>112</v>
      </c>
      <c r="T588" s="3" t="str">
        <f t="shared" si="38"/>
        <v>Full-Time</v>
      </c>
      <c r="V588" s="3">
        <v>3</v>
      </c>
      <c r="W588" s="3" t="s">
        <v>79</v>
      </c>
      <c r="AA588" s="3" t="s">
        <v>46</v>
      </c>
      <c r="AB588" s="3" t="str" cm="1">
        <f t="array" ref="AB588">_xlfn.IFS(AA588="N","No",  AA588 = "Y", "Yes", TRUE, PROPER(TRIM(AA588)))</f>
        <v>Yes</v>
      </c>
      <c r="AC588" s="3">
        <v>1</v>
      </c>
      <c r="AD588" s="3" t="s">
        <v>46</v>
      </c>
      <c r="AE588">
        <f t="shared" si="39"/>
        <v>1</v>
      </c>
    </row>
    <row r="589" spans="1:31" ht="14.25" customHeight="1" x14ac:dyDescent="0.35">
      <c r="A589" s="3" t="s">
        <v>1223</v>
      </c>
      <c r="B589" s="3" t="s">
        <v>56</v>
      </c>
      <c r="C589" s="3" t="s">
        <v>247</v>
      </c>
      <c r="E589" s="3">
        <f t="shared" si="36"/>
        <v>35</v>
      </c>
      <c r="F589" s="3">
        <v>1989</v>
      </c>
      <c r="G589" s="3">
        <v>50000</v>
      </c>
      <c r="H589" s="12" cm="1">
        <f t="array" ref="H589">_xlfn.IFS(TRIM(G589)="SIXTY THOUSAND",60000,TRIM(G589)="NAN",AVERAGEIFS(G:G,J:J,J589,L:L,L589),TRUE,G589)</f>
        <v>50000</v>
      </c>
      <c r="I589" s="3" t="s">
        <v>38</v>
      </c>
      <c r="J589" s="3" t="s">
        <v>64</v>
      </c>
      <c r="K589" s="3" t="str">
        <f t="shared" si="37"/>
        <v>Finance</v>
      </c>
      <c r="L589" s="3" t="s">
        <v>77</v>
      </c>
      <c r="M589" s="4">
        <v>43800</v>
      </c>
      <c r="N589" s="4">
        <v>43800</v>
      </c>
      <c r="O589" s="3" t="s">
        <v>30</v>
      </c>
      <c r="P589" s="3">
        <v>64</v>
      </c>
      <c r="Q589" s="3" t="s">
        <v>1224</v>
      </c>
      <c r="R589" s="3" t="s">
        <v>61</v>
      </c>
      <c r="S589" s="3" t="s">
        <v>66</v>
      </c>
      <c r="T589" s="3" t="str">
        <f t="shared" si="38"/>
        <v>Contract</v>
      </c>
      <c r="V589" s="3">
        <v>8</v>
      </c>
      <c r="W589" s="3" t="s">
        <v>79</v>
      </c>
      <c r="X589" s="3">
        <v>7</v>
      </c>
      <c r="Z589" s="3">
        <v>46</v>
      </c>
      <c r="AB589" s="3" t="str" cm="1">
        <f t="array" ref="AB589">_xlfn.IFS(AA589="N","No",  AA589 = "Y", "Yes", TRUE, PROPER(TRIM(AA589)))</f>
        <v/>
      </c>
      <c r="AC589" s="3">
        <v>2</v>
      </c>
      <c r="AD589" s="3" t="s">
        <v>46</v>
      </c>
      <c r="AE589">
        <f t="shared" si="39"/>
        <v>1</v>
      </c>
    </row>
    <row r="590" spans="1:31" ht="14.25" customHeight="1" x14ac:dyDescent="0.35">
      <c r="A590" s="3" t="s">
        <v>1225</v>
      </c>
      <c r="B590" s="3" t="s">
        <v>107</v>
      </c>
      <c r="C590" s="3" t="s">
        <v>176</v>
      </c>
      <c r="D590" s="3">
        <v>50</v>
      </c>
      <c r="E590" s="3">
        <f t="shared" si="36"/>
        <v>50</v>
      </c>
      <c r="F590" s="3">
        <v>1974</v>
      </c>
      <c r="G590" s="3">
        <v>50000</v>
      </c>
      <c r="H590" s="12" cm="1">
        <f t="array" ref="H590">_xlfn.IFS(TRIM(G590)="SIXTY THOUSAND",60000,TRIM(G590)="NAN",AVERAGEIFS(G:G,J:J,J590,L:L,L590),TRUE,G590)</f>
        <v>50000</v>
      </c>
      <c r="I590" s="3" t="s">
        <v>27</v>
      </c>
      <c r="J590" s="3" t="s">
        <v>70</v>
      </c>
      <c r="K590" s="3" t="str">
        <f t="shared" si="37"/>
        <v>Marketing</v>
      </c>
      <c r="L590" s="3" t="s">
        <v>29</v>
      </c>
      <c r="M590" s="4">
        <v>43845</v>
      </c>
      <c r="N590" s="4">
        <v>43845</v>
      </c>
      <c r="O590" s="3" t="s">
        <v>59</v>
      </c>
      <c r="P590" s="3">
        <v>91</v>
      </c>
      <c r="Q590" s="3" t="s">
        <v>1226</v>
      </c>
      <c r="R590" s="3" t="s">
        <v>61</v>
      </c>
      <c r="S590" s="3" t="s">
        <v>66</v>
      </c>
      <c r="T590" s="3" t="str">
        <f t="shared" si="38"/>
        <v>Contract</v>
      </c>
      <c r="V590" s="3">
        <v>2</v>
      </c>
      <c r="W590" s="3">
        <v>2</v>
      </c>
      <c r="Y590" s="4">
        <v>45516</v>
      </c>
      <c r="Z590" s="3">
        <v>75</v>
      </c>
      <c r="AA590" s="3" t="s">
        <v>169</v>
      </c>
      <c r="AB590" s="3" t="str" cm="1">
        <f t="array" ref="AB590">_xlfn.IFS(AA590="N","No",  AA590 = "Y", "Yes", TRUE, PROPER(TRIM(AA590)))</f>
        <v>Yes</v>
      </c>
      <c r="AC590" s="3">
        <v>5</v>
      </c>
      <c r="AD590" s="3" t="s">
        <v>34</v>
      </c>
      <c r="AE590">
        <f t="shared" si="39"/>
        <v>0</v>
      </c>
    </row>
    <row r="591" spans="1:31" ht="14.25" customHeight="1" x14ac:dyDescent="0.35">
      <c r="A591" s="3" t="s">
        <v>1227</v>
      </c>
      <c r="B591" s="3" t="s">
        <v>56</v>
      </c>
      <c r="C591" s="3" t="s">
        <v>87</v>
      </c>
      <c r="D591" s="3">
        <v>40</v>
      </c>
      <c r="E591" s="3">
        <f t="shared" si="36"/>
        <v>40</v>
      </c>
      <c r="F591" s="3">
        <v>1984</v>
      </c>
      <c r="G591" s="3" t="s">
        <v>50</v>
      </c>
      <c r="H591" s="12" cm="1">
        <f t="array" ref="H591">_xlfn.IFS(TRIM(G591)="SIXTY THOUSAND",60000,TRIM(G591)="NAN",AVERAGEIFS(G:G,J:J,J591,L:L,L591),TRUE,G591)</f>
        <v>60000</v>
      </c>
      <c r="I591" s="3" t="s">
        <v>27</v>
      </c>
      <c r="J591" s="3" t="s">
        <v>39</v>
      </c>
      <c r="K591" s="3" t="str">
        <f t="shared" si="37"/>
        <v>Finance</v>
      </c>
      <c r="L591" s="3" t="s">
        <v>94</v>
      </c>
      <c r="M591" s="4">
        <v>43195</v>
      </c>
      <c r="N591" s="4">
        <v>43195</v>
      </c>
      <c r="O591" s="3" t="s">
        <v>59</v>
      </c>
      <c r="P591" s="3">
        <v>96</v>
      </c>
      <c r="Q591" s="3" t="s">
        <v>129</v>
      </c>
      <c r="R591" s="3" t="s">
        <v>43</v>
      </c>
      <c r="S591" s="3" t="s">
        <v>174</v>
      </c>
      <c r="T591" s="3" t="str">
        <f t="shared" si="38"/>
        <v>Full-Time</v>
      </c>
      <c r="V591" s="3">
        <v>7</v>
      </c>
      <c r="X591" s="3">
        <v>18</v>
      </c>
      <c r="Y591" s="4">
        <v>44990</v>
      </c>
      <c r="Z591" s="3">
        <v>45</v>
      </c>
      <c r="AA591" s="3" t="s">
        <v>169</v>
      </c>
      <c r="AB591" s="3" t="str" cm="1">
        <f t="array" ref="AB591">_xlfn.IFS(AA591="N","No",  AA591 = "Y", "Yes", TRUE, PROPER(TRIM(AA591)))</f>
        <v>Yes</v>
      </c>
      <c r="AC591" s="3">
        <v>1</v>
      </c>
      <c r="AD591" s="3" t="s">
        <v>34</v>
      </c>
      <c r="AE591">
        <f t="shared" si="39"/>
        <v>0</v>
      </c>
    </row>
    <row r="592" spans="1:31" ht="14.25" customHeight="1" x14ac:dyDescent="0.35">
      <c r="A592" s="3" t="s">
        <v>1228</v>
      </c>
      <c r="B592" s="3" t="s">
        <v>56</v>
      </c>
      <c r="C592" s="3" t="s">
        <v>176</v>
      </c>
      <c r="D592" s="3">
        <v>40</v>
      </c>
      <c r="E592" s="3">
        <f t="shared" si="36"/>
        <v>40</v>
      </c>
      <c r="F592" s="3">
        <v>1984</v>
      </c>
      <c r="G592" s="3">
        <v>61500</v>
      </c>
      <c r="H592" s="12" cm="1">
        <f t="array" ref="H592">_xlfn.IFS(TRIM(G592)="SIXTY THOUSAND",60000,TRIM(G592)="NAN",AVERAGEIFS(G:G,J:J,J592,L:L,L592),TRUE,G592)</f>
        <v>61500</v>
      </c>
      <c r="I592" s="3" t="s">
        <v>27</v>
      </c>
      <c r="J592" s="3" t="s">
        <v>145</v>
      </c>
      <c r="K592" s="3" t="str">
        <f t="shared" si="37"/>
        <v>Sales</v>
      </c>
      <c r="L592" s="3" t="s">
        <v>29</v>
      </c>
      <c r="M592" s="4">
        <v>43881</v>
      </c>
      <c r="N592" s="4">
        <v>43881</v>
      </c>
      <c r="O592" s="3" t="s">
        <v>59</v>
      </c>
      <c r="P592" s="3">
        <v>90</v>
      </c>
      <c r="Q592" s="3" t="s">
        <v>1229</v>
      </c>
      <c r="R592" s="3" t="s">
        <v>104</v>
      </c>
      <c r="S592" s="3" t="s">
        <v>174</v>
      </c>
      <c r="T592" s="3" t="str">
        <f t="shared" si="38"/>
        <v>Full-Time</v>
      </c>
      <c r="V592" s="3">
        <v>6</v>
      </c>
      <c r="X592" s="3">
        <v>9</v>
      </c>
      <c r="AA592" s="3" t="s">
        <v>46</v>
      </c>
      <c r="AB592" s="3" t="str" cm="1">
        <f t="array" ref="AB592">_xlfn.IFS(AA592="N","No",  AA592 = "Y", "Yes", TRUE, PROPER(TRIM(AA592)))</f>
        <v>Yes</v>
      </c>
      <c r="AC592" s="3">
        <v>2</v>
      </c>
      <c r="AD592" s="3" t="s">
        <v>34</v>
      </c>
      <c r="AE592">
        <f t="shared" si="39"/>
        <v>0</v>
      </c>
    </row>
    <row r="593" spans="1:31" ht="14.25" customHeight="1" x14ac:dyDescent="0.35">
      <c r="A593" s="3" t="s">
        <v>1230</v>
      </c>
      <c r="B593" s="3" t="s">
        <v>36</v>
      </c>
      <c r="C593" s="3" t="s">
        <v>167</v>
      </c>
      <c r="D593" s="3">
        <v>50</v>
      </c>
      <c r="E593" s="3">
        <f t="shared" si="36"/>
        <v>50</v>
      </c>
      <c r="F593" s="3">
        <v>1974</v>
      </c>
      <c r="G593" s="3">
        <v>65000</v>
      </c>
      <c r="H593" s="12" cm="1">
        <f t="array" ref="H593">_xlfn.IFS(TRIM(G593)="SIXTY THOUSAND",60000,TRIM(G593)="NAN",AVERAGEIFS(G:G,J:J,J593,L:L,L593),TRUE,G593)</f>
        <v>65000</v>
      </c>
      <c r="I593" s="3" t="s">
        <v>27</v>
      </c>
      <c r="J593" s="3" t="s">
        <v>82</v>
      </c>
      <c r="K593" s="3" t="str">
        <f t="shared" si="37"/>
        <v>HR</v>
      </c>
      <c r="L593" s="3" t="s">
        <v>94</v>
      </c>
      <c r="M593" s="4">
        <v>43845</v>
      </c>
      <c r="N593" s="4">
        <v>43845</v>
      </c>
      <c r="O593" s="3" t="s">
        <v>52</v>
      </c>
      <c r="P593" s="3">
        <v>79</v>
      </c>
      <c r="Q593" s="3" t="s">
        <v>1231</v>
      </c>
      <c r="R593" s="3" t="s">
        <v>104</v>
      </c>
      <c r="S593" s="3" t="s">
        <v>174</v>
      </c>
      <c r="T593" s="3" t="str">
        <f t="shared" si="38"/>
        <v>Full-Time</v>
      </c>
      <c r="V593" s="3">
        <v>1</v>
      </c>
      <c r="W593" s="3">
        <v>2</v>
      </c>
      <c r="AA593" s="3" t="s">
        <v>34</v>
      </c>
      <c r="AB593" s="3" t="str" cm="1">
        <f t="array" ref="AB593">_xlfn.IFS(AA593="N","No",  AA593 = "Y", "Yes", TRUE, PROPER(TRIM(AA593)))</f>
        <v>No</v>
      </c>
      <c r="AC593" s="3">
        <v>1</v>
      </c>
      <c r="AD593" s="3" t="s">
        <v>46</v>
      </c>
      <c r="AE593">
        <f t="shared" si="39"/>
        <v>1</v>
      </c>
    </row>
    <row r="594" spans="1:31" ht="14.25" customHeight="1" x14ac:dyDescent="0.35">
      <c r="A594" s="3" t="s">
        <v>1232</v>
      </c>
      <c r="B594" s="3" t="s">
        <v>75</v>
      </c>
      <c r="C594" s="3" t="s">
        <v>103</v>
      </c>
      <c r="E594" s="3">
        <f t="shared" si="36"/>
        <v>31</v>
      </c>
      <c r="F594" s="3">
        <v>1993</v>
      </c>
      <c r="G594" s="3">
        <v>55000</v>
      </c>
      <c r="H594" s="12" cm="1">
        <f t="array" ref="H594">_xlfn.IFS(TRIM(G594)="SIXTY THOUSAND",60000,TRIM(G594)="NAN",AVERAGEIFS(G:G,J:J,J594,L:L,L594),TRUE,G594)</f>
        <v>55000</v>
      </c>
      <c r="I594" s="3" t="s">
        <v>27</v>
      </c>
      <c r="J594" s="3" t="s">
        <v>82</v>
      </c>
      <c r="K594" s="3" t="str">
        <f t="shared" si="37"/>
        <v>HR</v>
      </c>
      <c r="L594" s="3" t="s">
        <v>89</v>
      </c>
      <c r="M594" s="4">
        <v>43549</v>
      </c>
      <c r="N594" s="4">
        <v>43549</v>
      </c>
      <c r="O594" s="3" t="s">
        <v>59</v>
      </c>
      <c r="P594" s="3">
        <v>98</v>
      </c>
      <c r="Q594" s="3" t="s">
        <v>308</v>
      </c>
      <c r="R594" s="3" t="s">
        <v>43</v>
      </c>
      <c r="S594" s="3" t="s">
        <v>72</v>
      </c>
      <c r="T594" s="3" t="str">
        <f t="shared" si="38"/>
        <v>Part-Time</v>
      </c>
      <c r="V594" s="3">
        <v>4</v>
      </c>
      <c r="Z594" s="3">
        <v>77</v>
      </c>
      <c r="AB594" s="3" t="str" cm="1">
        <f t="array" ref="AB594">_xlfn.IFS(AA594="N","No",  AA594 = "Y", "Yes", TRUE, PROPER(TRIM(AA594)))</f>
        <v/>
      </c>
      <c r="AC594" s="3">
        <v>4</v>
      </c>
      <c r="AD594" s="3" t="s">
        <v>46</v>
      </c>
      <c r="AE594">
        <f t="shared" si="39"/>
        <v>1</v>
      </c>
    </row>
    <row r="595" spans="1:31" ht="14.25" customHeight="1" x14ac:dyDescent="0.35">
      <c r="A595" s="3" t="s">
        <v>1233</v>
      </c>
      <c r="B595" s="3" t="s">
        <v>75</v>
      </c>
      <c r="C595" s="3" t="s">
        <v>338</v>
      </c>
      <c r="E595" s="3">
        <f t="shared" si="36"/>
        <v>41</v>
      </c>
      <c r="F595" s="3">
        <v>1983</v>
      </c>
      <c r="G595" s="3">
        <v>50000</v>
      </c>
      <c r="H595" s="12" cm="1">
        <f t="array" ref="H595">_xlfn.IFS(TRIM(G595)="SIXTY THOUSAND",60000,TRIM(G595)="NAN",AVERAGEIFS(G:G,J:J,J595,L:L,L595),TRUE,G595)</f>
        <v>50000</v>
      </c>
      <c r="I595" s="3" t="s">
        <v>27</v>
      </c>
      <c r="J595" s="3" t="s">
        <v>28</v>
      </c>
      <c r="K595" s="3" t="str">
        <f t="shared" si="37"/>
        <v>HR</v>
      </c>
      <c r="L595" s="3" t="s">
        <v>89</v>
      </c>
      <c r="M595" s="4">
        <v>43881</v>
      </c>
      <c r="N595" s="4">
        <v>43881</v>
      </c>
      <c r="O595" s="3" t="s">
        <v>41</v>
      </c>
      <c r="P595" s="3">
        <v>59</v>
      </c>
      <c r="Q595" s="3" t="s">
        <v>1234</v>
      </c>
      <c r="R595" s="3" t="s">
        <v>61</v>
      </c>
      <c r="S595" s="3" t="s">
        <v>72</v>
      </c>
      <c r="T595" s="3" t="str">
        <f t="shared" si="38"/>
        <v>Part-Time</v>
      </c>
      <c r="V595" s="3">
        <v>3</v>
      </c>
      <c r="AA595" s="3" t="s">
        <v>73</v>
      </c>
      <c r="AB595" s="3" t="str" cm="1">
        <f t="array" ref="AB595">_xlfn.IFS(AA595="N","No",  AA595 = "Y", "Yes", TRUE, PROPER(TRIM(AA595)))</f>
        <v>No</v>
      </c>
      <c r="AC595" s="3">
        <v>4</v>
      </c>
      <c r="AD595" s="3" t="s">
        <v>34</v>
      </c>
      <c r="AE595">
        <f t="shared" si="39"/>
        <v>0</v>
      </c>
    </row>
    <row r="596" spans="1:31" ht="14.25" customHeight="1" x14ac:dyDescent="0.35">
      <c r="A596" s="3" t="s">
        <v>1235</v>
      </c>
      <c r="B596" s="3" t="s">
        <v>36</v>
      </c>
      <c r="C596" s="3" t="s">
        <v>161</v>
      </c>
      <c r="E596" s="3">
        <f t="shared" si="36"/>
        <v>34</v>
      </c>
      <c r="F596" s="3">
        <v>1990</v>
      </c>
      <c r="G596" s="3">
        <v>55000</v>
      </c>
      <c r="H596" s="12" cm="1">
        <f t="array" ref="H596">_xlfn.IFS(TRIM(G596)="SIXTY THOUSAND",60000,TRIM(G596)="NAN",AVERAGEIFS(G:G,J:J,J596,L:L,L596),TRUE,G596)</f>
        <v>55000</v>
      </c>
      <c r="I596" s="3" t="s">
        <v>27</v>
      </c>
      <c r="J596" s="3" t="s">
        <v>64</v>
      </c>
      <c r="K596" s="3" t="str">
        <f t="shared" si="37"/>
        <v>Finance</v>
      </c>
      <c r="L596" s="3" t="s">
        <v>89</v>
      </c>
      <c r="M596" s="4">
        <v>43845</v>
      </c>
      <c r="N596" s="4">
        <v>43845</v>
      </c>
      <c r="O596" s="3" t="s">
        <v>30</v>
      </c>
      <c r="P596" s="3">
        <v>69</v>
      </c>
      <c r="Q596" s="3" t="s">
        <v>1236</v>
      </c>
      <c r="R596" s="3" t="s">
        <v>61</v>
      </c>
      <c r="S596" s="3" t="s">
        <v>44</v>
      </c>
      <c r="T596" s="3" t="str">
        <f t="shared" si="38"/>
        <v>Full-Time</v>
      </c>
      <c r="V596" s="3">
        <v>3</v>
      </c>
      <c r="X596" s="3">
        <v>19</v>
      </c>
      <c r="Y596" s="3" t="s">
        <v>79</v>
      </c>
      <c r="AA596" s="3" t="s">
        <v>169</v>
      </c>
      <c r="AB596" s="3" t="str" cm="1">
        <f t="array" ref="AB596">_xlfn.IFS(AA596="N","No",  AA596 = "Y", "Yes", TRUE, PROPER(TRIM(AA596)))</f>
        <v>Yes</v>
      </c>
      <c r="AC596" s="3">
        <v>3</v>
      </c>
      <c r="AD596" s="3" t="s">
        <v>34</v>
      </c>
      <c r="AE596">
        <f t="shared" si="39"/>
        <v>0</v>
      </c>
    </row>
    <row r="597" spans="1:31" ht="14.25" customHeight="1" x14ac:dyDescent="0.35">
      <c r="A597" s="3" t="s">
        <v>1237</v>
      </c>
      <c r="B597" s="3" t="s">
        <v>140</v>
      </c>
      <c r="C597" s="3" t="s">
        <v>268</v>
      </c>
      <c r="D597" s="3" t="s">
        <v>88</v>
      </c>
      <c r="E597" s="3">
        <f t="shared" si="36"/>
        <v>30</v>
      </c>
      <c r="F597" s="3">
        <v>1994</v>
      </c>
      <c r="G597" s="3">
        <v>59500</v>
      </c>
      <c r="H597" s="12" cm="1">
        <f t="array" ref="H597">_xlfn.IFS(TRIM(G597)="SIXTY THOUSAND",60000,TRIM(G597)="NAN",AVERAGEIFS(G:G,J:J,J597,L:L,L597),TRUE,G597)</f>
        <v>59500</v>
      </c>
      <c r="I597" s="3" t="s">
        <v>38</v>
      </c>
      <c r="J597" s="3" t="s">
        <v>64</v>
      </c>
      <c r="K597" s="3" t="str">
        <f t="shared" si="37"/>
        <v>Finance</v>
      </c>
      <c r="L597" s="3" t="s">
        <v>29</v>
      </c>
      <c r="M597" s="4">
        <v>43800</v>
      </c>
      <c r="N597" s="4">
        <v>43800</v>
      </c>
      <c r="O597" s="3" t="s">
        <v>41</v>
      </c>
      <c r="P597" s="3">
        <v>13</v>
      </c>
      <c r="Q597" s="3" t="s">
        <v>269</v>
      </c>
      <c r="R597" s="3" t="s">
        <v>104</v>
      </c>
      <c r="S597" s="3" t="s">
        <v>32</v>
      </c>
      <c r="T597" s="3" t="str">
        <f t="shared" si="38"/>
        <v>Contract</v>
      </c>
      <c r="V597" s="3">
        <v>8</v>
      </c>
      <c r="X597" s="3">
        <v>11</v>
      </c>
      <c r="AA597" s="3" t="s">
        <v>73</v>
      </c>
      <c r="AB597" s="3" t="str" cm="1">
        <f t="array" ref="AB597">_xlfn.IFS(AA597="N","No",  AA597 = "Y", "Yes", TRUE, PROPER(TRIM(AA597)))</f>
        <v>No</v>
      </c>
      <c r="AC597" s="3">
        <v>2</v>
      </c>
      <c r="AD597" s="3" t="s">
        <v>46</v>
      </c>
      <c r="AE597">
        <f t="shared" si="39"/>
        <v>1</v>
      </c>
    </row>
    <row r="598" spans="1:31" ht="14.25" customHeight="1" x14ac:dyDescent="0.35">
      <c r="A598" s="3" t="s">
        <v>1238</v>
      </c>
      <c r="B598" s="3" t="s">
        <v>114</v>
      </c>
      <c r="C598" s="3" t="s">
        <v>315</v>
      </c>
      <c r="E598" s="3">
        <f t="shared" si="36"/>
        <v>61</v>
      </c>
      <c r="F598" s="3">
        <v>1963</v>
      </c>
      <c r="G598" s="3">
        <v>65000</v>
      </c>
      <c r="H598" s="12" cm="1">
        <f t="array" ref="H598">_xlfn.IFS(TRIM(G598)="SIXTY THOUSAND",60000,TRIM(G598)="NAN",AVERAGEIFS(G:G,J:J,J598,L:L,L598),TRUE,G598)</f>
        <v>65000</v>
      </c>
      <c r="I598" s="3" t="s">
        <v>38</v>
      </c>
      <c r="J598" s="3" t="s">
        <v>122</v>
      </c>
      <c r="K598" s="3" t="str">
        <f t="shared" si="37"/>
        <v>IT</v>
      </c>
      <c r="L598" s="3" t="s">
        <v>40</v>
      </c>
      <c r="M598" s="4">
        <v>43549</v>
      </c>
      <c r="N598" s="4">
        <v>43549</v>
      </c>
      <c r="O598" s="3" t="s">
        <v>59</v>
      </c>
      <c r="P598" s="3">
        <v>99</v>
      </c>
      <c r="Q598" s="3" t="s">
        <v>1239</v>
      </c>
      <c r="R598" s="3" t="s">
        <v>54</v>
      </c>
      <c r="S598" s="3" t="s">
        <v>72</v>
      </c>
      <c r="T598" s="3" t="str">
        <f t="shared" si="38"/>
        <v>Part-Time</v>
      </c>
      <c r="V598" s="3">
        <v>3</v>
      </c>
      <c r="W598" s="3" t="s">
        <v>79</v>
      </c>
      <c r="Y598" s="3" t="s">
        <v>79</v>
      </c>
      <c r="Z598" s="3">
        <v>25</v>
      </c>
      <c r="AA598" s="3" t="s">
        <v>34</v>
      </c>
      <c r="AB598" s="3" t="str" cm="1">
        <f t="array" ref="AB598">_xlfn.IFS(AA598="N","No",  AA598 = "Y", "Yes", TRUE, PROPER(TRIM(AA598)))</f>
        <v>No</v>
      </c>
      <c r="AC598" s="3">
        <v>4</v>
      </c>
      <c r="AD598" s="3" t="s">
        <v>34</v>
      </c>
      <c r="AE598">
        <f t="shared" si="39"/>
        <v>0</v>
      </c>
    </row>
    <row r="599" spans="1:31" ht="14.25" customHeight="1" x14ac:dyDescent="0.35">
      <c r="A599" s="3" t="s">
        <v>1240</v>
      </c>
      <c r="B599" s="3" t="s">
        <v>140</v>
      </c>
      <c r="C599" s="3" t="s">
        <v>436</v>
      </c>
      <c r="D599" s="3">
        <v>35</v>
      </c>
      <c r="E599" s="3">
        <f t="shared" si="36"/>
        <v>35</v>
      </c>
      <c r="F599" s="3">
        <v>1989</v>
      </c>
      <c r="G599" s="3">
        <v>59300</v>
      </c>
      <c r="H599" s="12" cm="1">
        <f t="array" ref="H599">_xlfn.IFS(TRIM(G599)="SIXTY THOUSAND",60000,TRIM(G599)="NAN",AVERAGEIFS(G:G,J:J,J599,L:L,L599),TRUE,G599)</f>
        <v>59300</v>
      </c>
      <c r="I599" s="3" t="s">
        <v>38</v>
      </c>
      <c r="J599" s="3" t="s">
        <v>58</v>
      </c>
      <c r="K599" s="3" t="str">
        <f t="shared" si="37"/>
        <v>IT</v>
      </c>
      <c r="L599" s="3" t="s">
        <v>94</v>
      </c>
      <c r="M599" s="4">
        <v>43800</v>
      </c>
      <c r="N599" s="4">
        <v>43800</v>
      </c>
      <c r="O599" s="3" t="s">
        <v>52</v>
      </c>
      <c r="P599" s="3">
        <v>73</v>
      </c>
      <c r="Q599" s="3" t="s">
        <v>437</v>
      </c>
      <c r="S599" s="3" t="s">
        <v>112</v>
      </c>
      <c r="T599" s="3" t="str">
        <f t="shared" si="38"/>
        <v>Full-Time</v>
      </c>
      <c r="V599" s="3">
        <v>3</v>
      </c>
      <c r="Y599" s="4">
        <v>44941</v>
      </c>
      <c r="AB599" s="3" t="str" cm="1">
        <f t="array" ref="AB599">_xlfn.IFS(AA599="N","No",  AA599 = "Y", "Yes", TRUE, PROPER(TRIM(AA599)))</f>
        <v/>
      </c>
      <c r="AC599" s="3">
        <v>1</v>
      </c>
      <c r="AD599" s="3" t="s">
        <v>46</v>
      </c>
      <c r="AE599">
        <f t="shared" si="39"/>
        <v>1</v>
      </c>
    </row>
    <row r="600" spans="1:31" ht="14.25" customHeight="1" x14ac:dyDescent="0.35">
      <c r="A600" s="3" t="s">
        <v>1241</v>
      </c>
      <c r="B600" s="3" t="s">
        <v>131</v>
      </c>
      <c r="C600" s="3" t="s">
        <v>253</v>
      </c>
      <c r="D600" s="3">
        <v>25</v>
      </c>
      <c r="E600" s="3">
        <f t="shared" si="36"/>
        <v>25</v>
      </c>
      <c r="F600" s="3">
        <v>1999</v>
      </c>
      <c r="G600" s="3">
        <v>65000</v>
      </c>
      <c r="H600" s="12" cm="1">
        <f t="array" ref="H600">_xlfn.IFS(TRIM(G600)="SIXTY THOUSAND",60000,TRIM(G600)="NAN",AVERAGEIFS(G:G,J:J,J600,L:L,L600),TRUE,G600)</f>
        <v>65000</v>
      </c>
      <c r="I600" s="3" t="s">
        <v>38</v>
      </c>
      <c r="J600" s="3" t="s">
        <v>82</v>
      </c>
      <c r="K600" s="3" t="str">
        <f t="shared" si="37"/>
        <v>HR</v>
      </c>
      <c r="L600" s="3" t="s">
        <v>89</v>
      </c>
      <c r="M600" s="4">
        <v>43845</v>
      </c>
      <c r="N600" s="4">
        <v>43845</v>
      </c>
      <c r="O600" s="3" t="s">
        <v>52</v>
      </c>
      <c r="P600" s="3">
        <v>75</v>
      </c>
      <c r="Q600" s="3" t="s">
        <v>1242</v>
      </c>
      <c r="R600" s="3" t="s">
        <v>54</v>
      </c>
      <c r="S600" s="3" t="s">
        <v>66</v>
      </c>
      <c r="T600" s="3" t="str">
        <f t="shared" si="38"/>
        <v>Contract</v>
      </c>
      <c r="V600" s="3">
        <v>3</v>
      </c>
      <c r="W600" s="3">
        <v>3</v>
      </c>
      <c r="X600" s="3">
        <v>4</v>
      </c>
      <c r="Y600" s="4">
        <v>44990</v>
      </c>
      <c r="AA600" s="3" t="s">
        <v>169</v>
      </c>
      <c r="AB600" s="3" t="str" cm="1">
        <f t="array" ref="AB600">_xlfn.IFS(AA600="N","No",  AA600 = "Y", "Yes", TRUE, PROPER(TRIM(AA600)))</f>
        <v>Yes</v>
      </c>
      <c r="AC600" s="3">
        <v>2</v>
      </c>
      <c r="AD600" s="3" t="s">
        <v>46</v>
      </c>
      <c r="AE600">
        <f t="shared" si="39"/>
        <v>1</v>
      </c>
    </row>
    <row r="601" spans="1:31" ht="14.25" customHeight="1" x14ac:dyDescent="0.35">
      <c r="A601" s="3" t="s">
        <v>1243</v>
      </c>
      <c r="B601" s="3" t="s">
        <v>131</v>
      </c>
      <c r="C601" s="3" t="s">
        <v>740</v>
      </c>
      <c r="E601" s="3">
        <f t="shared" si="36"/>
        <v>39</v>
      </c>
      <c r="F601" s="3">
        <v>1985</v>
      </c>
      <c r="G601" s="3">
        <v>70000</v>
      </c>
      <c r="H601" s="12" cm="1">
        <f t="array" ref="H601">_xlfn.IFS(TRIM(G601)="SIXTY THOUSAND",60000,TRIM(G601)="NAN",AVERAGEIFS(G:G,J:J,J601,L:L,L601),TRUE,G601)</f>
        <v>70000</v>
      </c>
      <c r="I601" s="3" t="s">
        <v>27</v>
      </c>
      <c r="J601" s="3" t="s">
        <v>145</v>
      </c>
      <c r="K601" s="3" t="str">
        <f t="shared" si="37"/>
        <v>Sales</v>
      </c>
      <c r="L601" s="3" t="s">
        <v>94</v>
      </c>
      <c r="M601" s="4">
        <v>43800</v>
      </c>
      <c r="N601" s="4">
        <v>43800</v>
      </c>
      <c r="O601" s="3" t="s">
        <v>30</v>
      </c>
      <c r="P601" s="3">
        <v>65</v>
      </c>
      <c r="Q601" s="3" t="s">
        <v>741</v>
      </c>
      <c r="R601" s="3" t="s">
        <v>61</v>
      </c>
      <c r="S601" s="3" t="s">
        <v>66</v>
      </c>
      <c r="T601" s="3" t="str">
        <f t="shared" si="38"/>
        <v>Contract</v>
      </c>
      <c r="V601" s="3">
        <v>8</v>
      </c>
      <c r="W601" s="3" t="s">
        <v>79</v>
      </c>
      <c r="Y601" s="4">
        <v>44732</v>
      </c>
      <c r="Z601" s="3">
        <v>57</v>
      </c>
      <c r="AB601" s="3" t="str" cm="1">
        <f t="array" ref="AB601">_xlfn.IFS(AA601="N","No",  AA601 = "Y", "Yes", TRUE, PROPER(TRIM(AA601)))</f>
        <v/>
      </c>
      <c r="AC601" s="3">
        <v>2</v>
      </c>
      <c r="AD601" s="3" t="s">
        <v>34</v>
      </c>
      <c r="AE601">
        <f t="shared" si="39"/>
        <v>0</v>
      </c>
    </row>
    <row r="602" spans="1:31" ht="14.25" customHeight="1" x14ac:dyDescent="0.35">
      <c r="A602" s="3" t="s">
        <v>1244</v>
      </c>
      <c r="B602" s="3" t="s">
        <v>56</v>
      </c>
      <c r="C602" s="3" t="s">
        <v>612</v>
      </c>
      <c r="D602" s="3">
        <v>50</v>
      </c>
      <c r="E602" s="3">
        <f t="shared" si="36"/>
        <v>50</v>
      </c>
      <c r="F602" s="3">
        <v>1974</v>
      </c>
      <c r="G602" s="3">
        <v>65000</v>
      </c>
      <c r="H602" s="12" cm="1">
        <f t="array" ref="H602">_xlfn.IFS(TRIM(G602)="SIXTY THOUSAND",60000,TRIM(G602)="NAN",AVERAGEIFS(G:G,J:J,J602,L:L,L602),TRUE,G602)</f>
        <v>65000</v>
      </c>
      <c r="I602" s="3" t="s">
        <v>27</v>
      </c>
      <c r="J602" s="3" t="s">
        <v>58</v>
      </c>
      <c r="K602" s="3" t="str">
        <f t="shared" si="37"/>
        <v>IT</v>
      </c>
      <c r="L602" s="3" t="s">
        <v>29</v>
      </c>
      <c r="M602" s="4">
        <v>43845</v>
      </c>
      <c r="N602" s="4">
        <v>43845</v>
      </c>
      <c r="O602" s="3" t="s">
        <v>41</v>
      </c>
      <c r="P602" s="3">
        <v>21</v>
      </c>
      <c r="Q602" s="3" t="s">
        <v>613</v>
      </c>
      <c r="R602" s="3" t="s">
        <v>54</v>
      </c>
      <c r="S602" s="3" t="s">
        <v>174</v>
      </c>
      <c r="T602" s="3" t="str">
        <f t="shared" si="38"/>
        <v>Full-Time</v>
      </c>
      <c r="V602" s="3">
        <v>6</v>
      </c>
      <c r="Z602" s="3">
        <v>12</v>
      </c>
      <c r="AA602" s="3" t="s">
        <v>34</v>
      </c>
      <c r="AB602" s="3" t="str" cm="1">
        <f t="array" ref="AB602">_xlfn.IFS(AA602="N","No",  AA602 = "Y", "Yes", TRUE, PROPER(TRIM(AA602)))</f>
        <v>No</v>
      </c>
      <c r="AC602" s="3">
        <v>5</v>
      </c>
      <c r="AD602" s="3" t="s">
        <v>34</v>
      </c>
      <c r="AE602">
        <f t="shared" si="39"/>
        <v>0</v>
      </c>
    </row>
    <row r="603" spans="1:31" ht="14.25" customHeight="1" x14ac:dyDescent="0.35">
      <c r="A603" s="3" t="s">
        <v>1245</v>
      </c>
      <c r="B603" s="3" t="s">
        <v>107</v>
      </c>
      <c r="C603" s="3" t="s">
        <v>355</v>
      </c>
      <c r="D603" s="3">
        <v>25</v>
      </c>
      <c r="E603" s="3">
        <f t="shared" si="36"/>
        <v>25</v>
      </c>
      <c r="F603" s="3">
        <v>1999</v>
      </c>
      <c r="G603" s="3" t="s">
        <v>50</v>
      </c>
      <c r="H603" s="12" cm="1">
        <f t="array" ref="H603">_xlfn.IFS(TRIM(G603)="SIXTY THOUSAND",60000,TRIM(G603)="NAN",AVERAGEIFS(G:G,J:J,J603,L:L,L603),TRUE,G603)</f>
        <v>60000</v>
      </c>
      <c r="I603" s="3" t="s">
        <v>27</v>
      </c>
      <c r="J603" s="3" t="s">
        <v>122</v>
      </c>
      <c r="K603" s="3" t="str">
        <f t="shared" si="37"/>
        <v>IT</v>
      </c>
      <c r="L603" s="3" t="s">
        <v>40</v>
      </c>
      <c r="M603" s="4">
        <v>43845</v>
      </c>
      <c r="N603" s="4">
        <v>43845</v>
      </c>
      <c r="O603" s="3" t="s">
        <v>78</v>
      </c>
      <c r="P603" s="3">
        <v>89</v>
      </c>
      <c r="Q603" s="3" t="s">
        <v>356</v>
      </c>
      <c r="S603" s="3" t="s">
        <v>44</v>
      </c>
      <c r="T603" s="3" t="str">
        <f t="shared" si="38"/>
        <v>Full-Time</v>
      </c>
      <c r="V603" s="3">
        <v>1</v>
      </c>
      <c r="W603" s="3" t="s">
        <v>79</v>
      </c>
      <c r="Y603" s="3" t="s">
        <v>79</v>
      </c>
      <c r="Z603" s="3">
        <v>55</v>
      </c>
      <c r="AA603" s="3" t="s">
        <v>34</v>
      </c>
      <c r="AB603" s="3" t="str" cm="1">
        <f t="array" ref="AB603">_xlfn.IFS(AA603="N","No",  AA603 = "Y", "Yes", TRUE, PROPER(TRIM(AA603)))</f>
        <v>No</v>
      </c>
      <c r="AC603" s="3">
        <v>3</v>
      </c>
      <c r="AD603" s="3" t="s">
        <v>34</v>
      </c>
      <c r="AE603">
        <f t="shared" si="39"/>
        <v>0</v>
      </c>
    </row>
    <row r="604" spans="1:31" ht="14.25" customHeight="1" x14ac:dyDescent="0.35">
      <c r="A604" s="3" t="s">
        <v>1246</v>
      </c>
      <c r="B604" s="3" t="s">
        <v>107</v>
      </c>
      <c r="C604" s="3" t="s">
        <v>253</v>
      </c>
      <c r="D604" s="3" t="s">
        <v>88</v>
      </c>
      <c r="E604" s="3">
        <f t="shared" si="36"/>
        <v>30</v>
      </c>
      <c r="F604" s="3">
        <v>1994</v>
      </c>
      <c r="G604" s="3">
        <v>59500</v>
      </c>
      <c r="H604" s="12" cm="1">
        <f t="array" ref="H604">_xlfn.IFS(TRIM(G604)="SIXTY THOUSAND",60000,TRIM(G604)="NAN",AVERAGEIFS(G:G,J:J,J604,L:L,L604),TRUE,G604)</f>
        <v>59500</v>
      </c>
      <c r="I604" s="3" t="s">
        <v>38</v>
      </c>
      <c r="J604" s="3" t="s">
        <v>64</v>
      </c>
      <c r="K604" s="3" t="str">
        <f t="shared" si="37"/>
        <v>Finance</v>
      </c>
      <c r="L604" s="3" t="s">
        <v>29</v>
      </c>
      <c r="M604" s="4">
        <v>43800</v>
      </c>
      <c r="N604" s="4">
        <v>43800</v>
      </c>
      <c r="O604" s="3" t="s">
        <v>41</v>
      </c>
      <c r="P604" s="3">
        <v>31</v>
      </c>
      <c r="Q604" s="3" t="s">
        <v>1247</v>
      </c>
      <c r="R604" s="3" t="s">
        <v>54</v>
      </c>
      <c r="S604" s="3" t="s">
        <v>174</v>
      </c>
      <c r="T604" s="3" t="str">
        <f t="shared" si="38"/>
        <v>Full-Time</v>
      </c>
      <c r="U604" s="3" t="s">
        <v>280</v>
      </c>
      <c r="V604" s="3">
        <v>4</v>
      </c>
      <c r="Y604" s="4">
        <v>44732</v>
      </c>
      <c r="AB604" s="3" t="str" cm="1">
        <f t="array" ref="AB604">_xlfn.IFS(AA604="N","No",  AA604 = "Y", "Yes", TRUE, PROPER(TRIM(AA604)))</f>
        <v/>
      </c>
      <c r="AC604" s="3">
        <v>4</v>
      </c>
      <c r="AD604" s="3" t="s">
        <v>34</v>
      </c>
      <c r="AE604">
        <f t="shared" si="39"/>
        <v>0</v>
      </c>
    </row>
    <row r="605" spans="1:31" ht="14.25" customHeight="1" x14ac:dyDescent="0.35">
      <c r="A605" s="3" t="s">
        <v>1248</v>
      </c>
      <c r="B605" s="3" t="s">
        <v>75</v>
      </c>
      <c r="C605" s="3" t="s">
        <v>213</v>
      </c>
      <c r="D605" s="3">
        <v>50</v>
      </c>
      <c r="E605" s="3">
        <f t="shared" si="36"/>
        <v>50</v>
      </c>
      <c r="F605" s="3">
        <v>1974</v>
      </c>
      <c r="G605" s="3">
        <v>50000</v>
      </c>
      <c r="H605" s="12" cm="1">
        <f t="array" ref="H605">_xlfn.IFS(TRIM(G605)="SIXTY THOUSAND",60000,TRIM(G605)="NAN",AVERAGEIFS(G:G,J:J,J605,L:L,L605),TRUE,G605)</f>
        <v>50000</v>
      </c>
      <c r="I605" s="3" t="s">
        <v>27</v>
      </c>
      <c r="J605" s="3" t="s">
        <v>145</v>
      </c>
      <c r="K605" s="3" t="str">
        <f t="shared" si="37"/>
        <v>Sales</v>
      </c>
      <c r="L605" s="3" t="s">
        <v>94</v>
      </c>
      <c r="M605" s="4">
        <v>43845</v>
      </c>
      <c r="N605" s="4">
        <v>43845</v>
      </c>
      <c r="O605" s="3" t="s">
        <v>59</v>
      </c>
      <c r="P605" s="3">
        <v>93</v>
      </c>
      <c r="Q605" s="3" t="s">
        <v>214</v>
      </c>
      <c r="R605" s="3" t="s">
        <v>54</v>
      </c>
      <c r="S605" s="3" t="s">
        <v>66</v>
      </c>
      <c r="T605" s="3" t="str">
        <f t="shared" si="38"/>
        <v>Contract</v>
      </c>
      <c r="U605" s="3" t="s">
        <v>1249</v>
      </c>
      <c r="V605" s="3">
        <v>8</v>
      </c>
      <c r="Y605" s="4">
        <v>44990</v>
      </c>
      <c r="AA605" s="3" t="s">
        <v>34</v>
      </c>
      <c r="AB605" s="3" t="str" cm="1">
        <f t="array" ref="AB605">_xlfn.IFS(AA605="N","No",  AA605 = "Y", "Yes", TRUE, PROPER(TRIM(AA605)))</f>
        <v>No</v>
      </c>
      <c r="AC605" s="3">
        <v>2</v>
      </c>
      <c r="AD605" s="3" t="s">
        <v>34</v>
      </c>
      <c r="AE605">
        <f t="shared" si="39"/>
        <v>0</v>
      </c>
    </row>
    <row r="606" spans="1:31" ht="14.25" customHeight="1" x14ac:dyDescent="0.35">
      <c r="A606" s="3" t="s">
        <v>1250</v>
      </c>
      <c r="B606" s="3" t="s">
        <v>25</v>
      </c>
      <c r="C606" s="3" t="s">
        <v>167</v>
      </c>
      <c r="D606" s="3">
        <v>25</v>
      </c>
      <c r="E606" s="3">
        <f t="shared" si="36"/>
        <v>25</v>
      </c>
      <c r="F606" s="3">
        <v>1999</v>
      </c>
      <c r="G606" s="3">
        <v>70000</v>
      </c>
      <c r="H606" s="12" cm="1">
        <f t="array" ref="H606">_xlfn.IFS(TRIM(G606)="SIXTY THOUSAND",60000,TRIM(G606)="NAN",AVERAGEIFS(G:G,J:J,J606,L:L,L606),TRUE,G606)</f>
        <v>70000</v>
      </c>
      <c r="I606" s="3" t="s">
        <v>38</v>
      </c>
      <c r="J606" s="3" t="s">
        <v>28</v>
      </c>
      <c r="K606" s="3" t="str">
        <f t="shared" si="37"/>
        <v>HR</v>
      </c>
      <c r="L606" s="3" t="s">
        <v>40</v>
      </c>
      <c r="M606" s="4">
        <v>43881</v>
      </c>
      <c r="N606" s="4">
        <v>43881</v>
      </c>
      <c r="O606" s="3" t="s">
        <v>78</v>
      </c>
      <c r="P606" s="3">
        <v>89</v>
      </c>
      <c r="Q606" s="3" t="s">
        <v>1251</v>
      </c>
      <c r="R606" s="3" t="s">
        <v>54</v>
      </c>
      <c r="S606" s="3" t="s">
        <v>66</v>
      </c>
      <c r="T606" s="3" t="str">
        <f t="shared" si="38"/>
        <v>Contract</v>
      </c>
      <c r="V606" s="3">
        <v>4</v>
      </c>
      <c r="Y606" s="4">
        <v>44941</v>
      </c>
      <c r="Z606" s="3">
        <v>76</v>
      </c>
      <c r="AA606" s="3" t="s">
        <v>46</v>
      </c>
      <c r="AB606" s="3" t="str" cm="1">
        <f t="array" ref="AB606">_xlfn.IFS(AA606="N","No",  AA606 = "Y", "Yes", TRUE, PROPER(TRIM(AA606)))</f>
        <v>Yes</v>
      </c>
      <c r="AC606" s="3">
        <v>1</v>
      </c>
      <c r="AD606" s="3" t="s">
        <v>46</v>
      </c>
      <c r="AE606">
        <f t="shared" si="39"/>
        <v>1</v>
      </c>
    </row>
    <row r="607" spans="1:31" ht="14.25" customHeight="1" x14ac:dyDescent="0.35">
      <c r="A607" s="3" t="s">
        <v>1252</v>
      </c>
      <c r="B607" s="3" t="s">
        <v>140</v>
      </c>
      <c r="C607" s="3" t="s">
        <v>588</v>
      </c>
      <c r="D607" s="3">
        <v>50</v>
      </c>
      <c r="E607" s="3">
        <f t="shared" si="36"/>
        <v>50</v>
      </c>
      <c r="F607" s="3">
        <v>1974</v>
      </c>
      <c r="G607" s="3" t="s">
        <v>50</v>
      </c>
      <c r="H607" s="12" cm="1">
        <f t="array" ref="H607">_xlfn.IFS(TRIM(G607)="SIXTY THOUSAND",60000,TRIM(G607)="NAN",AVERAGEIFS(G:G,J:J,J607,L:L,L607),TRUE,G607)</f>
        <v>60000</v>
      </c>
      <c r="I607" s="3" t="s">
        <v>38</v>
      </c>
      <c r="J607" s="3" t="s">
        <v>122</v>
      </c>
      <c r="K607" s="3" t="str">
        <f t="shared" si="37"/>
        <v>IT</v>
      </c>
      <c r="L607" s="3" t="s">
        <v>40</v>
      </c>
      <c r="M607" s="4">
        <v>43845</v>
      </c>
      <c r="N607" s="4">
        <v>43845</v>
      </c>
      <c r="O607" s="3" t="s">
        <v>52</v>
      </c>
      <c r="P607" s="3">
        <v>73</v>
      </c>
      <c r="Q607" s="3" t="s">
        <v>589</v>
      </c>
      <c r="R607" s="3" t="s">
        <v>54</v>
      </c>
      <c r="S607" s="3" t="s">
        <v>32</v>
      </c>
      <c r="T607" s="3" t="str">
        <f t="shared" si="38"/>
        <v>Contract</v>
      </c>
      <c r="V607" s="3">
        <v>2</v>
      </c>
      <c r="Z607" s="3">
        <v>33</v>
      </c>
      <c r="AB607" s="3" t="str" cm="1">
        <f t="array" ref="AB607">_xlfn.IFS(AA607="N","No",  AA607 = "Y", "Yes", TRUE, PROPER(TRIM(AA607)))</f>
        <v/>
      </c>
      <c r="AC607" s="3">
        <v>5</v>
      </c>
      <c r="AD607" s="3" t="s">
        <v>34</v>
      </c>
      <c r="AE607">
        <f t="shared" si="39"/>
        <v>0</v>
      </c>
    </row>
    <row r="608" spans="1:31" ht="14.25" customHeight="1" x14ac:dyDescent="0.35">
      <c r="A608" s="3" t="s">
        <v>1253</v>
      </c>
      <c r="B608" s="3" t="s">
        <v>68</v>
      </c>
      <c r="C608" s="3" t="s">
        <v>479</v>
      </c>
      <c r="D608" s="3" t="s">
        <v>88</v>
      </c>
      <c r="E608" s="3">
        <f t="shared" si="36"/>
        <v>30</v>
      </c>
      <c r="F608" s="3">
        <v>1994</v>
      </c>
      <c r="G608" s="3">
        <v>55000</v>
      </c>
      <c r="H608" s="12" cm="1">
        <f t="array" ref="H608">_xlfn.IFS(TRIM(G608)="SIXTY THOUSAND",60000,TRIM(G608)="NAN",AVERAGEIFS(G:G,J:J,J608,L:L,L608),TRUE,G608)</f>
        <v>55000</v>
      </c>
      <c r="I608" s="3" t="s">
        <v>38</v>
      </c>
      <c r="J608" s="3" t="s">
        <v>145</v>
      </c>
      <c r="K608" s="3" t="str">
        <f t="shared" si="37"/>
        <v>Sales</v>
      </c>
      <c r="L608" s="3" t="s">
        <v>29</v>
      </c>
      <c r="M608" s="4">
        <v>43195</v>
      </c>
      <c r="N608" s="4">
        <v>43195</v>
      </c>
      <c r="O608" s="3" t="s">
        <v>30</v>
      </c>
      <c r="P608" s="3">
        <v>62</v>
      </c>
      <c r="Q608" s="3" t="s">
        <v>768</v>
      </c>
      <c r="R608" s="3" t="s">
        <v>43</v>
      </c>
      <c r="S608" s="3" t="s">
        <v>100</v>
      </c>
      <c r="T608" s="3" t="str">
        <f t="shared" si="38"/>
        <v>Part-Time</v>
      </c>
      <c r="V608" s="3">
        <v>5</v>
      </c>
      <c r="W608" s="3">
        <v>10</v>
      </c>
      <c r="AA608" s="3" t="s">
        <v>169</v>
      </c>
      <c r="AB608" s="3" t="str" cm="1">
        <f t="array" ref="AB608">_xlfn.IFS(AA608="N","No",  AA608 = "Y", "Yes", TRUE, PROPER(TRIM(AA608)))</f>
        <v>Yes</v>
      </c>
      <c r="AC608" s="3">
        <v>2</v>
      </c>
      <c r="AD608" s="3" t="s">
        <v>46</v>
      </c>
      <c r="AE608">
        <f t="shared" si="39"/>
        <v>1</v>
      </c>
    </row>
    <row r="609" spans="1:31" ht="14.25" customHeight="1" x14ac:dyDescent="0.35">
      <c r="A609" s="3" t="s">
        <v>1254</v>
      </c>
      <c r="B609" s="3" t="s">
        <v>48</v>
      </c>
      <c r="C609" s="3" t="s">
        <v>534</v>
      </c>
      <c r="D609" s="3">
        <v>35</v>
      </c>
      <c r="E609" s="3">
        <f t="shared" si="36"/>
        <v>35</v>
      </c>
      <c r="F609" s="3">
        <v>1989</v>
      </c>
      <c r="G609" s="3">
        <v>58300</v>
      </c>
      <c r="H609" s="12" cm="1">
        <f t="array" ref="H609">_xlfn.IFS(TRIM(G609)="SIXTY THOUSAND",60000,TRIM(G609)="NAN",AVERAGEIFS(G:G,J:J,J609,L:L,L609),TRUE,G609)</f>
        <v>58300</v>
      </c>
      <c r="I609" s="3" t="s">
        <v>38</v>
      </c>
      <c r="J609" s="3" t="s">
        <v>145</v>
      </c>
      <c r="K609" s="3" t="str">
        <f t="shared" si="37"/>
        <v>Sales</v>
      </c>
      <c r="L609" s="3" t="s">
        <v>89</v>
      </c>
      <c r="M609" s="4">
        <v>43845</v>
      </c>
      <c r="N609" s="4">
        <v>43845</v>
      </c>
      <c r="O609" s="3" t="s">
        <v>30</v>
      </c>
      <c r="P609" s="3">
        <v>61</v>
      </c>
      <c r="Q609" s="3" t="s">
        <v>535</v>
      </c>
      <c r="R609" s="3" t="s">
        <v>61</v>
      </c>
      <c r="S609" s="3" t="s">
        <v>112</v>
      </c>
      <c r="T609" s="3" t="str">
        <f t="shared" si="38"/>
        <v>Full-Time</v>
      </c>
      <c r="V609" s="3">
        <v>6</v>
      </c>
      <c r="W609" s="3">
        <v>11</v>
      </c>
      <c r="Y609" s="4">
        <v>45516</v>
      </c>
      <c r="Z609" s="3">
        <v>54</v>
      </c>
      <c r="AA609" s="3" t="s">
        <v>33</v>
      </c>
      <c r="AB609" s="3" t="str" cm="1">
        <f t="array" ref="AB609">_xlfn.IFS(AA609="N","No",  AA609 = "Y", "Yes", TRUE, PROPER(TRIM(AA609)))</f>
        <v>Yes</v>
      </c>
      <c r="AC609" s="3">
        <v>2</v>
      </c>
      <c r="AD609" s="3" t="s">
        <v>46</v>
      </c>
      <c r="AE609">
        <f t="shared" si="39"/>
        <v>1</v>
      </c>
    </row>
    <row r="610" spans="1:31" ht="14.25" customHeight="1" x14ac:dyDescent="0.35">
      <c r="A610" s="3" t="s">
        <v>1255</v>
      </c>
      <c r="B610" s="3" t="s">
        <v>107</v>
      </c>
      <c r="C610" s="3" t="s">
        <v>446</v>
      </c>
      <c r="D610" s="3" t="s">
        <v>88</v>
      </c>
      <c r="E610" s="3">
        <f t="shared" si="36"/>
        <v>30</v>
      </c>
      <c r="F610" s="3">
        <v>1994</v>
      </c>
      <c r="G610" s="3">
        <v>50000</v>
      </c>
      <c r="H610" s="12" cm="1">
        <f t="array" ref="H610">_xlfn.IFS(TRIM(G610)="SIXTY THOUSAND",60000,TRIM(G610)="NAN",AVERAGEIFS(G:G,J:J,J610,L:L,L610),TRUE,G610)</f>
        <v>50000</v>
      </c>
      <c r="I610" s="3" t="s">
        <v>27</v>
      </c>
      <c r="J610" s="3" t="s">
        <v>82</v>
      </c>
      <c r="K610" s="3" t="str">
        <f t="shared" si="37"/>
        <v>HR</v>
      </c>
      <c r="L610" s="3" t="s">
        <v>94</v>
      </c>
      <c r="M610" s="4">
        <v>43195</v>
      </c>
      <c r="N610" s="4">
        <v>43195</v>
      </c>
      <c r="O610" s="3" t="s">
        <v>52</v>
      </c>
      <c r="P610" s="3">
        <v>77</v>
      </c>
      <c r="Q610" s="3" t="s">
        <v>447</v>
      </c>
      <c r="S610" s="3" t="s">
        <v>32</v>
      </c>
      <c r="T610" s="3" t="str">
        <f t="shared" si="38"/>
        <v>Contract</v>
      </c>
      <c r="U610" s="3" t="s">
        <v>119</v>
      </c>
      <c r="V610" s="3">
        <v>4</v>
      </c>
      <c r="W610" s="3" t="s">
        <v>79</v>
      </c>
      <c r="Z610" s="3">
        <v>42</v>
      </c>
      <c r="AA610" s="3" t="s">
        <v>46</v>
      </c>
      <c r="AB610" s="3" t="str" cm="1">
        <f t="array" ref="AB610">_xlfn.IFS(AA610="N","No",  AA610 = "Y", "Yes", TRUE, PROPER(TRIM(AA610)))</f>
        <v>Yes</v>
      </c>
      <c r="AC610" s="3">
        <v>1</v>
      </c>
      <c r="AD610" s="3" t="s">
        <v>46</v>
      </c>
      <c r="AE610">
        <f t="shared" si="39"/>
        <v>1</v>
      </c>
    </row>
    <row r="611" spans="1:31" ht="14.25" customHeight="1" x14ac:dyDescent="0.35">
      <c r="A611" s="3" t="s">
        <v>1256</v>
      </c>
      <c r="B611" s="3" t="s">
        <v>48</v>
      </c>
      <c r="C611" s="3" t="s">
        <v>219</v>
      </c>
      <c r="D611" s="3" t="s">
        <v>88</v>
      </c>
      <c r="E611" s="3">
        <f t="shared" si="36"/>
        <v>30</v>
      </c>
      <c r="F611" s="3">
        <v>1994</v>
      </c>
      <c r="G611" s="3">
        <v>65000</v>
      </c>
      <c r="H611" s="12" cm="1">
        <f t="array" ref="H611">_xlfn.IFS(TRIM(G611)="SIXTY THOUSAND",60000,TRIM(G611)="NAN",AVERAGEIFS(G:G,J:J,J611,L:L,L611),TRUE,G611)</f>
        <v>65000</v>
      </c>
      <c r="I611" s="3" t="s">
        <v>38</v>
      </c>
      <c r="J611" s="3" t="s">
        <v>51</v>
      </c>
      <c r="K611" s="3" t="str">
        <f t="shared" si="37"/>
        <v>Sales</v>
      </c>
      <c r="L611" s="3" t="s">
        <v>77</v>
      </c>
      <c r="M611" s="4">
        <v>43845</v>
      </c>
      <c r="N611" s="4">
        <v>43845</v>
      </c>
      <c r="O611" s="3" t="s">
        <v>59</v>
      </c>
      <c r="P611" s="3">
        <v>94</v>
      </c>
      <c r="Q611" s="3" t="s">
        <v>1257</v>
      </c>
      <c r="R611" s="3" t="s">
        <v>61</v>
      </c>
      <c r="S611" s="3" t="s">
        <v>174</v>
      </c>
      <c r="T611" s="3" t="str">
        <f t="shared" si="38"/>
        <v>Full-Time</v>
      </c>
      <c r="V611" s="3">
        <v>1</v>
      </c>
      <c r="AA611" s="3" t="s">
        <v>46</v>
      </c>
      <c r="AB611" s="3" t="str" cm="1">
        <f t="array" ref="AB611">_xlfn.IFS(AA611="N","No",  AA611 = "Y", "Yes", TRUE, PROPER(TRIM(AA611)))</f>
        <v>Yes</v>
      </c>
      <c r="AC611" s="3">
        <v>2</v>
      </c>
      <c r="AD611" s="3" t="s">
        <v>34</v>
      </c>
      <c r="AE611">
        <f t="shared" si="39"/>
        <v>0</v>
      </c>
    </row>
    <row r="612" spans="1:31" ht="14.25" customHeight="1" x14ac:dyDescent="0.35">
      <c r="A612" s="3" t="s">
        <v>1258</v>
      </c>
      <c r="B612" s="3" t="s">
        <v>56</v>
      </c>
      <c r="C612" s="3" t="s">
        <v>164</v>
      </c>
      <c r="D612" s="3">
        <v>50</v>
      </c>
      <c r="E612" s="3">
        <f t="shared" si="36"/>
        <v>50</v>
      </c>
      <c r="F612" s="3">
        <v>1974</v>
      </c>
      <c r="G612" s="3">
        <v>50000</v>
      </c>
      <c r="H612" s="12" cm="1">
        <f t="array" ref="H612">_xlfn.IFS(TRIM(G612)="SIXTY THOUSAND",60000,TRIM(G612)="NAN",AVERAGEIFS(G:G,J:J,J612,L:L,L612),TRUE,G612)</f>
        <v>50000</v>
      </c>
      <c r="I612" s="3" t="s">
        <v>38</v>
      </c>
      <c r="J612" s="3" t="s">
        <v>145</v>
      </c>
      <c r="K612" s="3" t="str">
        <f t="shared" si="37"/>
        <v>Sales</v>
      </c>
      <c r="L612" s="3" t="s">
        <v>77</v>
      </c>
      <c r="M612" s="4">
        <v>43845</v>
      </c>
      <c r="N612" s="4">
        <v>43845</v>
      </c>
      <c r="O612" s="3" t="s">
        <v>52</v>
      </c>
      <c r="P612" s="3">
        <v>78</v>
      </c>
      <c r="Q612" s="3" t="s">
        <v>165</v>
      </c>
      <c r="R612" s="3" t="s">
        <v>43</v>
      </c>
      <c r="S612" s="3" t="s">
        <v>100</v>
      </c>
      <c r="T612" s="3" t="str">
        <f t="shared" si="38"/>
        <v>Part-Time</v>
      </c>
      <c r="V612" s="3">
        <v>4</v>
      </c>
      <c r="X612" s="3">
        <v>17</v>
      </c>
      <c r="Y612" s="4">
        <v>44990</v>
      </c>
      <c r="AA612" s="3" t="s">
        <v>46</v>
      </c>
      <c r="AB612" s="3" t="str" cm="1">
        <f t="array" ref="AB612">_xlfn.IFS(AA612="N","No",  AA612 = "Y", "Yes", TRUE, PROPER(TRIM(AA612)))</f>
        <v>Yes</v>
      </c>
      <c r="AC612" s="3">
        <v>5</v>
      </c>
      <c r="AD612" s="3" t="s">
        <v>34</v>
      </c>
      <c r="AE612">
        <f t="shared" si="39"/>
        <v>0</v>
      </c>
    </row>
    <row r="613" spans="1:31" ht="14.25" customHeight="1" x14ac:dyDescent="0.35">
      <c r="A613" s="3" t="s">
        <v>1259</v>
      </c>
      <c r="B613" s="3" t="s">
        <v>48</v>
      </c>
      <c r="C613" s="3" t="s">
        <v>262</v>
      </c>
      <c r="D613" s="3">
        <v>40</v>
      </c>
      <c r="E613" s="3">
        <f t="shared" si="36"/>
        <v>40</v>
      </c>
      <c r="F613" s="3">
        <v>1984</v>
      </c>
      <c r="G613" s="3">
        <v>55000</v>
      </c>
      <c r="H613" s="12" cm="1">
        <f t="array" ref="H613">_xlfn.IFS(TRIM(G613)="SIXTY THOUSAND",60000,TRIM(G613)="NAN",AVERAGEIFS(G:G,J:J,J613,L:L,L613),TRUE,G613)</f>
        <v>55000</v>
      </c>
      <c r="I613" s="3" t="s">
        <v>38</v>
      </c>
      <c r="J613" s="3" t="s">
        <v>145</v>
      </c>
      <c r="K613" s="3" t="str">
        <f t="shared" si="37"/>
        <v>Sales</v>
      </c>
      <c r="L613" s="3" t="s">
        <v>29</v>
      </c>
      <c r="M613" s="4">
        <v>43800</v>
      </c>
      <c r="N613" s="4">
        <v>43800</v>
      </c>
      <c r="O613" s="3" t="s">
        <v>59</v>
      </c>
      <c r="P613" s="3">
        <v>96</v>
      </c>
      <c r="Q613" s="3" t="s">
        <v>263</v>
      </c>
      <c r="R613" s="3" t="s">
        <v>43</v>
      </c>
      <c r="S613" s="3" t="s">
        <v>66</v>
      </c>
      <c r="T613" s="3" t="str">
        <f t="shared" si="38"/>
        <v>Contract</v>
      </c>
      <c r="V613" s="3">
        <v>6</v>
      </c>
      <c r="Y613" s="4">
        <v>44470</v>
      </c>
      <c r="Z613" s="3">
        <v>10</v>
      </c>
      <c r="AA613" s="3" t="s">
        <v>46</v>
      </c>
      <c r="AB613" s="3" t="str" cm="1">
        <f t="array" ref="AB613">_xlfn.IFS(AA613="N","No",  AA613 = "Y", "Yes", TRUE, PROPER(TRIM(AA613)))</f>
        <v>Yes</v>
      </c>
      <c r="AC613" s="3">
        <v>4</v>
      </c>
      <c r="AD613" s="3" t="s">
        <v>34</v>
      </c>
      <c r="AE613">
        <f t="shared" si="39"/>
        <v>0</v>
      </c>
    </row>
    <row r="614" spans="1:31" ht="14.25" customHeight="1" x14ac:dyDescent="0.35">
      <c r="A614" s="3" t="s">
        <v>1260</v>
      </c>
      <c r="B614" s="3" t="s">
        <v>68</v>
      </c>
      <c r="C614" s="3" t="s">
        <v>132</v>
      </c>
      <c r="E614" s="3">
        <f t="shared" si="36"/>
        <v>31</v>
      </c>
      <c r="F614" s="3">
        <v>1993</v>
      </c>
      <c r="G614" s="3">
        <v>70000</v>
      </c>
      <c r="H614" s="12" cm="1">
        <f t="array" ref="H614">_xlfn.IFS(TRIM(G614)="SIXTY THOUSAND",60000,TRIM(G614)="NAN",AVERAGEIFS(G:G,J:J,J614,L:L,L614),TRUE,G614)</f>
        <v>70000</v>
      </c>
      <c r="I614" s="3" t="s">
        <v>38</v>
      </c>
      <c r="J614" s="3" t="s">
        <v>122</v>
      </c>
      <c r="K614" s="3" t="str">
        <f t="shared" si="37"/>
        <v>IT</v>
      </c>
      <c r="L614" s="3" t="s">
        <v>94</v>
      </c>
      <c r="M614" s="4">
        <v>43881</v>
      </c>
      <c r="N614" s="4">
        <v>43881</v>
      </c>
      <c r="O614" s="3" t="s">
        <v>78</v>
      </c>
      <c r="P614" s="3">
        <v>81</v>
      </c>
      <c r="Q614" s="3" t="s">
        <v>1261</v>
      </c>
      <c r="R614" s="3" t="s">
        <v>43</v>
      </c>
      <c r="S614" s="3" t="s">
        <v>44</v>
      </c>
      <c r="T614" s="3" t="str">
        <f t="shared" si="38"/>
        <v>Full-Time</v>
      </c>
      <c r="V614" s="3">
        <v>7</v>
      </c>
      <c r="X614" s="3">
        <v>12</v>
      </c>
      <c r="Y614" s="4">
        <v>44990</v>
      </c>
      <c r="Z614" s="3">
        <v>79</v>
      </c>
      <c r="AA614" s="3" t="s">
        <v>46</v>
      </c>
      <c r="AB614" s="3" t="str" cm="1">
        <f t="array" ref="AB614">_xlfn.IFS(AA614="N","No",  AA614 = "Y", "Yes", TRUE, PROPER(TRIM(AA614)))</f>
        <v>Yes</v>
      </c>
      <c r="AC614" s="3">
        <v>1</v>
      </c>
      <c r="AD614" s="3" t="s">
        <v>46</v>
      </c>
      <c r="AE614">
        <f t="shared" si="39"/>
        <v>1</v>
      </c>
    </row>
    <row r="615" spans="1:31" ht="14.25" customHeight="1" x14ac:dyDescent="0.35">
      <c r="A615" s="3" t="s">
        <v>1262</v>
      </c>
      <c r="B615" s="3" t="s">
        <v>36</v>
      </c>
      <c r="C615" s="3" t="s">
        <v>318</v>
      </c>
      <c r="E615" s="3">
        <f t="shared" si="36"/>
        <v>39</v>
      </c>
      <c r="F615" s="3">
        <v>1985</v>
      </c>
      <c r="G615" s="3">
        <v>70000</v>
      </c>
      <c r="H615" s="12" cm="1">
        <f t="array" ref="H615">_xlfn.IFS(TRIM(G615)="SIXTY THOUSAND",60000,TRIM(G615)="NAN",AVERAGEIFS(G:G,J:J,J615,L:L,L615),TRUE,G615)</f>
        <v>70000</v>
      </c>
      <c r="I615" s="3" t="s">
        <v>38</v>
      </c>
      <c r="J615" s="3" t="s">
        <v>28</v>
      </c>
      <c r="K615" s="3" t="str">
        <f t="shared" si="37"/>
        <v>HR</v>
      </c>
      <c r="L615" s="3" t="s">
        <v>94</v>
      </c>
      <c r="M615" s="4">
        <v>43881</v>
      </c>
      <c r="N615" s="4">
        <v>43881</v>
      </c>
      <c r="O615" s="3" t="s">
        <v>52</v>
      </c>
      <c r="P615" s="3">
        <v>70</v>
      </c>
      <c r="Q615" s="3" t="s">
        <v>419</v>
      </c>
      <c r="R615" s="3" t="s">
        <v>43</v>
      </c>
      <c r="S615" s="3" t="s">
        <v>44</v>
      </c>
      <c r="T615" s="3" t="str">
        <f t="shared" si="38"/>
        <v>Full-Time</v>
      </c>
      <c r="V615" s="3">
        <v>8</v>
      </c>
      <c r="Y615" s="4">
        <v>45516</v>
      </c>
      <c r="AA615" s="3" t="s">
        <v>46</v>
      </c>
      <c r="AB615" s="3" t="str" cm="1">
        <f t="array" ref="AB615">_xlfn.IFS(AA615="N","No",  AA615 = "Y", "Yes", TRUE, PROPER(TRIM(AA615)))</f>
        <v>Yes</v>
      </c>
      <c r="AC615" s="3">
        <v>4</v>
      </c>
      <c r="AD615" s="3" t="s">
        <v>46</v>
      </c>
      <c r="AE615">
        <f t="shared" si="39"/>
        <v>1</v>
      </c>
    </row>
    <row r="616" spans="1:31" ht="14.25" customHeight="1" x14ac:dyDescent="0.35">
      <c r="A616" s="3" t="s">
        <v>1263</v>
      </c>
      <c r="B616" s="3" t="s">
        <v>68</v>
      </c>
      <c r="C616" s="3" t="s">
        <v>256</v>
      </c>
      <c r="D616" s="3">
        <v>35</v>
      </c>
      <c r="E616" s="3">
        <f t="shared" si="36"/>
        <v>35</v>
      </c>
      <c r="F616" s="3">
        <v>1989</v>
      </c>
      <c r="G616" s="3">
        <v>61500</v>
      </c>
      <c r="H616" s="12" cm="1">
        <f t="array" ref="H616">_xlfn.IFS(TRIM(G616)="SIXTY THOUSAND",60000,TRIM(G616)="NAN",AVERAGEIFS(G:G,J:J,J616,L:L,L616),TRUE,G616)</f>
        <v>61500</v>
      </c>
      <c r="I616" s="3" t="s">
        <v>38</v>
      </c>
      <c r="J616" s="3" t="s">
        <v>145</v>
      </c>
      <c r="K616" s="3" t="str">
        <f t="shared" si="37"/>
        <v>Sales</v>
      </c>
      <c r="L616" s="3" t="s">
        <v>29</v>
      </c>
      <c r="M616" s="4">
        <v>43549</v>
      </c>
      <c r="N616" s="4">
        <v>43549</v>
      </c>
      <c r="O616" s="3" t="s">
        <v>59</v>
      </c>
      <c r="P616" s="3">
        <v>96</v>
      </c>
      <c r="Q616" s="3" t="s">
        <v>257</v>
      </c>
      <c r="R616" s="3" t="s">
        <v>54</v>
      </c>
      <c r="S616" s="3" t="s">
        <v>66</v>
      </c>
      <c r="T616" s="3" t="str">
        <f t="shared" si="38"/>
        <v>Contract</v>
      </c>
      <c r="U616" s="3" t="s">
        <v>178</v>
      </c>
      <c r="V616" s="3">
        <v>8</v>
      </c>
      <c r="Y616" s="4">
        <v>44470</v>
      </c>
      <c r="AA616" s="3" t="s">
        <v>46</v>
      </c>
      <c r="AB616" s="3" t="str" cm="1">
        <f t="array" ref="AB616">_xlfn.IFS(AA616="N","No",  AA616 = "Y", "Yes", TRUE, PROPER(TRIM(AA616)))</f>
        <v>Yes</v>
      </c>
      <c r="AC616" s="3">
        <v>4</v>
      </c>
      <c r="AD616" s="3" t="s">
        <v>34</v>
      </c>
      <c r="AE616">
        <f t="shared" si="39"/>
        <v>0</v>
      </c>
    </row>
    <row r="617" spans="1:31" ht="14.25" customHeight="1" x14ac:dyDescent="0.35">
      <c r="A617" s="3" t="s">
        <v>1264</v>
      </c>
      <c r="B617" s="3" t="s">
        <v>48</v>
      </c>
      <c r="C617" s="3" t="s">
        <v>681</v>
      </c>
      <c r="D617" s="3">
        <v>35</v>
      </c>
      <c r="E617" s="3">
        <f t="shared" si="36"/>
        <v>35</v>
      </c>
      <c r="F617" s="3">
        <v>1989</v>
      </c>
      <c r="G617" s="3">
        <v>70000</v>
      </c>
      <c r="H617" s="12" cm="1">
        <f t="array" ref="H617">_xlfn.IFS(TRIM(G617)="SIXTY THOUSAND",60000,TRIM(G617)="NAN",AVERAGEIFS(G:G,J:J,J617,L:L,L617),TRUE,G617)</f>
        <v>70000</v>
      </c>
      <c r="I617" s="3" t="s">
        <v>38</v>
      </c>
      <c r="J617" s="3" t="s">
        <v>145</v>
      </c>
      <c r="K617" s="3" t="str">
        <f t="shared" si="37"/>
        <v>Sales</v>
      </c>
      <c r="L617" s="3" t="s">
        <v>94</v>
      </c>
      <c r="M617" s="4">
        <v>43800</v>
      </c>
      <c r="N617" s="4">
        <v>43800</v>
      </c>
      <c r="O617" s="3" t="s">
        <v>78</v>
      </c>
      <c r="P617" s="3">
        <v>82</v>
      </c>
      <c r="Q617" s="3" t="s">
        <v>682</v>
      </c>
      <c r="R617" s="3" t="s">
        <v>61</v>
      </c>
      <c r="S617" s="3" t="s">
        <v>72</v>
      </c>
      <c r="T617" s="3" t="str">
        <f t="shared" si="38"/>
        <v>Part-Time</v>
      </c>
      <c r="U617" s="3" t="s">
        <v>1265</v>
      </c>
      <c r="V617" s="3">
        <v>1</v>
      </c>
      <c r="W617" s="3" t="s">
        <v>79</v>
      </c>
      <c r="X617" s="3">
        <v>10</v>
      </c>
      <c r="AA617" s="3" t="s">
        <v>34</v>
      </c>
      <c r="AB617" s="3" t="str" cm="1">
        <f t="array" ref="AB617">_xlfn.IFS(AA617="N","No",  AA617 = "Y", "Yes", TRUE, PROPER(TRIM(AA617)))</f>
        <v>No</v>
      </c>
      <c r="AC617" s="3">
        <v>5</v>
      </c>
      <c r="AD617" s="3" t="s">
        <v>34</v>
      </c>
      <c r="AE617">
        <f t="shared" si="39"/>
        <v>0</v>
      </c>
    </row>
    <row r="618" spans="1:31" ht="14.25" customHeight="1" x14ac:dyDescent="0.35">
      <c r="A618" s="3" t="s">
        <v>1266</v>
      </c>
      <c r="B618" s="3" t="s">
        <v>68</v>
      </c>
      <c r="C618" s="3" t="s">
        <v>193</v>
      </c>
      <c r="E618" s="3">
        <f t="shared" si="36"/>
        <v>34</v>
      </c>
      <c r="F618" s="3">
        <v>1990</v>
      </c>
      <c r="G618" s="3">
        <v>59800</v>
      </c>
      <c r="H618" s="12" cm="1">
        <f t="array" ref="H618">_xlfn.IFS(TRIM(G618)="SIXTY THOUSAND",60000,TRIM(G618)="NAN",AVERAGEIFS(G:G,J:J,J618,L:L,L618),TRUE,G618)</f>
        <v>59800</v>
      </c>
      <c r="I618" s="3" t="s">
        <v>27</v>
      </c>
      <c r="J618" s="3" t="s">
        <v>122</v>
      </c>
      <c r="K618" s="3" t="str">
        <f t="shared" si="37"/>
        <v>IT</v>
      </c>
      <c r="L618" s="3" t="s">
        <v>89</v>
      </c>
      <c r="M618" s="4">
        <v>43800</v>
      </c>
      <c r="N618" s="4">
        <v>43800</v>
      </c>
      <c r="O618" s="3" t="s">
        <v>52</v>
      </c>
      <c r="P618" s="3">
        <v>74</v>
      </c>
      <c r="Q618" s="3" t="s">
        <v>194</v>
      </c>
      <c r="R618" s="3" t="s">
        <v>104</v>
      </c>
      <c r="S618" s="3" t="s">
        <v>100</v>
      </c>
      <c r="T618" s="3" t="str">
        <f t="shared" si="38"/>
        <v>Part-Time</v>
      </c>
      <c r="V618" s="3">
        <v>1</v>
      </c>
      <c r="X618" s="3">
        <v>9</v>
      </c>
      <c r="AA618" s="3" t="s">
        <v>46</v>
      </c>
      <c r="AB618" s="3" t="str" cm="1">
        <f t="array" ref="AB618">_xlfn.IFS(AA618="N","No",  AA618 = "Y", "Yes", TRUE, PROPER(TRIM(AA618)))</f>
        <v>Yes</v>
      </c>
      <c r="AC618" s="3">
        <v>3</v>
      </c>
      <c r="AD618" s="3" t="s">
        <v>34</v>
      </c>
      <c r="AE618">
        <f t="shared" si="39"/>
        <v>0</v>
      </c>
    </row>
    <row r="619" spans="1:31" ht="14.25" customHeight="1" x14ac:dyDescent="0.35">
      <c r="A619" s="3" t="s">
        <v>1267</v>
      </c>
      <c r="B619" s="3" t="s">
        <v>114</v>
      </c>
      <c r="C619" s="3" t="s">
        <v>141</v>
      </c>
      <c r="D619" s="3">
        <v>40</v>
      </c>
      <c r="E619" s="3">
        <f t="shared" si="36"/>
        <v>40</v>
      </c>
      <c r="F619" s="3">
        <v>1984</v>
      </c>
      <c r="G619" s="3">
        <v>59000</v>
      </c>
      <c r="H619" s="12" cm="1">
        <f t="array" ref="H619">_xlfn.IFS(TRIM(G619)="SIXTY THOUSAND",60000,TRIM(G619)="NAN",AVERAGEIFS(G:G,J:J,J619,L:L,L619),TRUE,G619)</f>
        <v>59000</v>
      </c>
      <c r="I619" s="3" t="s">
        <v>38</v>
      </c>
      <c r="J619" s="3" t="s">
        <v>28</v>
      </c>
      <c r="K619" s="3" t="str">
        <f t="shared" si="37"/>
        <v>HR</v>
      </c>
      <c r="L619" s="3" t="s">
        <v>29</v>
      </c>
      <c r="M619" s="4">
        <v>43881</v>
      </c>
      <c r="N619" s="4">
        <v>43881</v>
      </c>
      <c r="O619" s="3" t="s">
        <v>30</v>
      </c>
      <c r="P619" s="3">
        <v>64</v>
      </c>
      <c r="Q619" s="3" t="s">
        <v>1268</v>
      </c>
      <c r="S619" s="3" t="s">
        <v>66</v>
      </c>
      <c r="T619" s="3" t="str">
        <f t="shared" si="38"/>
        <v>Contract</v>
      </c>
      <c r="U619" s="3" t="s">
        <v>1269</v>
      </c>
      <c r="V619" s="3">
        <v>6</v>
      </c>
      <c r="W619" s="3">
        <v>15</v>
      </c>
      <c r="Y619" s="4">
        <v>45516</v>
      </c>
      <c r="AA619" s="3" t="s">
        <v>169</v>
      </c>
      <c r="AB619" s="3" t="str" cm="1">
        <f t="array" ref="AB619">_xlfn.IFS(AA619="N","No",  AA619 = "Y", "Yes", TRUE, PROPER(TRIM(AA619)))</f>
        <v>Yes</v>
      </c>
      <c r="AC619" s="3">
        <v>2</v>
      </c>
      <c r="AD619" s="3" t="s">
        <v>34</v>
      </c>
      <c r="AE619">
        <f t="shared" si="39"/>
        <v>0</v>
      </c>
    </row>
    <row r="620" spans="1:31" ht="14.25" customHeight="1" x14ac:dyDescent="0.35">
      <c r="A620" s="3" t="s">
        <v>1270</v>
      </c>
      <c r="B620" s="3" t="s">
        <v>56</v>
      </c>
      <c r="C620" s="3" t="s">
        <v>57</v>
      </c>
      <c r="E620" s="3">
        <f t="shared" si="36"/>
        <v>33</v>
      </c>
      <c r="F620" s="3">
        <v>1991</v>
      </c>
      <c r="G620" s="3">
        <v>58500</v>
      </c>
      <c r="H620" s="12" cm="1">
        <f t="array" ref="H620">_xlfn.IFS(TRIM(G620)="SIXTY THOUSAND",60000,TRIM(G620)="NAN",AVERAGEIFS(G:G,J:J,J620,L:L,L620),TRUE,G620)</f>
        <v>58500</v>
      </c>
      <c r="I620" s="3" t="s">
        <v>27</v>
      </c>
      <c r="J620" s="3" t="s">
        <v>64</v>
      </c>
      <c r="K620" s="3" t="str">
        <f t="shared" si="37"/>
        <v>Finance</v>
      </c>
      <c r="L620" s="3" t="s">
        <v>89</v>
      </c>
      <c r="M620" s="4">
        <v>43800</v>
      </c>
      <c r="N620" s="4">
        <v>43800</v>
      </c>
      <c r="O620" s="3" t="s">
        <v>52</v>
      </c>
      <c r="P620" s="3">
        <v>71</v>
      </c>
      <c r="Q620" s="3" t="s">
        <v>60</v>
      </c>
      <c r="R620" s="3" t="s">
        <v>43</v>
      </c>
      <c r="S620" s="3" t="s">
        <v>44</v>
      </c>
      <c r="T620" s="3" t="str">
        <f t="shared" si="38"/>
        <v>Full-Time</v>
      </c>
      <c r="V620" s="3">
        <v>2</v>
      </c>
      <c r="W620" s="3" t="s">
        <v>79</v>
      </c>
      <c r="AA620" s="3" t="s">
        <v>34</v>
      </c>
      <c r="AB620" s="3" t="str" cm="1">
        <f t="array" ref="AB620">_xlfn.IFS(AA620="N","No",  AA620 = "Y", "Yes", TRUE, PROPER(TRIM(AA620)))</f>
        <v>No</v>
      </c>
      <c r="AC620" s="3">
        <v>2</v>
      </c>
      <c r="AD620" s="3" t="s">
        <v>34</v>
      </c>
      <c r="AE620">
        <f t="shared" si="39"/>
        <v>0</v>
      </c>
    </row>
    <row r="621" spans="1:31" ht="14.25" customHeight="1" x14ac:dyDescent="0.35">
      <c r="A621" s="3" t="s">
        <v>1271</v>
      </c>
      <c r="B621" s="3" t="s">
        <v>140</v>
      </c>
      <c r="C621" s="3" t="s">
        <v>281</v>
      </c>
      <c r="D621" s="3">
        <v>40</v>
      </c>
      <c r="E621" s="3">
        <f t="shared" si="36"/>
        <v>40</v>
      </c>
      <c r="F621" s="3">
        <v>1984</v>
      </c>
      <c r="G621" s="3">
        <v>65000</v>
      </c>
      <c r="H621" s="12" cm="1">
        <f t="array" ref="H621">_xlfn.IFS(TRIM(G621)="SIXTY THOUSAND",60000,TRIM(G621)="NAN",AVERAGEIFS(G:G,J:J,J621,L:L,L621),TRUE,G621)</f>
        <v>65000</v>
      </c>
      <c r="I621" s="3" t="s">
        <v>38</v>
      </c>
      <c r="J621" s="3" t="s">
        <v>58</v>
      </c>
      <c r="K621" s="3" t="str">
        <f t="shared" si="37"/>
        <v>IT</v>
      </c>
      <c r="L621" s="3" t="s">
        <v>94</v>
      </c>
      <c r="M621" s="4">
        <v>43881</v>
      </c>
      <c r="N621" s="4">
        <v>43881</v>
      </c>
      <c r="O621" s="3" t="s">
        <v>41</v>
      </c>
      <c r="P621" s="3">
        <v>12</v>
      </c>
      <c r="Q621" s="3" t="s">
        <v>282</v>
      </c>
      <c r="R621" s="3" t="s">
        <v>61</v>
      </c>
      <c r="S621" s="3" t="s">
        <v>44</v>
      </c>
      <c r="T621" s="3" t="str">
        <f t="shared" si="38"/>
        <v>Full-Time</v>
      </c>
      <c r="U621" s="3" t="s">
        <v>944</v>
      </c>
      <c r="V621" s="3">
        <v>5</v>
      </c>
      <c r="AA621" s="3" t="s">
        <v>34</v>
      </c>
      <c r="AB621" s="3" t="str" cm="1">
        <f t="array" ref="AB621">_xlfn.IFS(AA621="N","No",  AA621 = "Y", "Yes", TRUE, PROPER(TRIM(AA621)))</f>
        <v>No</v>
      </c>
      <c r="AC621" s="3">
        <v>3</v>
      </c>
      <c r="AD621" s="3" t="s">
        <v>34</v>
      </c>
      <c r="AE621">
        <f t="shared" si="39"/>
        <v>0</v>
      </c>
    </row>
    <row r="622" spans="1:31" ht="14.25" customHeight="1" x14ac:dyDescent="0.35">
      <c r="A622" s="3" t="s">
        <v>1272</v>
      </c>
      <c r="B622" s="3" t="s">
        <v>36</v>
      </c>
      <c r="C622" s="3" t="s">
        <v>156</v>
      </c>
      <c r="D622" s="3">
        <v>35</v>
      </c>
      <c r="E622" s="3">
        <f t="shared" si="36"/>
        <v>35</v>
      </c>
      <c r="F622" s="3">
        <v>1989</v>
      </c>
      <c r="G622" s="3" t="s">
        <v>50</v>
      </c>
      <c r="H622" s="12" cm="1">
        <f t="array" ref="H622">_xlfn.IFS(TRIM(G622)="SIXTY THOUSAND",60000,TRIM(G622)="NAN",AVERAGEIFS(G:G,J:J,J622,L:L,L622),TRUE,G622)</f>
        <v>60000</v>
      </c>
      <c r="I622" s="3" t="s">
        <v>38</v>
      </c>
      <c r="J622" s="3" t="s">
        <v>82</v>
      </c>
      <c r="K622" s="3" t="str">
        <f t="shared" si="37"/>
        <v>HR</v>
      </c>
      <c r="L622" s="3" t="s">
        <v>29</v>
      </c>
      <c r="M622" s="4">
        <v>43800</v>
      </c>
      <c r="N622" s="4">
        <v>43800</v>
      </c>
      <c r="O622" s="3" t="s">
        <v>52</v>
      </c>
      <c r="P622" s="3">
        <v>72</v>
      </c>
      <c r="Q622" s="3" t="s">
        <v>184</v>
      </c>
      <c r="R622" s="3" t="s">
        <v>43</v>
      </c>
      <c r="S622" s="3" t="s">
        <v>100</v>
      </c>
      <c r="T622" s="3" t="str">
        <f t="shared" si="38"/>
        <v>Part-Time</v>
      </c>
      <c r="V622" s="3">
        <v>5</v>
      </c>
      <c r="Z622" s="3">
        <v>41</v>
      </c>
      <c r="AA622" s="3" t="s">
        <v>73</v>
      </c>
      <c r="AB622" s="3" t="str" cm="1">
        <f t="array" ref="AB622">_xlfn.IFS(AA622="N","No",  AA622 = "Y", "Yes", TRUE, PROPER(TRIM(AA622)))</f>
        <v>No</v>
      </c>
      <c r="AC622" s="3">
        <v>2</v>
      </c>
      <c r="AD622" s="3" t="s">
        <v>34</v>
      </c>
      <c r="AE622">
        <f t="shared" si="39"/>
        <v>0</v>
      </c>
    </row>
    <row r="623" spans="1:31" ht="14.25" customHeight="1" x14ac:dyDescent="0.35">
      <c r="A623" s="3" t="s">
        <v>1273</v>
      </c>
      <c r="B623" s="3" t="s">
        <v>107</v>
      </c>
      <c r="C623" s="3" t="s">
        <v>777</v>
      </c>
      <c r="D623" s="3">
        <v>25</v>
      </c>
      <c r="E623" s="3">
        <f t="shared" si="36"/>
        <v>25</v>
      </c>
      <c r="F623" s="3">
        <v>1999</v>
      </c>
      <c r="G623" s="3">
        <v>60000</v>
      </c>
      <c r="H623" s="12" cm="1">
        <f t="array" ref="H623">_xlfn.IFS(TRIM(G623)="SIXTY THOUSAND",60000,TRIM(G623)="NAN",AVERAGEIFS(G:G,J:J,J623,L:L,L623),TRUE,G623)</f>
        <v>60000</v>
      </c>
      <c r="I623" s="3" t="s">
        <v>27</v>
      </c>
      <c r="J623" s="3" t="s">
        <v>51</v>
      </c>
      <c r="K623" s="3" t="str">
        <f t="shared" si="37"/>
        <v>Sales</v>
      </c>
      <c r="L623" s="3" t="s">
        <v>94</v>
      </c>
      <c r="M623" s="4">
        <v>43845</v>
      </c>
      <c r="N623" s="4">
        <v>43845</v>
      </c>
      <c r="O623" s="3" t="s">
        <v>41</v>
      </c>
      <c r="P623" s="3">
        <v>51</v>
      </c>
      <c r="Q623" s="3" t="s">
        <v>778</v>
      </c>
      <c r="R623" s="3" t="s">
        <v>43</v>
      </c>
      <c r="S623" s="3" t="s">
        <v>112</v>
      </c>
      <c r="T623" s="3" t="str">
        <f t="shared" si="38"/>
        <v>Full-Time</v>
      </c>
      <c r="U623" s="3" t="s">
        <v>55</v>
      </c>
      <c r="V623" s="3">
        <v>3</v>
      </c>
      <c r="W623" s="3" t="s">
        <v>79</v>
      </c>
      <c r="AB623" s="3" t="str" cm="1">
        <f t="array" ref="AB623">_xlfn.IFS(AA623="N","No",  AA623 = "Y", "Yes", TRUE, PROPER(TRIM(AA623)))</f>
        <v/>
      </c>
      <c r="AC623" s="3">
        <v>1</v>
      </c>
      <c r="AD623" s="3" t="s">
        <v>46</v>
      </c>
      <c r="AE623">
        <f t="shared" si="39"/>
        <v>1</v>
      </c>
    </row>
    <row r="624" spans="1:31" ht="14.25" customHeight="1" x14ac:dyDescent="0.35">
      <c r="A624" s="3" t="s">
        <v>1274</v>
      </c>
      <c r="B624" s="3" t="s">
        <v>131</v>
      </c>
      <c r="C624" s="3" t="s">
        <v>1275</v>
      </c>
      <c r="D624" s="3">
        <v>50</v>
      </c>
      <c r="E624" s="3">
        <f t="shared" si="36"/>
        <v>50</v>
      </c>
      <c r="F624" s="3">
        <v>1974</v>
      </c>
      <c r="G624" s="3">
        <v>59000</v>
      </c>
      <c r="H624" s="12" cm="1">
        <f t="array" ref="H624">_xlfn.IFS(TRIM(G624)="SIXTY THOUSAND",60000,TRIM(G624)="NAN",AVERAGEIFS(G:G,J:J,J624,L:L,L624),TRUE,G624)</f>
        <v>59000</v>
      </c>
      <c r="I624" s="3" t="s">
        <v>38</v>
      </c>
      <c r="J624" s="3" t="s">
        <v>82</v>
      </c>
      <c r="K624" s="3" t="str">
        <f t="shared" si="37"/>
        <v>HR</v>
      </c>
      <c r="L624" s="3" t="s">
        <v>29</v>
      </c>
      <c r="M624" s="4">
        <v>43881</v>
      </c>
      <c r="N624" s="4">
        <v>43881</v>
      </c>
      <c r="O624" s="3" t="s">
        <v>78</v>
      </c>
      <c r="P624" s="3">
        <v>87</v>
      </c>
      <c r="Q624" s="3" t="s">
        <v>1276</v>
      </c>
      <c r="R624" s="3" t="s">
        <v>43</v>
      </c>
      <c r="S624" s="3" t="s">
        <v>66</v>
      </c>
      <c r="T624" s="3" t="str">
        <f t="shared" si="38"/>
        <v>Contract</v>
      </c>
      <c r="V624" s="3">
        <v>7</v>
      </c>
      <c r="X624" s="3">
        <v>6</v>
      </c>
      <c r="Y624" s="4">
        <v>44941</v>
      </c>
      <c r="Z624" s="3">
        <v>10</v>
      </c>
      <c r="AA624" s="3" t="s">
        <v>34</v>
      </c>
      <c r="AB624" s="3" t="str" cm="1">
        <f t="array" ref="AB624">_xlfn.IFS(AA624="N","No",  AA624 = "Y", "Yes", TRUE, PROPER(TRIM(AA624)))</f>
        <v>No</v>
      </c>
      <c r="AC624" s="3">
        <v>3</v>
      </c>
      <c r="AD624" s="3" t="s">
        <v>46</v>
      </c>
      <c r="AE624">
        <f t="shared" si="39"/>
        <v>1</v>
      </c>
    </row>
    <row r="625" spans="1:31" ht="14.25" customHeight="1" x14ac:dyDescent="0.35">
      <c r="A625" s="3" t="s">
        <v>1277</v>
      </c>
      <c r="B625" s="3" t="s">
        <v>140</v>
      </c>
      <c r="C625" s="3" t="s">
        <v>199</v>
      </c>
      <c r="D625" s="3">
        <v>35</v>
      </c>
      <c r="E625" s="3">
        <f t="shared" si="36"/>
        <v>35</v>
      </c>
      <c r="F625" s="3">
        <v>1989</v>
      </c>
      <c r="G625" s="3" t="s">
        <v>50</v>
      </c>
      <c r="H625" s="12" cm="1">
        <f t="array" ref="H625">_xlfn.IFS(TRIM(G625)="SIXTY THOUSAND",60000,TRIM(G625)="NAN",AVERAGEIFS(G:G,J:J,J625,L:L,L625),TRUE,G625)</f>
        <v>60000</v>
      </c>
      <c r="I625" s="3" t="s">
        <v>38</v>
      </c>
      <c r="J625" s="3" t="s">
        <v>82</v>
      </c>
      <c r="K625" s="3" t="str">
        <f t="shared" si="37"/>
        <v>HR</v>
      </c>
      <c r="L625" s="3" t="s">
        <v>94</v>
      </c>
      <c r="M625" s="4">
        <v>43881</v>
      </c>
      <c r="N625" s="4">
        <v>43881</v>
      </c>
      <c r="O625" s="3" t="s">
        <v>52</v>
      </c>
      <c r="P625" s="3">
        <v>72</v>
      </c>
      <c r="Q625" s="3" t="s">
        <v>1278</v>
      </c>
      <c r="R625" s="3" t="s">
        <v>43</v>
      </c>
      <c r="S625" s="3" t="s">
        <v>32</v>
      </c>
      <c r="T625" s="3" t="str">
        <f t="shared" si="38"/>
        <v>Contract</v>
      </c>
      <c r="V625" s="3">
        <v>7</v>
      </c>
      <c r="W625" s="3">
        <v>2</v>
      </c>
      <c r="AB625" s="3" t="str" cm="1">
        <f t="array" ref="AB625">_xlfn.IFS(AA625="N","No",  AA625 = "Y", "Yes", TRUE, PROPER(TRIM(AA625)))</f>
        <v/>
      </c>
      <c r="AC625" s="3">
        <v>1</v>
      </c>
      <c r="AD625" s="3" t="s">
        <v>34</v>
      </c>
      <c r="AE625">
        <f t="shared" si="39"/>
        <v>0</v>
      </c>
    </row>
    <row r="626" spans="1:31" ht="14.25" customHeight="1" x14ac:dyDescent="0.35">
      <c r="A626" s="3" t="s">
        <v>1279</v>
      </c>
      <c r="B626" s="3" t="s">
        <v>131</v>
      </c>
      <c r="C626" s="3" t="s">
        <v>285</v>
      </c>
      <c r="D626" s="3">
        <v>35</v>
      </c>
      <c r="E626" s="3">
        <f t="shared" si="36"/>
        <v>35</v>
      </c>
      <c r="F626" s="3">
        <v>1989</v>
      </c>
      <c r="G626" s="3">
        <v>50000</v>
      </c>
      <c r="H626" s="12" cm="1">
        <f t="array" ref="H626">_xlfn.IFS(TRIM(G626)="SIXTY THOUSAND",60000,TRIM(G626)="NAN",AVERAGEIFS(G:G,J:J,J626,L:L,L626),TRUE,G626)</f>
        <v>50000</v>
      </c>
      <c r="I626" s="3" t="s">
        <v>38</v>
      </c>
      <c r="J626" s="3" t="s">
        <v>28</v>
      </c>
      <c r="K626" s="3" t="str">
        <f t="shared" si="37"/>
        <v>HR</v>
      </c>
      <c r="L626" s="3" t="s">
        <v>89</v>
      </c>
      <c r="M626" s="4">
        <v>43195</v>
      </c>
      <c r="N626" s="4">
        <v>43195</v>
      </c>
      <c r="O626" s="3" t="s">
        <v>78</v>
      </c>
      <c r="P626" s="3">
        <v>83</v>
      </c>
      <c r="Q626" s="3" t="s">
        <v>286</v>
      </c>
      <c r="R626" s="3" t="s">
        <v>43</v>
      </c>
      <c r="S626" s="3" t="s">
        <v>174</v>
      </c>
      <c r="T626" s="3" t="str">
        <f t="shared" si="38"/>
        <v>Full-Time</v>
      </c>
      <c r="V626" s="3">
        <v>6</v>
      </c>
      <c r="AB626" s="3" t="str" cm="1">
        <f t="array" ref="AB626">_xlfn.IFS(AA626="N","No",  AA626 = "Y", "Yes", TRUE, PROPER(TRIM(AA626)))</f>
        <v/>
      </c>
      <c r="AC626" s="3">
        <v>3</v>
      </c>
      <c r="AD626" s="3" t="s">
        <v>34</v>
      </c>
      <c r="AE626">
        <f t="shared" si="39"/>
        <v>0</v>
      </c>
    </row>
    <row r="627" spans="1:31" ht="14.25" customHeight="1" x14ac:dyDescent="0.35">
      <c r="A627" s="3" t="s">
        <v>1280</v>
      </c>
      <c r="B627" s="3" t="s">
        <v>56</v>
      </c>
      <c r="C627" s="3" t="s">
        <v>676</v>
      </c>
      <c r="D627" s="3" t="s">
        <v>88</v>
      </c>
      <c r="E627" s="3">
        <f t="shared" si="36"/>
        <v>30</v>
      </c>
      <c r="F627" s="3">
        <v>1994</v>
      </c>
      <c r="G627" s="3">
        <v>58500</v>
      </c>
      <c r="H627" s="12" cm="1">
        <f t="array" ref="H627">_xlfn.IFS(TRIM(G627)="SIXTY THOUSAND",60000,TRIM(G627)="NAN",AVERAGEIFS(G:G,J:J,J627,L:L,L627),TRUE,G627)</f>
        <v>58500</v>
      </c>
      <c r="I627" s="3" t="s">
        <v>38</v>
      </c>
      <c r="J627" s="3" t="s">
        <v>64</v>
      </c>
      <c r="K627" s="3" t="str">
        <f t="shared" si="37"/>
        <v>Finance</v>
      </c>
      <c r="L627" s="3" t="s">
        <v>89</v>
      </c>
      <c r="M627" s="4">
        <v>43800</v>
      </c>
      <c r="N627" s="4">
        <v>43800</v>
      </c>
      <c r="O627" s="3" t="s">
        <v>78</v>
      </c>
      <c r="P627" s="3">
        <v>85</v>
      </c>
      <c r="Q627" s="3" t="s">
        <v>677</v>
      </c>
      <c r="S627" s="3" t="s">
        <v>66</v>
      </c>
      <c r="T627" s="3" t="str">
        <f t="shared" si="38"/>
        <v>Contract</v>
      </c>
      <c r="V627" s="3">
        <v>2</v>
      </c>
      <c r="W627" s="3">
        <v>6</v>
      </c>
      <c r="X627" s="3">
        <v>4</v>
      </c>
      <c r="Y627" s="4">
        <v>44470</v>
      </c>
      <c r="AA627" s="3" t="s">
        <v>46</v>
      </c>
      <c r="AB627" s="3" t="str" cm="1">
        <f t="array" ref="AB627">_xlfn.IFS(AA627="N","No",  AA627 = "Y", "Yes", TRUE, PROPER(TRIM(AA627)))</f>
        <v>Yes</v>
      </c>
      <c r="AC627" s="3">
        <v>5</v>
      </c>
      <c r="AD627" s="3" t="s">
        <v>46</v>
      </c>
      <c r="AE627">
        <f t="shared" si="39"/>
        <v>1</v>
      </c>
    </row>
    <row r="628" spans="1:31" ht="14.25" customHeight="1" x14ac:dyDescent="0.35">
      <c r="A628" s="3" t="s">
        <v>1281</v>
      </c>
      <c r="B628" s="3" t="s">
        <v>36</v>
      </c>
      <c r="C628" s="3" t="s">
        <v>99</v>
      </c>
      <c r="D628" s="3" t="s">
        <v>88</v>
      </c>
      <c r="E628" s="3">
        <f t="shared" si="36"/>
        <v>30</v>
      </c>
      <c r="F628" s="3">
        <v>1994</v>
      </c>
      <c r="G628" s="3">
        <v>65000</v>
      </c>
      <c r="H628" s="12" cm="1">
        <f t="array" ref="H628">_xlfn.IFS(TRIM(G628)="SIXTY THOUSAND",60000,TRIM(G628)="NAN",AVERAGEIFS(G:G,J:J,J628,L:L,L628),TRUE,G628)</f>
        <v>65000</v>
      </c>
      <c r="I628" s="3" t="s">
        <v>38</v>
      </c>
      <c r="J628" s="3" t="s">
        <v>82</v>
      </c>
      <c r="K628" s="3" t="str">
        <f t="shared" si="37"/>
        <v>HR</v>
      </c>
      <c r="L628" s="3" t="s">
        <v>94</v>
      </c>
      <c r="M628" s="4">
        <v>43800</v>
      </c>
      <c r="N628" s="4">
        <v>43800</v>
      </c>
      <c r="O628" s="3" t="s">
        <v>59</v>
      </c>
      <c r="P628" s="3">
        <v>93</v>
      </c>
      <c r="Q628" s="3" t="s">
        <v>1282</v>
      </c>
      <c r="R628" s="3" t="s">
        <v>61</v>
      </c>
      <c r="S628" s="3" t="s">
        <v>112</v>
      </c>
      <c r="T628" s="3" t="str">
        <f t="shared" si="38"/>
        <v>Full-Time</v>
      </c>
      <c r="V628" s="3">
        <v>5</v>
      </c>
      <c r="W628" s="3" t="s">
        <v>79</v>
      </c>
      <c r="X628" s="3">
        <v>4</v>
      </c>
      <c r="Y628" s="3" t="s">
        <v>79</v>
      </c>
      <c r="AA628" s="3" t="s">
        <v>46</v>
      </c>
      <c r="AB628" s="3" t="str" cm="1">
        <f t="array" ref="AB628">_xlfn.IFS(AA628="N","No",  AA628 = "Y", "Yes", TRUE, PROPER(TRIM(AA628)))</f>
        <v>Yes</v>
      </c>
      <c r="AC628" s="3">
        <v>1</v>
      </c>
      <c r="AD628" s="3" t="s">
        <v>34</v>
      </c>
      <c r="AE628">
        <f t="shared" si="39"/>
        <v>0</v>
      </c>
    </row>
    <row r="629" spans="1:31" ht="14.25" customHeight="1" x14ac:dyDescent="0.35">
      <c r="A629" s="3" t="s">
        <v>1283</v>
      </c>
      <c r="B629" s="3" t="s">
        <v>75</v>
      </c>
      <c r="C629" s="3" t="s">
        <v>462</v>
      </c>
      <c r="D629" s="3" t="s">
        <v>88</v>
      </c>
      <c r="E629" s="3">
        <f t="shared" si="36"/>
        <v>30</v>
      </c>
      <c r="F629" s="3">
        <v>1994</v>
      </c>
      <c r="G629" s="3">
        <v>70000</v>
      </c>
      <c r="H629" s="12" cm="1">
        <f t="array" ref="H629">_xlfn.IFS(TRIM(G629)="SIXTY THOUSAND",60000,TRIM(G629)="NAN",AVERAGEIFS(G:G,J:J,J629,L:L,L629),TRUE,G629)</f>
        <v>70000</v>
      </c>
      <c r="I629" s="3" t="s">
        <v>38</v>
      </c>
      <c r="J629" s="3" t="s">
        <v>39</v>
      </c>
      <c r="K629" s="3" t="str">
        <f t="shared" si="37"/>
        <v>Finance</v>
      </c>
      <c r="L629" s="3" t="s">
        <v>29</v>
      </c>
      <c r="M629" s="4">
        <v>43881</v>
      </c>
      <c r="N629" s="4">
        <v>43881</v>
      </c>
      <c r="O629" s="3" t="s">
        <v>78</v>
      </c>
      <c r="P629" s="3">
        <v>85</v>
      </c>
      <c r="Q629" s="3" t="s">
        <v>1284</v>
      </c>
      <c r="R629" s="3" t="s">
        <v>43</v>
      </c>
      <c r="S629" s="3" t="s">
        <v>100</v>
      </c>
      <c r="T629" s="3" t="str">
        <f t="shared" si="38"/>
        <v>Part-Time</v>
      </c>
      <c r="V629" s="3">
        <v>7</v>
      </c>
      <c r="W629" s="3">
        <v>14</v>
      </c>
      <c r="X629" s="3">
        <v>6</v>
      </c>
      <c r="AA629" s="3" t="s">
        <v>46</v>
      </c>
      <c r="AB629" s="3" t="str" cm="1">
        <f t="array" ref="AB629">_xlfn.IFS(AA629="N","No",  AA629 = "Y", "Yes", TRUE, PROPER(TRIM(AA629)))</f>
        <v>Yes</v>
      </c>
      <c r="AC629" s="3">
        <v>3</v>
      </c>
      <c r="AD629" s="3" t="s">
        <v>34</v>
      </c>
      <c r="AE629">
        <f t="shared" si="39"/>
        <v>0</v>
      </c>
    </row>
    <row r="630" spans="1:31" ht="14.25" customHeight="1" x14ac:dyDescent="0.35">
      <c r="A630" s="3" t="s">
        <v>1285</v>
      </c>
      <c r="B630" s="3" t="s">
        <v>107</v>
      </c>
      <c r="C630" s="3" t="s">
        <v>244</v>
      </c>
      <c r="D630" s="3">
        <v>50</v>
      </c>
      <c r="E630" s="3">
        <f t="shared" si="36"/>
        <v>50</v>
      </c>
      <c r="F630" s="3">
        <v>1974</v>
      </c>
      <c r="G630" s="3">
        <v>70000</v>
      </c>
      <c r="H630" s="12" cm="1">
        <f t="array" ref="H630">_xlfn.IFS(TRIM(G630)="SIXTY THOUSAND",60000,TRIM(G630)="NAN",AVERAGEIFS(G:G,J:J,J630,L:L,L630),TRUE,G630)</f>
        <v>70000</v>
      </c>
      <c r="I630" s="3" t="s">
        <v>27</v>
      </c>
      <c r="J630" s="3" t="s">
        <v>145</v>
      </c>
      <c r="K630" s="3" t="str">
        <f t="shared" si="37"/>
        <v>Sales</v>
      </c>
      <c r="L630" s="3" t="s">
        <v>77</v>
      </c>
      <c r="M630" s="4">
        <v>43845</v>
      </c>
      <c r="N630" s="4">
        <v>43845</v>
      </c>
      <c r="O630" s="3" t="s">
        <v>78</v>
      </c>
      <c r="P630" s="3">
        <v>88</v>
      </c>
      <c r="Q630" s="3" t="s">
        <v>245</v>
      </c>
      <c r="R630" s="3" t="s">
        <v>43</v>
      </c>
      <c r="S630" s="3" t="s">
        <v>100</v>
      </c>
      <c r="T630" s="3" t="str">
        <f t="shared" si="38"/>
        <v>Part-Time</v>
      </c>
      <c r="V630" s="3">
        <v>4</v>
      </c>
      <c r="W630" s="3">
        <v>2</v>
      </c>
      <c r="Y630" s="4">
        <v>44941</v>
      </c>
      <c r="AA630" s="3" t="s">
        <v>169</v>
      </c>
      <c r="AB630" s="3" t="str" cm="1">
        <f t="array" ref="AB630">_xlfn.IFS(AA630="N","No",  AA630 = "Y", "Yes", TRUE, PROPER(TRIM(AA630)))</f>
        <v>Yes</v>
      </c>
      <c r="AC630" s="3">
        <v>2</v>
      </c>
      <c r="AD630" s="3" t="s">
        <v>46</v>
      </c>
      <c r="AE630">
        <f t="shared" si="39"/>
        <v>1</v>
      </c>
    </row>
    <row r="631" spans="1:31" ht="14.25" customHeight="1" x14ac:dyDescent="0.35">
      <c r="A631" s="3" t="s">
        <v>1286</v>
      </c>
      <c r="B631" s="3" t="s">
        <v>114</v>
      </c>
      <c r="C631" s="3" t="s">
        <v>125</v>
      </c>
      <c r="D631" s="3" t="s">
        <v>88</v>
      </c>
      <c r="E631" s="3">
        <f t="shared" si="36"/>
        <v>30</v>
      </c>
      <c r="F631" s="3">
        <v>1994</v>
      </c>
      <c r="G631" s="3">
        <v>55000</v>
      </c>
      <c r="H631" s="12" cm="1">
        <f t="array" ref="H631">_xlfn.IFS(TRIM(G631)="SIXTY THOUSAND",60000,TRIM(G631)="NAN",AVERAGEIFS(G:G,J:J,J631,L:L,L631),TRUE,G631)</f>
        <v>55000</v>
      </c>
      <c r="I631" s="3" t="s">
        <v>27</v>
      </c>
      <c r="J631" s="3" t="s">
        <v>64</v>
      </c>
      <c r="K631" s="3" t="str">
        <f t="shared" si="37"/>
        <v>Finance</v>
      </c>
      <c r="L631" s="3" t="s">
        <v>89</v>
      </c>
      <c r="M631" s="4">
        <v>43845</v>
      </c>
      <c r="N631" s="4">
        <v>43845</v>
      </c>
      <c r="O631" s="3" t="s">
        <v>52</v>
      </c>
      <c r="P631" s="3">
        <v>77</v>
      </c>
      <c r="Q631" s="3" t="s">
        <v>126</v>
      </c>
      <c r="R631" s="3" t="s">
        <v>43</v>
      </c>
      <c r="S631" s="3" t="s">
        <v>44</v>
      </c>
      <c r="T631" s="3" t="str">
        <f t="shared" si="38"/>
        <v>Full-Time</v>
      </c>
      <c r="V631" s="3">
        <v>7</v>
      </c>
      <c r="X631" s="3">
        <v>13</v>
      </c>
      <c r="Y631" s="3" t="s">
        <v>79</v>
      </c>
      <c r="Z631" s="3">
        <v>8</v>
      </c>
      <c r="AA631" s="3" t="s">
        <v>46</v>
      </c>
      <c r="AB631" s="3" t="str" cm="1">
        <f t="array" ref="AB631">_xlfn.IFS(AA631="N","No",  AA631 = "Y", "Yes", TRUE, PROPER(TRIM(AA631)))</f>
        <v>Yes</v>
      </c>
      <c r="AC631" s="3">
        <v>3</v>
      </c>
      <c r="AD631" s="3" t="s">
        <v>34</v>
      </c>
      <c r="AE631">
        <f t="shared" si="39"/>
        <v>0</v>
      </c>
    </row>
    <row r="632" spans="1:31" ht="14.25" customHeight="1" x14ac:dyDescent="0.35">
      <c r="A632" s="3" t="s">
        <v>1287</v>
      </c>
      <c r="B632" s="3" t="s">
        <v>75</v>
      </c>
      <c r="C632" s="3" t="s">
        <v>496</v>
      </c>
      <c r="D632" s="3">
        <v>40</v>
      </c>
      <c r="E632" s="3">
        <f t="shared" si="36"/>
        <v>40</v>
      </c>
      <c r="F632" s="3">
        <v>1984</v>
      </c>
      <c r="G632" s="3">
        <v>55000</v>
      </c>
      <c r="H632" s="12" cm="1">
        <f t="array" ref="H632">_xlfn.IFS(TRIM(G632)="SIXTY THOUSAND",60000,TRIM(G632)="NAN",AVERAGEIFS(G:G,J:J,J632,L:L,L632),TRUE,G632)</f>
        <v>55000</v>
      </c>
      <c r="I632" s="3" t="s">
        <v>38</v>
      </c>
      <c r="J632" s="3" t="s">
        <v>145</v>
      </c>
      <c r="K632" s="3" t="str">
        <f t="shared" si="37"/>
        <v>Sales</v>
      </c>
      <c r="L632" s="3" t="s">
        <v>89</v>
      </c>
      <c r="M632" s="4">
        <v>43845</v>
      </c>
      <c r="N632" s="4">
        <v>43845</v>
      </c>
      <c r="O632" s="3" t="s">
        <v>52</v>
      </c>
      <c r="P632" s="3">
        <v>77</v>
      </c>
      <c r="Q632" s="3" t="s">
        <v>1288</v>
      </c>
      <c r="R632" s="3" t="s">
        <v>43</v>
      </c>
      <c r="S632" s="3" t="s">
        <v>112</v>
      </c>
      <c r="T632" s="3" t="str">
        <f t="shared" si="38"/>
        <v>Full-Time</v>
      </c>
      <c r="U632" s="3" t="s">
        <v>243</v>
      </c>
      <c r="V632" s="3">
        <v>6</v>
      </c>
      <c r="W632" s="3" t="s">
        <v>79</v>
      </c>
      <c r="Y632" s="3" t="s">
        <v>79</v>
      </c>
      <c r="AA632" s="3" t="s">
        <v>46</v>
      </c>
      <c r="AB632" s="3" t="str" cm="1">
        <f t="array" ref="AB632">_xlfn.IFS(AA632="N","No",  AA632 = "Y", "Yes", TRUE, PROPER(TRIM(AA632)))</f>
        <v>Yes</v>
      </c>
      <c r="AC632" s="3">
        <v>1</v>
      </c>
      <c r="AD632" s="3" t="s">
        <v>46</v>
      </c>
      <c r="AE632">
        <f t="shared" si="39"/>
        <v>1</v>
      </c>
    </row>
    <row r="633" spans="1:31" ht="14.25" customHeight="1" x14ac:dyDescent="0.35">
      <c r="A633" s="3" t="s">
        <v>1289</v>
      </c>
      <c r="B633" s="3" t="s">
        <v>56</v>
      </c>
      <c r="C633" s="3" t="s">
        <v>164</v>
      </c>
      <c r="E633" s="3">
        <f t="shared" si="36"/>
        <v>33</v>
      </c>
      <c r="F633" s="3">
        <v>1991</v>
      </c>
      <c r="G633" s="3">
        <v>70000</v>
      </c>
      <c r="H633" s="12" cm="1">
        <f t="array" ref="H633">_xlfn.IFS(TRIM(G633)="SIXTY THOUSAND",60000,TRIM(G633)="NAN",AVERAGEIFS(G:G,J:J,J633,L:L,L633),TRUE,G633)</f>
        <v>70000</v>
      </c>
      <c r="I633" s="3" t="s">
        <v>38</v>
      </c>
      <c r="J633" s="3" t="s">
        <v>145</v>
      </c>
      <c r="K633" s="3" t="str">
        <f t="shared" si="37"/>
        <v>Sales</v>
      </c>
      <c r="L633" s="3" t="s">
        <v>77</v>
      </c>
      <c r="M633" s="4">
        <v>43800</v>
      </c>
      <c r="N633" s="4">
        <v>43800</v>
      </c>
      <c r="O633" s="3" t="s">
        <v>30</v>
      </c>
      <c r="P633" s="3">
        <v>62</v>
      </c>
      <c r="Q633" s="3" t="s">
        <v>165</v>
      </c>
      <c r="R633" s="3" t="s">
        <v>54</v>
      </c>
      <c r="S633" s="3" t="s">
        <v>100</v>
      </c>
      <c r="T633" s="3" t="str">
        <f t="shared" si="38"/>
        <v>Part-Time</v>
      </c>
      <c r="V633" s="3">
        <v>6</v>
      </c>
      <c r="W633" s="3" t="s">
        <v>79</v>
      </c>
      <c r="Y633" s="4">
        <v>44732</v>
      </c>
      <c r="Z633" s="3">
        <v>46</v>
      </c>
      <c r="AA633" s="3" t="s">
        <v>34</v>
      </c>
      <c r="AB633" s="3" t="str" cm="1">
        <f t="array" ref="AB633">_xlfn.IFS(AA633="N","No",  AA633 = "Y", "Yes", TRUE, PROPER(TRIM(AA633)))</f>
        <v>No</v>
      </c>
      <c r="AC633" s="3">
        <v>5</v>
      </c>
      <c r="AD633" s="3" t="s">
        <v>34</v>
      </c>
      <c r="AE633">
        <f t="shared" si="39"/>
        <v>0</v>
      </c>
    </row>
    <row r="634" spans="1:31" ht="14.25" customHeight="1" x14ac:dyDescent="0.35">
      <c r="A634" s="3" t="s">
        <v>1290</v>
      </c>
      <c r="B634" s="3" t="s">
        <v>140</v>
      </c>
      <c r="C634" s="3" t="s">
        <v>292</v>
      </c>
      <c r="D634" s="3">
        <v>25</v>
      </c>
      <c r="E634" s="3">
        <f t="shared" si="36"/>
        <v>25</v>
      </c>
      <c r="F634" s="3">
        <v>1999</v>
      </c>
      <c r="G634" s="3">
        <v>70000</v>
      </c>
      <c r="H634" s="12" cm="1">
        <f t="array" ref="H634">_xlfn.IFS(TRIM(G634)="SIXTY THOUSAND",60000,TRIM(G634)="NAN",AVERAGEIFS(G:G,J:J,J634,L:L,L634),TRUE,G634)</f>
        <v>70000</v>
      </c>
      <c r="I634" s="3" t="s">
        <v>38</v>
      </c>
      <c r="J634" s="3" t="s">
        <v>39</v>
      </c>
      <c r="K634" s="3" t="str">
        <f t="shared" si="37"/>
        <v>Finance</v>
      </c>
      <c r="L634" s="3" t="s">
        <v>94</v>
      </c>
      <c r="M634" s="4">
        <v>43195</v>
      </c>
      <c r="N634" s="4">
        <v>43195</v>
      </c>
      <c r="O634" s="3" t="s">
        <v>59</v>
      </c>
      <c r="P634" s="3">
        <v>96</v>
      </c>
      <c r="Q634" s="3" t="s">
        <v>293</v>
      </c>
      <c r="R634" s="3" t="s">
        <v>54</v>
      </c>
      <c r="S634" s="3" t="s">
        <v>72</v>
      </c>
      <c r="T634" s="3" t="str">
        <f t="shared" si="38"/>
        <v>Part-Time</v>
      </c>
      <c r="V634" s="3">
        <v>8</v>
      </c>
      <c r="W634" s="3" t="s">
        <v>79</v>
      </c>
      <c r="X634" s="3">
        <v>7</v>
      </c>
      <c r="AA634" s="3" t="s">
        <v>34</v>
      </c>
      <c r="AB634" s="3" t="str" cm="1">
        <f t="array" ref="AB634">_xlfn.IFS(AA634="N","No",  AA634 = "Y", "Yes", TRUE, PROPER(TRIM(AA634)))</f>
        <v>No</v>
      </c>
      <c r="AC634" s="3">
        <v>1</v>
      </c>
      <c r="AD634" s="3" t="s">
        <v>46</v>
      </c>
      <c r="AE634">
        <f t="shared" si="39"/>
        <v>1</v>
      </c>
    </row>
    <row r="635" spans="1:31" ht="14.25" customHeight="1" x14ac:dyDescent="0.35">
      <c r="A635" s="3" t="s">
        <v>1291</v>
      </c>
      <c r="B635" s="3" t="s">
        <v>114</v>
      </c>
      <c r="C635" s="3" t="s">
        <v>125</v>
      </c>
      <c r="D635" s="3">
        <v>35</v>
      </c>
      <c r="E635" s="3">
        <f t="shared" si="36"/>
        <v>35</v>
      </c>
      <c r="F635" s="3">
        <v>1989</v>
      </c>
      <c r="G635" s="3">
        <v>65000</v>
      </c>
      <c r="H635" s="12" cm="1">
        <f t="array" ref="H635">_xlfn.IFS(TRIM(G635)="SIXTY THOUSAND",60000,TRIM(G635)="NAN",AVERAGEIFS(G:G,J:J,J635,L:L,L635),TRUE,G635)</f>
        <v>65000</v>
      </c>
      <c r="I635" s="3" t="s">
        <v>27</v>
      </c>
      <c r="J635" s="3" t="s">
        <v>58</v>
      </c>
      <c r="K635" s="3" t="str">
        <f t="shared" si="37"/>
        <v>IT</v>
      </c>
      <c r="L635" s="3" t="s">
        <v>29</v>
      </c>
      <c r="M635" s="4">
        <v>43881</v>
      </c>
      <c r="N635" s="4">
        <v>43881</v>
      </c>
      <c r="O635" s="3" t="s">
        <v>78</v>
      </c>
      <c r="P635" s="3">
        <v>89</v>
      </c>
      <c r="Q635" s="3" t="s">
        <v>126</v>
      </c>
      <c r="R635" s="3" t="s">
        <v>104</v>
      </c>
      <c r="S635" s="3" t="s">
        <v>66</v>
      </c>
      <c r="T635" s="3" t="str">
        <f t="shared" si="38"/>
        <v>Contract</v>
      </c>
      <c r="V635" s="3">
        <v>8</v>
      </c>
      <c r="Z635" s="3">
        <v>67</v>
      </c>
      <c r="AB635" s="3" t="str" cm="1">
        <f t="array" ref="AB635">_xlfn.IFS(AA635="N","No",  AA635 = "Y", "Yes", TRUE, PROPER(TRIM(AA635)))</f>
        <v/>
      </c>
      <c r="AC635" s="3">
        <v>4</v>
      </c>
      <c r="AD635" s="3" t="s">
        <v>34</v>
      </c>
      <c r="AE635">
        <f t="shared" si="39"/>
        <v>0</v>
      </c>
    </row>
    <row r="636" spans="1:31" ht="14.25" customHeight="1" x14ac:dyDescent="0.35">
      <c r="A636" s="3" t="s">
        <v>1292</v>
      </c>
      <c r="B636" s="3" t="s">
        <v>68</v>
      </c>
      <c r="C636" s="3" t="s">
        <v>367</v>
      </c>
      <c r="D636" s="3">
        <v>40</v>
      </c>
      <c r="E636" s="3">
        <f t="shared" si="36"/>
        <v>40</v>
      </c>
      <c r="F636" s="3">
        <v>1984</v>
      </c>
      <c r="G636" s="3" t="s">
        <v>50</v>
      </c>
      <c r="H636" s="12" cm="1">
        <f t="array" ref="H636">_xlfn.IFS(TRIM(G636)="SIXTY THOUSAND",60000,TRIM(G636)="NAN",AVERAGEIFS(G:G,J:J,J636,L:L,L636),TRUE,G636)</f>
        <v>60000</v>
      </c>
      <c r="I636" s="3" t="s">
        <v>27</v>
      </c>
      <c r="J636" s="3" t="s">
        <v>93</v>
      </c>
      <c r="K636" s="3" t="str">
        <f t="shared" si="37"/>
        <v>Marketing</v>
      </c>
      <c r="L636" s="3" t="s">
        <v>94</v>
      </c>
      <c r="M636" s="4">
        <v>43549</v>
      </c>
      <c r="N636" s="4">
        <v>43549</v>
      </c>
      <c r="O636" s="3" t="s">
        <v>59</v>
      </c>
      <c r="P636" s="3">
        <v>96</v>
      </c>
      <c r="Q636" s="3" t="s">
        <v>1293</v>
      </c>
      <c r="R636" s="3" t="s">
        <v>43</v>
      </c>
      <c r="S636" s="3" t="s">
        <v>44</v>
      </c>
      <c r="T636" s="3" t="str">
        <f t="shared" si="38"/>
        <v>Full-Time</v>
      </c>
      <c r="V636" s="3">
        <v>1</v>
      </c>
      <c r="X636" s="3">
        <v>15</v>
      </c>
      <c r="Z636" s="3">
        <v>41</v>
      </c>
      <c r="AA636" s="3" t="s">
        <v>33</v>
      </c>
      <c r="AB636" s="3" t="str" cm="1">
        <f t="array" ref="AB636">_xlfn.IFS(AA636="N","No",  AA636 = "Y", "Yes", TRUE, PROPER(TRIM(AA636)))</f>
        <v>Yes</v>
      </c>
      <c r="AC636" s="3">
        <v>2</v>
      </c>
      <c r="AD636" s="3" t="s">
        <v>46</v>
      </c>
      <c r="AE636">
        <f t="shared" si="39"/>
        <v>1</v>
      </c>
    </row>
    <row r="637" spans="1:31" ht="14.25" customHeight="1" x14ac:dyDescent="0.35">
      <c r="A637" s="3" t="s">
        <v>1294</v>
      </c>
      <c r="B637" s="3" t="s">
        <v>48</v>
      </c>
      <c r="C637" s="3" t="s">
        <v>225</v>
      </c>
      <c r="D637" s="3">
        <v>25</v>
      </c>
      <c r="E637" s="3">
        <f t="shared" si="36"/>
        <v>25</v>
      </c>
      <c r="F637" s="3">
        <v>1999</v>
      </c>
      <c r="G637" s="3">
        <v>55000</v>
      </c>
      <c r="H637" s="12" cm="1">
        <f t="array" ref="H637">_xlfn.IFS(TRIM(G637)="SIXTY THOUSAND",60000,TRIM(G637)="NAN",AVERAGEIFS(G:G,J:J,J637,L:L,L637),TRUE,G637)</f>
        <v>55000</v>
      </c>
      <c r="I637" s="3" t="s">
        <v>27</v>
      </c>
      <c r="J637" s="3" t="s">
        <v>82</v>
      </c>
      <c r="K637" s="3" t="str">
        <f t="shared" si="37"/>
        <v>HR</v>
      </c>
      <c r="L637" s="3" t="s">
        <v>40</v>
      </c>
      <c r="M637" s="4">
        <v>43195</v>
      </c>
      <c r="N637" s="4">
        <v>43195</v>
      </c>
      <c r="O637" s="3" t="s">
        <v>41</v>
      </c>
      <c r="P637" s="3">
        <v>49</v>
      </c>
      <c r="Q637" s="3" t="s">
        <v>226</v>
      </c>
      <c r="R637" s="3" t="s">
        <v>104</v>
      </c>
      <c r="S637" s="3" t="s">
        <v>32</v>
      </c>
      <c r="T637" s="3" t="str">
        <f t="shared" si="38"/>
        <v>Contract</v>
      </c>
      <c r="V637" s="3">
        <v>3</v>
      </c>
      <c r="W637" s="3">
        <v>9</v>
      </c>
      <c r="Z637" s="3">
        <v>5</v>
      </c>
      <c r="AA637" s="3" t="s">
        <v>33</v>
      </c>
      <c r="AB637" s="3" t="str" cm="1">
        <f t="array" ref="AB637">_xlfn.IFS(AA637="N","No",  AA637 = "Y", "Yes", TRUE, PROPER(TRIM(AA637)))</f>
        <v>Yes</v>
      </c>
      <c r="AC637" s="3">
        <v>5</v>
      </c>
      <c r="AD637" s="3" t="s">
        <v>46</v>
      </c>
      <c r="AE637">
        <f t="shared" si="39"/>
        <v>1</v>
      </c>
    </row>
    <row r="638" spans="1:31" ht="14.25" customHeight="1" x14ac:dyDescent="0.35">
      <c r="A638" s="3" t="s">
        <v>1295</v>
      </c>
      <c r="B638" s="3" t="s">
        <v>114</v>
      </c>
      <c r="C638" s="3" t="s">
        <v>125</v>
      </c>
      <c r="D638" s="3">
        <v>40</v>
      </c>
      <c r="E638" s="3">
        <f t="shared" si="36"/>
        <v>40</v>
      </c>
      <c r="F638" s="3">
        <v>1984</v>
      </c>
      <c r="G638" s="3" t="s">
        <v>50</v>
      </c>
      <c r="H638" s="12" cm="1">
        <f t="array" ref="H638">_xlfn.IFS(TRIM(G638)="SIXTY THOUSAND",60000,TRIM(G638)="NAN",AVERAGEIFS(G:G,J:J,J638,L:L,L638),TRUE,G638)</f>
        <v>60000</v>
      </c>
      <c r="I638" s="3" t="s">
        <v>27</v>
      </c>
      <c r="J638" s="3" t="s">
        <v>93</v>
      </c>
      <c r="K638" s="3" t="str">
        <f t="shared" si="37"/>
        <v>Marketing</v>
      </c>
      <c r="L638" s="3" t="s">
        <v>89</v>
      </c>
      <c r="M638" s="4">
        <v>43549</v>
      </c>
      <c r="N638" s="4">
        <v>43549</v>
      </c>
      <c r="O638" s="3" t="s">
        <v>78</v>
      </c>
      <c r="P638" s="3">
        <v>85</v>
      </c>
      <c r="Q638" s="3" t="s">
        <v>126</v>
      </c>
      <c r="S638" s="3" t="s">
        <v>112</v>
      </c>
      <c r="T638" s="3" t="str">
        <f t="shared" si="38"/>
        <v>Full-Time</v>
      </c>
      <c r="V638" s="3">
        <v>8</v>
      </c>
      <c r="W638" s="3" t="s">
        <v>79</v>
      </c>
      <c r="X638" s="3">
        <v>3</v>
      </c>
      <c r="Y638" s="4">
        <v>44990</v>
      </c>
      <c r="AA638" s="3" t="s">
        <v>33</v>
      </c>
      <c r="AB638" s="3" t="str" cm="1">
        <f t="array" ref="AB638">_xlfn.IFS(AA638="N","No",  AA638 = "Y", "Yes", TRUE, PROPER(TRIM(AA638)))</f>
        <v>Yes</v>
      </c>
      <c r="AC638" s="3">
        <v>5</v>
      </c>
      <c r="AD638" s="3" t="s">
        <v>46</v>
      </c>
      <c r="AE638">
        <f t="shared" si="39"/>
        <v>1</v>
      </c>
    </row>
    <row r="639" spans="1:31" ht="14.25" customHeight="1" x14ac:dyDescent="0.35">
      <c r="A639" s="3" t="s">
        <v>1296</v>
      </c>
      <c r="B639" s="3" t="s">
        <v>56</v>
      </c>
      <c r="C639" s="3" t="s">
        <v>338</v>
      </c>
      <c r="D639" s="3">
        <v>40</v>
      </c>
      <c r="E639" s="3">
        <f t="shared" si="36"/>
        <v>40</v>
      </c>
      <c r="F639" s="3">
        <v>1984</v>
      </c>
      <c r="G639" s="3">
        <v>65000</v>
      </c>
      <c r="H639" s="12" cm="1">
        <f t="array" ref="H639">_xlfn.IFS(TRIM(G639)="SIXTY THOUSAND",60000,TRIM(G639)="NAN",AVERAGEIFS(G:G,J:J,J639,L:L,L639),TRUE,G639)</f>
        <v>65000</v>
      </c>
      <c r="I639" s="3" t="s">
        <v>38</v>
      </c>
      <c r="J639" s="3" t="s">
        <v>82</v>
      </c>
      <c r="K639" s="3" t="str">
        <f t="shared" si="37"/>
        <v>HR</v>
      </c>
      <c r="L639" s="3" t="s">
        <v>40</v>
      </c>
      <c r="M639" s="4">
        <v>43195</v>
      </c>
      <c r="N639" s="4">
        <v>43195</v>
      </c>
      <c r="O639" s="3" t="s">
        <v>59</v>
      </c>
      <c r="P639" s="3">
        <v>99</v>
      </c>
      <c r="Q639" s="3" t="s">
        <v>1297</v>
      </c>
      <c r="R639" s="3" t="s">
        <v>104</v>
      </c>
      <c r="S639" s="3" t="s">
        <v>44</v>
      </c>
      <c r="T639" s="3" t="str">
        <f t="shared" si="38"/>
        <v>Full-Time</v>
      </c>
      <c r="V639" s="3">
        <v>3</v>
      </c>
      <c r="AA639" s="3" t="s">
        <v>169</v>
      </c>
      <c r="AB639" s="3" t="str" cm="1">
        <f t="array" ref="AB639">_xlfn.IFS(AA639="N","No",  AA639 = "Y", "Yes", TRUE, PROPER(TRIM(AA639)))</f>
        <v>Yes</v>
      </c>
      <c r="AC639" s="3">
        <v>3</v>
      </c>
      <c r="AD639" s="3" t="s">
        <v>34</v>
      </c>
      <c r="AE639">
        <f t="shared" si="39"/>
        <v>0</v>
      </c>
    </row>
    <row r="640" spans="1:31" ht="14.25" customHeight="1" x14ac:dyDescent="0.35">
      <c r="A640" s="3" t="s">
        <v>1298</v>
      </c>
      <c r="B640" s="3" t="s">
        <v>25</v>
      </c>
      <c r="C640" s="3" t="s">
        <v>403</v>
      </c>
      <c r="D640" s="3">
        <v>35</v>
      </c>
      <c r="E640" s="3">
        <f t="shared" si="36"/>
        <v>35</v>
      </c>
      <c r="F640" s="3">
        <v>1989</v>
      </c>
      <c r="G640" s="3">
        <v>70000</v>
      </c>
      <c r="H640" s="12" cm="1">
        <f t="array" ref="H640">_xlfn.IFS(TRIM(G640)="SIXTY THOUSAND",60000,TRIM(G640)="NAN",AVERAGEIFS(G:G,J:J,J640,L:L,L640),TRUE,G640)</f>
        <v>70000</v>
      </c>
      <c r="I640" s="3" t="s">
        <v>27</v>
      </c>
      <c r="J640" s="3" t="s">
        <v>28</v>
      </c>
      <c r="K640" s="3" t="str">
        <f t="shared" si="37"/>
        <v>HR</v>
      </c>
      <c r="L640" s="3" t="s">
        <v>89</v>
      </c>
      <c r="M640" s="4">
        <v>43845</v>
      </c>
      <c r="N640" s="4">
        <v>43845</v>
      </c>
      <c r="O640" s="3" t="s">
        <v>30</v>
      </c>
      <c r="P640" s="3">
        <v>63</v>
      </c>
      <c r="Q640" s="3" t="s">
        <v>1299</v>
      </c>
      <c r="R640" s="3" t="s">
        <v>61</v>
      </c>
      <c r="S640" s="3" t="s">
        <v>100</v>
      </c>
      <c r="T640" s="3" t="str">
        <f t="shared" si="38"/>
        <v>Part-Time</v>
      </c>
      <c r="V640" s="3">
        <v>4</v>
      </c>
      <c r="AA640" s="3" t="s">
        <v>34</v>
      </c>
      <c r="AB640" s="3" t="str" cm="1">
        <f t="array" ref="AB640">_xlfn.IFS(AA640="N","No",  AA640 = "Y", "Yes", TRUE, PROPER(TRIM(AA640)))</f>
        <v>No</v>
      </c>
      <c r="AC640" s="3">
        <v>3</v>
      </c>
      <c r="AD640" s="3" t="s">
        <v>34</v>
      </c>
      <c r="AE640">
        <f t="shared" si="39"/>
        <v>0</v>
      </c>
    </row>
    <row r="641" spans="1:31" ht="14.25" customHeight="1" x14ac:dyDescent="0.35">
      <c r="A641" s="3" t="s">
        <v>1300</v>
      </c>
      <c r="B641" s="3" t="s">
        <v>48</v>
      </c>
      <c r="C641" s="3" t="s">
        <v>413</v>
      </c>
      <c r="E641" s="3">
        <f t="shared" si="36"/>
        <v>26</v>
      </c>
      <c r="F641" s="3">
        <v>1998</v>
      </c>
      <c r="G641" s="3">
        <v>58300</v>
      </c>
      <c r="H641" s="12" cm="1">
        <f t="array" ref="H641">_xlfn.IFS(TRIM(G641)="SIXTY THOUSAND",60000,TRIM(G641)="NAN",AVERAGEIFS(G:G,J:J,J641,L:L,L641),TRUE,G641)</f>
        <v>58300</v>
      </c>
      <c r="I641" s="3" t="s">
        <v>27</v>
      </c>
      <c r="J641" s="3" t="s">
        <v>51</v>
      </c>
      <c r="K641" s="3" t="str">
        <f t="shared" si="37"/>
        <v>Sales</v>
      </c>
      <c r="L641" s="3" t="s">
        <v>89</v>
      </c>
      <c r="M641" s="4">
        <v>43800</v>
      </c>
      <c r="N641" s="4">
        <v>43800</v>
      </c>
      <c r="O641" s="3" t="s">
        <v>30</v>
      </c>
      <c r="P641" s="3">
        <v>69</v>
      </c>
      <c r="Q641" s="3" t="s">
        <v>1301</v>
      </c>
      <c r="R641" s="3" t="s">
        <v>54</v>
      </c>
      <c r="S641" s="3" t="s">
        <v>174</v>
      </c>
      <c r="T641" s="3" t="str">
        <f t="shared" si="38"/>
        <v>Full-Time</v>
      </c>
      <c r="V641" s="3">
        <v>2</v>
      </c>
      <c r="X641" s="3">
        <v>6</v>
      </c>
      <c r="AB641" s="3" t="str" cm="1">
        <f t="array" ref="AB641">_xlfn.IFS(AA641="N","No",  AA641 = "Y", "Yes", TRUE, PROPER(TRIM(AA641)))</f>
        <v/>
      </c>
      <c r="AC641" s="3">
        <v>1</v>
      </c>
      <c r="AD641" s="3" t="s">
        <v>46</v>
      </c>
      <c r="AE641">
        <f t="shared" si="39"/>
        <v>1</v>
      </c>
    </row>
    <row r="642" spans="1:31" ht="14.25" customHeight="1" x14ac:dyDescent="0.35">
      <c r="A642" s="3" t="s">
        <v>1302</v>
      </c>
      <c r="B642" s="3" t="s">
        <v>131</v>
      </c>
      <c r="C642" s="3" t="s">
        <v>141</v>
      </c>
      <c r="D642" s="3" t="s">
        <v>88</v>
      </c>
      <c r="E642" s="3">
        <f t="shared" ref="E642:E705" si="40">2024-F642</f>
        <v>30</v>
      </c>
      <c r="F642" s="3">
        <v>1994</v>
      </c>
      <c r="G642" s="3" t="s">
        <v>50</v>
      </c>
      <c r="H642" s="12" cm="1">
        <f t="array" ref="H642">_xlfn.IFS(TRIM(G642)="SIXTY THOUSAND",60000,TRIM(G642)="NAN",AVERAGEIFS(G:G,J:J,J642,L:L,L642),TRUE,G642)</f>
        <v>60000</v>
      </c>
      <c r="I642" s="3" t="s">
        <v>27</v>
      </c>
      <c r="J642" s="3" t="s">
        <v>28</v>
      </c>
      <c r="K642" s="3" t="str">
        <f t="shared" ref="K642:K705" si="41">IF(OR(J642="HR",J642="IT"),UPPER(J642),PROPER(J642))</f>
        <v>HR</v>
      </c>
      <c r="L642" s="3" t="s">
        <v>40</v>
      </c>
      <c r="M642" s="4">
        <v>43549</v>
      </c>
      <c r="N642" s="4">
        <v>43549</v>
      </c>
      <c r="O642" s="3" t="s">
        <v>78</v>
      </c>
      <c r="P642" s="3">
        <v>85</v>
      </c>
      <c r="Q642" s="3" t="s">
        <v>1303</v>
      </c>
      <c r="R642" s="3" t="s">
        <v>54</v>
      </c>
      <c r="S642" s="3" t="s">
        <v>100</v>
      </c>
      <c r="T642" s="3" t="str">
        <f t="shared" ref="T642:T705" si="42">PROPER(S642)</f>
        <v>Part-Time</v>
      </c>
      <c r="V642" s="3">
        <v>5</v>
      </c>
      <c r="W642" s="3">
        <v>3</v>
      </c>
      <c r="X642" s="3">
        <v>3</v>
      </c>
      <c r="AA642" s="3" t="s">
        <v>169</v>
      </c>
      <c r="AB642" s="3" t="str" cm="1">
        <f t="array" ref="AB642">_xlfn.IFS(AA642="N","No",  AA642 = "Y", "Yes", TRUE, PROPER(TRIM(AA642)))</f>
        <v>Yes</v>
      </c>
      <c r="AC642" s="3">
        <v>2</v>
      </c>
      <c r="AD642" s="3" t="s">
        <v>46</v>
      </c>
      <c r="AE642">
        <f t="shared" si="39"/>
        <v>1</v>
      </c>
    </row>
    <row r="643" spans="1:31" ht="14.25" customHeight="1" x14ac:dyDescent="0.35">
      <c r="A643" s="3" t="s">
        <v>1304</v>
      </c>
      <c r="B643" s="3" t="s">
        <v>107</v>
      </c>
      <c r="C643" s="3" t="s">
        <v>161</v>
      </c>
      <c r="D643" s="3">
        <v>50</v>
      </c>
      <c r="E643" s="3">
        <f t="shared" si="40"/>
        <v>50</v>
      </c>
      <c r="F643" s="3">
        <v>1974</v>
      </c>
      <c r="G643" s="3">
        <v>70000</v>
      </c>
      <c r="H643" s="12" cm="1">
        <f t="array" ref="H643">_xlfn.IFS(TRIM(G643)="SIXTY THOUSAND",60000,TRIM(G643)="NAN",AVERAGEIFS(G:G,J:J,J643,L:L,L643),TRUE,G643)</f>
        <v>70000</v>
      </c>
      <c r="I643" s="3" t="s">
        <v>27</v>
      </c>
      <c r="J643" s="3" t="s">
        <v>28</v>
      </c>
      <c r="K643" s="3" t="str">
        <f t="shared" si="41"/>
        <v>HR</v>
      </c>
      <c r="L643" s="3" t="s">
        <v>40</v>
      </c>
      <c r="M643" s="4">
        <v>43195</v>
      </c>
      <c r="N643" s="4">
        <v>43195</v>
      </c>
      <c r="O643" s="3" t="s">
        <v>41</v>
      </c>
      <c r="P643" s="3">
        <v>22</v>
      </c>
      <c r="Q643" s="3" t="s">
        <v>1305</v>
      </c>
      <c r="R643" s="3" t="s">
        <v>43</v>
      </c>
      <c r="S643" s="3" t="s">
        <v>32</v>
      </c>
      <c r="T643" s="3" t="str">
        <f t="shared" si="42"/>
        <v>Contract</v>
      </c>
      <c r="V643" s="3">
        <v>4</v>
      </c>
      <c r="AB643" s="3" t="str" cm="1">
        <f t="array" ref="AB643">_xlfn.IFS(AA643="N","No",  AA643 = "Y", "Yes", TRUE, PROPER(TRIM(AA643)))</f>
        <v/>
      </c>
      <c r="AC643" s="3">
        <v>3</v>
      </c>
      <c r="AD643" s="3" t="s">
        <v>34</v>
      </c>
      <c r="AE643">
        <f t="shared" ref="AE643:AE706" si="43">IF(AD643="Yes",1,0)</f>
        <v>0</v>
      </c>
    </row>
    <row r="644" spans="1:31" ht="14.25" customHeight="1" x14ac:dyDescent="0.35">
      <c r="A644" s="3" t="s">
        <v>1306</v>
      </c>
      <c r="B644" s="3" t="s">
        <v>131</v>
      </c>
      <c r="C644" s="3" t="s">
        <v>692</v>
      </c>
      <c r="E644" s="3">
        <f t="shared" si="40"/>
        <v>35</v>
      </c>
      <c r="F644" s="3">
        <v>1989</v>
      </c>
      <c r="G644" s="3">
        <v>70000</v>
      </c>
      <c r="H644" s="12" cm="1">
        <f t="array" ref="H644">_xlfn.IFS(TRIM(G644)="SIXTY THOUSAND",60000,TRIM(G644)="NAN",AVERAGEIFS(G:G,J:J,J644,L:L,L644),TRUE,G644)</f>
        <v>70000</v>
      </c>
      <c r="I644" s="3" t="s">
        <v>38</v>
      </c>
      <c r="J644" s="3" t="s">
        <v>64</v>
      </c>
      <c r="K644" s="3" t="str">
        <f t="shared" si="41"/>
        <v>Finance</v>
      </c>
      <c r="L644" s="3" t="s">
        <v>94</v>
      </c>
      <c r="M644" s="4">
        <v>43800</v>
      </c>
      <c r="N644" s="4">
        <v>43800</v>
      </c>
      <c r="O644" s="3" t="s">
        <v>30</v>
      </c>
      <c r="P644" s="3">
        <v>64</v>
      </c>
      <c r="Q644" s="3" t="s">
        <v>693</v>
      </c>
      <c r="R644" s="3" t="s">
        <v>43</v>
      </c>
      <c r="S644" s="3" t="s">
        <v>32</v>
      </c>
      <c r="T644" s="3" t="str">
        <f t="shared" si="42"/>
        <v>Contract</v>
      </c>
      <c r="U644" s="3" t="s">
        <v>202</v>
      </c>
      <c r="V644" s="3">
        <v>3</v>
      </c>
      <c r="Y644" s="3" t="s">
        <v>79</v>
      </c>
      <c r="AB644" s="3" t="str" cm="1">
        <f t="array" ref="AB644">_xlfn.IFS(AA644="N","No",  AA644 = "Y", "Yes", TRUE, PROPER(TRIM(AA644)))</f>
        <v/>
      </c>
      <c r="AC644" s="3">
        <v>1</v>
      </c>
      <c r="AD644" s="3" t="s">
        <v>46</v>
      </c>
      <c r="AE644">
        <f t="shared" si="43"/>
        <v>1</v>
      </c>
    </row>
    <row r="645" spans="1:31" ht="14.25" customHeight="1" x14ac:dyDescent="0.35">
      <c r="A645" s="3" t="s">
        <v>1307</v>
      </c>
      <c r="B645" s="3" t="s">
        <v>114</v>
      </c>
      <c r="C645" s="3" t="s">
        <v>49</v>
      </c>
      <c r="D645" s="3">
        <v>50</v>
      </c>
      <c r="E645" s="3">
        <f t="shared" si="40"/>
        <v>50</v>
      </c>
      <c r="F645" s="3">
        <v>1974</v>
      </c>
      <c r="G645" s="3">
        <v>50000</v>
      </c>
      <c r="H645" s="12" cm="1">
        <f t="array" ref="H645">_xlfn.IFS(TRIM(G645)="SIXTY THOUSAND",60000,TRIM(G645)="NAN",AVERAGEIFS(G:G,J:J,J645,L:L,L645),TRUE,G645)</f>
        <v>50000</v>
      </c>
      <c r="I645" s="3" t="s">
        <v>27</v>
      </c>
      <c r="J645" s="3" t="s">
        <v>93</v>
      </c>
      <c r="K645" s="3" t="str">
        <f t="shared" si="41"/>
        <v>Marketing</v>
      </c>
      <c r="L645" s="3" t="s">
        <v>40</v>
      </c>
      <c r="M645" s="4">
        <v>43549</v>
      </c>
      <c r="N645" s="4">
        <v>43549</v>
      </c>
      <c r="O645" s="3" t="s">
        <v>30</v>
      </c>
      <c r="P645" s="3">
        <v>65</v>
      </c>
      <c r="Q645" s="3" t="s">
        <v>1308</v>
      </c>
      <c r="S645" s="3" t="s">
        <v>32</v>
      </c>
      <c r="T645" s="3" t="str">
        <f t="shared" si="42"/>
        <v>Contract</v>
      </c>
      <c r="V645" s="3">
        <v>3</v>
      </c>
      <c r="W645" s="3">
        <v>6</v>
      </c>
      <c r="Z645" s="3">
        <v>40</v>
      </c>
      <c r="AA645" s="3" t="s">
        <v>33</v>
      </c>
      <c r="AB645" s="3" t="str" cm="1">
        <f t="array" ref="AB645">_xlfn.IFS(AA645="N","No",  AA645 = "Y", "Yes", TRUE, PROPER(TRIM(AA645)))</f>
        <v>Yes</v>
      </c>
      <c r="AC645" s="3">
        <v>3</v>
      </c>
      <c r="AD645" s="3" t="s">
        <v>34</v>
      </c>
      <c r="AE645">
        <f t="shared" si="43"/>
        <v>0</v>
      </c>
    </row>
    <row r="646" spans="1:31" ht="14.25" customHeight="1" x14ac:dyDescent="0.35">
      <c r="A646" s="3" t="s">
        <v>1309</v>
      </c>
      <c r="B646" s="3" t="s">
        <v>131</v>
      </c>
      <c r="C646" s="3" t="s">
        <v>189</v>
      </c>
      <c r="D646" s="3">
        <v>35</v>
      </c>
      <c r="E646" s="3">
        <f t="shared" si="40"/>
        <v>35</v>
      </c>
      <c r="F646" s="3">
        <v>1989</v>
      </c>
      <c r="G646" s="3" t="s">
        <v>50</v>
      </c>
      <c r="H646" s="12" cm="1">
        <f t="array" ref="H646">_xlfn.IFS(TRIM(G646)="SIXTY THOUSAND",60000,TRIM(G646)="NAN",AVERAGEIFS(G:G,J:J,J646,L:L,L646),TRUE,G646)</f>
        <v>60000</v>
      </c>
      <c r="I646" s="3" t="s">
        <v>38</v>
      </c>
      <c r="J646" s="3" t="s">
        <v>64</v>
      </c>
      <c r="K646" s="3" t="str">
        <f t="shared" si="41"/>
        <v>Finance</v>
      </c>
      <c r="L646" s="3" t="s">
        <v>94</v>
      </c>
      <c r="M646" s="4">
        <v>43881</v>
      </c>
      <c r="N646" s="4">
        <v>43881</v>
      </c>
      <c r="O646" s="3" t="s">
        <v>41</v>
      </c>
      <c r="P646" s="3">
        <v>30</v>
      </c>
      <c r="Q646" s="3" t="s">
        <v>1310</v>
      </c>
      <c r="S646" s="3" t="s">
        <v>32</v>
      </c>
      <c r="T646" s="3" t="str">
        <f t="shared" si="42"/>
        <v>Contract</v>
      </c>
      <c r="V646" s="3">
        <v>3</v>
      </c>
      <c r="Y646" s="4">
        <v>44732</v>
      </c>
      <c r="AB646" s="3" t="str" cm="1">
        <f t="array" ref="AB646">_xlfn.IFS(AA646="N","No",  AA646 = "Y", "Yes", TRUE, PROPER(TRIM(AA646)))</f>
        <v/>
      </c>
      <c r="AC646" s="3">
        <v>3</v>
      </c>
      <c r="AD646" s="3" t="s">
        <v>34</v>
      </c>
      <c r="AE646">
        <f t="shared" si="43"/>
        <v>0</v>
      </c>
    </row>
    <row r="647" spans="1:31" ht="14.25" customHeight="1" x14ac:dyDescent="0.35">
      <c r="A647" s="3" t="s">
        <v>1311</v>
      </c>
      <c r="B647" s="3" t="s">
        <v>56</v>
      </c>
      <c r="C647" s="3" t="s">
        <v>413</v>
      </c>
      <c r="D647" s="3">
        <v>35</v>
      </c>
      <c r="E647" s="3">
        <f t="shared" si="40"/>
        <v>35</v>
      </c>
      <c r="F647" s="3">
        <v>1989</v>
      </c>
      <c r="G647" s="3">
        <v>60400</v>
      </c>
      <c r="H647" s="12" cm="1">
        <f t="array" ref="H647">_xlfn.IFS(TRIM(G647)="SIXTY THOUSAND",60000,TRIM(G647)="NAN",AVERAGEIFS(G:G,J:J,J647,L:L,L647),TRUE,G647)</f>
        <v>60400</v>
      </c>
      <c r="I647" s="3" t="s">
        <v>38</v>
      </c>
      <c r="J647" s="3" t="s">
        <v>28</v>
      </c>
      <c r="K647" s="3" t="str">
        <f t="shared" si="41"/>
        <v>HR</v>
      </c>
      <c r="L647" s="3" t="s">
        <v>94</v>
      </c>
      <c r="M647" s="4">
        <v>43195</v>
      </c>
      <c r="N647" s="4">
        <v>43195</v>
      </c>
      <c r="O647" s="3" t="s">
        <v>59</v>
      </c>
      <c r="P647" s="3">
        <v>95</v>
      </c>
      <c r="Q647" s="3" t="s">
        <v>414</v>
      </c>
      <c r="R647" s="3" t="s">
        <v>61</v>
      </c>
      <c r="S647" s="3" t="s">
        <v>32</v>
      </c>
      <c r="T647" s="3" t="str">
        <f t="shared" si="42"/>
        <v>Contract</v>
      </c>
      <c r="V647" s="3">
        <v>6</v>
      </c>
      <c r="Z647" s="3">
        <v>63</v>
      </c>
      <c r="AB647" s="3" t="str" cm="1">
        <f t="array" ref="AB647">_xlfn.IFS(AA647="N","No",  AA647 = "Y", "Yes", TRUE, PROPER(TRIM(AA647)))</f>
        <v/>
      </c>
      <c r="AC647" s="3">
        <v>3</v>
      </c>
      <c r="AD647" s="3" t="s">
        <v>34</v>
      </c>
      <c r="AE647">
        <f t="shared" si="43"/>
        <v>0</v>
      </c>
    </row>
    <row r="648" spans="1:31" ht="14.25" customHeight="1" x14ac:dyDescent="0.35">
      <c r="A648" s="3" t="s">
        <v>1312</v>
      </c>
      <c r="B648" s="3" t="s">
        <v>68</v>
      </c>
      <c r="C648" s="3" t="s">
        <v>250</v>
      </c>
      <c r="D648" s="3">
        <v>35</v>
      </c>
      <c r="E648" s="3">
        <f t="shared" si="40"/>
        <v>35</v>
      </c>
      <c r="F648" s="3">
        <v>1989</v>
      </c>
      <c r="G648" s="3" t="s">
        <v>50</v>
      </c>
      <c r="H648" s="12" cm="1">
        <f t="array" ref="H648">_xlfn.IFS(TRIM(G648)="SIXTY THOUSAND",60000,TRIM(G648)="NAN",AVERAGEIFS(G:G,J:J,J648,L:L,L648),TRUE,G648)</f>
        <v>60000</v>
      </c>
      <c r="I648" s="3" t="s">
        <v>27</v>
      </c>
      <c r="J648" s="3" t="s">
        <v>145</v>
      </c>
      <c r="K648" s="3" t="str">
        <f t="shared" si="41"/>
        <v>Sales</v>
      </c>
      <c r="L648" s="3" t="s">
        <v>94</v>
      </c>
      <c r="M648" s="4">
        <v>43881</v>
      </c>
      <c r="N648" s="4">
        <v>43881</v>
      </c>
      <c r="O648" s="3" t="s">
        <v>30</v>
      </c>
      <c r="P648" s="3">
        <v>64</v>
      </c>
      <c r="Q648" s="3" t="s">
        <v>251</v>
      </c>
      <c r="R648" s="3" t="s">
        <v>43</v>
      </c>
      <c r="S648" s="3" t="s">
        <v>72</v>
      </c>
      <c r="T648" s="3" t="str">
        <f t="shared" si="42"/>
        <v>Part-Time</v>
      </c>
      <c r="V648" s="3">
        <v>2</v>
      </c>
      <c r="W648" s="3" t="s">
        <v>79</v>
      </c>
      <c r="AA648" s="3" t="s">
        <v>34</v>
      </c>
      <c r="AB648" s="3" t="str" cm="1">
        <f t="array" ref="AB648">_xlfn.IFS(AA648="N","No",  AA648 = "Y", "Yes", TRUE, PROPER(TRIM(AA648)))</f>
        <v>No</v>
      </c>
      <c r="AC648" s="3">
        <v>3</v>
      </c>
      <c r="AD648" s="3" t="s">
        <v>34</v>
      </c>
      <c r="AE648">
        <f t="shared" si="43"/>
        <v>0</v>
      </c>
    </row>
    <row r="649" spans="1:31" ht="14.25" customHeight="1" x14ac:dyDescent="0.35">
      <c r="A649" s="3" t="s">
        <v>1313</v>
      </c>
      <c r="B649" s="3" t="s">
        <v>140</v>
      </c>
      <c r="C649" s="3" t="s">
        <v>436</v>
      </c>
      <c r="D649" s="3">
        <v>25</v>
      </c>
      <c r="E649" s="3">
        <f t="shared" si="40"/>
        <v>25</v>
      </c>
      <c r="F649" s="3">
        <v>1999</v>
      </c>
      <c r="G649" s="3">
        <v>70000</v>
      </c>
      <c r="H649" s="12" cm="1">
        <f t="array" ref="H649">_xlfn.IFS(TRIM(G649)="SIXTY THOUSAND",60000,TRIM(G649)="NAN",AVERAGEIFS(G:G,J:J,J649,L:L,L649),TRUE,G649)</f>
        <v>70000</v>
      </c>
      <c r="I649" s="3" t="s">
        <v>38</v>
      </c>
      <c r="J649" s="3" t="s">
        <v>64</v>
      </c>
      <c r="K649" s="3" t="str">
        <f t="shared" si="41"/>
        <v>Finance</v>
      </c>
      <c r="L649" s="3" t="s">
        <v>89</v>
      </c>
      <c r="M649" s="4">
        <v>43845</v>
      </c>
      <c r="N649" s="4">
        <v>43845</v>
      </c>
      <c r="O649" s="3" t="s">
        <v>52</v>
      </c>
      <c r="P649" s="3">
        <v>75</v>
      </c>
      <c r="Q649" s="3" t="s">
        <v>437</v>
      </c>
      <c r="R649" s="3" t="s">
        <v>43</v>
      </c>
      <c r="S649" s="3" t="s">
        <v>66</v>
      </c>
      <c r="T649" s="3" t="str">
        <f t="shared" si="42"/>
        <v>Contract</v>
      </c>
      <c r="U649" s="3" t="s">
        <v>105</v>
      </c>
      <c r="V649" s="3">
        <v>4</v>
      </c>
      <c r="AA649" s="3" t="s">
        <v>169</v>
      </c>
      <c r="AB649" s="3" t="str" cm="1">
        <f t="array" ref="AB649">_xlfn.IFS(AA649="N","No",  AA649 = "Y", "Yes", TRUE, PROPER(TRIM(AA649)))</f>
        <v>Yes</v>
      </c>
      <c r="AC649" s="3">
        <v>5</v>
      </c>
      <c r="AD649" s="3" t="s">
        <v>34</v>
      </c>
      <c r="AE649">
        <f t="shared" si="43"/>
        <v>0</v>
      </c>
    </row>
    <row r="650" spans="1:31" ht="14.25" customHeight="1" x14ac:dyDescent="0.35">
      <c r="A650" s="3" t="s">
        <v>1314</v>
      </c>
      <c r="B650" s="3" t="s">
        <v>107</v>
      </c>
      <c r="C650" s="3" t="s">
        <v>380</v>
      </c>
      <c r="D650" s="3">
        <v>50</v>
      </c>
      <c r="E650" s="3">
        <f t="shared" si="40"/>
        <v>50</v>
      </c>
      <c r="F650" s="3">
        <v>1974</v>
      </c>
      <c r="G650" s="3">
        <v>58500</v>
      </c>
      <c r="H650" s="12" cm="1">
        <f t="array" ref="H650">_xlfn.IFS(TRIM(G650)="SIXTY THOUSAND",60000,TRIM(G650)="NAN",AVERAGEIFS(G:G,J:J,J650,L:L,L650),TRUE,G650)</f>
        <v>58500</v>
      </c>
      <c r="I650" s="3" t="s">
        <v>27</v>
      </c>
      <c r="J650" s="3" t="s">
        <v>64</v>
      </c>
      <c r="K650" s="3" t="str">
        <f t="shared" si="41"/>
        <v>Finance</v>
      </c>
      <c r="L650" s="3" t="s">
        <v>89</v>
      </c>
      <c r="M650" s="4">
        <v>43881</v>
      </c>
      <c r="N650" s="4">
        <v>43881</v>
      </c>
      <c r="O650" s="3" t="s">
        <v>30</v>
      </c>
      <c r="P650" s="3">
        <v>62</v>
      </c>
      <c r="Q650" s="3" t="s">
        <v>1315</v>
      </c>
      <c r="S650" s="3" t="s">
        <v>112</v>
      </c>
      <c r="T650" s="3" t="str">
        <f t="shared" si="42"/>
        <v>Full-Time</v>
      </c>
      <c r="V650" s="3">
        <v>7</v>
      </c>
      <c r="X650" s="3">
        <v>11</v>
      </c>
      <c r="AA650" s="3" t="s">
        <v>169</v>
      </c>
      <c r="AB650" s="3" t="str" cm="1">
        <f t="array" ref="AB650">_xlfn.IFS(AA650="N","No",  AA650 = "Y", "Yes", TRUE, PROPER(TRIM(AA650)))</f>
        <v>Yes</v>
      </c>
      <c r="AC650" s="3">
        <v>3</v>
      </c>
      <c r="AD650" s="3" t="s">
        <v>34</v>
      </c>
      <c r="AE650">
        <f t="shared" si="43"/>
        <v>0</v>
      </c>
    </row>
    <row r="651" spans="1:31" ht="14.25" customHeight="1" x14ac:dyDescent="0.35">
      <c r="A651" s="3" t="s">
        <v>1316</v>
      </c>
      <c r="B651" s="3" t="s">
        <v>131</v>
      </c>
      <c r="C651" s="3" t="s">
        <v>395</v>
      </c>
      <c r="E651" s="3">
        <f t="shared" si="40"/>
        <v>58</v>
      </c>
      <c r="F651" s="3">
        <v>1966</v>
      </c>
      <c r="G651" s="3">
        <v>65000</v>
      </c>
      <c r="H651" s="12" cm="1">
        <f t="array" ref="H651">_xlfn.IFS(TRIM(G651)="SIXTY THOUSAND",60000,TRIM(G651)="NAN",AVERAGEIFS(G:G,J:J,J651,L:L,L651),TRUE,G651)</f>
        <v>65000</v>
      </c>
      <c r="I651" s="3" t="s">
        <v>38</v>
      </c>
      <c r="J651" s="3" t="s">
        <v>122</v>
      </c>
      <c r="K651" s="3" t="str">
        <f t="shared" si="41"/>
        <v>IT</v>
      </c>
      <c r="L651" s="3" t="s">
        <v>40</v>
      </c>
      <c r="M651" s="4">
        <v>43881</v>
      </c>
      <c r="N651" s="4">
        <v>43881</v>
      </c>
      <c r="O651" s="3" t="s">
        <v>59</v>
      </c>
      <c r="P651" s="3">
        <v>92</v>
      </c>
      <c r="Q651" s="3" t="s">
        <v>1317</v>
      </c>
      <c r="S651" s="3" t="s">
        <v>44</v>
      </c>
      <c r="T651" s="3" t="str">
        <f t="shared" si="42"/>
        <v>Full-Time</v>
      </c>
      <c r="V651" s="3">
        <v>6</v>
      </c>
      <c r="X651" s="3">
        <v>3</v>
      </c>
      <c r="Z651" s="3">
        <v>65</v>
      </c>
      <c r="AA651" s="3" t="s">
        <v>33</v>
      </c>
      <c r="AB651" s="3" t="str" cm="1">
        <f t="array" ref="AB651">_xlfn.IFS(AA651="N","No",  AA651 = "Y", "Yes", TRUE, PROPER(TRIM(AA651)))</f>
        <v>Yes</v>
      </c>
      <c r="AC651" s="3">
        <v>4</v>
      </c>
      <c r="AD651" s="3" t="s">
        <v>46</v>
      </c>
      <c r="AE651">
        <f t="shared" si="43"/>
        <v>1</v>
      </c>
    </row>
    <row r="652" spans="1:31" ht="14.25" customHeight="1" x14ac:dyDescent="0.35">
      <c r="A652" s="3" t="s">
        <v>1318</v>
      </c>
      <c r="B652" s="3" t="s">
        <v>131</v>
      </c>
      <c r="C652" s="3" t="s">
        <v>740</v>
      </c>
      <c r="E652" s="3">
        <f t="shared" si="40"/>
        <v>38</v>
      </c>
      <c r="F652" s="3">
        <v>1986</v>
      </c>
      <c r="G652" s="3">
        <v>50000</v>
      </c>
      <c r="H652" s="12" cm="1">
        <f t="array" ref="H652">_xlfn.IFS(TRIM(G652)="SIXTY THOUSAND",60000,TRIM(G652)="NAN",AVERAGEIFS(G:G,J:J,J652,L:L,L652),TRUE,G652)</f>
        <v>50000</v>
      </c>
      <c r="I652" s="3" t="s">
        <v>38</v>
      </c>
      <c r="J652" s="3" t="s">
        <v>82</v>
      </c>
      <c r="K652" s="3" t="str">
        <f t="shared" si="41"/>
        <v>HR</v>
      </c>
      <c r="L652" s="3" t="s">
        <v>89</v>
      </c>
      <c r="M652" s="4">
        <v>43195</v>
      </c>
      <c r="N652" s="4">
        <v>43195</v>
      </c>
      <c r="O652" s="3" t="s">
        <v>59</v>
      </c>
      <c r="P652" s="3">
        <v>93</v>
      </c>
      <c r="Q652" s="3" t="s">
        <v>741</v>
      </c>
      <c r="S652" s="3" t="s">
        <v>32</v>
      </c>
      <c r="T652" s="3" t="str">
        <f t="shared" si="42"/>
        <v>Contract</v>
      </c>
      <c r="V652" s="3">
        <v>2</v>
      </c>
      <c r="X652" s="3">
        <v>16</v>
      </c>
      <c r="AB652" s="3" t="str" cm="1">
        <f t="array" ref="AB652">_xlfn.IFS(AA652="N","No",  AA652 = "Y", "Yes", TRUE, PROPER(TRIM(AA652)))</f>
        <v/>
      </c>
      <c r="AC652" s="3">
        <v>2</v>
      </c>
      <c r="AD652" s="3" t="s">
        <v>34</v>
      </c>
      <c r="AE652">
        <f t="shared" si="43"/>
        <v>0</v>
      </c>
    </row>
    <row r="653" spans="1:31" ht="14.25" customHeight="1" x14ac:dyDescent="0.35">
      <c r="A653" s="3" t="s">
        <v>1319</v>
      </c>
      <c r="B653" s="3" t="s">
        <v>114</v>
      </c>
      <c r="C653" s="3" t="s">
        <v>413</v>
      </c>
      <c r="D653" s="3">
        <v>40</v>
      </c>
      <c r="E653" s="3">
        <f t="shared" si="40"/>
        <v>40</v>
      </c>
      <c r="F653" s="3">
        <v>1984</v>
      </c>
      <c r="G653" s="3">
        <v>70000</v>
      </c>
      <c r="H653" s="12" cm="1">
        <f t="array" ref="H653">_xlfn.IFS(TRIM(G653)="SIXTY THOUSAND",60000,TRIM(G653)="NAN",AVERAGEIFS(G:G,J:J,J653,L:L,L653),TRUE,G653)</f>
        <v>70000</v>
      </c>
      <c r="I653" s="3" t="s">
        <v>38</v>
      </c>
      <c r="J653" s="3" t="s">
        <v>51</v>
      </c>
      <c r="K653" s="3" t="str">
        <f t="shared" si="41"/>
        <v>Sales</v>
      </c>
      <c r="L653" s="3" t="s">
        <v>40</v>
      </c>
      <c r="M653" s="4">
        <v>43845</v>
      </c>
      <c r="N653" s="4">
        <v>43845</v>
      </c>
      <c r="O653" s="3" t="s">
        <v>78</v>
      </c>
      <c r="P653" s="3">
        <v>86</v>
      </c>
      <c r="Q653" s="3" t="s">
        <v>1320</v>
      </c>
      <c r="R653" s="3" t="s">
        <v>54</v>
      </c>
      <c r="S653" s="3" t="s">
        <v>66</v>
      </c>
      <c r="T653" s="3" t="str">
        <f t="shared" si="42"/>
        <v>Contract</v>
      </c>
      <c r="V653" s="3">
        <v>8</v>
      </c>
      <c r="Y653" s="4">
        <v>44990</v>
      </c>
      <c r="Z653" s="3">
        <v>77</v>
      </c>
      <c r="AA653" s="3" t="s">
        <v>46</v>
      </c>
      <c r="AB653" s="3" t="str" cm="1">
        <f t="array" ref="AB653">_xlfn.IFS(AA653="N","No",  AA653 = "Y", "Yes", TRUE, PROPER(TRIM(AA653)))</f>
        <v>Yes</v>
      </c>
      <c r="AC653" s="3">
        <v>5</v>
      </c>
      <c r="AD653" s="3" t="s">
        <v>34</v>
      </c>
      <c r="AE653">
        <f t="shared" si="43"/>
        <v>0</v>
      </c>
    </row>
    <row r="654" spans="1:31" ht="14.25" customHeight="1" x14ac:dyDescent="0.35">
      <c r="A654" s="3" t="s">
        <v>1321</v>
      </c>
      <c r="B654" s="3" t="s">
        <v>140</v>
      </c>
      <c r="C654" s="3" t="s">
        <v>295</v>
      </c>
      <c r="D654" s="3">
        <v>40</v>
      </c>
      <c r="E654" s="3">
        <f t="shared" si="40"/>
        <v>40</v>
      </c>
      <c r="F654" s="3">
        <v>1984</v>
      </c>
      <c r="G654" s="3">
        <v>55000</v>
      </c>
      <c r="H654" s="12" cm="1">
        <f t="array" ref="H654">_xlfn.IFS(TRIM(G654)="SIXTY THOUSAND",60000,TRIM(G654)="NAN",AVERAGEIFS(G:G,J:J,J654,L:L,L654),TRUE,G654)</f>
        <v>55000</v>
      </c>
      <c r="I654" s="3" t="s">
        <v>38</v>
      </c>
      <c r="J654" s="3" t="s">
        <v>64</v>
      </c>
      <c r="K654" s="3" t="str">
        <f t="shared" si="41"/>
        <v>Finance</v>
      </c>
      <c r="L654" s="3" t="s">
        <v>89</v>
      </c>
      <c r="M654" s="4">
        <v>43881</v>
      </c>
      <c r="N654" s="4">
        <v>43881</v>
      </c>
      <c r="O654" s="3" t="s">
        <v>52</v>
      </c>
      <c r="P654" s="3">
        <v>77</v>
      </c>
      <c r="Q654" s="3" t="s">
        <v>1322</v>
      </c>
      <c r="R654" s="3" t="s">
        <v>104</v>
      </c>
      <c r="S654" s="3" t="s">
        <v>100</v>
      </c>
      <c r="T654" s="3" t="str">
        <f t="shared" si="42"/>
        <v>Part-Time</v>
      </c>
      <c r="V654" s="3">
        <v>8</v>
      </c>
      <c r="Y654" s="4">
        <v>44470</v>
      </c>
      <c r="AA654" s="3" t="s">
        <v>46</v>
      </c>
      <c r="AB654" s="3" t="str" cm="1">
        <f t="array" ref="AB654">_xlfn.IFS(AA654="N","No",  AA654 = "Y", "Yes", TRUE, PROPER(TRIM(AA654)))</f>
        <v>Yes</v>
      </c>
      <c r="AC654" s="3">
        <v>2</v>
      </c>
      <c r="AD654" s="3" t="s">
        <v>34</v>
      </c>
      <c r="AE654">
        <f t="shared" si="43"/>
        <v>0</v>
      </c>
    </row>
    <row r="655" spans="1:31" ht="14.25" customHeight="1" x14ac:dyDescent="0.35">
      <c r="A655" s="3" t="s">
        <v>1323</v>
      </c>
      <c r="B655" s="3" t="s">
        <v>75</v>
      </c>
      <c r="C655" s="3" t="s">
        <v>76</v>
      </c>
      <c r="D655" s="3">
        <v>40</v>
      </c>
      <c r="E655" s="3">
        <f t="shared" si="40"/>
        <v>40</v>
      </c>
      <c r="F655" s="3">
        <v>1984</v>
      </c>
      <c r="G655" s="3">
        <v>55000</v>
      </c>
      <c r="H655" s="12" cm="1">
        <f t="array" ref="H655">_xlfn.IFS(TRIM(G655)="SIXTY THOUSAND",60000,TRIM(G655)="NAN",AVERAGEIFS(G:G,J:J,J655,L:L,L655),TRUE,G655)</f>
        <v>55000</v>
      </c>
      <c r="I655" s="3" t="s">
        <v>27</v>
      </c>
      <c r="J655" s="3" t="s">
        <v>64</v>
      </c>
      <c r="K655" s="3" t="str">
        <f t="shared" si="41"/>
        <v>Finance</v>
      </c>
      <c r="L655" s="3" t="s">
        <v>29</v>
      </c>
      <c r="M655" s="4">
        <v>43800</v>
      </c>
      <c r="N655" s="4">
        <v>43800</v>
      </c>
      <c r="O655" s="3" t="s">
        <v>59</v>
      </c>
      <c r="P655" s="3">
        <v>96</v>
      </c>
      <c r="Q655" s="3" t="s">
        <v>653</v>
      </c>
      <c r="R655" s="3" t="s">
        <v>104</v>
      </c>
      <c r="S655" s="3" t="s">
        <v>66</v>
      </c>
      <c r="T655" s="3" t="str">
        <f t="shared" si="42"/>
        <v>Contract</v>
      </c>
      <c r="V655" s="3">
        <v>8</v>
      </c>
      <c r="X655" s="3">
        <v>12</v>
      </c>
      <c r="Z655" s="3">
        <v>55</v>
      </c>
      <c r="AA655" s="3" t="s">
        <v>34</v>
      </c>
      <c r="AB655" s="3" t="str" cm="1">
        <f t="array" ref="AB655">_xlfn.IFS(AA655="N","No",  AA655 = "Y", "Yes", TRUE, PROPER(TRIM(AA655)))</f>
        <v>No</v>
      </c>
      <c r="AC655" s="3">
        <v>5</v>
      </c>
      <c r="AD655" s="3" t="s">
        <v>46</v>
      </c>
      <c r="AE655">
        <f t="shared" si="43"/>
        <v>1</v>
      </c>
    </row>
    <row r="656" spans="1:31" ht="14.25" customHeight="1" x14ac:dyDescent="0.35">
      <c r="A656" s="3" t="s">
        <v>1324</v>
      </c>
      <c r="B656" s="3" t="s">
        <v>131</v>
      </c>
      <c r="C656" s="3" t="s">
        <v>167</v>
      </c>
      <c r="D656" s="3">
        <v>35</v>
      </c>
      <c r="E656" s="3">
        <f t="shared" si="40"/>
        <v>35</v>
      </c>
      <c r="F656" s="3">
        <v>1989</v>
      </c>
      <c r="G656" s="3">
        <v>50000</v>
      </c>
      <c r="H656" s="12" cm="1">
        <f t="array" ref="H656">_xlfn.IFS(TRIM(G656)="SIXTY THOUSAND",60000,TRIM(G656)="NAN",AVERAGEIFS(G:G,J:J,J656,L:L,L656),TRUE,G656)</f>
        <v>50000</v>
      </c>
      <c r="I656" s="3" t="s">
        <v>38</v>
      </c>
      <c r="J656" s="3" t="s">
        <v>145</v>
      </c>
      <c r="K656" s="3" t="str">
        <f t="shared" si="41"/>
        <v>Sales</v>
      </c>
      <c r="L656" s="3" t="s">
        <v>29</v>
      </c>
      <c r="M656" s="4">
        <v>43549</v>
      </c>
      <c r="N656" s="4">
        <v>43549</v>
      </c>
      <c r="O656" s="3" t="s">
        <v>41</v>
      </c>
      <c r="P656" s="3">
        <v>11</v>
      </c>
      <c r="Q656" s="3" t="s">
        <v>1325</v>
      </c>
      <c r="R656" s="3" t="s">
        <v>43</v>
      </c>
      <c r="S656" s="3" t="s">
        <v>32</v>
      </c>
      <c r="T656" s="3" t="str">
        <f t="shared" si="42"/>
        <v>Contract</v>
      </c>
      <c r="U656" s="3" t="s">
        <v>1220</v>
      </c>
      <c r="V656" s="3">
        <v>4</v>
      </c>
      <c r="X656" s="3">
        <v>12</v>
      </c>
      <c r="Z656" s="3">
        <v>60</v>
      </c>
      <c r="AB656" s="3" t="str" cm="1">
        <f t="array" ref="AB656">_xlfn.IFS(AA656="N","No",  AA656 = "Y", "Yes", TRUE, PROPER(TRIM(AA656)))</f>
        <v/>
      </c>
      <c r="AC656" s="3">
        <v>3</v>
      </c>
      <c r="AD656" s="3" t="s">
        <v>46</v>
      </c>
      <c r="AE656">
        <f t="shared" si="43"/>
        <v>1</v>
      </c>
    </row>
    <row r="657" spans="1:31" ht="14.25" customHeight="1" x14ac:dyDescent="0.35">
      <c r="A657" s="3" t="s">
        <v>1326</v>
      </c>
      <c r="B657" s="3" t="s">
        <v>56</v>
      </c>
      <c r="C657" s="3" t="s">
        <v>1043</v>
      </c>
      <c r="E657" s="3">
        <f t="shared" si="40"/>
        <v>48</v>
      </c>
      <c r="F657" s="3">
        <v>1976</v>
      </c>
      <c r="G657" s="3">
        <v>65000</v>
      </c>
      <c r="H657" s="12" cm="1">
        <f t="array" ref="H657">_xlfn.IFS(TRIM(G657)="SIXTY THOUSAND",60000,TRIM(G657)="NAN",AVERAGEIFS(G:G,J:J,J657,L:L,L657),TRUE,G657)</f>
        <v>65000</v>
      </c>
      <c r="I657" s="3" t="s">
        <v>38</v>
      </c>
      <c r="J657" s="3" t="s">
        <v>28</v>
      </c>
      <c r="K657" s="3" t="str">
        <f t="shared" si="41"/>
        <v>HR</v>
      </c>
      <c r="L657" s="3" t="s">
        <v>40</v>
      </c>
      <c r="M657" s="4">
        <v>43881</v>
      </c>
      <c r="N657" s="4">
        <v>43881</v>
      </c>
      <c r="O657" s="3" t="s">
        <v>52</v>
      </c>
      <c r="P657" s="3">
        <v>73</v>
      </c>
      <c r="Q657" s="3" t="s">
        <v>1044</v>
      </c>
      <c r="R657" s="3" t="s">
        <v>54</v>
      </c>
      <c r="S657" s="3" t="s">
        <v>174</v>
      </c>
      <c r="T657" s="3" t="str">
        <f t="shared" si="42"/>
        <v>Full-Time</v>
      </c>
      <c r="V657" s="3">
        <v>3</v>
      </c>
      <c r="Z657" s="3">
        <v>6</v>
      </c>
      <c r="AA657" s="3" t="s">
        <v>46</v>
      </c>
      <c r="AB657" s="3" t="str" cm="1">
        <f t="array" ref="AB657">_xlfn.IFS(AA657="N","No",  AA657 = "Y", "Yes", TRUE, PROPER(TRIM(AA657)))</f>
        <v>Yes</v>
      </c>
      <c r="AC657" s="3">
        <v>4</v>
      </c>
      <c r="AD657" s="3" t="s">
        <v>34</v>
      </c>
      <c r="AE657">
        <f t="shared" si="43"/>
        <v>0</v>
      </c>
    </row>
    <row r="658" spans="1:31" ht="14.25" customHeight="1" x14ac:dyDescent="0.35">
      <c r="A658" s="3" t="s">
        <v>1327</v>
      </c>
      <c r="B658" s="3" t="s">
        <v>25</v>
      </c>
      <c r="C658" s="3" t="s">
        <v>289</v>
      </c>
      <c r="D658" s="3">
        <v>50</v>
      </c>
      <c r="E658" s="3">
        <f t="shared" si="40"/>
        <v>50</v>
      </c>
      <c r="F658" s="3">
        <v>1974</v>
      </c>
      <c r="G658" s="3">
        <v>70000</v>
      </c>
      <c r="H658" s="12" cm="1">
        <f t="array" ref="H658">_xlfn.IFS(TRIM(G658)="SIXTY THOUSAND",60000,TRIM(G658)="NAN",AVERAGEIFS(G:G,J:J,J658,L:L,L658),TRUE,G658)</f>
        <v>70000</v>
      </c>
      <c r="I658" s="3" t="s">
        <v>38</v>
      </c>
      <c r="J658" s="3" t="s">
        <v>58</v>
      </c>
      <c r="K658" s="3" t="str">
        <f t="shared" si="41"/>
        <v>IT</v>
      </c>
      <c r="L658" s="3" t="s">
        <v>89</v>
      </c>
      <c r="M658" s="4">
        <v>43845</v>
      </c>
      <c r="N658" s="4">
        <v>43845</v>
      </c>
      <c r="O658" s="3" t="s">
        <v>52</v>
      </c>
      <c r="P658" s="3">
        <v>78</v>
      </c>
      <c r="Q658" s="3" t="s">
        <v>290</v>
      </c>
      <c r="S658" s="3" t="s">
        <v>44</v>
      </c>
      <c r="T658" s="3" t="str">
        <f t="shared" si="42"/>
        <v>Full-Time</v>
      </c>
      <c r="V658" s="3">
        <v>7</v>
      </c>
      <c r="W658" s="3" t="s">
        <v>79</v>
      </c>
      <c r="X658" s="3">
        <v>18</v>
      </c>
      <c r="Y658" s="4">
        <v>44941</v>
      </c>
      <c r="AB658" s="3" t="str" cm="1">
        <f t="array" ref="AB658">_xlfn.IFS(AA658="N","No",  AA658 = "Y", "Yes", TRUE, PROPER(TRIM(AA658)))</f>
        <v/>
      </c>
      <c r="AC658" s="3">
        <v>3</v>
      </c>
      <c r="AD658" s="3" t="s">
        <v>46</v>
      </c>
      <c r="AE658">
        <f t="shared" si="43"/>
        <v>1</v>
      </c>
    </row>
    <row r="659" spans="1:31" ht="14.25" customHeight="1" x14ac:dyDescent="0.35">
      <c r="A659" s="3" t="s">
        <v>1328</v>
      </c>
      <c r="B659" s="3" t="s">
        <v>107</v>
      </c>
      <c r="C659" s="3" t="s">
        <v>543</v>
      </c>
      <c r="D659" s="3">
        <v>35</v>
      </c>
      <c r="E659" s="3">
        <f t="shared" si="40"/>
        <v>35</v>
      </c>
      <c r="F659" s="3">
        <v>1989</v>
      </c>
      <c r="G659" s="3" t="s">
        <v>50</v>
      </c>
      <c r="H659" s="12" cm="1">
        <f t="array" ref="H659">_xlfn.IFS(TRIM(G659)="SIXTY THOUSAND",60000,TRIM(G659)="NAN",AVERAGEIFS(G:G,J:J,J659,L:L,L659),TRUE,G659)</f>
        <v>60000</v>
      </c>
      <c r="I659" s="3" t="s">
        <v>27</v>
      </c>
      <c r="J659" s="3" t="s">
        <v>64</v>
      </c>
      <c r="K659" s="3" t="str">
        <f t="shared" si="41"/>
        <v>Finance</v>
      </c>
      <c r="L659" s="3" t="s">
        <v>89</v>
      </c>
      <c r="M659" s="4">
        <v>43881</v>
      </c>
      <c r="N659" s="4">
        <v>43881</v>
      </c>
      <c r="O659" s="3" t="s">
        <v>41</v>
      </c>
      <c r="P659" s="3">
        <v>7</v>
      </c>
      <c r="Q659" s="3" t="s">
        <v>544</v>
      </c>
      <c r="R659" s="3" t="s">
        <v>43</v>
      </c>
      <c r="S659" s="3" t="s">
        <v>32</v>
      </c>
      <c r="T659" s="3" t="str">
        <f t="shared" si="42"/>
        <v>Contract</v>
      </c>
      <c r="U659" s="3" t="s">
        <v>228</v>
      </c>
      <c r="V659" s="3">
        <v>1</v>
      </c>
      <c r="AA659" s="3" t="s">
        <v>34</v>
      </c>
      <c r="AB659" s="3" t="str" cm="1">
        <f t="array" ref="AB659">_xlfn.IFS(AA659="N","No",  AA659 = "Y", "Yes", TRUE, PROPER(TRIM(AA659)))</f>
        <v>No</v>
      </c>
      <c r="AC659" s="3">
        <v>5</v>
      </c>
      <c r="AD659" s="3" t="s">
        <v>34</v>
      </c>
      <c r="AE659">
        <f t="shared" si="43"/>
        <v>0</v>
      </c>
    </row>
    <row r="660" spans="1:31" ht="14.25" customHeight="1" x14ac:dyDescent="0.35">
      <c r="A660" s="3" t="s">
        <v>1329</v>
      </c>
      <c r="B660" s="3" t="s">
        <v>131</v>
      </c>
      <c r="C660" s="3" t="s">
        <v>496</v>
      </c>
      <c r="D660" s="3">
        <v>25</v>
      </c>
      <c r="E660" s="3">
        <f t="shared" si="40"/>
        <v>25</v>
      </c>
      <c r="F660" s="3">
        <v>1999</v>
      </c>
      <c r="G660" s="3">
        <v>50000</v>
      </c>
      <c r="H660" s="12" cm="1">
        <f t="array" ref="H660">_xlfn.IFS(TRIM(G660)="SIXTY THOUSAND",60000,TRIM(G660)="NAN",AVERAGEIFS(G:G,J:J,J660,L:L,L660),TRUE,G660)</f>
        <v>50000</v>
      </c>
      <c r="I660" s="3" t="s">
        <v>38</v>
      </c>
      <c r="J660" s="3" t="s">
        <v>58</v>
      </c>
      <c r="K660" s="3" t="str">
        <f t="shared" si="41"/>
        <v>IT</v>
      </c>
      <c r="L660" s="3" t="s">
        <v>94</v>
      </c>
      <c r="M660" s="4">
        <v>43549</v>
      </c>
      <c r="N660" s="4">
        <v>43549</v>
      </c>
      <c r="O660" s="3" t="s">
        <v>30</v>
      </c>
      <c r="P660" s="3">
        <v>69</v>
      </c>
      <c r="Q660" s="3" t="s">
        <v>1330</v>
      </c>
      <c r="R660" s="3" t="s">
        <v>54</v>
      </c>
      <c r="S660" s="3" t="s">
        <v>66</v>
      </c>
      <c r="T660" s="3" t="str">
        <f t="shared" si="42"/>
        <v>Contract</v>
      </c>
      <c r="V660" s="3">
        <v>4</v>
      </c>
      <c r="AB660" s="3" t="str" cm="1">
        <f t="array" ref="AB660">_xlfn.IFS(AA660="N","No",  AA660 = "Y", "Yes", TRUE, PROPER(TRIM(AA660)))</f>
        <v/>
      </c>
      <c r="AC660" s="3">
        <v>5</v>
      </c>
      <c r="AD660" s="3" t="s">
        <v>34</v>
      </c>
      <c r="AE660">
        <f t="shared" si="43"/>
        <v>0</v>
      </c>
    </row>
    <row r="661" spans="1:31" ht="14.25" customHeight="1" x14ac:dyDescent="0.35">
      <c r="A661" s="3" t="s">
        <v>1331</v>
      </c>
      <c r="B661" s="3" t="s">
        <v>56</v>
      </c>
      <c r="C661" s="3" t="s">
        <v>1332</v>
      </c>
      <c r="D661" s="3">
        <v>40</v>
      </c>
      <c r="E661" s="3">
        <f t="shared" si="40"/>
        <v>40</v>
      </c>
      <c r="F661" s="3">
        <v>1984</v>
      </c>
      <c r="G661" s="3">
        <v>65000</v>
      </c>
      <c r="H661" s="12" cm="1">
        <f t="array" ref="H661">_xlfn.IFS(TRIM(G661)="SIXTY THOUSAND",60000,TRIM(G661)="NAN",AVERAGEIFS(G:G,J:J,J661,L:L,L661),TRUE,G661)</f>
        <v>65000</v>
      </c>
      <c r="I661" s="3" t="s">
        <v>27</v>
      </c>
      <c r="J661" s="3" t="s">
        <v>93</v>
      </c>
      <c r="K661" s="3" t="str">
        <f t="shared" si="41"/>
        <v>Marketing</v>
      </c>
      <c r="L661" s="3" t="s">
        <v>77</v>
      </c>
      <c r="M661" s="4">
        <v>43845</v>
      </c>
      <c r="N661" s="4">
        <v>43845</v>
      </c>
      <c r="O661" s="3" t="s">
        <v>41</v>
      </c>
      <c r="P661" s="3">
        <v>5</v>
      </c>
      <c r="Q661" s="3" t="s">
        <v>1333</v>
      </c>
      <c r="R661" s="3" t="s">
        <v>61</v>
      </c>
      <c r="S661" s="3" t="s">
        <v>100</v>
      </c>
      <c r="T661" s="3" t="str">
        <f t="shared" si="42"/>
        <v>Part-Time</v>
      </c>
      <c r="V661" s="3">
        <v>1</v>
      </c>
      <c r="W661" s="3" t="s">
        <v>79</v>
      </c>
      <c r="AA661" s="3" t="s">
        <v>46</v>
      </c>
      <c r="AB661" s="3" t="str" cm="1">
        <f t="array" ref="AB661">_xlfn.IFS(AA661="N","No",  AA661 = "Y", "Yes", TRUE, PROPER(TRIM(AA661)))</f>
        <v>Yes</v>
      </c>
      <c r="AC661" s="3">
        <v>2</v>
      </c>
      <c r="AD661" s="3" t="s">
        <v>34</v>
      </c>
      <c r="AE661">
        <f t="shared" si="43"/>
        <v>0</v>
      </c>
    </row>
    <row r="662" spans="1:31" ht="14.25" customHeight="1" x14ac:dyDescent="0.35">
      <c r="A662" s="3" t="s">
        <v>1334</v>
      </c>
      <c r="B662" s="3" t="s">
        <v>56</v>
      </c>
      <c r="C662" s="3" t="s">
        <v>732</v>
      </c>
      <c r="D662" s="3">
        <v>35</v>
      </c>
      <c r="E662" s="3">
        <f t="shared" si="40"/>
        <v>35</v>
      </c>
      <c r="F662" s="3">
        <v>1989</v>
      </c>
      <c r="G662" s="3" t="s">
        <v>50</v>
      </c>
      <c r="H662" s="12" cm="1">
        <f t="array" ref="H662">_xlfn.IFS(TRIM(G662)="SIXTY THOUSAND",60000,TRIM(G662)="NAN",AVERAGEIFS(G:G,J:J,J662,L:L,L662),TRUE,G662)</f>
        <v>60000</v>
      </c>
      <c r="I662" s="3" t="s">
        <v>27</v>
      </c>
      <c r="J662" s="3" t="s">
        <v>28</v>
      </c>
      <c r="K662" s="3" t="str">
        <f t="shared" si="41"/>
        <v>HR</v>
      </c>
      <c r="L662" s="3" t="s">
        <v>40</v>
      </c>
      <c r="M662" s="4">
        <v>43195</v>
      </c>
      <c r="N662" s="4">
        <v>43195</v>
      </c>
      <c r="O662" s="3" t="s">
        <v>41</v>
      </c>
      <c r="P662" s="3">
        <v>15</v>
      </c>
      <c r="Q662" s="3" t="s">
        <v>1335</v>
      </c>
      <c r="R662" s="3" t="s">
        <v>54</v>
      </c>
      <c r="S662" s="3" t="s">
        <v>66</v>
      </c>
      <c r="T662" s="3" t="str">
        <f t="shared" si="42"/>
        <v>Contract</v>
      </c>
      <c r="V662" s="3">
        <v>3</v>
      </c>
      <c r="W662" s="3">
        <v>10</v>
      </c>
      <c r="Y662" s="4">
        <v>44941</v>
      </c>
      <c r="AA662" s="3" t="s">
        <v>46</v>
      </c>
      <c r="AB662" s="3" t="str" cm="1">
        <f t="array" ref="AB662">_xlfn.IFS(AA662="N","No",  AA662 = "Y", "Yes", TRUE, PROPER(TRIM(AA662)))</f>
        <v>Yes</v>
      </c>
      <c r="AC662" s="3">
        <v>1</v>
      </c>
      <c r="AD662" s="3" t="s">
        <v>46</v>
      </c>
      <c r="AE662">
        <f t="shared" si="43"/>
        <v>1</v>
      </c>
    </row>
    <row r="663" spans="1:31" ht="14.25" customHeight="1" x14ac:dyDescent="0.35">
      <c r="A663" s="3" t="s">
        <v>1336</v>
      </c>
      <c r="B663" s="3" t="s">
        <v>107</v>
      </c>
      <c r="C663" s="3" t="s">
        <v>203</v>
      </c>
      <c r="D663" s="3">
        <v>35</v>
      </c>
      <c r="E663" s="3">
        <f t="shared" si="40"/>
        <v>35</v>
      </c>
      <c r="F663" s="3">
        <v>1989</v>
      </c>
      <c r="G663" s="3">
        <v>55000</v>
      </c>
      <c r="H663" s="12" cm="1">
        <f t="array" ref="H663">_xlfn.IFS(TRIM(G663)="SIXTY THOUSAND",60000,TRIM(G663)="NAN",AVERAGEIFS(G:G,J:J,J663,L:L,L663),TRUE,G663)</f>
        <v>55000</v>
      </c>
      <c r="I663" s="3" t="s">
        <v>38</v>
      </c>
      <c r="J663" s="3" t="s">
        <v>70</v>
      </c>
      <c r="K663" s="3" t="str">
        <f t="shared" si="41"/>
        <v>Marketing</v>
      </c>
      <c r="L663" s="3" t="s">
        <v>77</v>
      </c>
      <c r="M663" s="4">
        <v>43845</v>
      </c>
      <c r="N663" s="4">
        <v>43845</v>
      </c>
      <c r="O663" s="3" t="s">
        <v>30</v>
      </c>
      <c r="P663" s="3">
        <v>65</v>
      </c>
      <c r="Q663" s="3" t="s">
        <v>1337</v>
      </c>
      <c r="R663" s="3" t="s">
        <v>43</v>
      </c>
      <c r="S663" s="3" t="s">
        <v>32</v>
      </c>
      <c r="T663" s="3" t="str">
        <f t="shared" si="42"/>
        <v>Contract</v>
      </c>
      <c r="V663" s="3">
        <v>3</v>
      </c>
      <c r="X663" s="3">
        <v>8</v>
      </c>
      <c r="AA663" s="3" t="s">
        <v>46</v>
      </c>
      <c r="AB663" s="3" t="str" cm="1">
        <f t="array" ref="AB663">_xlfn.IFS(AA663="N","No",  AA663 = "Y", "Yes", TRUE, PROPER(TRIM(AA663)))</f>
        <v>Yes</v>
      </c>
      <c r="AC663" s="3">
        <v>4</v>
      </c>
      <c r="AD663" s="3" t="s">
        <v>46</v>
      </c>
      <c r="AE663">
        <f t="shared" si="43"/>
        <v>1</v>
      </c>
    </row>
    <row r="664" spans="1:31" ht="14.25" customHeight="1" x14ac:dyDescent="0.35">
      <c r="A664" s="3" t="s">
        <v>1338</v>
      </c>
      <c r="B664" s="3" t="s">
        <v>75</v>
      </c>
      <c r="C664" s="3" t="s">
        <v>76</v>
      </c>
      <c r="D664" s="3">
        <v>25</v>
      </c>
      <c r="E664" s="3">
        <f t="shared" si="40"/>
        <v>25</v>
      </c>
      <c r="F664" s="3">
        <v>1999</v>
      </c>
      <c r="G664" s="3">
        <v>55000</v>
      </c>
      <c r="H664" s="12" cm="1">
        <f t="array" ref="H664">_xlfn.IFS(TRIM(G664)="SIXTY THOUSAND",60000,TRIM(G664)="NAN",AVERAGEIFS(G:G,J:J,J664,L:L,L664),TRUE,G664)</f>
        <v>55000</v>
      </c>
      <c r="I664" s="3" t="s">
        <v>27</v>
      </c>
      <c r="J664" s="3" t="s">
        <v>70</v>
      </c>
      <c r="K664" s="3" t="str">
        <f t="shared" si="41"/>
        <v>Marketing</v>
      </c>
      <c r="L664" s="3" t="s">
        <v>77</v>
      </c>
      <c r="M664" s="4">
        <v>43195</v>
      </c>
      <c r="N664" s="4">
        <v>43195</v>
      </c>
      <c r="O664" s="3" t="s">
        <v>30</v>
      </c>
      <c r="P664" s="3">
        <v>66</v>
      </c>
      <c r="Q664" s="3" t="s">
        <v>653</v>
      </c>
      <c r="R664" s="3" t="s">
        <v>104</v>
      </c>
      <c r="S664" s="3" t="s">
        <v>112</v>
      </c>
      <c r="T664" s="3" t="str">
        <f t="shared" si="42"/>
        <v>Full-Time</v>
      </c>
      <c r="V664" s="3">
        <v>3</v>
      </c>
      <c r="Y664" s="4">
        <v>45516</v>
      </c>
      <c r="AA664" s="3" t="s">
        <v>46</v>
      </c>
      <c r="AB664" s="3" t="str" cm="1">
        <f t="array" ref="AB664">_xlfn.IFS(AA664="N","No",  AA664 = "Y", "Yes", TRUE, PROPER(TRIM(AA664)))</f>
        <v>Yes</v>
      </c>
      <c r="AC664" s="3">
        <v>3</v>
      </c>
      <c r="AD664" s="3" t="s">
        <v>34</v>
      </c>
      <c r="AE664">
        <f t="shared" si="43"/>
        <v>0</v>
      </c>
    </row>
    <row r="665" spans="1:31" ht="14.25" customHeight="1" x14ac:dyDescent="0.35">
      <c r="A665" s="3" t="s">
        <v>1339</v>
      </c>
      <c r="B665" s="3" t="s">
        <v>56</v>
      </c>
      <c r="C665" s="3" t="s">
        <v>57</v>
      </c>
      <c r="D665" s="3" t="s">
        <v>88</v>
      </c>
      <c r="E665" s="3">
        <f t="shared" si="40"/>
        <v>30</v>
      </c>
      <c r="F665" s="3">
        <v>1994</v>
      </c>
      <c r="G665" s="3" t="s">
        <v>50</v>
      </c>
      <c r="H665" s="12" cm="1">
        <f t="array" ref="H665">_xlfn.IFS(TRIM(G665)="SIXTY THOUSAND",60000,TRIM(G665)="NAN",AVERAGEIFS(G:G,J:J,J665,L:L,L665),TRUE,G665)</f>
        <v>60000</v>
      </c>
      <c r="I665" s="3" t="s">
        <v>27</v>
      </c>
      <c r="J665" s="3" t="s">
        <v>93</v>
      </c>
      <c r="K665" s="3" t="str">
        <f t="shared" si="41"/>
        <v>Marketing</v>
      </c>
      <c r="L665" s="3" t="s">
        <v>40</v>
      </c>
      <c r="M665" s="4">
        <v>43845</v>
      </c>
      <c r="N665" s="4">
        <v>43845</v>
      </c>
      <c r="O665" s="3" t="s">
        <v>30</v>
      </c>
      <c r="P665" s="3">
        <v>66</v>
      </c>
      <c r="Q665" s="3" t="s">
        <v>60</v>
      </c>
      <c r="S665" s="3" t="s">
        <v>66</v>
      </c>
      <c r="T665" s="3" t="str">
        <f t="shared" si="42"/>
        <v>Contract</v>
      </c>
      <c r="U665" s="3" t="s">
        <v>91</v>
      </c>
      <c r="V665" s="3">
        <v>1</v>
      </c>
      <c r="Z665" s="3">
        <v>62</v>
      </c>
      <c r="AA665" s="3" t="s">
        <v>33</v>
      </c>
      <c r="AB665" s="3" t="str" cm="1">
        <f t="array" ref="AB665">_xlfn.IFS(AA665="N","No",  AA665 = "Y", "Yes", TRUE, PROPER(TRIM(AA665)))</f>
        <v>Yes</v>
      </c>
      <c r="AC665" s="3">
        <v>4</v>
      </c>
      <c r="AD665" s="3" t="s">
        <v>46</v>
      </c>
      <c r="AE665">
        <f t="shared" si="43"/>
        <v>1</v>
      </c>
    </row>
    <row r="666" spans="1:31" ht="14.25" customHeight="1" x14ac:dyDescent="0.35">
      <c r="A666" s="3" t="s">
        <v>1340</v>
      </c>
      <c r="B666" s="3" t="s">
        <v>25</v>
      </c>
      <c r="C666" s="3" t="s">
        <v>338</v>
      </c>
      <c r="E666" s="3">
        <f t="shared" si="40"/>
        <v>28</v>
      </c>
      <c r="F666" s="3">
        <v>1996</v>
      </c>
      <c r="G666" s="3">
        <v>50000</v>
      </c>
      <c r="H666" s="12" cm="1">
        <f t="array" ref="H666">_xlfn.IFS(TRIM(G666)="SIXTY THOUSAND",60000,TRIM(G666)="NAN",AVERAGEIFS(G:G,J:J,J666,L:L,L666),TRUE,G666)</f>
        <v>50000</v>
      </c>
      <c r="I666" s="3" t="s">
        <v>38</v>
      </c>
      <c r="J666" s="3" t="s">
        <v>28</v>
      </c>
      <c r="K666" s="3" t="str">
        <f t="shared" si="41"/>
        <v>HR</v>
      </c>
      <c r="L666" s="3" t="s">
        <v>89</v>
      </c>
      <c r="M666" s="4">
        <v>43549</v>
      </c>
      <c r="N666" s="4">
        <v>43549</v>
      </c>
      <c r="O666" s="3" t="s">
        <v>30</v>
      </c>
      <c r="P666" s="3">
        <v>68</v>
      </c>
      <c r="Q666" s="3" t="s">
        <v>1341</v>
      </c>
      <c r="R666" s="3" t="s">
        <v>61</v>
      </c>
      <c r="S666" s="3" t="s">
        <v>112</v>
      </c>
      <c r="T666" s="3" t="str">
        <f t="shared" si="42"/>
        <v>Full-Time</v>
      </c>
      <c r="V666" s="3">
        <v>3</v>
      </c>
      <c r="W666" s="3" t="s">
        <v>79</v>
      </c>
      <c r="Y666" s="4">
        <v>45516</v>
      </c>
      <c r="AA666" s="3" t="s">
        <v>73</v>
      </c>
      <c r="AB666" s="3" t="str" cm="1">
        <f t="array" ref="AB666">_xlfn.IFS(AA666="N","No",  AA666 = "Y", "Yes", TRUE, PROPER(TRIM(AA666)))</f>
        <v>No</v>
      </c>
      <c r="AC666" s="3">
        <v>1</v>
      </c>
      <c r="AD666" s="3" t="s">
        <v>34</v>
      </c>
      <c r="AE666">
        <f t="shared" si="43"/>
        <v>0</v>
      </c>
    </row>
    <row r="667" spans="1:31" ht="14.25" customHeight="1" x14ac:dyDescent="0.35">
      <c r="A667" s="3" t="s">
        <v>1342</v>
      </c>
      <c r="B667" s="3" t="s">
        <v>56</v>
      </c>
      <c r="C667" s="3" t="s">
        <v>108</v>
      </c>
      <c r="D667" s="3">
        <v>50</v>
      </c>
      <c r="E667" s="3">
        <f t="shared" si="40"/>
        <v>50</v>
      </c>
      <c r="F667" s="3">
        <v>1974</v>
      </c>
      <c r="G667" s="3">
        <v>55000</v>
      </c>
      <c r="H667" s="12" cm="1">
        <f t="array" ref="H667">_xlfn.IFS(TRIM(G667)="SIXTY THOUSAND",60000,TRIM(G667)="NAN",AVERAGEIFS(G:G,J:J,J667,L:L,L667),TRUE,G667)</f>
        <v>55000</v>
      </c>
      <c r="I667" s="3" t="s">
        <v>38</v>
      </c>
      <c r="J667" s="3" t="s">
        <v>28</v>
      </c>
      <c r="K667" s="3" t="str">
        <f t="shared" si="41"/>
        <v>HR</v>
      </c>
      <c r="L667" s="3" t="s">
        <v>40</v>
      </c>
      <c r="M667" s="4">
        <v>43549</v>
      </c>
      <c r="N667" s="4">
        <v>43549</v>
      </c>
      <c r="O667" s="3" t="s">
        <v>30</v>
      </c>
      <c r="P667" s="3">
        <v>62</v>
      </c>
      <c r="Q667" s="3" t="s">
        <v>1343</v>
      </c>
      <c r="R667" s="3" t="s">
        <v>54</v>
      </c>
      <c r="S667" s="3" t="s">
        <v>32</v>
      </c>
      <c r="T667" s="3" t="str">
        <f t="shared" si="42"/>
        <v>Contract</v>
      </c>
      <c r="V667" s="3">
        <v>1</v>
      </c>
      <c r="W667" s="3" t="s">
        <v>79</v>
      </c>
      <c r="Y667" s="4">
        <v>44941</v>
      </c>
      <c r="AA667" s="3" t="s">
        <v>34</v>
      </c>
      <c r="AB667" s="3" t="str" cm="1">
        <f t="array" ref="AB667">_xlfn.IFS(AA667="N","No",  AA667 = "Y", "Yes", TRUE, PROPER(TRIM(AA667)))</f>
        <v>No</v>
      </c>
      <c r="AC667" s="3">
        <v>4</v>
      </c>
      <c r="AD667" s="3" t="s">
        <v>34</v>
      </c>
      <c r="AE667">
        <f t="shared" si="43"/>
        <v>0</v>
      </c>
    </row>
    <row r="668" spans="1:31" ht="14.25" customHeight="1" x14ac:dyDescent="0.35">
      <c r="A668" s="3" t="s">
        <v>1344</v>
      </c>
      <c r="B668" s="3" t="s">
        <v>56</v>
      </c>
      <c r="C668" s="3" t="s">
        <v>57</v>
      </c>
      <c r="D668" s="3" t="s">
        <v>88</v>
      </c>
      <c r="E668" s="3">
        <f t="shared" si="40"/>
        <v>30</v>
      </c>
      <c r="F668" s="3">
        <v>1994</v>
      </c>
      <c r="G668" s="3">
        <v>70000</v>
      </c>
      <c r="H668" s="12" cm="1">
        <f t="array" ref="H668">_xlfn.IFS(TRIM(G668)="SIXTY THOUSAND",60000,TRIM(G668)="NAN",AVERAGEIFS(G:G,J:J,J668,L:L,L668),TRUE,G668)</f>
        <v>70000</v>
      </c>
      <c r="I668" s="3" t="s">
        <v>38</v>
      </c>
      <c r="J668" s="3" t="s">
        <v>145</v>
      </c>
      <c r="K668" s="3" t="str">
        <f t="shared" si="41"/>
        <v>Sales</v>
      </c>
      <c r="L668" s="3" t="s">
        <v>77</v>
      </c>
      <c r="M668" s="4">
        <v>43845</v>
      </c>
      <c r="N668" s="4">
        <v>43845</v>
      </c>
      <c r="O668" s="3" t="s">
        <v>41</v>
      </c>
      <c r="P668" s="3">
        <v>0</v>
      </c>
      <c r="Q668" s="3" t="s">
        <v>60</v>
      </c>
      <c r="R668" s="3" t="s">
        <v>43</v>
      </c>
      <c r="S668" s="3" t="s">
        <v>66</v>
      </c>
      <c r="T668" s="3" t="str">
        <f t="shared" si="42"/>
        <v>Contract</v>
      </c>
      <c r="V668" s="3">
        <v>3</v>
      </c>
      <c r="W668" s="3">
        <v>10</v>
      </c>
      <c r="Z668" s="3">
        <v>67</v>
      </c>
      <c r="AA668" s="3" t="s">
        <v>46</v>
      </c>
      <c r="AB668" s="3" t="str" cm="1">
        <f t="array" ref="AB668">_xlfn.IFS(AA668="N","No",  AA668 = "Y", "Yes", TRUE, PROPER(TRIM(AA668)))</f>
        <v>Yes</v>
      </c>
      <c r="AC668" s="3">
        <v>5</v>
      </c>
      <c r="AD668" s="3" t="s">
        <v>34</v>
      </c>
      <c r="AE668">
        <f t="shared" si="43"/>
        <v>0</v>
      </c>
    </row>
    <row r="669" spans="1:31" ht="14.25" customHeight="1" x14ac:dyDescent="0.35">
      <c r="A669" s="3" t="s">
        <v>1345</v>
      </c>
      <c r="B669" s="3" t="s">
        <v>56</v>
      </c>
      <c r="C669" s="3" t="s">
        <v>1043</v>
      </c>
      <c r="D669" s="3">
        <v>40</v>
      </c>
      <c r="E669" s="3">
        <f t="shared" si="40"/>
        <v>40</v>
      </c>
      <c r="F669" s="3">
        <v>1984</v>
      </c>
      <c r="G669" s="3">
        <v>59800</v>
      </c>
      <c r="H669" s="12" cm="1">
        <f t="array" ref="H669">_xlfn.IFS(TRIM(G669)="SIXTY THOUSAND",60000,TRIM(G669)="NAN",AVERAGEIFS(G:G,J:J,J669,L:L,L669),TRUE,G669)</f>
        <v>59800</v>
      </c>
      <c r="I669" s="3" t="s">
        <v>38</v>
      </c>
      <c r="J669" s="3" t="s">
        <v>58</v>
      </c>
      <c r="K669" s="3" t="str">
        <f t="shared" si="41"/>
        <v>IT</v>
      </c>
      <c r="L669" s="3" t="s">
        <v>89</v>
      </c>
      <c r="M669" s="4">
        <v>43881</v>
      </c>
      <c r="N669" s="4">
        <v>43881</v>
      </c>
      <c r="O669" s="3" t="s">
        <v>78</v>
      </c>
      <c r="P669" s="3">
        <v>82</v>
      </c>
      <c r="Q669" s="3" t="s">
        <v>1044</v>
      </c>
      <c r="R669" s="3" t="s">
        <v>43</v>
      </c>
      <c r="S669" s="3" t="s">
        <v>100</v>
      </c>
      <c r="T669" s="3" t="str">
        <f t="shared" si="42"/>
        <v>Part-Time</v>
      </c>
      <c r="U669" s="3" t="s">
        <v>1346</v>
      </c>
      <c r="V669" s="3">
        <v>5</v>
      </c>
      <c r="Z669" s="3">
        <v>52</v>
      </c>
      <c r="AA669" s="3" t="s">
        <v>46</v>
      </c>
      <c r="AB669" s="3" t="str" cm="1">
        <f t="array" ref="AB669">_xlfn.IFS(AA669="N","No",  AA669 = "Y", "Yes", TRUE, PROPER(TRIM(AA669)))</f>
        <v>Yes</v>
      </c>
      <c r="AC669" s="3">
        <v>2</v>
      </c>
      <c r="AD669" s="3" t="s">
        <v>46</v>
      </c>
      <c r="AE669">
        <f t="shared" si="43"/>
        <v>1</v>
      </c>
    </row>
    <row r="670" spans="1:31" ht="14.25" customHeight="1" x14ac:dyDescent="0.35">
      <c r="A670" s="3" t="s">
        <v>1347</v>
      </c>
      <c r="B670" s="3" t="s">
        <v>68</v>
      </c>
      <c r="C670" s="3" t="s">
        <v>250</v>
      </c>
      <c r="D670" s="3">
        <v>35</v>
      </c>
      <c r="E670" s="3">
        <f t="shared" si="40"/>
        <v>35</v>
      </c>
      <c r="F670" s="3">
        <v>1989</v>
      </c>
      <c r="G670" s="3" t="s">
        <v>50</v>
      </c>
      <c r="H670" s="12" cm="1">
        <f t="array" ref="H670">_xlfn.IFS(TRIM(G670)="SIXTY THOUSAND",60000,TRIM(G670)="NAN",AVERAGEIFS(G:G,J:J,J670,L:L,L670),TRUE,G670)</f>
        <v>60000</v>
      </c>
      <c r="I670" s="3" t="s">
        <v>27</v>
      </c>
      <c r="J670" s="3" t="s">
        <v>122</v>
      </c>
      <c r="K670" s="3" t="str">
        <f t="shared" si="41"/>
        <v>IT</v>
      </c>
      <c r="L670" s="3" t="s">
        <v>29</v>
      </c>
      <c r="M670" s="4">
        <v>43549</v>
      </c>
      <c r="N670" s="4">
        <v>43549</v>
      </c>
      <c r="O670" s="3" t="s">
        <v>78</v>
      </c>
      <c r="P670" s="3">
        <v>87</v>
      </c>
      <c r="Q670" s="3" t="s">
        <v>251</v>
      </c>
      <c r="S670" s="3" t="s">
        <v>72</v>
      </c>
      <c r="T670" s="3" t="str">
        <f t="shared" si="42"/>
        <v>Part-Time</v>
      </c>
      <c r="U670" s="3" t="s">
        <v>978</v>
      </c>
      <c r="V670" s="3">
        <v>3</v>
      </c>
      <c r="W670" s="3" t="s">
        <v>79</v>
      </c>
      <c r="X670" s="3">
        <v>11</v>
      </c>
      <c r="AA670" s="3" t="s">
        <v>34</v>
      </c>
      <c r="AB670" s="3" t="str" cm="1">
        <f t="array" ref="AB670">_xlfn.IFS(AA670="N","No",  AA670 = "Y", "Yes", TRUE, PROPER(TRIM(AA670)))</f>
        <v>No</v>
      </c>
      <c r="AC670" s="3">
        <v>4</v>
      </c>
      <c r="AD670" s="3" t="s">
        <v>34</v>
      </c>
      <c r="AE670">
        <f t="shared" si="43"/>
        <v>0</v>
      </c>
    </row>
    <row r="671" spans="1:31" ht="14.25" customHeight="1" x14ac:dyDescent="0.35">
      <c r="A671" s="3" t="s">
        <v>1348</v>
      </c>
      <c r="B671" s="3" t="s">
        <v>68</v>
      </c>
      <c r="C671" s="3" t="s">
        <v>403</v>
      </c>
      <c r="D671" s="3">
        <v>25</v>
      </c>
      <c r="E671" s="3">
        <f t="shared" si="40"/>
        <v>25</v>
      </c>
      <c r="F671" s="3">
        <v>1999</v>
      </c>
      <c r="G671" s="3" t="s">
        <v>50</v>
      </c>
      <c r="H671" s="12" cm="1">
        <f t="array" ref="H671">_xlfn.IFS(TRIM(G671)="SIXTY THOUSAND",60000,TRIM(G671)="NAN",AVERAGEIFS(G:G,J:J,J671,L:L,L671),TRUE,G671)</f>
        <v>60000</v>
      </c>
      <c r="I671" s="3" t="s">
        <v>27</v>
      </c>
      <c r="J671" s="3" t="s">
        <v>145</v>
      </c>
      <c r="K671" s="3" t="str">
        <f t="shared" si="41"/>
        <v>Sales</v>
      </c>
      <c r="L671" s="3" t="s">
        <v>40</v>
      </c>
      <c r="M671" s="4">
        <v>43195</v>
      </c>
      <c r="N671" s="4">
        <v>43195</v>
      </c>
      <c r="O671" s="3" t="s">
        <v>59</v>
      </c>
      <c r="P671" s="3">
        <v>97</v>
      </c>
      <c r="Q671" s="3" t="s">
        <v>1349</v>
      </c>
      <c r="R671" s="3" t="s">
        <v>43</v>
      </c>
      <c r="S671" s="3" t="s">
        <v>72</v>
      </c>
      <c r="T671" s="3" t="str">
        <f t="shared" si="42"/>
        <v>Part-Time</v>
      </c>
      <c r="V671" s="3">
        <v>7</v>
      </c>
      <c r="W671" s="3">
        <v>11</v>
      </c>
      <c r="AA671" s="3" t="s">
        <v>46</v>
      </c>
      <c r="AB671" s="3" t="str" cm="1">
        <f t="array" ref="AB671">_xlfn.IFS(AA671="N","No",  AA671 = "Y", "Yes", TRUE, PROPER(TRIM(AA671)))</f>
        <v>Yes</v>
      </c>
      <c r="AC671" s="3">
        <v>1</v>
      </c>
      <c r="AD671" s="3" t="s">
        <v>34</v>
      </c>
      <c r="AE671">
        <f t="shared" si="43"/>
        <v>0</v>
      </c>
    </row>
    <row r="672" spans="1:31" ht="14.25" customHeight="1" x14ac:dyDescent="0.35">
      <c r="A672" s="3" t="s">
        <v>1350</v>
      </c>
      <c r="B672" s="3" t="s">
        <v>75</v>
      </c>
      <c r="C672" s="3" t="s">
        <v>819</v>
      </c>
      <c r="D672" s="3">
        <v>25</v>
      </c>
      <c r="E672" s="3">
        <f t="shared" si="40"/>
        <v>25</v>
      </c>
      <c r="F672" s="3">
        <v>1999</v>
      </c>
      <c r="G672" s="3">
        <v>55000</v>
      </c>
      <c r="H672" s="12" cm="1">
        <f t="array" ref="H672">_xlfn.IFS(TRIM(G672)="SIXTY THOUSAND",60000,TRIM(G672)="NAN",AVERAGEIFS(G:G,J:J,J672,L:L,L672),TRUE,G672)</f>
        <v>55000</v>
      </c>
      <c r="I672" s="3" t="s">
        <v>38</v>
      </c>
      <c r="J672" s="3" t="s">
        <v>145</v>
      </c>
      <c r="K672" s="3" t="str">
        <f t="shared" si="41"/>
        <v>Sales</v>
      </c>
      <c r="L672" s="3" t="s">
        <v>40</v>
      </c>
      <c r="M672" s="4">
        <v>43195</v>
      </c>
      <c r="N672" s="4">
        <v>43195</v>
      </c>
      <c r="O672" s="3" t="s">
        <v>78</v>
      </c>
      <c r="P672" s="3">
        <v>83</v>
      </c>
      <c r="Q672" s="3" t="s">
        <v>820</v>
      </c>
      <c r="R672" s="3" t="s">
        <v>43</v>
      </c>
      <c r="S672" s="3" t="s">
        <v>112</v>
      </c>
      <c r="T672" s="3" t="str">
        <f t="shared" si="42"/>
        <v>Full-Time</v>
      </c>
      <c r="V672" s="3">
        <v>1</v>
      </c>
      <c r="AB672" s="3" t="str" cm="1">
        <f t="array" ref="AB672">_xlfn.IFS(AA672="N","No",  AA672 = "Y", "Yes", TRUE, PROPER(TRIM(AA672)))</f>
        <v/>
      </c>
      <c r="AC672" s="3">
        <v>2</v>
      </c>
      <c r="AD672" s="3" t="s">
        <v>46</v>
      </c>
      <c r="AE672">
        <f t="shared" si="43"/>
        <v>1</v>
      </c>
    </row>
    <row r="673" spans="1:31" ht="14.25" customHeight="1" x14ac:dyDescent="0.35">
      <c r="A673" s="3" t="s">
        <v>1351</v>
      </c>
      <c r="B673" s="3" t="s">
        <v>131</v>
      </c>
      <c r="C673" s="3" t="s">
        <v>546</v>
      </c>
      <c r="E673" s="3">
        <f t="shared" si="40"/>
        <v>27</v>
      </c>
      <c r="F673" s="3">
        <v>1997</v>
      </c>
      <c r="G673" s="3">
        <v>50000</v>
      </c>
      <c r="H673" s="12" cm="1">
        <f t="array" ref="H673">_xlfn.IFS(TRIM(G673)="SIXTY THOUSAND",60000,TRIM(G673)="NAN",AVERAGEIFS(G:G,J:J,J673,L:L,L673),TRUE,G673)</f>
        <v>50000</v>
      </c>
      <c r="I673" s="3" t="s">
        <v>38</v>
      </c>
      <c r="J673" s="3" t="s">
        <v>70</v>
      </c>
      <c r="K673" s="3" t="str">
        <f t="shared" si="41"/>
        <v>Marketing</v>
      </c>
      <c r="L673" s="3" t="s">
        <v>89</v>
      </c>
      <c r="M673" s="4">
        <v>43800</v>
      </c>
      <c r="N673" s="4">
        <v>43800</v>
      </c>
      <c r="O673" s="3" t="s">
        <v>78</v>
      </c>
      <c r="P673" s="3">
        <v>88</v>
      </c>
      <c r="Q673" s="3" t="s">
        <v>1352</v>
      </c>
      <c r="S673" s="3" t="s">
        <v>32</v>
      </c>
      <c r="T673" s="3" t="str">
        <f t="shared" si="42"/>
        <v>Contract</v>
      </c>
      <c r="V673" s="3">
        <v>5</v>
      </c>
      <c r="AA673" s="3" t="s">
        <v>33</v>
      </c>
      <c r="AB673" s="3" t="str" cm="1">
        <f t="array" ref="AB673">_xlfn.IFS(AA673="N","No",  AA673 = "Y", "Yes", TRUE, PROPER(TRIM(AA673)))</f>
        <v>Yes</v>
      </c>
      <c r="AC673" s="3">
        <v>5</v>
      </c>
      <c r="AD673" s="3" t="s">
        <v>34</v>
      </c>
      <c r="AE673">
        <f t="shared" si="43"/>
        <v>0</v>
      </c>
    </row>
    <row r="674" spans="1:31" ht="14.25" customHeight="1" x14ac:dyDescent="0.35">
      <c r="A674" s="3" t="s">
        <v>1353</v>
      </c>
      <c r="B674" s="3" t="s">
        <v>56</v>
      </c>
      <c r="C674" s="3" t="s">
        <v>148</v>
      </c>
      <c r="D674" s="3" t="s">
        <v>88</v>
      </c>
      <c r="E674" s="3">
        <f t="shared" si="40"/>
        <v>30</v>
      </c>
      <c r="F674" s="3">
        <v>1994</v>
      </c>
      <c r="G674" s="3">
        <v>70000</v>
      </c>
      <c r="H674" s="12" cm="1">
        <f t="array" ref="H674">_xlfn.IFS(TRIM(G674)="SIXTY THOUSAND",60000,TRIM(G674)="NAN",AVERAGEIFS(G:G,J:J,J674,L:L,L674),TRUE,G674)</f>
        <v>70000</v>
      </c>
      <c r="I674" s="3" t="s">
        <v>38</v>
      </c>
      <c r="J674" s="3" t="s">
        <v>145</v>
      </c>
      <c r="K674" s="3" t="str">
        <f t="shared" si="41"/>
        <v>Sales</v>
      </c>
      <c r="L674" s="3" t="s">
        <v>29</v>
      </c>
      <c r="M674" s="4">
        <v>43195</v>
      </c>
      <c r="N674" s="4">
        <v>43195</v>
      </c>
      <c r="O674" s="3" t="s">
        <v>41</v>
      </c>
      <c r="P674" s="3">
        <v>32</v>
      </c>
      <c r="Q674" s="3" t="s">
        <v>1354</v>
      </c>
      <c r="R674" s="3" t="s">
        <v>61</v>
      </c>
      <c r="S674" s="3" t="s">
        <v>112</v>
      </c>
      <c r="T674" s="3" t="str">
        <f t="shared" si="42"/>
        <v>Full-Time</v>
      </c>
      <c r="V674" s="3">
        <v>2</v>
      </c>
      <c r="X674" s="3">
        <v>1</v>
      </c>
      <c r="Y674" s="3" t="s">
        <v>79</v>
      </c>
      <c r="AB674" s="3" t="str" cm="1">
        <f t="array" ref="AB674">_xlfn.IFS(AA674="N","No",  AA674 = "Y", "Yes", TRUE, PROPER(TRIM(AA674)))</f>
        <v/>
      </c>
      <c r="AC674" s="3">
        <v>4</v>
      </c>
      <c r="AD674" s="3" t="s">
        <v>46</v>
      </c>
      <c r="AE674">
        <f t="shared" si="43"/>
        <v>1</v>
      </c>
    </row>
    <row r="675" spans="1:31" ht="14.25" customHeight="1" x14ac:dyDescent="0.35">
      <c r="A675" s="3" t="s">
        <v>1355</v>
      </c>
      <c r="B675" s="3" t="s">
        <v>140</v>
      </c>
      <c r="C675" s="3" t="s">
        <v>240</v>
      </c>
      <c r="E675" s="3">
        <f t="shared" si="40"/>
        <v>48</v>
      </c>
      <c r="F675" s="3">
        <v>1976</v>
      </c>
      <c r="G675" s="3">
        <v>50000</v>
      </c>
      <c r="H675" s="12" cm="1">
        <f t="array" ref="H675">_xlfn.IFS(TRIM(G675)="SIXTY THOUSAND",60000,TRIM(G675)="NAN",AVERAGEIFS(G:G,J:J,J675,L:L,L675),TRUE,G675)</f>
        <v>50000</v>
      </c>
      <c r="I675" s="3" t="s">
        <v>38</v>
      </c>
      <c r="J675" s="3" t="s">
        <v>64</v>
      </c>
      <c r="K675" s="3" t="str">
        <f t="shared" si="41"/>
        <v>Finance</v>
      </c>
      <c r="L675" s="3" t="s">
        <v>29</v>
      </c>
      <c r="M675" s="4">
        <v>43800</v>
      </c>
      <c r="N675" s="4">
        <v>43800</v>
      </c>
      <c r="O675" s="3" t="s">
        <v>30</v>
      </c>
      <c r="P675" s="3">
        <v>64</v>
      </c>
      <c r="Q675" s="3" t="s">
        <v>1078</v>
      </c>
      <c r="R675" s="3" t="s">
        <v>104</v>
      </c>
      <c r="S675" s="3" t="s">
        <v>32</v>
      </c>
      <c r="T675" s="3" t="str">
        <f t="shared" si="42"/>
        <v>Contract</v>
      </c>
      <c r="V675" s="3">
        <v>4</v>
      </c>
      <c r="W675" s="3" t="s">
        <v>79</v>
      </c>
      <c r="Z675" s="3">
        <v>74</v>
      </c>
      <c r="AA675" s="3" t="s">
        <v>169</v>
      </c>
      <c r="AB675" s="3" t="str" cm="1">
        <f t="array" ref="AB675">_xlfn.IFS(AA675="N","No",  AA675 = "Y", "Yes", TRUE, PROPER(TRIM(AA675)))</f>
        <v>Yes</v>
      </c>
      <c r="AC675" s="3">
        <v>2</v>
      </c>
      <c r="AD675" s="3" t="s">
        <v>34</v>
      </c>
      <c r="AE675">
        <f t="shared" si="43"/>
        <v>0</v>
      </c>
    </row>
    <row r="676" spans="1:31" ht="14.25" customHeight="1" x14ac:dyDescent="0.35">
      <c r="A676" s="3" t="s">
        <v>1356</v>
      </c>
      <c r="B676" s="3" t="s">
        <v>131</v>
      </c>
      <c r="C676" s="3" t="s">
        <v>692</v>
      </c>
      <c r="D676" s="3">
        <v>35</v>
      </c>
      <c r="E676" s="3">
        <f t="shared" si="40"/>
        <v>35</v>
      </c>
      <c r="F676" s="3">
        <v>1989</v>
      </c>
      <c r="G676" s="3">
        <v>65000</v>
      </c>
      <c r="H676" s="12" cm="1">
        <f t="array" ref="H676">_xlfn.IFS(TRIM(G676)="SIXTY THOUSAND",60000,TRIM(G676)="NAN",AVERAGEIFS(G:G,J:J,J676,L:L,L676),TRUE,G676)</f>
        <v>65000</v>
      </c>
      <c r="I676" s="3" t="s">
        <v>38</v>
      </c>
      <c r="J676" s="3" t="s">
        <v>122</v>
      </c>
      <c r="K676" s="3" t="str">
        <f t="shared" si="41"/>
        <v>IT</v>
      </c>
      <c r="L676" s="3" t="s">
        <v>89</v>
      </c>
      <c r="M676" s="4">
        <v>43845</v>
      </c>
      <c r="N676" s="4">
        <v>43845</v>
      </c>
      <c r="O676" s="3" t="s">
        <v>30</v>
      </c>
      <c r="P676" s="3">
        <v>60</v>
      </c>
      <c r="Q676" s="3" t="s">
        <v>693</v>
      </c>
      <c r="R676" s="3" t="s">
        <v>104</v>
      </c>
      <c r="S676" s="3" t="s">
        <v>32</v>
      </c>
      <c r="T676" s="3" t="str">
        <f t="shared" si="42"/>
        <v>Contract</v>
      </c>
      <c r="V676" s="3">
        <v>8</v>
      </c>
      <c r="AA676" s="3" t="s">
        <v>34</v>
      </c>
      <c r="AB676" s="3" t="str" cm="1">
        <f t="array" ref="AB676">_xlfn.IFS(AA676="N","No",  AA676 = "Y", "Yes", TRUE, PROPER(TRIM(AA676)))</f>
        <v>No</v>
      </c>
      <c r="AC676" s="3">
        <v>4</v>
      </c>
      <c r="AD676" s="3" t="s">
        <v>34</v>
      </c>
      <c r="AE676">
        <f t="shared" si="43"/>
        <v>0</v>
      </c>
    </row>
    <row r="677" spans="1:31" ht="14.25" customHeight="1" x14ac:dyDescent="0.35">
      <c r="A677" s="3" t="s">
        <v>1357</v>
      </c>
      <c r="B677" s="3" t="s">
        <v>75</v>
      </c>
      <c r="C677" s="3" t="s">
        <v>380</v>
      </c>
      <c r="E677" s="3">
        <f t="shared" si="40"/>
        <v>40</v>
      </c>
      <c r="F677" s="3">
        <v>1984</v>
      </c>
      <c r="G677" s="3">
        <v>65000</v>
      </c>
      <c r="H677" s="12" cm="1">
        <f t="array" ref="H677">_xlfn.IFS(TRIM(G677)="SIXTY THOUSAND",60000,TRIM(G677)="NAN",AVERAGEIFS(G:G,J:J,J677,L:L,L677),TRUE,G677)</f>
        <v>65000</v>
      </c>
      <c r="I677" s="3" t="s">
        <v>38</v>
      </c>
      <c r="J677" s="3" t="s">
        <v>145</v>
      </c>
      <c r="K677" s="3" t="str">
        <f t="shared" si="41"/>
        <v>Sales</v>
      </c>
      <c r="L677" s="3" t="s">
        <v>94</v>
      </c>
      <c r="M677" s="4">
        <v>43845</v>
      </c>
      <c r="N677" s="4">
        <v>43845</v>
      </c>
      <c r="O677" s="3" t="s">
        <v>41</v>
      </c>
      <c r="P677" s="3">
        <v>6</v>
      </c>
      <c r="Q677" s="3" t="s">
        <v>1358</v>
      </c>
      <c r="R677" s="3" t="s">
        <v>54</v>
      </c>
      <c r="S677" s="3" t="s">
        <v>72</v>
      </c>
      <c r="T677" s="3" t="str">
        <f t="shared" si="42"/>
        <v>Part-Time</v>
      </c>
      <c r="V677" s="3">
        <v>8</v>
      </c>
      <c r="W677" s="3" t="s">
        <v>79</v>
      </c>
      <c r="Y677" s="4">
        <v>44732</v>
      </c>
      <c r="AA677" s="3" t="s">
        <v>34</v>
      </c>
      <c r="AB677" s="3" t="str" cm="1">
        <f t="array" ref="AB677">_xlfn.IFS(AA677="N","No",  AA677 = "Y", "Yes", TRUE, PROPER(TRIM(AA677)))</f>
        <v>No</v>
      </c>
      <c r="AC677" s="3">
        <v>4</v>
      </c>
      <c r="AD677" s="3" t="s">
        <v>34</v>
      </c>
      <c r="AE677">
        <f t="shared" si="43"/>
        <v>0</v>
      </c>
    </row>
    <row r="678" spans="1:31" ht="14.25" customHeight="1" x14ac:dyDescent="0.35">
      <c r="A678" s="3" t="s">
        <v>1359</v>
      </c>
      <c r="B678" s="3" t="s">
        <v>36</v>
      </c>
      <c r="C678" s="3" t="s">
        <v>479</v>
      </c>
      <c r="D678" s="3">
        <v>50</v>
      </c>
      <c r="E678" s="3">
        <f t="shared" si="40"/>
        <v>50</v>
      </c>
      <c r="F678" s="3">
        <v>1974</v>
      </c>
      <c r="G678" s="3">
        <v>60300</v>
      </c>
      <c r="H678" s="12" cm="1">
        <f t="array" ref="H678">_xlfn.IFS(TRIM(G678)="SIXTY THOUSAND",60000,TRIM(G678)="NAN",AVERAGEIFS(G:G,J:J,J678,L:L,L678),TRUE,G678)</f>
        <v>60300</v>
      </c>
      <c r="I678" s="3" t="s">
        <v>27</v>
      </c>
      <c r="J678" s="3" t="s">
        <v>64</v>
      </c>
      <c r="K678" s="3" t="str">
        <f t="shared" si="41"/>
        <v>Finance</v>
      </c>
      <c r="L678" s="3" t="s">
        <v>40</v>
      </c>
      <c r="M678" s="4">
        <v>43845</v>
      </c>
      <c r="N678" s="4">
        <v>43845</v>
      </c>
      <c r="O678" s="3" t="s">
        <v>78</v>
      </c>
      <c r="P678" s="3">
        <v>83</v>
      </c>
      <c r="Q678" s="3" t="s">
        <v>480</v>
      </c>
      <c r="R678" s="3" t="s">
        <v>61</v>
      </c>
      <c r="S678" s="3" t="s">
        <v>100</v>
      </c>
      <c r="T678" s="3" t="str">
        <f t="shared" si="42"/>
        <v>Part-Time</v>
      </c>
      <c r="U678" s="3" t="s">
        <v>208</v>
      </c>
      <c r="V678" s="3">
        <v>8</v>
      </c>
      <c r="X678" s="3">
        <v>3</v>
      </c>
      <c r="Y678" s="4">
        <v>44941</v>
      </c>
      <c r="Z678" s="3">
        <v>64</v>
      </c>
      <c r="AA678" s="3" t="s">
        <v>34</v>
      </c>
      <c r="AB678" s="3" t="str" cm="1">
        <f t="array" ref="AB678">_xlfn.IFS(AA678="N","No",  AA678 = "Y", "Yes", TRUE, PROPER(TRIM(AA678)))</f>
        <v>No</v>
      </c>
      <c r="AC678" s="3">
        <v>4</v>
      </c>
      <c r="AD678" s="3" t="s">
        <v>46</v>
      </c>
      <c r="AE678">
        <f t="shared" si="43"/>
        <v>1</v>
      </c>
    </row>
    <row r="679" spans="1:31" ht="14.25" customHeight="1" x14ac:dyDescent="0.35">
      <c r="A679" s="3" t="s">
        <v>1360</v>
      </c>
      <c r="B679" s="3" t="s">
        <v>131</v>
      </c>
      <c r="C679" s="3" t="s">
        <v>216</v>
      </c>
      <c r="D679" s="3">
        <v>25</v>
      </c>
      <c r="E679" s="3">
        <f t="shared" si="40"/>
        <v>25</v>
      </c>
      <c r="F679" s="3">
        <v>1999</v>
      </c>
      <c r="G679" s="3">
        <v>55000</v>
      </c>
      <c r="H679" s="12" cm="1">
        <f t="array" ref="H679">_xlfn.IFS(TRIM(G679)="SIXTY THOUSAND",60000,TRIM(G679)="NAN",AVERAGEIFS(G:G,J:J,J679,L:L,L679),TRUE,G679)</f>
        <v>55000</v>
      </c>
      <c r="I679" s="3" t="s">
        <v>38</v>
      </c>
      <c r="J679" s="3" t="s">
        <v>64</v>
      </c>
      <c r="K679" s="3" t="str">
        <f t="shared" si="41"/>
        <v>Finance</v>
      </c>
      <c r="L679" s="3" t="s">
        <v>40</v>
      </c>
      <c r="M679" s="4">
        <v>43881</v>
      </c>
      <c r="N679" s="4">
        <v>43881</v>
      </c>
      <c r="O679" s="3" t="s">
        <v>41</v>
      </c>
      <c r="P679" s="3">
        <v>55</v>
      </c>
      <c r="Q679" s="3" t="s">
        <v>217</v>
      </c>
      <c r="R679" s="3" t="s">
        <v>54</v>
      </c>
      <c r="S679" s="3" t="s">
        <v>100</v>
      </c>
      <c r="T679" s="3" t="str">
        <f t="shared" si="42"/>
        <v>Part-Time</v>
      </c>
      <c r="V679" s="3">
        <v>3</v>
      </c>
      <c r="AA679" s="3" t="s">
        <v>73</v>
      </c>
      <c r="AB679" s="3" t="str" cm="1">
        <f t="array" ref="AB679">_xlfn.IFS(AA679="N","No",  AA679 = "Y", "Yes", TRUE, PROPER(TRIM(AA679)))</f>
        <v>No</v>
      </c>
      <c r="AC679" s="3">
        <v>2</v>
      </c>
      <c r="AD679" s="3" t="s">
        <v>34</v>
      </c>
      <c r="AE679">
        <f t="shared" si="43"/>
        <v>0</v>
      </c>
    </row>
    <row r="680" spans="1:31" ht="14.25" customHeight="1" x14ac:dyDescent="0.35">
      <c r="A680" s="3" t="s">
        <v>1361</v>
      </c>
      <c r="B680" s="3" t="s">
        <v>131</v>
      </c>
      <c r="C680" s="3" t="s">
        <v>148</v>
      </c>
      <c r="D680" s="3">
        <v>25</v>
      </c>
      <c r="E680" s="3">
        <f t="shared" si="40"/>
        <v>25</v>
      </c>
      <c r="F680" s="3">
        <v>1999</v>
      </c>
      <c r="G680" s="3">
        <v>55000</v>
      </c>
      <c r="H680" s="12" cm="1">
        <f t="array" ref="H680">_xlfn.IFS(TRIM(G680)="SIXTY THOUSAND",60000,TRIM(G680)="NAN",AVERAGEIFS(G:G,J:J,J680,L:L,L680),TRUE,G680)</f>
        <v>55000</v>
      </c>
      <c r="I680" s="3" t="s">
        <v>38</v>
      </c>
      <c r="J680" s="3" t="s">
        <v>39</v>
      </c>
      <c r="K680" s="3" t="str">
        <f t="shared" si="41"/>
        <v>Finance</v>
      </c>
      <c r="L680" s="3" t="s">
        <v>77</v>
      </c>
      <c r="M680" s="4">
        <v>43881</v>
      </c>
      <c r="N680" s="4">
        <v>43881</v>
      </c>
      <c r="O680" s="3" t="s">
        <v>59</v>
      </c>
      <c r="P680" s="3">
        <v>91</v>
      </c>
      <c r="Q680" s="3" t="s">
        <v>1362</v>
      </c>
      <c r="R680" s="3" t="s">
        <v>104</v>
      </c>
      <c r="S680" s="3" t="s">
        <v>66</v>
      </c>
      <c r="T680" s="3" t="str">
        <f t="shared" si="42"/>
        <v>Contract</v>
      </c>
      <c r="U680" s="3" t="s">
        <v>842</v>
      </c>
      <c r="V680" s="3">
        <v>4</v>
      </c>
      <c r="W680" s="3">
        <v>12</v>
      </c>
      <c r="AA680" s="3" t="s">
        <v>34</v>
      </c>
      <c r="AB680" s="3" t="str" cm="1">
        <f t="array" ref="AB680">_xlfn.IFS(AA680="N","No",  AA680 = "Y", "Yes", TRUE, PROPER(TRIM(AA680)))</f>
        <v>No</v>
      </c>
      <c r="AC680" s="3">
        <v>2</v>
      </c>
      <c r="AD680" s="3" t="s">
        <v>46</v>
      </c>
      <c r="AE680">
        <f t="shared" si="43"/>
        <v>1</v>
      </c>
    </row>
    <row r="681" spans="1:31" ht="14.25" customHeight="1" x14ac:dyDescent="0.35">
      <c r="A681" s="3" t="s">
        <v>1363</v>
      </c>
      <c r="B681" s="3" t="s">
        <v>48</v>
      </c>
      <c r="C681" s="3" t="s">
        <v>225</v>
      </c>
      <c r="D681" s="3">
        <v>40</v>
      </c>
      <c r="E681" s="3">
        <f t="shared" si="40"/>
        <v>40</v>
      </c>
      <c r="F681" s="3">
        <v>1984</v>
      </c>
      <c r="G681" s="3">
        <v>55000</v>
      </c>
      <c r="H681" s="12" cm="1">
        <f t="array" ref="H681">_xlfn.IFS(TRIM(G681)="SIXTY THOUSAND",60000,TRIM(G681)="NAN",AVERAGEIFS(G:G,J:J,J681,L:L,L681),TRUE,G681)</f>
        <v>55000</v>
      </c>
      <c r="I681" s="3" t="s">
        <v>38</v>
      </c>
      <c r="J681" s="3" t="s">
        <v>39</v>
      </c>
      <c r="K681" s="3" t="str">
        <f t="shared" si="41"/>
        <v>Finance</v>
      </c>
      <c r="L681" s="3" t="s">
        <v>89</v>
      </c>
      <c r="M681" s="4">
        <v>43800</v>
      </c>
      <c r="N681" s="4">
        <v>43800</v>
      </c>
      <c r="O681" s="3" t="s">
        <v>30</v>
      </c>
      <c r="P681" s="3">
        <v>62</v>
      </c>
      <c r="Q681" s="3" t="s">
        <v>226</v>
      </c>
      <c r="S681" s="3" t="s">
        <v>112</v>
      </c>
      <c r="T681" s="3" t="str">
        <f t="shared" si="42"/>
        <v>Full-Time</v>
      </c>
      <c r="V681" s="3">
        <v>7</v>
      </c>
      <c r="W681" s="3" t="s">
        <v>79</v>
      </c>
      <c r="AA681" s="3" t="s">
        <v>169</v>
      </c>
      <c r="AB681" s="3" t="str" cm="1">
        <f t="array" ref="AB681">_xlfn.IFS(AA681="N","No",  AA681 = "Y", "Yes", TRUE, PROPER(TRIM(AA681)))</f>
        <v>Yes</v>
      </c>
      <c r="AC681" s="3">
        <v>2</v>
      </c>
      <c r="AD681" s="3" t="s">
        <v>34</v>
      </c>
      <c r="AE681">
        <f t="shared" si="43"/>
        <v>0</v>
      </c>
    </row>
    <row r="682" spans="1:31" ht="14.25" customHeight="1" x14ac:dyDescent="0.35">
      <c r="A682" s="3" t="s">
        <v>1364</v>
      </c>
      <c r="B682" s="3" t="s">
        <v>114</v>
      </c>
      <c r="C682" s="3" t="s">
        <v>229</v>
      </c>
      <c r="D682" s="3">
        <v>40</v>
      </c>
      <c r="E682" s="3">
        <f t="shared" si="40"/>
        <v>40</v>
      </c>
      <c r="F682" s="3">
        <v>1984</v>
      </c>
      <c r="G682" s="3">
        <v>58600</v>
      </c>
      <c r="H682" s="12" cm="1">
        <f t="array" ref="H682">_xlfn.IFS(TRIM(G682)="SIXTY THOUSAND",60000,TRIM(G682)="NAN",AVERAGEIFS(G:G,J:J,J682,L:L,L682),TRUE,G682)</f>
        <v>58600</v>
      </c>
      <c r="I682" s="3" t="s">
        <v>27</v>
      </c>
      <c r="J682" s="3" t="s">
        <v>70</v>
      </c>
      <c r="K682" s="3" t="str">
        <f t="shared" si="41"/>
        <v>Marketing</v>
      </c>
      <c r="L682" s="3" t="s">
        <v>77</v>
      </c>
      <c r="M682" s="4">
        <v>43195</v>
      </c>
      <c r="N682" s="4">
        <v>43195</v>
      </c>
      <c r="O682" s="3" t="s">
        <v>52</v>
      </c>
      <c r="P682" s="3">
        <v>73</v>
      </c>
      <c r="Q682" s="3" t="s">
        <v>1365</v>
      </c>
      <c r="R682" s="3" t="s">
        <v>43</v>
      </c>
      <c r="S682" s="3" t="s">
        <v>100</v>
      </c>
      <c r="T682" s="3" t="str">
        <f t="shared" si="42"/>
        <v>Part-Time</v>
      </c>
      <c r="V682" s="3">
        <v>3</v>
      </c>
      <c r="X682" s="3">
        <v>6</v>
      </c>
      <c r="Y682" s="4">
        <v>44470</v>
      </c>
      <c r="AA682" s="3" t="s">
        <v>33</v>
      </c>
      <c r="AB682" s="3" t="str" cm="1">
        <f t="array" ref="AB682">_xlfn.IFS(AA682="N","No",  AA682 = "Y", "Yes", TRUE, PROPER(TRIM(AA682)))</f>
        <v>Yes</v>
      </c>
      <c r="AC682" s="3">
        <v>2</v>
      </c>
      <c r="AD682" s="3" t="s">
        <v>46</v>
      </c>
      <c r="AE682">
        <f t="shared" si="43"/>
        <v>1</v>
      </c>
    </row>
    <row r="683" spans="1:31" ht="14.25" customHeight="1" x14ac:dyDescent="0.35">
      <c r="A683" s="3" t="s">
        <v>1366</v>
      </c>
      <c r="B683" s="3" t="s">
        <v>48</v>
      </c>
      <c r="C683" s="3" t="s">
        <v>161</v>
      </c>
      <c r="D683" s="3">
        <v>35</v>
      </c>
      <c r="E683" s="3">
        <f t="shared" si="40"/>
        <v>35</v>
      </c>
      <c r="F683" s="3">
        <v>1989</v>
      </c>
      <c r="G683" s="3">
        <v>65000</v>
      </c>
      <c r="H683" s="12" cm="1">
        <f t="array" ref="H683">_xlfn.IFS(TRIM(G683)="SIXTY THOUSAND",60000,TRIM(G683)="NAN",AVERAGEIFS(G:G,J:J,J683,L:L,L683),TRUE,G683)</f>
        <v>65000</v>
      </c>
      <c r="I683" s="3" t="s">
        <v>38</v>
      </c>
      <c r="J683" s="3" t="s">
        <v>39</v>
      </c>
      <c r="K683" s="3" t="str">
        <f t="shared" si="41"/>
        <v>Finance</v>
      </c>
      <c r="L683" s="3" t="s">
        <v>77</v>
      </c>
      <c r="M683" s="4">
        <v>43195</v>
      </c>
      <c r="N683" s="4">
        <v>43195</v>
      </c>
      <c r="O683" s="3" t="s">
        <v>59</v>
      </c>
      <c r="P683" s="3">
        <v>95</v>
      </c>
      <c r="Q683" s="3" t="s">
        <v>1367</v>
      </c>
      <c r="R683" s="3" t="s">
        <v>104</v>
      </c>
      <c r="S683" s="3" t="s">
        <v>174</v>
      </c>
      <c r="T683" s="3" t="str">
        <f t="shared" si="42"/>
        <v>Full-Time</v>
      </c>
      <c r="V683" s="3">
        <v>3</v>
      </c>
      <c r="Y683" s="4">
        <v>44732</v>
      </c>
      <c r="AB683" s="3" t="str" cm="1">
        <f t="array" ref="AB683">_xlfn.IFS(AA683="N","No",  AA683 = "Y", "Yes", TRUE, PROPER(TRIM(AA683)))</f>
        <v/>
      </c>
      <c r="AC683" s="3">
        <v>4</v>
      </c>
      <c r="AD683" s="3" t="s">
        <v>34</v>
      </c>
      <c r="AE683">
        <f t="shared" si="43"/>
        <v>0</v>
      </c>
    </row>
    <row r="684" spans="1:31" ht="14.25" customHeight="1" x14ac:dyDescent="0.35">
      <c r="A684" s="3" t="s">
        <v>1368</v>
      </c>
      <c r="B684" s="3" t="s">
        <v>25</v>
      </c>
      <c r="C684" s="3" t="s">
        <v>99</v>
      </c>
      <c r="D684" s="3">
        <v>50</v>
      </c>
      <c r="E684" s="3">
        <f t="shared" si="40"/>
        <v>50</v>
      </c>
      <c r="F684" s="3">
        <v>1974</v>
      </c>
      <c r="G684" s="3">
        <v>50000</v>
      </c>
      <c r="H684" s="12" cm="1">
        <f t="array" ref="H684">_xlfn.IFS(TRIM(G684)="SIXTY THOUSAND",60000,TRIM(G684)="NAN",AVERAGEIFS(G:G,J:J,J684,L:L,L684),TRUE,G684)</f>
        <v>50000</v>
      </c>
      <c r="I684" s="3" t="s">
        <v>38</v>
      </c>
      <c r="J684" s="3" t="s">
        <v>93</v>
      </c>
      <c r="K684" s="3" t="str">
        <f t="shared" si="41"/>
        <v>Marketing</v>
      </c>
      <c r="L684" s="3" t="s">
        <v>29</v>
      </c>
      <c r="M684" s="4">
        <v>43845</v>
      </c>
      <c r="N684" s="4">
        <v>43845</v>
      </c>
      <c r="O684" s="3" t="s">
        <v>59</v>
      </c>
      <c r="P684" s="3">
        <v>92</v>
      </c>
      <c r="Q684" s="3" t="s">
        <v>1369</v>
      </c>
      <c r="R684" s="3" t="s">
        <v>61</v>
      </c>
      <c r="S684" s="3" t="s">
        <v>44</v>
      </c>
      <c r="T684" s="3" t="str">
        <f t="shared" si="42"/>
        <v>Full-Time</v>
      </c>
      <c r="V684" s="3">
        <v>5</v>
      </c>
      <c r="X684" s="3">
        <v>2</v>
      </c>
      <c r="Y684" s="4">
        <v>44941</v>
      </c>
      <c r="AA684" s="3" t="s">
        <v>73</v>
      </c>
      <c r="AB684" s="3" t="str" cm="1">
        <f t="array" ref="AB684">_xlfn.IFS(AA684="N","No",  AA684 = "Y", "Yes", TRUE, PROPER(TRIM(AA684)))</f>
        <v>No</v>
      </c>
      <c r="AC684" s="3">
        <v>4</v>
      </c>
      <c r="AD684" s="3" t="s">
        <v>34</v>
      </c>
      <c r="AE684">
        <f t="shared" si="43"/>
        <v>0</v>
      </c>
    </row>
    <row r="685" spans="1:31" ht="14.25" customHeight="1" x14ac:dyDescent="0.35">
      <c r="A685" s="3" t="s">
        <v>1370</v>
      </c>
      <c r="B685" s="3" t="s">
        <v>68</v>
      </c>
      <c r="C685" s="3" t="s">
        <v>108</v>
      </c>
      <c r="D685" s="3" t="s">
        <v>88</v>
      </c>
      <c r="E685" s="3">
        <f t="shared" si="40"/>
        <v>30</v>
      </c>
      <c r="F685" s="3">
        <v>1994</v>
      </c>
      <c r="G685" s="3">
        <v>60500</v>
      </c>
      <c r="H685" s="12" cm="1">
        <f t="array" ref="H685">_xlfn.IFS(TRIM(G685)="SIXTY THOUSAND",60000,TRIM(G685)="NAN",AVERAGEIFS(G:G,J:J,J685,L:L,L685),TRUE,G685)</f>
        <v>60500</v>
      </c>
      <c r="I685" s="3" t="s">
        <v>38</v>
      </c>
      <c r="J685" s="3" t="s">
        <v>93</v>
      </c>
      <c r="K685" s="3" t="str">
        <f t="shared" si="41"/>
        <v>Marketing</v>
      </c>
      <c r="L685" s="3" t="s">
        <v>40</v>
      </c>
      <c r="M685" s="4">
        <v>43549</v>
      </c>
      <c r="N685" s="4">
        <v>43549</v>
      </c>
      <c r="O685" s="3" t="s">
        <v>41</v>
      </c>
      <c r="P685" s="3">
        <v>48</v>
      </c>
      <c r="Q685" s="3" t="s">
        <v>1371</v>
      </c>
      <c r="R685" s="3" t="s">
        <v>104</v>
      </c>
      <c r="S685" s="3" t="s">
        <v>66</v>
      </c>
      <c r="T685" s="3" t="str">
        <f t="shared" si="42"/>
        <v>Contract</v>
      </c>
      <c r="V685" s="3">
        <v>3</v>
      </c>
      <c r="Y685" s="4">
        <v>45516</v>
      </c>
      <c r="AA685" s="3" t="s">
        <v>46</v>
      </c>
      <c r="AB685" s="3" t="str" cm="1">
        <f t="array" ref="AB685">_xlfn.IFS(AA685="N","No",  AA685 = "Y", "Yes", TRUE, PROPER(TRIM(AA685)))</f>
        <v>Yes</v>
      </c>
      <c r="AC685" s="3">
        <v>5</v>
      </c>
      <c r="AD685" s="3" t="s">
        <v>34</v>
      </c>
      <c r="AE685">
        <f t="shared" si="43"/>
        <v>0</v>
      </c>
    </row>
    <row r="686" spans="1:31" ht="14.25" customHeight="1" x14ac:dyDescent="0.35">
      <c r="A686" s="3" t="s">
        <v>1372</v>
      </c>
      <c r="B686" s="3" t="s">
        <v>68</v>
      </c>
      <c r="C686" s="3" t="s">
        <v>189</v>
      </c>
      <c r="E686" s="3">
        <f t="shared" si="40"/>
        <v>25</v>
      </c>
      <c r="F686" s="3">
        <v>1999</v>
      </c>
      <c r="G686" s="3">
        <v>61300</v>
      </c>
      <c r="H686" s="12" cm="1">
        <f t="array" ref="H686">_xlfn.IFS(TRIM(G686)="SIXTY THOUSAND",60000,TRIM(G686)="NAN",AVERAGEIFS(G:G,J:J,J686,L:L,L686),TRUE,G686)</f>
        <v>61300</v>
      </c>
      <c r="I686" s="3" t="s">
        <v>38</v>
      </c>
      <c r="J686" s="3" t="s">
        <v>39</v>
      </c>
      <c r="K686" s="3" t="str">
        <f t="shared" si="41"/>
        <v>Finance</v>
      </c>
      <c r="L686" s="3" t="s">
        <v>77</v>
      </c>
      <c r="M686" s="4">
        <v>43881</v>
      </c>
      <c r="N686" s="4">
        <v>43881</v>
      </c>
      <c r="O686" s="3" t="s">
        <v>78</v>
      </c>
      <c r="P686" s="3">
        <v>80</v>
      </c>
      <c r="Q686" s="3" t="s">
        <v>1373</v>
      </c>
      <c r="R686" s="3" t="s">
        <v>61</v>
      </c>
      <c r="S686" s="3" t="s">
        <v>66</v>
      </c>
      <c r="T686" s="3" t="str">
        <f t="shared" si="42"/>
        <v>Contract</v>
      </c>
      <c r="V686" s="3">
        <v>6</v>
      </c>
      <c r="Z686" s="3">
        <v>58</v>
      </c>
      <c r="AA686" s="3" t="s">
        <v>46</v>
      </c>
      <c r="AB686" s="3" t="str" cm="1">
        <f t="array" ref="AB686">_xlfn.IFS(AA686="N","No",  AA686 = "Y", "Yes", TRUE, PROPER(TRIM(AA686)))</f>
        <v>Yes</v>
      </c>
      <c r="AC686" s="3">
        <v>1</v>
      </c>
      <c r="AD686" s="3" t="s">
        <v>34</v>
      </c>
      <c r="AE686">
        <f t="shared" si="43"/>
        <v>0</v>
      </c>
    </row>
    <row r="687" spans="1:31" ht="14.25" customHeight="1" x14ac:dyDescent="0.35">
      <c r="A687" s="3" t="s">
        <v>1374</v>
      </c>
      <c r="B687" s="3" t="s">
        <v>114</v>
      </c>
      <c r="C687" s="3" t="s">
        <v>115</v>
      </c>
      <c r="D687" s="3">
        <v>35</v>
      </c>
      <c r="E687" s="3">
        <f t="shared" si="40"/>
        <v>35</v>
      </c>
      <c r="F687" s="3">
        <v>1989</v>
      </c>
      <c r="G687" s="3">
        <v>50000</v>
      </c>
      <c r="H687" s="12" cm="1">
        <f t="array" ref="H687">_xlfn.IFS(TRIM(G687)="SIXTY THOUSAND",60000,TRIM(G687)="NAN",AVERAGEIFS(G:G,J:J,J687,L:L,L687),TRUE,G687)</f>
        <v>50000</v>
      </c>
      <c r="I687" s="3" t="s">
        <v>27</v>
      </c>
      <c r="J687" s="3" t="s">
        <v>122</v>
      </c>
      <c r="K687" s="3" t="str">
        <f t="shared" si="41"/>
        <v>IT</v>
      </c>
      <c r="L687" s="3" t="s">
        <v>29</v>
      </c>
      <c r="M687" s="4">
        <v>43881</v>
      </c>
      <c r="N687" s="4">
        <v>43881</v>
      </c>
      <c r="O687" s="3" t="s">
        <v>30</v>
      </c>
      <c r="P687" s="3">
        <v>65</v>
      </c>
      <c r="Q687" s="3" t="s">
        <v>182</v>
      </c>
      <c r="R687" s="3" t="s">
        <v>61</v>
      </c>
      <c r="S687" s="3" t="s">
        <v>72</v>
      </c>
      <c r="T687" s="3" t="str">
        <f t="shared" si="42"/>
        <v>Part-Time</v>
      </c>
      <c r="V687" s="3">
        <v>8</v>
      </c>
      <c r="X687" s="3">
        <v>5</v>
      </c>
      <c r="Y687" s="4">
        <v>44941</v>
      </c>
      <c r="AA687" s="3" t="s">
        <v>46</v>
      </c>
      <c r="AB687" s="3" t="str" cm="1">
        <f t="array" ref="AB687">_xlfn.IFS(AA687="N","No",  AA687 = "Y", "Yes", TRUE, PROPER(TRIM(AA687)))</f>
        <v>Yes</v>
      </c>
      <c r="AC687" s="3">
        <v>5</v>
      </c>
      <c r="AD687" s="3" t="s">
        <v>34</v>
      </c>
      <c r="AE687">
        <f t="shared" si="43"/>
        <v>0</v>
      </c>
    </row>
    <row r="688" spans="1:31" ht="14.25" customHeight="1" x14ac:dyDescent="0.35">
      <c r="A688" s="3" t="s">
        <v>1375</v>
      </c>
      <c r="B688" s="3" t="s">
        <v>107</v>
      </c>
      <c r="C688" s="3" t="s">
        <v>403</v>
      </c>
      <c r="D688" s="3">
        <v>40</v>
      </c>
      <c r="E688" s="3">
        <f t="shared" si="40"/>
        <v>40</v>
      </c>
      <c r="F688" s="3">
        <v>1984</v>
      </c>
      <c r="G688" s="3">
        <v>55000</v>
      </c>
      <c r="H688" s="12" cm="1">
        <f t="array" ref="H688">_xlfn.IFS(TRIM(G688)="SIXTY THOUSAND",60000,TRIM(G688)="NAN",AVERAGEIFS(G:G,J:J,J688,L:L,L688),TRUE,G688)</f>
        <v>55000</v>
      </c>
      <c r="I688" s="3" t="s">
        <v>27</v>
      </c>
      <c r="J688" s="3" t="s">
        <v>64</v>
      </c>
      <c r="K688" s="3" t="str">
        <f t="shared" si="41"/>
        <v>Finance</v>
      </c>
      <c r="L688" s="3" t="s">
        <v>89</v>
      </c>
      <c r="M688" s="4">
        <v>43845</v>
      </c>
      <c r="N688" s="4">
        <v>43845</v>
      </c>
      <c r="O688" s="3" t="s">
        <v>52</v>
      </c>
      <c r="P688" s="3">
        <v>77</v>
      </c>
      <c r="Q688" s="3" t="s">
        <v>1376</v>
      </c>
      <c r="R688" s="3" t="s">
        <v>61</v>
      </c>
      <c r="S688" s="3" t="s">
        <v>112</v>
      </c>
      <c r="T688" s="3" t="str">
        <f t="shared" si="42"/>
        <v>Full-Time</v>
      </c>
      <c r="V688" s="3">
        <v>2</v>
      </c>
      <c r="W688" s="3">
        <v>15</v>
      </c>
      <c r="AA688" s="3" t="s">
        <v>46</v>
      </c>
      <c r="AB688" s="3" t="str" cm="1">
        <f t="array" ref="AB688">_xlfn.IFS(AA688="N","No",  AA688 = "Y", "Yes", TRUE, PROPER(TRIM(AA688)))</f>
        <v>Yes</v>
      </c>
      <c r="AC688" s="3">
        <v>1</v>
      </c>
      <c r="AD688" s="3" t="s">
        <v>46</v>
      </c>
      <c r="AE688">
        <f t="shared" si="43"/>
        <v>1</v>
      </c>
    </row>
    <row r="689" spans="1:31" ht="14.25" customHeight="1" x14ac:dyDescent="0.35">
      <c r="A689" s="3" t="s">
        <v>1377</v>
      </c>
      <c r="B689" s="3" t="s">
        <v>107</v>
      </c>
      <c r="C689" s="3" t="s">
        <v>121</v>
      </c>
      <c r="E689" s="3">
        <f t="shared" si="40"/>
        <v>31</v>
      </c>
      <c r="F689" s="3">
        <v>1993</v>
      </c>
      <c r="G689" s="3">
        <v>70000</v>
      </c>
      <c r="H689" s="12" cm="1">
        <f t="array" ref="H689">_xlfn.IFS(TRIM(G689)="SIXTY THOUSAND",60000,TRIM(G689)="NAN",AVERAGEIFS(G:G,J:J,J689,L:L,L689),TRUE,G689)</f>
        <v>70000</v>
      </c>
      <c r="I689" s="3" t="s">
        <v>38</v>
      </c>
      <c r="J689" s="3" t="s">
        <v>39</v>
      </c>
      <c r="K689" s="3" t="str">
        <f t="shared" si="41"/>
        <v>Finance</v>
      </c>
      <c r="L689" s="3" t="s">
        <v>77</v>
      </c>
      <c r="M689" s="4">
        <v>43881</v>
      </c>
      <c r="N689" s="4">
        <v>43881</v>
      </c>
      <c r="O689" s="3" t="s">
        <v>59</v>
      </c>
      <c r="P689" s="3">
        <v>100</v>
      </c>
      <c r="Q689" s="3" t="s">
        <v>123</v>
      </c>
      <c r="R689" s="3" t="s">
        <v>54</v>
      </c>
      <c r="S689" s="3" t="s">
        <v>174</v>
      </c>
      <c r="T689" s="3" t="str">
        <f t="shared" si="42"/>
        <v>Full-Time</v>
      </c>
      <c r="U689" s="3" t="s">
        <v>106</v>
      </c>
      <c r="V689" s="3">
        <v>4</v>
      </c>
      <c r="W689" s="3" t="s">
        <v>79</v>
      </c>
      <c r="X689" s="3">
        <v>14</v>
      </c>
      <c r="AA689" s="3" t="s">
        <v>33</v>
      </c>
      <c r="AB689" s="3" t="str" cm="1">
        <f t="array" ref="AB689">_xlfn.IFS(AA689="N","No",  AA689 = "Y", "Yes", TRUE, PROPER(TRIM(AA689)))</f>
        <v>Yes</v>
      </c>
      <c r="AC689" s="3">
        <v>3</v>
      </c>
      <c r="AD689" s="3" t="s">
        <v>46</v>
      </c>
      <c r="AE689">
        <f t="shared" si="43"/>
        <v>1</v>
      </c>
    </row>
    <row r="690" spans="1:31" ht="14.25" customHeight="1" x14ac:dyDescent="0.35">
      <c r="A690" s="3" t="s">
        <v>1378</v>
      </c>
      <c r="B690" s="3" t="s">
        <v>75</v>
      </c>
      <c r="C690" s="3" t="s">
        <v>199</v>
      </c>
      <c r="D690" s="3">
        <v>40</v>
      </c>
      <c r="E690" s="3">
        <f t="shared" si="40"/>
        <v>40</v>
      </c>
      <c r="F690" s="3">
        <v>1984</v>
      </c>
      <c r="G690" s="3">
        <v>50000</v>
      </c>
      <c r="H690" s="12" cm="1">
        <f t="array" ref="H690">_xlfn.IFS(TRIM(G690)="SIXTY THOUSAND",60000,TRIM(G690)="NAN",AVERAGEIFS(G:G,J:J,J690,L:L,L690),TRUE,G690)</f>
        <v>50000</v>
      </c>
      <c r="I690" s="3" t="s">
        <v>27</v>
      </c>
      <c r="J690" s="3" t="s">
        <v>39</v>
      </c>
      <c r="K690" s="3" t="str">
        <f t="shared" si="41"/>
        <v>Finance</v>
      </c>
      <c r="L690" s="3" t="s">
        <v>40</v>
      </c>
      <c r="M690" s="4">
        <v>43845</v>
      </c>
      <c r="N690" s="4">
        <v>43845</v>
      </c>
      <c r="O690" s="3" t="s">
        <v>52</v>
      </c>
      <c r="P690" s="3">
        <v>76</v>
      </c>
      <c r="Q690" s="3" t="s">
        <v>1379</v>
      </c>
      <c r="S690" s="3" t="s">
        <v>100</v>
      </c>
      <c r="T690" s="3" t="str">
        <f t="shared" si="42"/>
        <v>Part-Time</v>
      </c>
      <c r="V690" s="3">
        <v>7</v>
      </c>
      <c r="W690" s="3">
        <v>7</v>
      </c>
      <c r="X690" s="3">
        <v>16</v>
      </c>
      <c r="Z690" s="3">
        <v>47</v>
      </c>
      <c r="AA690" s="3" t="s">
        <v>169</v>
      </c>
      <c r="AB690" s="3" t="str" cm="1">
        <f t="array" ref="AB690">_xlfn.IFS(AA690="N","No",  AA690 = "Y", "Yes", TRUE, PROPER(TRIM(AA690)))</f>
        <v>Yes</v>
      </c>
      <c r="AC690" s="3">
        <v>3</v>
      </c>
      <c r="AD690" s="3" t="s">
        <v>34</v>
      </c>
      <c r="AE690">
        <f t="shared" si="43"/>
        <v>0</v>
      </c>
    </row>
    <row r="691" spans="1:31" ht="14.25" customHeight="1" x14ac:dyDescent="0.35">
      <c r="A691" s="3" t="s">
        <v>1380</v>
      </c>
      <c r="B691" s="3" t="s">
        <v>114</v>
      </c>
      <c r="C691" s="3" t="s">
        <v>710</v>
      </c>
      <c r="E691" s="3">
        <f t="shared" si="40"/>
        <v>24</v>
      </c>
      <c r="F691" s="3">
        <v>2000</v>
      </c>
      <c r="G691" s="3">
        <v>65000</v>
      </c>
      <c r="H691" s="12" cm="1">
        <f t="array" ref="H691">_xlfn.IFS(TRIM(G691)="SIXTY THOUSAND",60000,TRIM(G691)="NAN",AVERAGEIFS(G:G,J:J,J691,L:L,L691),TRUE,G691)</f>
        <v>65000</v>
      </c>
      <c r="I691" s="3" t="s">
        <v>27</v>
      </c>
      <c r="J691" s="3" t="s">
        <v>122</v>
      </c>
      <c r="K691" s="3" t="str">
        <f t="shared" si="41"/>
        <v>IT</v>
      </c>
      <c r="L691" s="3" t="s">
        <v>77</v>
      </c>
      <c r="M691" s="4">
        <v>43800</v>
      </c>
      <c r="N691" s="4">
        <v>43800</v>
      </c>
      <c r="O691" s="3" t="s">
        <v>78</v>
      </c>
      <c r="P691" s="3">
        <v>85</v>
      </c>
      <c r="Q691" s="3" t="s">
        <v>711</v>
      </c>
      <c r="R691" s="3" t="s">
        <v>104</v>
      </c>
      <c r="S691" s="3" t="s">
        <v>100</v>
      </c>
      <c r="T691" s="3" t="str">
        <f t="shared" si="42"/>
        <v>Part-Time</v>
      </c>
      <c r="V691" s="3">
        <v>7</v>
      </c>
      <c r="W691" s="3" t="s">
        <v>79</v>
      </c>
      <c r="X691" s="3">
        <v>12</v>
      </c>
      <c r="Z691" s="3">
        <v>75</v>
      </c>
      <c r="AA691" s="3" t="s">
        <v>34</v>
      </c>
      <c r="AB691" s="3" t="str" cm="1">
        <f t="array" ref="AB691">_xlfn.IFS(AA691="N","No",  AA691 = "Y", "Yes", TRUE, PROPER(TRIM(AA691)))</f>
        <v>No</v>
      </c>
      <c r="AC691" s="3">
        <v>4</v>
      </c>
      <c r="AD691" s="3" t="s">
        <v>46</v>
      </c>
      <c r="AE691">
        <f t="shared" si="43"/>
        <v>1</v>
      </c>
    </row>
    <row r="692" spans="1:31" ht="14.25" customHeight="1" x14ac:dyDescent="0.35">
      <c r="A692" s="3" t="s">
        <v>1381</v>
      </c>
      <c r="B692" s="3" t="s">
        <v>131</v>
      </c>
      <c r="C692" s="3" t="s">
        <v>840</v>
      </c>
      <c r="D692" s="3" t="s">
        <v>88</v>
      </c>
      <c r="E692" s="3">
        <f t="shared" si="40"/>
        <v>30</v>
      </c>
      <c r="F692" s="3">
        <v>1994</v>
      </c>
      <c r="G692" s="3" t="s">
        <v>50</v>
      </c>
      <c r="H692" s="12" cm="1">
        <f t="array" ref="H692">_xlfn.IFS(TRIM(G692)="SIXTY THOUSAND",60000,TRIM(G692)="NAN",AVERAGEIFS(G:G,J:J,J692,L:L,L692),TRUE,G692)</f>
        <v>60000</v>
      </c>
      <c r="I692" s="3" t="s">
        <v>27</v>
      </c>
      <c r="J692" s="3" t="s">
        <v>28</v>
      </c>
      <c r="K692" s="3" t="str">
        <f t="shared" si="41"/>
        <v>HR</v>
      </c>
      <c r="L692" s="3" t="s">
        <v>89</v>
      </c>
      <c r="M692" s="4">
        <v>43195</v>
      </c>
      <c r="N692" s="4">
        <v>43195</v>
      </c>
      <c r="O692" s="3" t="s">
        <v>78</v>
      </c>
      <c r="P692" s="3">
        <v>80</v>
      </c>
      <c r="Q692" s="3" t="s">
        <v>1382</v>
      </c>
      <c r="S692" s="3" t="s">
        <v>32</v>
      </c>
      <c r="T692" s="3" t="str">
        <f t="shared" si="42"/>
        <v>Contract</v>
      </c>
      <c r="V692" s="3">
        <v>3</v>
      </c>
      <c r="X692" s="3">
        <v>0</v>
      </c>
      <c r="Y692" s="4">
        <v>44941</v>
      </c>
      <c r="AA692" s="3" t="s">
        <v>46</v>
      </c>
      <c r="AB692" s="3" t="str" cm="1">
        <f t="array" ref="AB692">_xlfn.IFS(AA692="N","No",  AA692 = "Y", "Yes", TRUE, PROPER(TRIM(AA692)))</f>
        <v>Yes</v>
      </c>
      <c r="AC692" s="3">
        <v>2</v>
      </c>
      <c r="AD692" s="3" t="s">
        <v>34</v>
      </c>
      <c r="AE692">
        <f t="shared" si="43"/>
        <v>0</v>
      </c>
    </row>
    <row r="693" spans="1:31" ht="14.25" customHeight="1" x14ac:dyDescent="0.35">
      <c r="A693" s="3" t="s">
        <v>1383</v>
      </c>
      <c r="B693" s="3" t="s">
        <v>107</v>
      </c>
      <c r="C693" s="3" t="s">
        <v>355</v>
      </c>
      <c r="D693" s="3">
        <v>35</v>
      </c>
      <c r="E693" s="3">
        <f t="shared" si="40"/>
        <v>35</v>
      </c>
      <c r="F693" s="3">
        <v>1989</v>
      </c>
      <c r="G693" s="3" t="s">
        <v>50</v>
      </c>
      <c r="H693" s="12" cm="1">
        <f t="array" ref="H693">_xlfn.IFS(TRIM(G693)="SIXTY THOUSAND",60000,TRIM(G693)="NAN",AVERAGEIFS(G:G,J:J,J693,L:L,L693),TRUE,G693)</f>
        <v>60000</v>
      </c>
      <c r="I693" s="3" t="s">
        <v>27</v>
      </c>
      <c r="J693" s="3" t="s">
        <v>28</v>
      </c>
      <c r="K693" s="3" t="str">
        <f t="shared" si="41"/>
        <v>HR</v>
      </c>
      <c r="L693" s="3" t="s">
        <v>77</v>
      </c>
      <c r="M693" s="4">
        <v>43549</v>
      </c>
      <c r="N693" s="4">
        <v>43549</v>
      </c>
      <c r="O693" s="3" t="s">
        <v>52</v>
      </c>
      <c r="P693" s="3">
        <v>71</v>
      </c>
      <c r="Q693" s="3" t="s">
        <v>356</v>
      </c>
      <c r="R693" s="3" t="s">
        <v>43</v>
      </c>
      <c r="S693" s="3" t="s">
        <v>66</v>
      </c>
      <c r="T693" s="3" t="str">
        <f t="shared" si="42"/>
        <v>Contract</v>
      </c>
      <c r="V693" s="3">
        <v>2</v>
      </c>
      <c r="W693" s="3" t="s">
        <v>79</v>
      </c>
      <c r="Y693" s="4">
        <v>44470</v>
      </c>
      <c r="AB693" s="3" t="str" cm="1">
        <f t="array" ref="AB693">_xlfn.IFS(AA693="N","No",  AA693 = "Y", "Yes", TRUE, PROPER(TRIM(AA693)))</f>
        <v/>
      </c>
      <c r="AC693" s="3">
        <v>2</v>
      </c>
      <c r="AD693" s="3" t="s">
        <v>46</v>
      </c>
      <c r="AE693">
        <f t="shared" si="43"/>
        <v>1</v>
      </c>
    </row>
    <row r="694" spans="1:31" ht="14.25" customHeight="1" x14ac:dyDescent="0.35">
      <c r="A694" s="3" t="s">
        <v>1384</v>
      </c>
      <c r="B694" s="3" t="s">
        <v>56</v>
      </c>
      <c r="C694" s="3" t="s">
        <v>676</v>
      </c>
      <c r="E694" s="3">
        <f t="shared" si="40"/>
        <v>54</v>
      </c>
      <c r="F694" s="3">
        <v>1970</v>
      </c>
      <c r="G694" s="3">
        <v>60500</v>
      </c>
      <c r="H694" s="12" cm="1">
        <f t="array" ref="H694">_xlfn.IFS(TRIM(G694)="SIXTY THOUSAND",60000,TRIM(G694)="NAN",AVERAGEIFS(G:G,J:J,J694,L:L,L694),TRUE,G694)</f>
        <v>60500</v>
      </c>
      <c r="I694" s="3" t="s">
        <v>27</v>
      </c>
      <c r="J694" s="3" t="s">
        <v>70</v>
      </c>
      <c r="K694" s="3" t="str">
        <f t="shared" si="41"/>
        <v>Marketing</v>
      </c>
      <c r="L694" s="3" t="s">
        <v>40</v>
      </c>
      <c r="M694" s="4">
        <v>43195</v>
      </c>
      <c r="N694" s="4">
        <v>43195</v>
      </c>
      <c r="O694" s="3" t="s">
        <v>30</v>
      </c>
      <c r="P694" s="3">
        <v>67</v>
      </c>
      <c r="Q694" s="3" t="s">
        <v>677</v>
      </c>
      <c r="R694" s="3" t="s">
        <v>104</v>
      </c>
      <c r="S694" s="3" t="s">
        <v>112</v>
      </c>
      <c r="T694" s="3" t="str">
        <f t="shared" si="42"/>
        <v>Full-Time</v>
      </c>
      <c r="U694" s="3" t="s">
        <v>791</v>
      </c>
      <c r="V694" s="3">
        <v>1</v>
      </c>
      <c r="W694" s="3" t="s">
        <v>79</v>
      </c>
      <c r="AA694" s="3" t="s">
        <v>46</v>
      </c>
      <c r="AB694" s="3" t="str" cm="1">
        <f t="array" ref="AB694">_xlfn.IFS(AA694="N","No",  AA694 = "Y", "Yes", TRUE, PROPER(TRIM(AA694)))</f>
        <v>Yes</v>
      </c>
      <c r="AC694" s="3">
        <v>5</v>
      </c>
      <c r="AD694" s="3" t="s">
        <v>34</v>
      </c>
      <c r="AE694">
        <f t="shared" si="43"/>
        <v>0</v>
      </c>
    </row>
    <row r="695" spans="1:31" ht="14.25" customHeight="1" x14ac:dyDescent="0.35">
      <c r="A695" s="3" t="s">
        <v>1385</v>
      </c>
      <c r="B695" s="3" t="s">
        <v>140</v>
      </c>
      <c r="C695" s="3" t="s">
        <v>436</v>
      </c>
      <c r="D695" s="3">
        <v>50</v>
      </c>
      <c r="E695" s="3">
        <f t="shared" si="40"/>
        <v>50</v>
      </c>
      <c r="F695" s="3">
        <v>1974</v>
      </c>
      <c r="G695" s="3" t="s">
        <v>50</v>
      </c>
      <c r="H695" s="12" cm="1">
        <f t="array" ref="H695">_xlfn.IFS(TRIM(G695)="SIXTY THOUSAND",60000,TRIM(G695)="NAN",AVERAGEIFS(G:G,J:J,J695,L:L,L695),TRUE,G695)</f>
        <v>60000</v>
      </c>
      <c r="I695" s="3" t="s">
        <v>27</v>
      </c>
      <c r="J695" s="3" t="s">
        <v>70</v>
      </c>
      <c r="K695" s="3" t="str">
        <f t="shared" si="41"/>
        <v>Marketing</v>
      </c>
      <c r="L695" s="3" t="s">
        <v>29</v>
      </c>
      <c r="M695" s="4">
        <v>43195</v>
      </c>
      <c r="N695" s="4">
        <v>43195</v>
      </c>
      <c r="O695" s="3" t="s">
        <v>78</v>
      </c>
      <c r="P695" s="3">
        <v>84</v>
      </c>
      <c r="Q695" s="3" t="s">
        <v>437</v>
      </c>
      <c r="S695" s="3" t="s">
        <v>112</v>
      </c>
      <c r="T695" s="3" t="str">
        <f t="shared" si="42"/>
        <v>Full-Time</v>
      </c>
      <c r="U695" s="3" t="s">
        <v>287</v>
      </c>
      <c r="V695" s="3">
        <v>4</v>
      </c>
      <c r="Y695" s="3" t="s">
        <v>79</v>
      </c>
      <c r="AB695" s="3" t="str" cm="1">
        <f t="array" ref="AB695">_xlfn.IFS(AA695="N","No",  AA695 = "Y", "Yes", TRUE, PROPER(TRIM(AA695)))</f>
        <v/>
      </c>
      <c r="AC695" s="3">
        <v>4</v>
      </c>
      <c r="AD695" s="3" t="s">
        <v>46</v>
      </c>
      <c r="AE695">
        <f t="shared" si="43"/>
        <v>1</v>
      </c>
    </row>
    <row r="696" spans="1:31" ht="14.25" customHeight="1" x14ac:dyDescent="0.35">
      <c r="A696" s="3" t="s">
        <v>1386</v>
      </c>
      <c r="B696" s="3" t="s">
        <v>131</v>
      </c>
      <c r="C696" s="3" t="s">
        <v>692</v>
      </c>
      <c r="D696" s="3">
        <v>25</v>
      </c>
      <c r="E696" s="3">
        <f t="shared" si="40"/>
        <v>25</v>
      </c>
      <c r="F696" s="3">
        <v>1999</v>
      </c>
      <c r="G696" s="3">
        <v>70000</v>
      </c>
      <c r="H696" s="12" cm="1">
        <f t="array" ref="H696">_xlfn.IFS(TRIM(G696)="SIXTY THOUSAND",60000,TRIM(G696)="NAN",AVERAGEIFS(G:G,J:J,J696,L:L,L696),TRUE,G696)</f>
        <v>70000</v>
      </c>
      <c r="I696" s="3" t="s">
        <v>27</v>
      </c>
      <c r="J696" s="3" t="s">
        <v>122</v>
      </c>
      <c r="K696" s="3" t="str">
        <f t="shared" si="41"/>
        <v>IT</v>
      </c>
      <c r="L696" s="3" t="s">
        <v>40</v>
      </c>
      <c r="M696" s="4">
        <v>43800</v>
      </c>
      <c r="N696" s="4">
        <v>43800</v>
      </c>
      <c r="O696" s="3" t="s">
        <v>52</v>
      </c>
      <c r="P696" s="3">
        <v>77</v>
      </c>
      <c r="Q696" s="3" t="s">
        <v>693</v>
      </c>
      <c r="S696" s="3" t="s">
        <v>112</v>
      </c>
      <c r="T696" s="3" t="str">
        <f t="shared" si="42"/>
        <v>Full-Time</v>
      </c>
      <c r="V696" s="3">
        <v>7</v>
      </c>
      <c r="Y696" s="4">
        <v>44990</v>
      </c>
      <c r="AA696" s="3" t="s">
        <v>46</v>
      </c>
      <c r="AB696" s="3" t="str" cm="1">
        <f t="array" ref="AB696">_xlfn.IFS(AA696="N","No",  AA696 = "Y", "Yes", TRUE, PROPER(TRIM(AA696)))</f>
        <v>Yes</v>
      </c>
      <c r="AC696" s="3">
        <v>1</v>
      </c>
      <c r="AD696" s="3" t="s">
        <v>46</v>
      </c>
      <c r="AE696">
        <f t="shared" si="43"/>
        <v>1</v>
      </c>
    </row>
    <row r="697" spans="1:31" ht="14.25" customHeight="1" x14ac:dyDescent="0.35">
      <c r="A697" s="3" t="s">
        <v>1387</v>
      </c>
      <c r="B697" s="3" t="s">
        <v>25</v>
      </c>
      <c r="C697" s="3" t="s">
        <v>499</v>
      </c>
      <c r="D697" s="3">
        <v>50</v>
      </c>
      <c r="E697" s="3">
        <f t="shared" si="40"/>
        <v>50</v>
      </c>
      <c r="F697" s="3">
        <v>1974</v>
      </c>
      <c r="G697" s="3">
        <v>55000</v>
      </c>
      <c r="H697" s="12" cm="1">
        <f t="array" ref="H697">_xlfn.IFS(TRIM(G697)="SIXTY THOUSAND",60000,TRIM(G697)="NAN",AVERAGEIFS(G:G,J:J,J697,L:L,L697),TRUE,G697)</f>
        <v>55000</v>
      </c>
      <c r="I697" s="3" t="s">
        <v>38</v>
      </c>
      <c r="J697" s="3" t="s">
        <v>145</v>
      </c>
      <c r="K697" s="3" t="str">
        <f t="shared" si="41"/>
        <v>Sales</v>
      </c>
      <c r="L697" s="3" t="s">
        <v>29</v>
      </c>
      <c r="M697" s="4">
        <v>43881</v>
      </c>
      <c r="N697" s="4">
        <v>43881</v>
      </c>
      <c r="O697" s="3" t="s">
        <v>59</v>
      </c>
      <c r="P697" s="3">
        <v>100</v>
      </c>
      <c r="Q697" s="3" t="s">
        <v>1388</v>
      </c>
      <c r="R697" s="3" t="s">
        <v>43</v>
      </c>
      <c r="S697" s="3" t="s">
        <v>32</v>
      </c>
      <c r="T697" s="3" t="str">
        <f t="shared" si="42"/>
        <v>Contract</v>
      </c>
      <c r="V697" s="3">
        <v>3</v>
      </c>
      <c r="X697" s="3">
        <v>15</v>
      </c>
      <c r="AA697" s="3" t="s">
        <v>34</v>
      </c>
      <c r="AB697" s="3" t="str" cm="1">
        <f t="array" ref="AB697">_xlfn.IFS(AA697="N","No",  AA697 = "Y", "Yes", TRUE, PROPER(TRIM(AA697)))</f>
        <v>No</v>
      </c>
      <c r="AC697" s="3">
        <v>2</v>
      </c>
      <c r="AD697" s="3" t="s">
        <v>46</v>
      </c>
      <c r="AE697">
        <f t="shared" si="43"/>
        <v>1</v>
      </c>
    </row>
    <row r="698" spans="1:31" ht="14.25" customHeight="1" x14ac:dyDescent="0.35">
      <c r="A698" s="3" t="s">
        <v>1389</v>
      </c>
      <c r="B698" s="3" t="s">
        <v>56</v>
      </c>
      <c r="C698" s="3" t="s">
        <v>676</v>
      </c>
      <c r="D698" s="3">
        <v>50</v>
      </c>
      <c r="E698" s="3">
        <f t="shared" si="40"/>
        <v>50</v>
      </c>
      <c r="F698" s="3">
        <v>1974</v>
      </c>
      <c r="G698" s="3">
        <v>65000</v>
      </c>
      <c r="H698" s="12" cm="1">
        <f t="array" ref="H698">_xlfn.IFS(TRIM(G698)="SIXTY THOUSAND",60000,TRIM(G698)="NAN",AVERAGEIFS(G:G,J:J,J698,L:L,L698),TRUE,G698)</f>
        <v>65000</v>
      </c>
      <c r="I698" s="3" t="s">
        <v>27</v>
      </c>
      <c r="J698" s="3" t="s">
        <v>28</v>
      </c>
      <c r="K698" s="3" t="str">
        <f t="shared" si="41"/>
        <v>HR</v>
      </c>
      <c r="L698" s="3" t="s">
        <v>94</v>
      </c>
      <c r="M698" s="4">
        <v>43549</v>
      </c>
      <c r="N698" s="4">
        <v>43549</v>
      </c>
      <c r="O698" s="3" t="s">
        <v>52</v>
      </c>
      <c r="P698" s="3">
        <v>71</v>
      </c>
      <c r="Q698" s="3" t="s">
        <v>677</v>
      </c>
      <c r="R698" s="3" t="s">
        <v>61</v>
      </c>
      <c r="S698" s="3" t="s">
        <v>72</v>
      </c>
      <c r="T698" s="3" t="str">
        <f t="shared" si="42"/>
        <v>Part-Time</v>
      </c>
      <c r="V698" s="3">
        <v>2</v>
      </c>
      <c r="Y698" s="4">
        <v>44941</v>
      </c>
      <c r="AA698" s="3" t="s">
        <v>73</v>
      </c>
      <c r="AB698" s="3" t="str" cm="1">
        <f t="array" ref="AB698">_xlfn.IFS(AA698="N","No",  AA698 = "Y", "Yes", TRUE, PROPER(TRIM(AA698)))</f>
        <v>No</v>
      </c>
      <c r="AC698" s="3">
        <v>4</v>
      </c>
      <c r="AD698" s="3" t="s">
        <v>34</v>
      </c>
      <c r="AE698">
        <f t="shared" si="43"/>
        <v>0</v>
      </c>
    </row>
    <row r="699" spans="1:31" ht="14.25" customHeight="1" x14ac:dyDescent="0.35">
      <c r="A699" s="3" t="s">
        <v>1390</v>
      </c>
      <c r="B699" s="3" t="s">
        <v>56</v>
      </c>
      <c r="C699" s="3" t="s">
        <v>189</v>
      </c>
      <c r="D699" s="3">
        <v>25</v>
      </c>
      <c r="E699" s="3">
        <f t="shared" si="40"/>
        <v>25</v>
      </c>
      <c r="F699" s="3">
        <v>1999</v>
      </c>
      <c r="G699" s="3">
        <v>70000</v>
      </c>
      <c r="H699" s="12" cm="1">
        <f t="array" ref="H699">_xlfn.IFS(TRIM(G699)="SIXTY THOUSAND",60000,TRIM(G699)="NAN",AVERAGEIFS(G:G,J:J,J699,L:L,L699),TRUE,G699)</f>
        <v>70000</v>
      </c>
      <c r="I699" s="3" t="s">
        <v>27</v>
      </c>
      <c r="J699" s="3" t="s">
        <v>70</v>
      </c>
      <c r="K699" s="3" t="str">
        <f t="shared" si="41"/>
        <v>Marketing</v>
      </c>
      <c r="L699" s="3" t="s">
        <v>40</v>
      </c>
      <c r="M699" s="4">
        <v>43881</v>
      </c>
      <c r="N699" s="4">
        <v>43881</v>
      </c>
      <c r="O699" s="3" t="s">
        <v>52</v>
      </c>
      <c r="P699" s="3">
        <v>76</v>
      </c>
      <c r="Q699" s="3" t="s">
        <v>1391</v>
      </c>
      <c r="R699" s="3" t="s">
        <v>104</v>
      </c>
      <c r="S699" s="3" t="s">
        <v>100</v>
      </c>
      <c r="T699" s="3" t="str">
        <f t="shared" si="42"/>
        <v>Part-Time</v>
      </c>
      <c r="V699" s="3">
        <v>3</v>
      </c>
      <c r="AA699" s="3" t="s">
        <v>73</v>
      </c>
      <c r="AB699" s="3" t="str" cm="1">
        <f t="array" ref="AB699">_xlfn.IFS(AA699="N","No",  AA699 = "Y", "Yes", TRUE, PROPER(TRIM(AA699)))</f>
        <v>No</v>
      </c>
      <c r="AC699" s="3">
        <v>2</v>
      </c>
      <c r="AD699" s="3" t="s">
        <v>46</v>
      </c>
      <c r="AE699">
        <f t="shared" si="43"/>
        <v>1</v>
      </c>
    </row>
    <row r="700" spans="1:31" ht="14.25" customHeight="1" x14ac:dyDescent="0.35">
      <c r="A700" s="3" t="s">
        <v>1392</v>
      </c>
      <c r="B700" s="3" t="s">
        <v>114</v>
      </c>
      <c r="C700" s="3" t="s">
        <v>299</v>
      </c>
      <c r="D700" s="3">
        <v>50</v>
      </c>
      <c r="E700" s="3">
        <f t="shared" si="40"/>
        <v>50</v>
      </c>
      <c r="F700" s="3">
        <v>1974</v>
      </c>
      <c r="G700" s="3">
        <v>65000</v>
      </c>
      <c r="H700" s="12" cm="1">
        <f t="array" ref="H700">_xlfn.IFS(TRIM(G700)="SIXTY THOUSAND",60000,TRIM(G700)="NAN",AVERAGEIFS(G:G,J:J,J700,L:L,L700),TRUE,G700)</f>
        <v>65000</v>
      </c>
      <c r="I700" s="3" t="s">
        <v>27</v>
      </c>
      <c r="J700" s="3" t="s">
        <v>28</v>
      </c>
      <c r="K700" s="3" t="str">
        <f t="shared" si="41"/>
        <v>HR</v>
      </c>
      <c r="L700" s="3" t="s">
        <v>40</v>
      </c>
      <c r="M700" s="4">
        <v>43195</v>
      </c>
      <c r="N700" s="4">
        <v>43195</v>
      </c>
      <c r="O700" s="3" t="s">
        <v>41</v>
      </c>
      <c r="P700" s="3">
        <v>5</v>
      </c>
      <c r="Q700" s="3" t="s">
        <v>1393</v>
      </c>
      <c r="R700" s="3" t="s">
        <v>104</v>
      </c>
      <c r="S700" s="3" t="s">
        <v>112</v>
      </c>
      <c r="T700" s="3" t="str">
        <f t="shared" si="42"/>
        <v>Full-Time</v>
      </c>
      <c r="V700" s="3">
        <v>8</v>
      </c>
      <c r="X700" s="3">
        <v>8</v>
      </c>
      <c r="Y700" s="3" t="s">
        <v>79</v>
      </c>
      <c r="AA700" s="3" t="s">
        <v>34</v>
      </c>
      <c r="AB700" s="3" t="str" cm="1">
        <f t="array" ref="AB700">_xlfn.IFS(AA700="N","No",  AA700 = "Y", "Yes", TRUE, PROPER(TRIM(AA700)))</f>
        <v>No</v>
      </c>
      <c r="AC700" s="3">
        <v>5</v>
      </c>
      <c r="AD700" s="3" t="s">
        <v>34</v>
      </c>
      <c r="AE700">
        <f t="shared" si="43"/>
        <v>0</v>
      </c>
    </row>
    <row r="701" spans="1:31" ht="14.25" customHeight="1" x14ac:dyDescent="0.35">
      <c r="A701" s="3" t="s">
        <v>1394</v>
      </c>
      <c r="B701" s="3" t="s">
        <v>75</v>
      </c>
      <c r="C701" s="3" t="s">
        <v>395</v>
      </c>
      <c r="E701" s="3">
        <f t="shared" si="40"/>
        <v>35</v>
      </c>
      <c r="F701" s="3">
        <v>1989</v>
      </c>
      <c r="G701" s="3">
        <v>65000</v>
      </c>
      <c r="H701" s="12" cm="1">
        <f t="array" ref="H701">_xlfn.IFS(TRIM(G701)="SIXTY THOUSAND",60000,TRIM(G701)="NAN",AVERAGEIFS(G:G,J:J,J701,L:L,L701),TRUE,G701)</f>
        <v>65000</v>
      </c>
      <c r="I701" s="3" t="s">
        <v>27</v>
      </c>
      <c r="J701" s="3" t="s">
        <v>122</v>
      </c>
      <c r="K701" s="3" t="str">
        <f t="shared" si="41"/>
        <v>IT</v>
      </c>
      <c r="L701" s="3" t="s">
        <v>89</v>
      </c>
      <c r="M701" s="4">
        <v>43845</v>
      </c>
      <c r="N701" s="4">
        <v>43845</v>
      </c>
      <c r="O701" s="3" t="s">
        <v>78</v>
      </c>
      <c r="P701" s="3">
        <v>85</v>
      </c>
      <c r="Q701" s="3" t="s">
        <v>1395</v>
      </c>
      <c r="R701" s="3" t="s">
        <v>43</v>
      </c>
      <c r="S701" s="3" t="s">
        <v>174</v>
      </c>
      <c r="T701" s="3" t="str">
        <f t="shared" si="42"/>
        <v>Full-Time</v>
      </c>
      <c r="U701" s="3" t="s">
        <v>1396</v>
      </c>
      <c r="V701" s="3">
        <v>1</v>
      </c>
      <c r="W701" s="3">
        <v>11</v>
      </c>
      <c r="Y701" s="4">
        <v>44732</v>
      </c>
      <c r="AB701" s="3" t="str" cm="1">
        <f t="array" ref="AB701">_xlfn.IFS(AA701="N","No",  AA701 = "Y", "Yes", TRUE, PROPER(TRIM(AA701)))</f>
        <v/>
      </c>
      <c r="AC701" s="3">
        <v>1</v>
      </c>
      <c r="AD701" s="3" t="s">
        <v>46</v>
      </c>
      <c r="AE701">
        <f t="shared" si="43"/>
        <v>1</v>
      </c>
    </row>
    <row r="702" spans="1:31" ht="14.25" customHeight="1" x14ac:dyDescent="0.35">
      <c r="A702" s="3" t="s">
        <v>1397</v>
      </c>
      <c r="B702" s="3" t="s">
        <v>25</v>
      </c>
      <c r="C702" s="3" t="s">
        <v>110</v>
      </c>
      <c r="E702" s="3">
        <f t="shared" si="40"/>
        <v>33</v>
      </c>
      <c r="F702" s="3">
        <v>1991</v>
      </c>
      <c r="G702" s="3">
        <v>55000</v>
      </c>
      <c r="H702" s="12" cm="1">
        <f t="array" ref="H702">_xlfn.IFS(TRIM(G702)="SIXTY THOUSAND",60000,TRIM(G702)="NAN",AVERAGEIFS(G:G,J:J,J702,L:L,L702),TRUE,G702)</f>
        <v>55000</v>
      </c>
      <c r="I702" s="3" t="s">
        <v>27</v>
      </c>
      <c r="J702" s="3" t="s">
        <v>122</v>
      </c>
      <c r="K702" s="3" t="str">
        <f t="shared" si="41"/>
        <v>IT</v>
      </c>
      <c r="L702" s="3" t="s">
        <v>77</v>
      </c>
      <c r="M702" s="4">
        <v>43195</v>
      </c>
      <c r="N702" s="4">
        <v>43195</v>
      </c>
      <c r="O702" s="3" t="s">
        <v>30</v>
      </c>
      <c r="P702" s="3">
        <v>66</v>
      </c>
      <c r="Q702" s="3" t="s">
        <v>1398</v>
      </c>
      <c r="R702" s="3" t="s">
        <v>61</v>
      </c>
      <c r="S702" s="3" t="s">
        <v>174</v>
      </c>
      <c r="T702" s="3" t="str">
        <f t="shared" si="42"/>
        <v>Full-Time</v>
      </c>
      <c r="V702" s="3">
        <v>2</v>
      </c>
      <c r="X702" s="3">
        <v>13</v>
      </c>
      <c r="Y702" s="3" t="s">
        <v>79</v>
      </c>
      <c r="AB702" s="3" t="str" cm="1">
        <f t="array" ref="AB702">_xlfn.IFS(AA702="N","No",  AA702 = "Y", "Yes", TRUE, PROPER(TRIM(AA702)))</f>
        <v/>
      </c>
      <c r="AC702" s="3">
        <v>5</v>
      </c>
      <c r="AD702" s="3" t="s">
        <v>46</v>
      </c>
      <c r="AE702">
        <f t="shared" si="43"/>
        <v>1</v>
      </c>
    </row>
    <row r="703" spans="1:31" ht="14.25" customHeight="1" x14ac:dyDescent="0.35">
      <c r="A703" s="3" t="s">
        <v>1399</v>
      </c>
      <c r="B703" s="3" t="s">
        <v>107</v>
      </c>
      <c r="C703" s="3" t="s">
        <v>777</v>
      </c>
      <c r="E703" s="3">
        <f t="shared" si="40"/>
        <v>37</v>
      </c>
      <c r="F703" s="3">
        <v>1987</v>
      </c>
      <c r="G703" s="3">
        <v>61500</v>
      </c>
      <c r="H703" s="12" cm="1">
        <f t="array" ref="H703">_xlfn.IFS(TRIM(G703)="SIXTY THOUSAND",60000,TRIM(G703)="NAN",AVERAGEIFS(G:G,J:J,J703,L:L,L703),TRUE,G703)</f>
        <v>61500</v>
      </c>
      <c r="I703" s="3" t="s">
        <v>27</v>
      </c>
      <c r="J703" s="3" t="s">
        <v>145</v>
      </c>
      <c r="K703" s="3" t="str">
        <f t="shared" si="41"/>
        <v>Sales</v>
      </c>
      <c r="L703" s="3" t="s">
        <v>29</v>
      </c>
      <c r="M703" s="4">
        <v>43881</v>
      </c>
      <c r="N703" s="4">
        <v>43881</v>
      </c>
      <c r="O703" s="3" t="s">
        <v>30</v>
      </c>
      <c r="P703" s="3">
        <v>61</v>
      </c>
      <c r="Q703" s="3" t="s">
        <v>778</v>
      </c>
      <c r="R703" s="3" t="s">
        <v>104</v>
      </c>
      <c r="S703" s="3" t="s">
        <v>32</v>
      </c>
      <c r="T703" s="3" t="str">
        <f t="shared" si="42"/>
        <v>Contract</v>
      </c>
      <c r="V703" s="3">
        <v>2</v>
      </c>
      <c r="Y703" s="4">
        <v>44732</v>
      </c>
      <c r="Z703" s="3">
        <v>31</v>
      </c>
      <c r="AA703" s="3" t="s">
        <v>46</v>
      </c>
      <c r="AB703" s="3" t="str" cm="1">
        <f t="array" ref="AB703">_xlfn.IFS(AA703="N","No",  AA703 = "Y", "Yes", TRUE, PROPER(TRIM(AA703)))</f>
        <v>Yes</v>
      </c>
      <c r="AC703" s="3">
        <v>1</v>
      </c>
      <c r="AD703" s="3" t="s">
        <v>34</v>
      </c>
      <c r="AE703">
        <f t="shared" si="43"/>
        <v>0</v>
      </c>
    </row>
    <row r="704" spans="1:31" ht="14.25" customHeight="1" x14ac:dyDescent="0.35">
      <c r="A704" s="3" t="s">
        <v>1400</v>
      </c>
      <c r="B704" s="3" t="s">
        <v>114</v>
      </c>
      <c r="C704" s="3" t="s">
        <v>125</v>
      </c>
      <c r="D704" s="3">
        <v>25</v>
      </c>
      <c r="E704" s="3">
        <f t="shared" si="40"/>
        <v>25</v>
      </c>
      <c r="F704" s="3">
        <v>1999</v>
      </c>
      <c r="G704" s="3" t="s">
        <v>50</v>
      </c>
      <c r="H704" s="12" cm="1">
        <f t="array" ref="H704">_xlfn.IFS(TRIM(G704)="SIXTY THOUSAND",60000,TRIM(G704)="NAN",AVERAGEIFS(G:G,J:J,J704,L:L,L704),TRUE,G704)</f>
        <v>60000</v>
      </c>
      <c r="I704" s="3" t="s">
        <v>27</v>
      </c>
      <c r="J704" s="3" t="s">
        <v>145</v>
      </c>
      <c r="K704" s="3" t="str">
        <f t="shared" si="41"/>
        <v>Sales</v>
      </c>
      <c r="L704" s="3" t="s">
        <v>29</v>
      </c>
      <c r="M704" s="4">
        <v>43195</v>
      </c>
      <c r="N704" s="4">
        <v>43195</v>
      </c>
      <c r="O704" s="3" t="s">
        <v>41</v>
      </c>
      <c r="P704" s="3">
        <v>4</v>
      </c>
      <c r="Q704" s="3" t="s">
        <v>126</v>
      </c>
      <c r="R704" s="3" t="s">
        <v>104</v>
      </c>
      <c r="S704" s="3" t="s">
        <v>72</v>
      </c>
      <c r="T704" s="3" t="str">
        <f t="shared" si="42"/>
        <v>Part-Time</v>
      </c>
      <c r="V704" s="3">
        <v>8</v>
      </c>
      <c r="Y704" s="4">
        <v>44732</v>
      </c>
      <c r="AA704" s="3" t="s">
        <v>46</v>
      </c>
      <c r="AB704" s="3" t="str" cm="1">
        <f t="array" ref="AB704">_xlfn.IFS(AA704="N","No",  AA704 = "Y", "Yes", TRUE, PROPER(TRIM(AA704)))</f>
        <v>Yes</v>
      </c>
      <c r="AC704" s="3">
        <v>4</v>
      </c>
      <c r="AD704" s="3" t="s">
        <v>34</v>
      </c>
      <c r="AE704">
        <f t="shared" si="43"/>
        <v>0</v>
      </c>
    </row>
    <row r="705" spans="1:31" ht="14.25" customHeight="1" x14ac:dyDescent="0.35">
      <c r="A705" s="3" t="s">
        <v>1401</v>
      </c>
      <c r="B705" s="3" t="s">
        <v>107</v>
      </c>
      <c r="C705" s="3" t="s">
        <v>777</v>
      </c>
      <c r="D705" s="3">
        <v>50</v>
      </c>
      <c r="E705" s="3">
        <f t="shared" si="40"/>
        <v>50</v>
      </c>
      <c r="F705" s="3">
        <v>1974</v>
      </c>
      <c r="G705" s="3">
        <v>55000</v>
      </c>
      <c r="H705" s="12" cm="1">
        <f t="array" ref="H705">_xlfn.IFS(TRIM(G705)="SIXTY THOUSAND",60000,TRIM(G705)="NAN",AVERAGEIFS(G:G,J:J,J705,L:L,L705),TRUE,G705)</f>
        <v>55000</v>
      </c>
      <c r="I705" s="3" t="s">
        <v>27</v>
      </c>
      <c r="J705" s="3" t="s">
        <v>58</v>
      </c>
      <c r="K705" s="3" t="str">
        <f t="shared" si="41"/>
        <v>IT</v>
      </c>
      <c r="L705" s="3" t="s">
        <v>89</v>
      </c>
      <c r="M705" s="4">
        <v>43845</v>
      </c>
      <c r="N705" s="4">
        <v>43845</v>
      </c>
      <c r="O705" s="3" t="s">
        <v>30</v>
      </c>
      <c r="P705" s="3">
        <v>68</v>
      </c>
      <c r="Q705" s="3" t="s">
        <v>778</v>
      </c>
      <c r="R705" s="3" t="s">
        <v>104</v>
      </c>
      <c r="S705" s="3" t="s">
        <v>32</v>
      </c>
      <c r="T705" s="3" t="str">
        <f t="shared" si="42"/>
        <v>Contract</v>
      </c>
      <c r="V705" s="3">
        <v>3</v>
      </c>
      <c r="X705" s="3">
        <v>7</v>
      </c>
      <c r="Y705" s="4">
        <v>44941</v>
      </c>
      <c r="AB705" s="3" t="str" cm="1">
        <f t="array" ref="AB705">_xlfn.IFS(AA705="N","No",  AA705 = "Y", "Yes", TRUE, PROPER(TRIM(AA705)))</f>
        <v/>
      </c>
      <c r="AC705" s="3">
        <v>2</v>
      </c>
      <c r="AD705" s="3" t="s">
        <v>34</v>
      </c>
      <c r="AE705">
        <f t="shared" si="43"/>
        <v>0</v>
      </c>
    </row>
    <row r="706" spans="1:31" ht="14.25" customHeight="1" x14ac:dyDescent="0.35">
      <c r="A706" s="3" t="s">
        <v>1402</v>
      </c>
      <c r="B706" s="3" t="s">
        <v>114</v>
      </c>
      <c r="C706" s="3" t="s">
        <v>161</v>
      </c>
      <c r="D706" s="3">
        <v>25</v>
      </c>
      <c r="E706" s="3">
        <f t="shared" ref="E706:E769" si="44">2024-F706</f>
        <v>25</v>
      </c>
      <c r="F706" s="3">
        <v>1999</v>
      </c>
      <c r="G706" s="3">
        <v>70000</v>
      </c>
      <c r="H706" s="12" cm="1">
        <f t="array" ref="H706">_xlfn.IFS(TRIM(G706)="SIXTY THOUSAND",60000,TRIM(G706)="NAN",AVERAGEIFS(G:G,J:J,J706,L:L,L706),TRUE,G706)</f>
        <v>70000</v>
      </c>
      <c r="I706" s="3" t="s">
        <v>38</v>
      </c>
      <c r="J706" s="3" t="s">
        <v>93</v>
      </c>
      <c r="K706" s="3" t="str">
        <f t="shared" ref="K706:K769" si="45">IF(OR(J706="HR",J706="IT"),UPPER(J706),PROPER(J706))</f>
        <v>Marketing</v>
      </c>
      <c r="L706" s="3" t="s">
        <v>89</v>
      </c>
      <c r="M706" s="4">
        <v>43800</v>
      </c>
      <c r="N706" s="4">
        <v>43800</v>
      </c>
      <c r="O706" s="3" t="s">
        <v>52</v>
      </c>
      <c r="P706" s="3">
        <v>70</v>
      </c>
      <c r="Q706" s="3" t="s">
        <v>1403</v>
      </c>
      <c r="R706" s="3" t="s">
        <v>61</v>
      </c>
      <c r="S706" s="3" t="s">
        <v>44</v>
      </c>
      <c r="T706" s="3" t="str">
        <f t="shared" ref="T706:T769" si="46">PROPER(S706)</f>
        <v>Full-Time</v>
      </c>
      <c r="U706" s="3" t="s">
        <v>267</v>
      </c>
      <c r="V706" s="3">
        <v>1</v>
      </c>
      <c r="W706" s="3">
        <v>11</v>
      </c>
      <c r="Z706" s="3">
        <v>28</v>
      </c>
      <c r="AA706" s="3" t="s">
        <v>169</v>
      </c>
      <c r="AB706" s="3" t="str" cm="1">
        <f t="array" ref="AB706">_xlfn.IFS(AA706="N","No",  AA706 = "Y", "Yes", TRUE, PROPER(TRIM(AA706)))</f>
        <v>Yes</v>
      </c>
      <c r="AC706" s="3">
        <v>5</v>
      </c>
      <c r="AD706" s="3" t="s">
        <v>46</v>
      </c>
      <c r="AE706">
        <f t="shared" si="43"/>
        <v>1</v>
      </c>
    </row>
    <row r="707" spans="1:31" ht="14.25" customHeight="1" x14ac:dyDescent="0.35">
      <c r="A707" s="3" t="s">
        <v>1404</v>
      </c>
      <c r="B707" s="3" t="s">
        <v>114</v>
      </c>
      <c r="C707" s="3" t="s">
        <v>84</v>
      </c>
      <c r="E707" s="3">
        <f t="shared" si="44"/>
        <v>34</v>
      </c>
      <c r="F707" s="3">
        <v>1990</v>
      </c>
      <c r="G707" s="3">
        <v>58800</v>
      </c>
      <c r="H707" s="12" cm="1">
        <f t="array" ref="H707">_xlfn.IFS(TRIM(G707)="SIXTY THOUSAND",60000,TRIM(G707)="NAN",AVERAGEIFS(G:G,J:J,J707,L:L,L707),TRUE,G707)</f>
        <v>58800</v>
      </c>
      <c r="I707" s="3" t="s">
        <v>27</v>
      </c>
      <c r="J707" s="3" t="s">
        <v>28</v>
      </c>
      <c r="K707" s="3" t="str">
        <f t="shared" si="45"/>
        <v>HR</v>
      </c>
      <c r="L707" s="3" t="s">
        <v>77</v>
      </c>
      <c r="M707" s="4">
        <v>43881</v>
      </c>
      <c r="N707" s="4">
        <v>43881</v>
      </c>
      <c r="O707" s="3" t="s">
        <v>41</v>
      </c>
      <c r="P707" s="3">
        <v>4</v>
      </c>
      <c r="Q707" s="3" t="s">
        <v>1405</v>
      </c>
      <c r="R707" s="3" t="s">
        <v>43</v>
      </c>
      <c r="S707" s="3" t="s">
        <v>66</v>
      </c>
      <c r="T707" s="3" t="str">
        <f t="shared" si="46"/>
        <v>Contract</v>
      </c>
      <c r="U707" s="3" t="s">
        <v>267</v>
      </c>
      <c r="V707" s="3">
        <v>7</v>
      </c>
      <c r="AA707" s="3" t="s">
        <v>169</v>
      </c>
      <c r="AB707" s="3" t="str" cm="1">
        <f t="array" ref="AB707">_xlfn.IFS(AA707="N","No",  AA707 = "Y", "Yes", TRUE, PROPER(TRIM(AA707)))</f>
        <v>Yes</v>
      </c>
      <c r="AC707" s="3">
        <v>4</v>
      </c>
      <c r="AD707" s="3" t="s">
        <v>34</v>
      </c>
      <c r="AE707">
        <f t="shared" ref="AE707:AE770" si="47">IF(AD707="Yes",1,0)</f>
        <v>0</v>
      </c>
    </row>
    <row r="708" spans="1:31" ht="14.25" customHeight="1" x14ac:dyDescent="0.35">
      <c r="A708" s="3" t="s">
        <v>1406</v>
      </c>
      <c r="B708" s="3" t="s">
        <v>114</v>
      </c>
      <c r="C708" s="3" t="s">
        <v>662</v>
      </c>
      <c r="D708" s="3">
        <v>50</v>
      </c>
      <c r="E708" s="3">
        <f t="shared" si="44"/>
        <v>50</v>
      </c>
      <c r="F708" s="3">
        <v>1974</v>
      </c>
      <c r="G708" s="3">
        <v>70000</v>
      </c>
      <c r="H708" s="12" cm="1">
        <f t="array" ref="H708">_xlfn.IFS(TRIM(G708)="SIXTY THOUSAND",60000,TRIM(G708)="NAN",AVERAGEIFS(G:G,J:J,J708,L:L,L708),TRUE,G708)</f>
        <v>70000</v>
      </c>
      <c r="I708" s="3" t="s">
        <v>27</v>
      </c>
      <c r="J708" s="3" t="s">
        <v>64</v>
      </c>
      <c r="K708" s="3" t="str">
        <f t="shared" si="45"/>
        <v>Finance</v>
      </c>
      <c r="L708" s="3" t="s">
        <v>77</v>
      </c>
      <c r="M708" s="4">
        <v>43195</v>
      </c>
      <c r="N708" s="4">
        <v>43195</v>
      </c>
      <c r="O708" s="3" t="s">
        <v>59</v>
      </c>
      <c r="P708" s="3">
        <v>93</v>
      </c>
      <c r="Q708" s="3" t="s">
        <v>663</v>
      </c>
      <c r="R708" s="3" t="s">
        <v>104</v>
      </c>
      <c r="S708" s="3" t="s">
        <v>100</v>
      </c>
      <c r="T708" s="3" t="str">
        <f t="shared" si="46"/>
        <v>Part-Time</v>
      </c>
      <c r="V708" s="3">
        <v>7</v>
      </c>
      <c r="X708" s="3">
        <v>9</v>
      </c>
      <c r="AA708" s="3" t="s">
        <v>34</v>
      </c>
      <c r="AB708" s="3" t="str" cm="1">
        <f t="array" ref="AB708">_xlfn.IFS(AA708="N","No",  AA708 = "Y", "Yes", TRUE, PROPER(TRIM(AA708)))</f>
        <v>No</v>
      </c>
      <c r="AC708" s="3">
        <v>3</v>
      </c>
      <c r="AD708" s="3" t="s">
        <v>34</v>
      </c>
      <c r="AE708">
        <f t="shared" si="47"/>
        <v>0</v>
      </c>
    </row>
    <row r="709" spans="1:31" ht="14.25" customHeight="1" x14ac:dyDescent="0.35">
      <c r="A709" s="3" t="s">
        <v>1407</v>
      </c>
      <c r="B709" s="3" t="s">
        <v>75</v>
      </c>
      <c r="C709" s="3" t="s">
        <v>819</v>
      </c>
      <c r="D709" s="3">
        <v>50</v>
      </c>
      <c r="E709" s="3">
        <f t="shared" si="44"/>
        <v>50</v>
      </c>
      <c r="F709" s="3">
        <v>1974</v>
      </c>
      <c r="G709" s="3">
        <v>63000</v>
      </c>
      <c r="H709" s="12" cm="1">
        <f t="array" ref="H709">_xlfn.IFS(TRIM(G709)="SIXTY THOUSAND",60000,TRIM(G709)="NAN",AVERAGEIFS(G:G,J:J,J709,L:L,L709),TRUE,G709)</f>
        <v>63000</v>
      </c>
      <c r="I709" s="3" t="s">
        <v>27</v>
      </c>
      <c r="J709" s="3" t="s">
        <v>145</v>
      </c>
      <c r="K709" s="3" t="str">
        <f t="shared" si="45"/>
        <v>Sales</v>
      </c>
      <c r="L709" s="3" t="s">
        <v>40</v>
      </c>
      <c r="M709" s="4">
        <v>43881</v>
      </c>
      <c r="N709" s="4">
        <v>43881</v>
      </c>
      <c r="O709" s="3" t="s">
        <v>78</v>
      </c>
      <c r="P709" s="3">
        <v>85</v>
      </c>
      <c r="Q709" s="3" t="s">
        <v>820</v>
      </c>
      <c r="S709" s="3" t="s">
        <v>32</v>
      </c>
      <c r="T709" s="3" t="str">
        <f t="shared" si="46"/>
        <v>Contract</v>
      </c>
      <c r="U709" s="3" t="s">
        <v>1408</v>
      </c>
      <c r="V709" s="3">
        <v>6</v>
      </c>
      <c r="X709" s="3">
        <v>3</v>
      </c>
      <c r="Y709" s="4">
        <v>44990</v>
      </c>
      <c r="Z709" s="3">
        <v>48</v>
      </c>
      <c r="AA709" s="3" t="s">
        <v>46</v>
      </c>
      <c r="AB709" s="3" t="str" cm="1">
        <f t="array" ref="AB709">_xlfn.IFS(AA709="N","No",  AA709 = "Y", "Yes", TRUE, PROPER(TRIM(AA709)))</f>
        <v>Yes</v>
      </c>
      <c r="AC709" s="3">
        <v>3</v>
      </c>
      <c r="AD709" s="3" t="s">
        <v>34</v>
      </c>
      <c r="AE709">
        <f t="shared" si="47"/>
        <v>0</v>
      </c>
    </row>
    <row r="710" spans="1:31" ht="14.25" customHeight="1" x14ac:dyDescent="0.35">
      <c r="A710" s="3" t="s">
        <v>1409</v>
      </c>
      <c r="B710" s="3" t="s">
        <v>114</v>
      </c>
      <c r="C710" s="3" t="s">
        <v>259</v>
      </c>
      <c r="D710" s="3">
        <v>40</v>
      </c>
      <c r="E710" s="3">
        <f t="shared" si="44"/>
        <v>40</v>
      </c>
      <c r="F710" s="3">
        <v>1984</v>
      </c>
      <c r="G710" s="3">
        <v>70000</v>
      </c>
      <c r="H710" s="12" cm="1">
        <f t="array" ref="H710">_xlfn.IFS(TRIM(G710)="SIXTY THOUSAND",60000,TRIM(G710)="NAN",AVERAGEIFS(G:G,J:J,J710,L:L,L710),TRUE,G710)</f>
        <v>70000</v>
      </c>
      <c r="I710" s="3" t="s">
        <v>27</v>
      </c>
      <c r="J710" s="3" t="s">
        <v>39</v>
      </c>
      <c r="K710" s="3" t="str">
        <f t="shared" si="45"/>
        <v>Finance</v>
      </c>
      <c r="L710" s="3" t="s">
        <v>94</v>
      </c>
      <c r="M710" s="4">
        <v>43800</v>
      </c>
      <c r="N710" s="4">
        <v>43800</v>
      </c>
      <c r="O710" s="3" t="s">
        <v>78</v>
      </c>
      <c r="P710" s="3">
        <v>82</v>
      </c>
      <c r="Q710" s="3" t="s">
        <v>1410</v>
      </c>
      <c r="R710" s="3" t="s">
        <v>61</v>
      </c>
      <c r="S710" s="3" t="s">
        <v>32</v>
      </c>
      <c r="T710" s="3" t="str">
        <f t="shared" si="46"/>
        <v>Contract</v>
      </c>
      <c r="V710" s="3">
        <v>1</v>
      </c>
      <c r="W710" s="3">
        <v>5</v>
      </c>
      <c r="Y710" s="4">
        <v>44990</v>
      </c>
      <c r="Z710" s="3">
        <v>59</v>
      </c>
      <c r="AA710" s="3" t="s">
        <v>33</v>
      </c>
      <c r="AB710" s="3" t="str" cm="1">
        <f t="array" ref="AB710">_xlfn.IFS(AA710="N","No",  AA710 = "Y", "Yes", TRUE, PROPER(TRIM(AA710)))</f>
        <v>Yes</v>
      </c>
      <c r="AC710" s="3">
        <v>3</v>
      </c>
      <c r="AD710" s="3" t="s">
        <v>46</v>
      </c>
      <c r="AE710">
        <f t="shared" si="47"/>
        <v>1</v>
      </c>
    </row>
    <row r="711" spans="1:31" ht="14.25" customHeight="1" x14ac:dyDescent="0.35">
      <c r="A711" s="3" t="s">
        <v>1411</v>
      </c>
      <c r="B711" s="3" t="s">
        <v>36</v>
      </c>
      <c r="C711" s="3" t="s">
        <v>219</v>
      </c>
      <c r="D711" s="3">
        <v>40</v>
      </c>
      <c r="E711" s="3">
        <f t="shared" si="44"/>
        <v>40</v>
      </c>
      <c r="F711" s="3">
        <v>1984</v>
      </c>
      <c r="G711" s="3">
        <v>55000</v>
      </c>
      <c r="H711" s="12" cm="1">
        <f t="array" ref="H711">_xlfn.IFS(TRIM(G711)="SIXTY THOUSAND",60000,TRIM(G711)="NAN",AVERAGEIFS(G:G,J:J,J711,L:L,L711),TRUE,G711)</f>
        <v>55000</v>
      </c>
      <c r="I711" s="3" t="s">
        <v>38</v>
      </c>
      <c r="J711" s="3" t="s">
        <v>93</v>
      </c>
      <c r="K711" s="3" t="str">
        <f t="shared" si="45"/>
        <v>Marketing</v>
      </c>
      <c r="L711" s="3" t="s">
        <v>77</v>
      </c>
      <c r="M711" s="4">
        <v>43195</v>
      </c>
      <c r="N711" s="4">
        <v>43195</v>
      </c>
      <c r="O711" s="3" t="s">
        <v>78</v>
      </c>
      <c r="P711" s="3">
        <v>89</v>
      </c>
      <c r="Q711" s="3" t="s">
        <v>220</v>
      </c>
      <c r="R711" s="3" t="s">
        <v>54</v>
      </c>
      <c r="S711" s="3" t="s">
        <v>100</v>
      </c>
      <c r="T711" s="3" t="str">
        <f t="shared" si="46"/>
        <v>Part-Time</v>
      </c>
      <c r="U711" s="3" t="s">
        <v>330</v>
      </c>
      <c r="V711" s="3">
        <v>7</v>
      </c>
      <c r="Z711" s="3">
        <v>10</v>
      </c>
      <c r="AA711" s="3" t="s">
        <v>46</v>
      </c>
      <c r="AB711" s="3" t="str" cm="1">
        <f t="array" ref="AB711">_xlfn.IFS(AA711="N","No",  AA711 = "Y", "Yes", TRUE, PROPER(TRIM(AA711)))</f>
        <v>Yes</v>
      </c>
      <c r="AC711" s="3">
        <v>3</v>
      </c>
      <c r="AD711" s="3" t="s">
        <v>34</v>
      </c>
      <c r="AE711">
        <f t="shared" si="47"/>
        <v>0</v>
      </c>
    </row>
    <row r="712" spans="1:31" ht="14.25" customHeight="1" x14ac:dyDescent="0.35">
      <c r="A712" s="3" t="s">
        <v>1412</v>
      </c>
      <c r="B712" s="3" t="s">
        <v>140</v>
      </c>
      <c r="C712" s="3" t="s">
        <v>196</v>
      </c>
      <c r="D712" s="3" t="s">
        <v>88</v>
      </c>
      <c r="E712" s="3">
        <f t="shared" si="44"/>
        <v>30</v>
      </c>
      <c r="F712" s="3">
        <v>1994</v>
      </c>
      <c r="G712" s="3">
        <v>58300</v>
      </c>
      <c r="H712" s="12" cm="1">
        <f t="array" ref="H712">_xlfn.IFS(TRIM(G712)="SIXTY THOUSAND",60000,TRIM(G712)="NAN",AVERAGEIFS(G:G,J:J,J712,L:L,L712),TRUE,G712)</f>
        <v>58300</v>
      </c>
      <c r="I712" s="3" t="s">
        <v>38</v>
      </c>
      <c r="J712" s="3" t="s">
        <v>145</v>
      </c>
      <c r="K712" s="3" t="str">
        <f t="shared" si="45"/>
        <v>Sales</v>
      </c>
      <c r="L712" s="3" t="s">
        <v>89</v>
      </c>
      <c r="M712" s="4">
        <v>43195</v>
      </c>
      <c r="N712" s="4">
        <v>43195</v>
      </c>
      <c r="O712" s="3" t="s">
        <v>52</v>
      </c>
      <c r="P712" s="3">
        <v>76</v>
      </c>
      <c r="Q712" s="3" t="s">
        <v>197</v>
      </c>
      <c r="R712" s="3" t="s">
        <v>43</v>
      </c>
      <c r="S712" s="3" t="s">
        <v>66</v>
      </c>
      <c r="T712" s="3" t="str">
        <f t="shared" si="46"/>
        <v>Contract</v>
      </c>
      <c r="V712" s="3">
        <v>4</v>
      </c>
      <c r="AA712" s="3" t="s">
        <v>34</v>
      </c>
      <c r="AB712" s="3" t="str" cm="1">
        <f t="array" ref="AB712">_xlfn.IFS(AA712="N","No",  AA712 = "Y", "Yes", TRUE, PROPER(TRIM(AA712)))</f>
        <v>No</v>
      </c>
      <c r="AC712" s="3">
        <v>3</v>
      </c>
      <c r="AD712" s="3" t="s">
        <v>34</v>
      </c>
      <c r="AE712">
        <f t="shared" si="47"/>
        <v>0</v>
      </c>
    </row>
    <row r="713" spans="1:31" ht="14.25" customHeight="1" x14ac:dyDescent="0.35">
      <c r="A713" s="3" t="s">
        <v>1413</v>
      </c>
      <c r="B713" s="3" t="s">
        <v>107</v>
      </c>
      <c r="C713" s="3" t="s">
        <v>121</v>
      </c>
      <c r="D713" s="3">
        <v>35</v>
      </c>
      <c r="E713" s="3">
        <f t="shared" si="44"/>
        <v>35</v>
      </c>
      <c r="F713" s="3">
        <v>1989</v>
      </c>
      <c r="G713" s="3">
        <v>61300</v>
      </c>
      <c r="H713" s="12" cm="1">
        <f t="array" ref="H713">_xlfn.IFS(TRIM(G713)="SIXTY THOUSAND",60000,TRIM(G713)="NAN",AVERAGEIFS(G:G,J:J,J713,L:L,L713),TRUE,G713)</f>
        <v>61300</v>
      </c>
      <c r="I713" s="3" t="s">
        <v>38</v>
      </c>
      <c r="J713" s="3" t="s">
        <v>64</v>
      </c>
      <c r="K713" s="3" t="str">
        <f t="shared" si="45"/>
        <v>Finance</v>
      </c>
      <c r="L713" s="3" t="s">
        <v>77</v>
      </c>
      <c r="M713" s="4">
        <v>43881</v>
      </c>
      <c r="N713" s="4">
        <v>43881</v>
      </c>
      <c r="O713" s="3" t="s">
        <v>59</v>
      </c>
      <c r="P713" s="3">
        <v>97</v>
      </c>
      <c r="Q713" s="3" t="s">
        <v>123</v>
      </c>
      <c r="S713" s="3" t="s">
        <v>44</v>
      </c>
      <c r="T713" s="3" t="str">
        <f t="shared" si="46"/>
        <v>Full-Time</v>
      </c>
      <c r="V713" s="3">
        <v>8</v>
      </c>
      <c r="W713" s="3" t="s">
        <v>79</v>
      </c>
      <c r="X713" s="3">
        <v>9</v>
      </c>
      <c r="AA713" s="3" t="s">
        <v>34</v>
      </c>
      <c r="AB713" s="3" t="str" cm="1">
        <f t="array" ref="AB713">_xlfn.IFS(AA713="N","No",  AA713 = "Y", "Yes", TRUE, PROPER(TRIM(AA713)))</f>
        <v>No</v>
      </c>
      <c r="AC713" s="3">
        <v>5</v>
      </c>
      <c r="AD713" s="3" t="s">
        <v>34</v>
      </c>
      <c r="AE713">
        <f t="shared" si="47"/>
        <v>0</v>
      </c>
    </row>
    <row r="714" spans="1:31" ht="14.25" customHeight="1" x14ac:dyDescent="0.35">
      <c r="A714" s="3" t="s">
        <v>1414</v>
      </c>
      <c r="B714" s="3" t="s">
        <v>131</v>
      </c>
      <c r="C714" s="3" t="s">
        <v>216</v>
      </c>
      <c r="D714" s="3">
        <v>40</v>
      </c>
      <c r="E714" s="3">
        <f t="shared" si="44"/>
        <v>40</v>
      </c>
      <c r="F714" s="3">
        <v>1984</v>
      </c>
      <c r="G714" s="3">
        <v>65000</v>
      </c>
      <c r="H714" s="12" cm="1">
        <f t="array" ref="H714">_xlfn.IFS(TRIM(G714)="SIXTY THOUSAND",60000,TRIM(G714)="NAN",AVERAGEIFS(G:G,J:J,J714,L:L,L714),TRUE,G714)</f>
        <v>65000</v>
      </c>
      <c r="I714" s="3" t="s">
        <v>38</v>
      </c>
      <c r="J714" s="3" t="s">
        <v>70</v>
      </c>
      <c r="K714" s="3" t="str">
        <f t="shared" si="45"/>
        <v>Marketing</v>
      </c>
      <c r="L714" s="3" t="s">
        <v>29</v>
      </c>
      <c r="M714" s="4">
        <v>43881</v>
      </c>
      <c r="N714" s="4">
        <v>43881</v>
      </c>
      <c r="O714" s="3" t="s">
        <v>41</v>
      </c>
      <c r="P714" s="3">
        <v>27</v>
      </c>
      <c r="Q714" s="3" t="s">
        <v>217</v>
      </c>
      <c r="R714" s="3" t="s">
        <v>104</v>
      </c>
      <c r="S714" s="3" t="s">
        <v>174</v>
      </c>
      <c r="T714" s="3" t="str">
        <f t="shared" si="46"/>
        <v>Full-Time</v>
      </c>
      <c r="U714" s="3" t="s">
        <v>284</v>
      </c>
      <c r="V714" s="3">
        <v>7</v>
      </c>
      <c r="W714" s="3">
        <v>2</v>
      </c>
      <c r="AA714" s="3" t="s">
        <v>33</v>
      </c>
      <c r="AB714" s="3" t="str" cm="1">
        <f t="array" ref="AB714">_xlfn.IFS(AA714="N","No",  AA714 = "Y", "Yes", TRUE, PROPER(TRIM(AA714)))</f>
        <v>Yes</v>
      </c>
      <c r="AC714" s="3">
        <v>5</v>
      </c>
      <c r="AD714" s="3" t="s">
        <v>46</v>
      </c>
      <c r="AE714">
        <f t="shared" si="47"/>
        <v>1</v>
      </c>
    </row>
    <row r="715" spans="1:31" ht="14.25" customHeight="1" x14ac:dyDescent="0.35">
      <c r="A715" s="3" t="s">
        <v>1415</v>
      </c>
      <c r="B715" s="3" t="s">
        <v>48</v>
      </c>
      <c r="C715" s="3" t="s">
        <v>343</v>
      </c>
      <c r="D715" s="3">
        <v>25</v>
      </c>
      <c r="E715" s="3">
        <f t="shared" si="44"/>
        <v>25</v>
      </c>
      <c r="F715" s="3">
        <v>1999</v>
      </c>
      <c r="G715" s="3">
        <v>65000</v>
      </c>
      <c r="H715" s="12" cm="1">
        <f t="array" ref="H715">_xlfn.IFS(TRIM(G715)="SIXTY THOUSAND",60000,TRIM(G715)="NAN",AVERAGEIFS(G:G,J:J,J715,L:L,L715),TRUE,G715)</f>
        <v>65000</v>
      </c>
      <c r="I715" s="3" t="s">
        <v>38</v>
      </c>
      <c r="J715" s="3" t="s">
        <v>28</v>
      </c>
      <c r="K715" s="3" t="str">
        <f t="shared" si="45"/>
        <v>HR</v>
      </c>
      <c r="L715" s="3" t="s">
        <v>94</v>
      </c>
      <c r="M715" s="4">
        <v>43845</v>
      </c>
      <c r="N715" s="4">
        <v>43845</v>
      </c>
      <c r="O715" s="3" t="s">
        <v>41</v>
      </c>
      <c r="P715" s="3">
        <v>41</v>
      </c>
      <c r="Q715" s="3" t="s">
        <v>1416</v>
      </c>
      <c r="R715" s="3" t="s">
        <v>54</v>
      </c>
      <c r="S715" s="3" t="s">
        <v>174</v>
      </c>
      <c r="T715" s="3" t="str">
        <f t="shared" si="46"/>
        <v>Full-Time</v>
      </c>
      <c r="V715" s="3">
        <v>6</v>
      </c>
      <c r="Y715" s="4">
        <v>44470</v>
      </c>
      <c r="AB715" s="3" t="str" cm="1">
        <f t="array" ref="AB715">_xlfn.IFS(AA715="N","No",  AA715 = "Y", "Yes", TRUE, PROPER(TRIM(AA715)))</f>
        <v/>
      </c>
      <c r="AC715" s="3">
        <v>5</v>
      </c>
      <c r="AD715" s="3" t="s">
        <v>34</v>
      </c>
      <c r="AE715">
        <f t="shared" si="47"/>
        <v>0</v>
      </c>
    </row>
    <row r="716" spans="1:31" ht="14.25" customHeight="1" x14ac:dyDescent="0.35">
      <c r="A716" s="3" t="s">
        <v>1417</v>
      </c>
      <c r="B716" s="3" t="s">
        <v>25</v>
      </c>
      <c r="C716" s="3" t="s">
        <v>141</v>
      </c>
      <c r="D716" s="3">
        <v>40</v>
      </c>
      <c r="E716" s="3">
        <f t="shared" si="44"/>
        <v>40</v>
      </c>
      <c r="F716" s="3">
        <v>1984</v>
      </c>
      <c r="G716" s="3">
        <v>50000</v>
      </c>
      <c r="H716" s="12" cm="1">
        <f t="array" ref="H716">_xlfn.IFS(TRIM(G716)="SIXTY THOUSAND",60000,TRIM(G716)="NAN",AVERAGEIFS(G:G,J:J,J716,L:L,L716),TRUE,G716)</f>
        <v>50000</v>
      </c>
      <c r="I716" s="3" t="s">
        <v>38</v>
      </c>
      <c r="J716" s="3" t="s">
        <v>70</v>
      </c>
      <c r="K716" s="3" t="str">
        <f t="shared" si="45"/>
        <v>Marketing</v>
      </c>
      <c r="L716" s="3" t="s">
        <v>40</v>
      </c>
      <c r="M716" s="4">
        <v>43800</v>
      </c>
      <c r="N716" s="4">
        <v>43800</v>
      </c>
      <c r="O716" s="3" t="s">
        <v>78</v>
      </c>
      <c r="P716" s="3">
        <v>83</v>
      </c>
      <c r="Q716" s="3" t="s">
        <v>1418</v>
      </c>
      <c r="R716" s="3" t="s">
        <v>43</v>
      </c>
      <c r="S716" s="3" t="s">
        <v>72</v>
      </c>
      <c r="T716" s="3" t="str">
        <f t="shared" si="46"/>
        <v>Part-Time</v>
      </c>
      <c r="V716" s="3">
        <v>2</v>
      </c>
      <c r="Z716" s="3">
        <v>17</v>
      </c>
      <c r="AA716" s="3" t="s">
        <v>34</v>
      </c>
      <c r="AB716" s="3" t="str" cm="1">
        <f t="array" ref="AB716">_xlfn.IFS(AA716="N","No",  AA716 = "Y", "Yes", TRUE, PROPER(TRIM(AA716)))</f>
        <v>No</v>
      </c>
      <c r="AC716" s="3">
        <v>1</v>
      </c>
      <c r="AD716" s="3" t="s">
        <v>46</v>
      </c>
      <c r="AE716">
        <f t="shared" si="47"/>
        <v>1</v>
      </c>
    </row>
    <row r="717" spans="1:31" ht="14.25" customHeight="1" x14ac:dyDescent="0.35">
      <c r="A717" s="3" t="s">
        <v>1419</v>
      </c>
      <c r="B717" s="3" t="s">
        <v>68</v>
      </c>
      <c r="C717" s="3" t="s">
        <v>161</v>
      </c>
      <c r="D717" s="3" t="s">
        <v>88</v>
      </c>
      <c r="E717" s="3">
        <f t="shared" si="44"/>
        <v>30</v>
      </c>
      <c r="F717" s="3">
        <v>1994</v>
      </c>
      <c r="G717" s="3">
        <v>70000</v>
      </c>
      <c r="H717" s="12" cm="1">
        <f t="array" ref="H717">_xlfn.IFS(TRIM(G717)="SIXTY THOUSAND",60000,TRIM(G717)="NAN",AVERAGEIFS(G:G,J:J,J717,L:L,L717),TRUE,G717)</f>
        <v>70000</v>
      </c>
      <c r="I717" s="3" t="s">
        <v>38</v>
      </c>
      <c r="J717" s="3" t="s">
        <v>51</v>
      </c>
      <c r="K717" s="3" t="str">
        <f t="shared" si="45"/>
        <v>Sales</v>
      </c>
      <c r="L717" s="3" t="s">
        <v>29</v>
      </c>
      <c r="M717" s="4">
        <v>43845</v>
      </c>
      <c r="N717" s="4">
        <v>43845</v>
      </c>
      <c r="O717" s="3" t="s">
        <v>59</v>
      </c>
      <c r="P717" s="3">
        <v>99</v>
      </c>
      <c r="Q717" s="3" t="s">
        <v>1420</v>
      </c>
      <c r="R717" s="3" t="s">
        <v>61</v>
      </c>
      <c r="S717" s="3" t="s">
        <v>32</v>
      </c>
      <c r="T717" s="3" t="str">
        <f t="shared" si="46"/>
        <v>Contract</v>
      </c>
      <c r="V717" s="3">
        <v>7</v>
      </c>
      <c r="Y717" s="4">
        <v>44990</v>
      </c>
      <c r="AB717" s="3" t="str" cm="1">
        <f t="array" ref="AB717">_xlfn.IFS(AA717="N","No",  AA717 = "Y", "Yes", TRUE, PROPER(TRIM(AA717)))</f>
        <v/>
      </c>
      <c r="AC717" s="3">
        <v>2</v>
      </c>
      <c r="AD717" s="3" t="s">
        <v>46</v>
      </c>
      <c r="AE717">
        <f t="shared" si="47"/>
        <v>1</v>
      </c>
    </row>
    <row r="718" spans="1:31" ht="14.25" customHeight="1" x14ac:dyDescent="0.35">
      <c r="A718" s="3" t="s">
        <v>1421</v>
      </c>
      <c r="B718" s="3" t="s">
        <v>75</v>
      </c>
      <c r="C718" s="3" t="s">
        <v>984</v>
      </c>
      <c r="D718" s="3">
        <v>50</v>
      </c>
      <c r="E718" s="3">
        <f t="shared" si="44"/>
        <v>50</v>
      </c>
      <c r="F718" s="3">
        <v>1974</v>
      </c>
      <c r="G718" s="3">
        <v>65000</v>
      </c>
      <c r="H718" s="12" cm="1">
        <f t="array" ref="H718">_xlfn.IFS(TRIM(G718)="SIXTY THOUSAND",60000,TRIM(G718)="NAN",AVERAGEIFS(G:G,J:J,J718,L:L,L718),TRUE,G718)</f>
        <v>65000</v>
      </c>
      <c r="I718" s="3" t="s">
        <v>38</v>
      </c>
      <c r="J718" s="3" t="s">
        <v>58</v>
      </c>
      <c r="K718" s="3" t="str">
        <f t="shared" si="45"/>
        <v>IT</v>
      </c>
      <c r="L718" s="3" t="s">
        <v>29</v>
      </c>
      <c r="M718" s="4">
        <v>43195</v>
      </c>
      <c r="N718" s="4">
        <v>43195</v>
      </c>
      <c r="O718" s="3" t="s">
        <v>59</v>
      </c>
      <c r="P718" s="3">
        <v>98</v>
      </c>
      <c r="Q718" s="3" t="s">
        <v>1422</v>
      </c>
      <c r="R718" s="3" t="s">
        <v>54</v>
      </c>
      <c r="S718" s="3" t="s">
        <v>66</v>
      </c>
      <c r="T718" s="3" t="str">
        <f t="shared" si="46"/>
        <v>Contract</v>
      </c>
      <c r="U718" s="3" t="s">
        <v>303</v>
      </c>
      <c r="V718" s="3">
        <v>3</v>
      </c>
      <c r="X718" s="3">
        <v>12</v>
      </c>
      <c r="Y718" s="4">
        <v>44990</v>
      </c>
      <c r="Z718" s="3">
        <v>49</v>
      </c>
      <c r="AB718" s="3" t="str" cm="1">
        <f t="array" ref="AB718">_xlfn.IFS(AA718="N","No",  AA718 = "Y", "Yes", TRUE, PROPER(TRIM(AA718)))</f>
        <v/>
      </c>
      <c r="AC718" s="3">
        <v>4</v>
      </c>
      <c r="AD718" s="3" t="s">
        <v>46</v>
      </c>
      <c r="AE718">
        <f t="shared" si="47"/>
        <v>1</v>
      </c>
    </row>
    <row r="719" spans="1:31" ht="14.25" customHeight="1" x14ac:dyDescent="0.35">
      <c r="A719" s="3" t="s">
        <v>1423</v>
      </c>
      <c r="B719" s="3" t="s">
        <v>131</v>
      </c>
      <c r="C719" s="3" t="s">
        <v>692</v>
      </c>
      <c r="D719" s="3" t="s">
        <v>88</v>
      </c>
      <c r="E719" s="3">
        <f t="shared" si="44"/>
        <v>30</v>
      </c>
      <c r="F719" s="3">
        <v>1994</v>
      </c>
      <c r="G719" s="3">
        <v>50000</v>
      </c>
      <c r="H719" s="12" cm="1">
        <f t="array" ref="H719">_xlfn.IFS(TRIM(G719)="SIXTY THOUSAND",60000,TRIM(G719)="NAN",AVERAGEIFS(G:G,J:J,J719,L:L,L719),TRUE,G719)</f>
        <v>50000</v>
      </c>
      <c r="I719" s="3" t="s">
        <v>27</v>
      </c>
      <c r="J719" s="3" t="s">
        <v>28</v>
      </c>
      <c r="K719" s="3" t="str">
        <f t="shared" si="45"/>
        <v>HR</v>
      </c>
      <c r="L719" s="3" t="s">
        <v>94</v>
      </c>
      <c r="M719" s="4">
        <v>43881</v>
      </c>
      <c r="N719" s="4">
        <v>43881</v>
      </c>
      <c r="O719" s="3" t="s">
        <v>59</v>
      </c>
      <c r="P719" s="3">
        <v>96</v>
      </c>
      <c r="Q719" s="3" t="s">
        <v>693</v>
      </c>
      <c r="R719" s="3" t="s">
        <v>54</v>
      </c>
      <c r="S719" s="3" t="s">
        <v>72</v>
      </c>
      <c r="T719" s="3" t="str">
        <f t="shared" si="46"/>
        <v>Part-Time</v>
      </c>
      <c r="V719" s="3">
        <v>5</v>
      </c>
      <c r="W719" s="3">
        <v>9</v>
      </c>
      <c r="X719" s="3">
        <v>15</v>
      </c>
      <c r="Y719" s="4">
        <v>45516</v>
      </c>
      <c r="Z719" s="3">
        <v>16</v>
      </c>
      <c r="AA719" s="3" t="s">
        <v>46</v>
      </c>
      <c r="AB719" s="3" t="str" cm="1">
        <f t="array" ref="AB719">_xlfn.IFS(AA719="N","No",  AA719 = "Y", "Yes", TRUE, PROPER(TRIM(AA719)))</f>
        <v>Yes</v>
      </c>
      <c r="AC719" s="3">
        <v>4</v>
      </c>
      <c r="AD719" s="3" t="s">
        <v>34</v>
      </c>
      <c r="AE719">
        <f t="shared" si="47"/>
        <v>0</v>
      </c>
    </row>
    <row r="720" spans="1:31" ht="14.25" customHeight="1" x14ac:dyDescent="0.35">
      <c r="A720" s="3" t="s">
        <v>1424</v>
      </c>
      <c r="B720" s="3" t="s">
        <v>56</v>
      </c>
      <c r="C720" s="3" t="s">
        <v>99</v>
      </c>
      <c r="D720" s="3">
        <v>50</v>
      </c>
      <c r="E720" s="3">
        <f t="shared" si="44"/>
        <v>50</v>
      </c>
      <c r="F720" s="3">
        <v>1974</v>
      </c>
      <c r="G720" s="3">
        <v>65000</v>
      </c>
      <c r="H720" s="12" cm="1">
        <f t="array" ref="H720">_xlfn.IFS(TRIM(G720)="SIXTY THOUSAND",60000,TRIM(G720)="NAN",AVERAGEIFS(G:G,J:J,J720,L:L,L720),TRUE,G720)</f>
        <v>65000</v>
      </c>
      <c r="I720" s="3" t="s">
        <v>38</v>
      </c>
      <c r="J720" s="3" t="s">
        <v>64</v>
      </c>
      <c r="K720" s="3" t="str">
        <f t="shared" si="45"/>
        <v>Finance</v>
      </c>
      <c r="L720" s="3" t="s">
        <v>40</v>
      </c>
      <c r="M720" s="4">
        <v>43195</v>
      </c>
      <c r="N720" s="4">
        <v>43195</v>
      </c>
      <c r="O720" s="3" t="s">
        <v>30</v>
      </c>
      <c r="P720" s="3">
        <v>67</v>
      </c>
      <c r="Q720" s="3" t="s">
        <v>1425</v>
      </c>
      <c r="S720" s="3" t="s">
        <v>174</v>
      </c>
      <c r="T720" s="3" t="str">
        <f t="shared" si="46"/>
        <v>Full-Time</v>
      </c>
      <c r="V720" s="3">
        <v>8</v>
      </c>
      <c r="X720" s="3">
        <v>8</v>
      </c>
      <c r="Y720" s="3" t="s">
        <v>79</v>
      </c>
      <c r="AA720" s="3" t="s">
        <v>33</v>
      </c>
      <c r="AB720" s="3" t="str" cm="1">
        <f t="array" ref="AB720">_xlfn.IFS(AA720="N","No",  AA720 = "Y", "Yes", TRUE, PROPER(TRIM(AA720)))</f>
        <v>Yes</v>
      </c>
      <c r="AC720" s="3">
        <v>5</v>
      </c>
      <c r="AD720" s="3" t="s">
        <v>34</v>
      </c>
      <c r="AE720">
        <f t="shared" si="47"/>
        <v>0</v>
      </c>
    </row>
    <row r="721" spans="1:31" ht="14.25" customHeight="1" x14ac:dyDescent="0.35">
      <c r="A721" s="3" t="s">
        <v>1426</v>
      </c>
      <c r="B721" s="3" t="s">
        <v>36</v>
      </c>
      <c r="C721" s="3" t="s">
        <v>158</v>
      </c>
      <c r="D721" s="3">
        <v>50</v>
      </c>
      <c r="E721" s="3">
        <f t="shared" si="44"/>
        <v>50</v>
      </c>
      <c r="F721" s="3">
        <v>1974</v>
      </c>
      <c r="G721" s="3">
        <v>70000</v>
      </c>
      <c r="H721" s="12" cm="1">
        <f t="array" ref="H721">_xlfn.IFS(TRIM(G721)="SIXTY THOUSAND",60000,TRIM(G721)="NAN",AVERAGEIFS(G:G,J:J,J721,L:L,L721),TRUE,G721)</f>
        <v>70000</v>
      </c>
      <c r="I721" s="3" t="s">
        <v>38</v>
      </c>
      <c r="J721" s="3" t="s">
        <v>51</v>
      </c>
      <c r="K721" s="3" t="str">
        <f t="shared" si="45"/>
        <v>Sales</v>
      </c>
      <c r="L721" s="3" t="s">
        <v>89</v>
      </c>
      <c r="M721" s="4">
        <v>43195</v>
      </c>
      <c r="N721" s="4">
        <v>43195</v>
      </c>
      <c r="O721" s="3" t="s">
        <v>30</v>
      </c>
      <c r="P721" s="3">
        <v>60</v>
      </c>
      <c r="Q721" s="3" t="s">
        <v>1427</v>
      </c>
      <c r="R721" s="3" t="s">
        <v>43</v>
      </c>
      <c r="S721" s="3" t="s">
        <v>72</v>
      </c>
      <c r="T721" s="3" t="str">
        <f t="shared" si="46"/>
        <v>Part-Time</v>
      </c>
      <c r="U721" s="3" t="s">
        <v>1428</v>
      </c>
      <c r="V721" s="3">
        <v>4</v>
      </c>
      <c r="W721" s="3">
        <v>4</v>
      </c>
      <c r="X721" s="3">
        <v>5</v>
      </c>
      <c r="Y721" s="3" t="s">
        <v>79</v>
      </c>
      <c r="AA721" s="3" t="s">
        <v>33</v>
      </c>
      <c r="AB721" s="3" t="str" cm="1">
        <f t="array" ref="AB721">_xlfn.IFS(AA721="N","No",  AA721 = "Y", "Yes", TRUE, PROPER(TRIM(AA721)))</f>
        <v>Yes</v>
      </c>
      <c r="AC721" s="3">
        <v>4</v>
      </c>
      <c r="AD721" s="3" t="s">
        <v>46</v>
      </c>
      <c r="AE721">
        <f t="shared" si="47"/>
        <v>1</v>
      </c>
    </row>
    <row r="722" spans="1:31" ht="14.25" customHeight="1" x14ac:dyDescent="0.35">
      <c r="A722" s="3" t="s">
        <v>1429</v>
      </c>
      <c r="B722" s="3" t="s">
        <v>68</v>
      </c>
      <c r="C722" s="3" t="s">
        <v>380</v>
      </c>
      <c r="D722" s="3">
        <v>35</v>
      </c>
      <c r="E722" s="3">
        <f t="shared" si="44"/>
        <v>35</v>
      </c>
      <c r="F722" s="3">
        <v>1989</v>
      </c>
      <c r="G722" s="3">
        <v>60100</v>
      </c>
      <c r="H722" s="12" cm="1">
        <f t="array" ref="H722">_xlfn.IFS(TRIM(G722)="SIXTY THOUSAND",60000,TRIM(G722)="NAN",AVERAGEIFS(G:G,J:J,J722,L:L,L722),TRUE,G722)</f>
        <v>60100</v>
      </c>
      <c r="I722" s="3" t="s">
        <v>38</v>
      </c>
      <c r="J722" s="3" t="s">
        <v>58</v>
      </c>
      <c r="K722" s="3" t="str">
        <f t="shared" si="45"/>
        <v>IT</v>
      </c>
      <c r="L722" s="3" t="s">
        <v>40</v>
      </c>
      <c r="M722" s="4">
        <v>43549</v>
      </c>
      <c r="N722" s="4">
        <v>43549</v>
      </c>
      <c r="O722" s="3" t="s">
        <v>78</v>
      </c>
      <c r="P722" s="3">
        <v>82</v>
      </c>
      <c r="Q722" s="3" t="s">
        <v>1430</v>
      </c>
      <c r="S722" s="3" t="s">
        <v>72</v>
      </c>
      <c r="T722" s="3" t="str">
        <f t="shared" si="46"/>
        <v>Part-Time</v>
      </c>
      <c r="V722" s="3">
        <v>2</v>
      </c>
      <c r="X722" s="3">
        <v>13</v>
      </c>
      <c r="AA722" s="3" t="s">
        <v>169</v>
      </c>
      <c r="AB722" s="3" t="str" cm="1">
        <f t="array" ref="AB722">_xlfn.IFS(AA722="N","No",  AA722 = "Y", "Yes", TRUE, PROPER(TRIM(AA722)))</f>
        <v>Yes</v>
      </c>
      <c r="AC722" s="3">
        <v>2</v>
      </c>
      <c r="AD722" s="3" t="s">
        <v>46</v>
      </c>
      <c r="AE722">
        <f t="shared" si="47"/>
        <v>1</v>
      </c>
    </row>
    <row r="723" spans="1:31" ht="14.25" customHeight="1" x14ac:dyDescent="0.35">
      <c r="A723" s="3" t="s">
        <v>1431</v>
      </c>
      <c r="B723" s="3" t="s">
        <v>48</v>
      </c>
      <c r="C723" s="3" t="s">
        <v>681</v>
      </c>
      <c r="D723" s="3">
        <v>40</v>
      </c>
      <c r="E723" s="3">
        <f t="shared" si="44"/>
        <v>40</v>
      </c>
      <c r="F723" s="3">
        <v>1984</v>
      </c>
      <c r="G723" s="3" t="s">
        <v>50</v>
      </c>
      <c r="H723" s="12" cm="1">
        <f t="array" ref="H723">_xlfn.IFS(TRIM(G723)="SIXTY THOUSAND",60000,TRIM(G723)="NAN",AVERAGEIFS(G:G,J:J,J723,L:L,L723),TRUE,G723)</f>
        <v>60000</v>
      </c>
      <c r="I723" s="3" t="s">
        <v>38</v>
      </c>
      <c r="J723" s="3" t="s">
        <v>70</v>
      </c>
      <c r="K723" s="3" t="str">
        <f t="shared" si="45"/>
        <v>Marketing</v>
      </c>
      <c r="L723" s="3" t="s">
        <v>77</v>
      </c>
      <c r="M723" s="4">
        <v>43549</v>
      </c>
      <c r="N723" s="4">
        <v>43549</v>
      </c>
      <c r="O723" s="3" t="s">
        <v>59</v>
      </c>
      <c r="P723" s="3">
        <v>95</v>
      </c>
      <c r="Q723" s="3" t="s">
        <v>682</v>
      </c>
      <c r="S723" s="3" t="s">
        <v>44</v>
      </c>
      <c r="T723" s="3" t="str">
        <f t="shared" si="46"/>
        <v>Full-Time</v>
      </c>
      <c r="V723" s="3">
        <v>5</v>
      </c>
      <c r="W723" s="3" t="s">
        <v>79</v>
      </c>
      <c r="Y723" s="3" t="s">
        <v>79</v>
      </c>
      <c r="AB723" s="3" t="str" cm="1">
        <f t="array" ref="AB723">_xlfn.IFS(AA723="N","No",  AA723 = "Y", "Yes", TRUE, PROPER(TRIM(AA723)))</f>
        <v/>
      </c>
      <c r="AC723" s="3">
        <v>5</v>
      </c>
      <c r="AD723" s="3" t="s">
        <v>46</v>
      </c>
      <c r="AE723">
        <f t="shared" si="47"/>
        <v>1</v>
      </c>
    </row>
    <row r="724" spans="1:31" ht="14.25" customHeight="1" x14ac:dyDescent="0.35">
      <c r="A724" s="3" t="s">
        <v>1432</v>
      </c>
      <c r="B724" s="3" t="s">
        <v>131</v>
      </c>
      <c r="C724" s="3" t="s">
        <v>740</v>
      </c>
      <c r="D724" s="3">
        <v>25</v>
      </c>
      <c r="E724" s="3">
        <f t="shared" si="44"/>
        <v>25</v>
      </c>
      <c r="F724" s="3">
        <v>1999</v>
      </c>
      <c r="G724" s="3">
        <v>70000</v>
      </c>
      <c r="H724" s="12" cm="1">
        <f t="array" ref="H724">_xlfn.IFS(TRIM(G724)="SIXTY THOUSAND",60000,TRIM(G724)="NAN",AVERAGEIFS(G:G,J:J,J724,L:L,L724),TRUE,G724)</f>
        <v>70000</v>
      </c>
      <c r="I724" s="3" t="s">
        <v>27</v>
      </c>
      <c r="J724" s="3" t="s">
        <v>122</v>
      </c>
      <c r="K724" s="3" t="str">
        <f t="shared" si="45"/>
        <v>IT</v>
      </c>
      <c r="L724" s="3" t="s">
        <v>29</v>
      </c>
      <c r="M724" s="4">
        <v>43195</v>
      </c>
      <c r="N724" s="4">
        <v>43195</v>
      </c>
      <c r="O724" s="3" t="s">
        <v>59</v>
      </c>
      <c r="P724" s="3">
        <v>91</v>
      </c>
      <c r="Q724" s="3" t="s">
        <v>741</v>
      </c>
      <c r="R724" s="3" t="s">
        <v>104</v>
      </c>
      <c r="S724" s="3" t="s">
        <v>44</v>
      </c>
      <c r="T724" s="3" t="str">
        <f t="shared" si="46"/>
        <v>Full-Time</v>
      </c>
      <c r="V724" s="3">
        <v>7</v>
      </c>
      <c r="W724" s="3">
        <v>3</v>
      </c>
      <c r="X724" s="3">
        <v>7</v>
      </c>
      <c r="Z724" s="3">
        <v>35</v>
      </c>
      <c r="AB724" s="3" t="str" cm="1">
        <f t="array" ref="AB724">_xlfn.IFS(AA724="N","No",  AA724 = "Y", "Yes", TRUE, PROPER(TRIM(AA724)))</f>
        <v/>
      </c>
      <c r="AC724" s="3">
        <v>3</v>
      </c>
      <c r="AD724" s="3" t="s">
        <v>34</v>
      </c>
      <c r="AE724">
        <f t="shared" si="47"/>
        <v>0</v>
      </c>
    </row>
    <row r="725" spans="1:31" ht="14.25" customHeight="1" x14ac:dyDescent="0.35">
      <c r="A725" s="3" t="s">
        <v>1433</v>
      </c>
      <c r="B725" s="3" t="s">
        <v>68</v>
      </c>
      <c r="C725" s="3" t="s">
        <v>984</v>
      </c>
      <c r="D725" s="3">
        <v>25</v>
      </c>
      <c r="E725" s="3">
        <f t="shared" si="44"/>
        <v>25</v>
      </c>
      <c r="F725" s="3">
        <v>1999</v>
      </c>
      <c r="G725" s="3">
        <v>55000</v>
      </c>
      <c r="H725" s="12" cm="1">
        <f t="array" ref="H725">_xlfn.IFS(TRIM(G725)="SIXTY THOUSAND",60000,TRIM(G725)="NAN",AVERAGEIFS(G:G,J:J,J725,L:L,L725),TRUE,G725)</f>
        <v>55000</v>
      </c>
      <c r="I725" s="3" t="s">
        <v>27</v>
      </c>
      <c r="J725" s="3" t="s">
        <v>145</v>
      </c>
      <c r="K725" s="3" t="str">
        <f t="shared" si="45"/>
        <v>Sales</v>
      </c>
      <c r="L725" s="3" t="s">
        <v>77</v>
      </c>
      <c r="M725" s="4">
        <v>43881</v>
      </c>
      <c r="N725" s="4">
        <v>43881</v>
      </c>
      <c r="O725" s="3" t="s">
        <v>41</v>
      </c>
      <c r="P725" s="3">
        <v>50</v>
      </c>
      <c r="Q725" s="3" t="s">
        <v>1434</v>
      </c>
      <c r="R725" s="3" t="s">
        <v>61</v>
      </c>
      <c r="S725" s="3" t="s">
        <v>72</v>
      </c>
      <c r="T725" s="3" t="str">
        <f t="shared" si="46"/>
        <v>Part-Time</v>
      </c>
      <c r="V725" s="3">
        <v>5</v>
      </c>
      <c r="W725" s="3" t="s">
        <v>79</v>
      </c>
      <c r="X725" s="3">
        <v>17</v>
      </c>
      <c r="Z725" s="3">
        <v>75</v>
      </c>
      <c r="AB725" s="3" t="str" cm="1">
        <f t="array" ref="AB725">_xlfn.IFS(AA725="N","No",  AA725 = "Y", "Yes", TRUE, PROPER(TRIM(AA725)))</f>
        <v/>
      </c>
      <c r="AC725" s="3">
        <v>4</v>
      </c>
      <c r="AD725" s="3" t="s">
        <v>34</v>
      </c>
      <c r="AE725">
        <f t="shared" si="47"/>
        <v>0</v>
      </c>
    </row>
    <row r="726" spans="1:31" ht="14.25" customHeight="1" x14ac:dyDescent="0.35">
      <c r="A726" s="3" t="s">
        <v>1435</v>
      </c>
      <c r="B726" s="3" t="s">
        <v>131</v>
      </c>
      <c r="C726" s="3" t="s">
        <v>732</v>
      </c>
      <c r="E726" s="3">
        <f t="shared" si="44"/>
        <v>27</v>
      </c>
      <c r="F726" s="3">
        <v>1997</v>
      </c>
      <c r="G726" s="3">
        <v>65000</v>
      </c>
      <c r="H726" s="12" cm="1">
        <f t="array" ref="H726">_xlfn.IFS(TRIM(G726)="SIXTY THOUSAND",60000,TRIM(G726)="NAN",AVERAGEIFS(G:G,J:J,J726,L:L,L726),TRUE,G726)</f>
        <v>65000</v>
      </c>
      <c r="I726" s="3" t="s">
        <v>38</v>
      </c>
      <c r="J726" s="3" t="s">
        <v>145</v>
      </c>
      <c r="K726" s="3" t="str">
        <f t="shared" si="45"/>
        <v>Sales</v>
      </c>
      <c r="L726" s="3" t="s">
        <v>89</v>
      </c>
      <c r="M726" s="4">
        <v>43195</v>
      </c>
      <c r="N726" s="4">
        <v>43195</v>
      </c>
      <c r="O726" s="3" t="s">
        <v>41</v>
      </c>
      <c r="P726" s="3">
        <v>49</v>
      </c>
      <c r="Q726" s="3" t="s">
        <v>1436</v>
      </c>
      <c r="R726" s="3" t="s">
        <v>54</v>
      </c>
      <c r="S726" s="3" t="s">
        <v>112</v>
      </c>
      <c r="T726" s="3" t="str">
        <f t="shared" si="46"/>
        <v>Full-Time</v>
      </c>
      <c r="V726" s="3">
        <v>4</v>
      </c>
      <c r="W726" s="3">
        <v>3</v>
      </c>
      <c r="X726" s="3">
        <v>7</v>
      </c>
      <c r="Z726" s="3">
        <v>57</v>
      </c>
      <c r="AA726" s="3" t="s">
        <v>73</v>
      </c>
      <c r="AB726" s="3" t="str" cm="1">
        <f t="array" ref="AB726">_xlfn.IFS(AA726="N","No",  AA726 = "Y", "Yes", TRUE, PROPER(TRIM(AA726)))</f>
        <v>No</v>
      </c>
      <c r="AC726" s="3">
        <v>5</v>
      </c>
      <c r="AD726" s="3" t="s">
        <v>46</v>
      </c>
      <c r="AE726">
        <f t="shared" si="47"/>
        <v>1</v>
      </c>
    </row>
    <row r="727" spans="1:31" ht="14.25" customHeight="1" x14ac:dyDescent="0.35">
      <c r="A727" s="3" t="s">
        <v>1437</v>
      </c>
      <c r="B727" s="3" t="s">
        <v>36</v>
      </c>
      <c r="C727" s="3" t="s">
        <v>209</v>
      </c>
      <c r="D727" s="3">
        <v>50</v>
      </c>
      <c r="E727" s="3">
        <f t="shared" si="44"/>
        <v>50</v>
      </c>
      <c r="F727" s="3">
        <v>1974</v>
      </c>
      <c r="G727" s="3">
        <v>65000</v>
      </c>
      <c r="H727" s="12" cm="1">
        <f t="array" ref="H727">_xlfn.IFS(TRIM(G727)="SIXTY THOUSAND",60000,TRIM(G727)="NAN",AVERAGEIFS(G:G,J:J,J727,L:L,L727),TRUE,G727)</f>
        <v>65000</v>
      </c>
      <c r="I727" s="3" t="s">
        <v>38</v>
      </c>
      <c r="J727" s="3" t="s">
        <v>122</v>
      </c>
      <c r="K727" s="3" t="str">
        <f t="shared" si="45"/>
        <v>IT</v>
      </c>
      <c r="L727" s="3" t="s">
        <v>77</v>
      </c>
      <c r="M727" s="4">
        <v>43549</v>
      </c>
      <c r="N727" s="4">
        <v>43549</v>
      </c>
      <c r="O727" s="3" t="s">
        <v>78</v>
      </c>
      <c r="P727" s="3">
        <v>86</v>
      </c>
      <c r="Q727" s="3" t="s">
        <v>1438</v>
      </c>
      <c r="R727" s="3" t="s">
        <v>43</v>
      </c>
      <c r="S727" s="3" t="s">
        <v>100</v>
      </c>
      <c r="T727" s="3" t="str">
        <f t="shared" si="46"/>
        <v>Part-Time</v>
      </c>
      <c r="V727" s="3">
        <v>1</v>
      </c>
      <c r="Y727" s="4">
        <v>44990</v>
      </c>
      <c r="AB727" s="3" t="str" cm="1">
        <f t="array" ref="AB727">_xlfn.IFS(AA727="N","No",  AA727 = "Y", "Yes", TRUE, PROPER(TRIM(AA727)))</f>
        <v/>
      </c>
      <c r="AC727" s="3">
        <v>2</v>
      </c>
      <c r="AD727" s="3" t="s">
        <v>34</v>
      </c>
      <c r="AE727">
        <f t="shared" si="47"/>
        <v>0</v>
      </c>
    </row>
    <row r="728" spans="1:31" ht="14.25" customHeight="1" x14ac:dyDescent="0.35">
      <c r="A728" s="3" t="s">
        <v>1439</v>
      </c>
      <c r="B728" s="3" t="s">
        <v>48</v>
      </c>
      <c r="C728" s="3" t="s">
        <v>203</v>
      </c>
      <c r="D728" s="3">
        <v>25</v>
      </c>
      <c r="E728" s="3">
        <f t="shared" si="44"/>
        <v>25</v>
      </c>
      <c r="F728" s="3">
        <v>1999</v>
      </c>
      <c r="G728" s="3">
        <v>60500</v>
      </c>
      <c r="H728" s="12" cm="1">
        <f t="array" ref="H728">_xlfn.IFS(TRIM(G728)="SIXTY THOUSAND",60000,TRIM(G728)="NAN",AVERAGEIFS(G:G,J:J,J728,L:L,L728),TRUE,G728)</f>
        <v>60500</v>
      </c>
      <c r="I728" s="3" t="s">
        <v>38</v>
      </c>
      <c r="J728" s="3" t="s">
        <v>70</v>
      </c>
      <c r="K728" s="3" t="str">
        <f t="shared" si="45"/>
        <v>Marketing</v>
      </c>
      <c r="L728" s="3" t="s">
        <v>40</v>
      </c>
      <c r="M728" s="4">
        <v>43881</v>
      </c>
      <c r="N728" s="4">
        <v>43881</v>
      </c>
      <c r="O728" s="3" t="s">
        <v>59</v>
      </c>
      <c r="P728" s="3">
        <v>98</v>
      </c>
      <c r="Q728" s="3" t="s">
        <v>1440</v>
      </c>
      <c r="R728" s="3" t="s">
        <v>61</v>
      </c>
      <c r="S728" s="3" t="s">
        <v>174</v>
      </c>
      <c r="T728" s="3" t="str">
        <f t="shared" si="46"/>
        <v>Full-Time</v>
      </c>
      <c r="V728" s="3">
        <v>1</v>
      </c>
      <c r="W728" s="3" t="s">
        <v>79</v>
      </c>
      <c r="X728" s="3">
        <v>7</v>
      </c>
      <c r="Z728" s="3">
        <v>69</v>
      </c>
      <c r="AA728" s="3" t="s">
        <v>73</v>
      </c>
      <c r="AB728" s="3" t="str" cm="1">
        <f t="array" ref="AB728">_xlfn.IFS(AA728="N","No",  AA728 = "Y", "Yes", TRUE, PROPER(TRIM(AA728)))</f>
        <v>No</v>
      </c>
      <c r="AC728" s="3">
        <v>3</v>
      </c>
      <c r="AD728" s="3" t="s">
        <v>34</v>
      </c>
      <c r="AE728">
        <f t="shared" si="47"/>
        <v>0</v>
      </c>
    </row>
    <row r="729" spans="1:31" ht="14.25" customHeight="1" x14ac:dyDescent="0.35">
      <c r="A729" s="3" t="s">
        <v>1441</v>
      </c>
      <c r="B729" s="3" t="s">
        <v>56</v>
      </c>
      <c r="C729" s="3" t="s">
        <v>299</v>
      </c>
      <c r="D729" s="3">
        <v>35</v>
      </c>
      <c r="E729" s="3">
        <f t="shared" si="44"/>
        <v>35</v>
      </c>
      <c r="F729" s="3">
        <v>1989</v>
      </c>
      <c r="G729" s="3">
        <v>55000</v>
      </c>
      <c r="H729" s="12" cm="1">
        <f t="array" ref="H729">_xlfn.IFS(TRIM(G729)="SIXTY THOUSAND",60000,TRIM(G729)="NAN",AVERAGEIFS(G:G,J:J,J729,L:L,L729),TRUE,G729)</f>
        <v>55000</v>
      </c>
      <c r="I729" s="3" t="s">
        <v>38</v>
      </c>
      <c r="J729" s="3" t="s">
        <v>58</v>
      </c>
      <c r="K729" s="3" t="str">
        <f t="shared" si="45"/>
        <v>IT</v>
      </c>
      <c r="L729" s="3" t="s">
        <v>77</v>
      </c>
      <c r="M729" s="4">
        <v>43195</v>
      </c>
      <c r="N729" s="4">
        <v>43195</v>
      </c>
      <c r="O729" s="3" t="s">
        <v>78</v>
      </c>
      <c r="P729" s="3">
        <v>84</v>
      </c>
      <c r="Q729" s="3" t="s">
        <v>1442</v>
      </c>
      <c r="R729" s="3" t="s">
        <v>61</v>
      </c>
      <c r="S729" s="3" t="s">
        <v>174</v>
      </c>
      <c r="T729" s="3" t="str">
        <f t="shared" si="46"/>
        <v>Full-Time</v>
      </c>
      <c r="V729" s="3">
        <v>2</v>
      </c>
      <c r="W729" s="3">
        <v>8</v>
      </c>
      <c r="X729" s="3">
        <v>11</v>
      </c>
      <c r="Y729" s="4">
        <v>45516</v>
      </c>
      <c r="AA729" s="3" t="s">
        <v>34</v>
      </c>
      <c r="AB729" s="3" t="str" cm="1">
        <f t="array" ref="AB729">_xlfn.IFS(AA729="N","No",  AA729 = "Y", "Yes", TRUE, PROPER(TRIM(AA729)))</f>
        <v>No</v>
      </c>
      <c r="AC729" s="3">
        <v>4</v>
      </c>
      <c r="AD729" s="3" t="s">
        <v>46</v>
      </c>
      <c r="AE729">
        <f t="shared" si="47"/>
        <v>1</v>
      </c>
    </row>
    <row r="730" spans="1:31" ht="14.25" customHeight="1" x14ac:dyDescent="0.35">
      <c r="A730" s="3" t="s">
        <v>1443</v>
      </c>
      <c r="B730" s="3" t="s">
        <v>114</v>
      </c>
      <c r="C730" s="3" t="s">
        <v>662</v>
      </c>
      <c r="D730" s="3">
        <v>50</v>
      </c>
      <c r="E730" s="3">
        <f t="shared" si="44"/>
        <v>50</v>
      </c>
      <c r="F730" s="3">
        <v>1974</v>
      </c>
      <c r="G730" s="3">
        <v>58300</v>
      </c>
      <c r="H730" s="12" cm="1">
        <f t="array" ref="H730">_xlfn.IFS(TRIM(G730)="SIXTY THOUSAND",60000,TRIM(G730)="NAN",AVERAGEIFS(G:G,J:J,J730,L:L,L730),TRUE,G730)</f>
        <v>58300</v>
      </c>
      <c r="I730" s="3" t="s">
        <v>38</v>
      </c>
      <c r="J730" s="3" t="s">
        <v>51</v>
      </c>
      <c r="K730" s="3" t="str">
        <f t="shared" si="45"/>
        <v>Sales</v>
      </c>
      <c r="L730" s="3" t="s">
        <v>89</v>
      </c>
      <c r="M730" s="4">
        <v>43800</v>
      </c>
      <c r="N730" s="4">
        <v>43800</v>
      </c>
      <c r="O730" s="3" t="s">
        <v>41</v>
      </c>
      <c r="P730" s="3">
        <v>25</v>
      </c>
      <c r="Q730" s="3" t="s">
        <v>663</v>
      </c>
      <c r="R730" s="3" t="s">
        <v>43</v>
      </c>
      <c r="S730" s="3" t="s">
        <v>44</v>
      </c>
      <c r="T730" s="3" t="str">
        <f t="shared" si="46"/>
        <v>Full-Time</v>
      </c>
      <c r="V730" s="3">
        <v>1</v>
      </c>
      <c r="W730" s="3">
        <v>0</v>
      </c>
      <c r="Y730" s="4">
        <v>45516</v>
      </c>
      <c r="AA730" s="3" t="s">
        <v>73</v>
      </c>
      <c r="AB730" s="3" t="str" cm="1">
        <f t="array" ref="AB730">_xlfn.IFS(AA730="N","No",  AA730 = "Y", "Yes", TRUE, PROPER(TRIM(AA730)))</f>
        <v>No</v>
      </c>
      <c r="AC730" s="3">
        <v>3</v>
      </c>
      <c r="AD730" s="3" t="s">
        <v>34</v>
      </c>
      <c r="AE730">
        <f t="shared" si="47"/>
        <v>0</v>
      </c>
    </row>
    <row r="731" spans="1:31" ht="14.25" customHeight="1" x14ac:dyDescent="0.35">
      <c r="A731" s="3" t="s">
        <v>1444</v>
      </c>
      <c r="B731" s="3" t="s">
        <v>107</v>
      </c>
      <c r="C731" s="3" t="s">
        <v>121</v>
      </c>
      <c r="D731" s="3">
        <v>35</v>
      </c>
      <c r="E731" s="3">
        <f t="shared" si="44"/>
        <v>35</v>
      </c>
      <c r="F731" s="3">
        <v>1989</v>
      </c>
      <c r="G731" s="3">
        <v>55000</v>
      </c>
      <c r="H731" s="12" cm="1">
        <f t="array" ref="H731">_xlfn.IFS(TRIM(G731)="SIXTY THOUSAND",60000,TRIM(G731)="NAN",AVERAGEIFS(G:G,J:J,J731,L:L,L731),TRUE,G731)</f>
        <v>55000</v>
      </c>
      <c r="I731" s="3" t="s">
        <v>38</v>
      </c>
      <c r="J731" s="3" t="s">
        <v>145</v>
      </c>
      <c r="K731" s="3" t="str">
        <f t="shared" si="45"/>
        <v>Sales</v>
      </c>
      <c r="L731" s="3" t="s">
        <v>89</v>
      </c>
      <c r="M731" s="4">
        <v>43800</v>
      </c>
      <c r="N731" s="4">
        <v>43800</v>
      </c>
      <c r="O731" s="3" t="s">
        <v>41</v>
      </c>
      <c r="P731" s="3">
        <v>46</v>
      </c>
      <c r="Q731" s="3" t="s">
        <v>123</v>
      </c>
      <c r="R731" s="3" t="s">
        <v>61</v>
      </c>
      <c r="S731" s="3" t="s">
        <v>112</v>
      </c>
      <c r="T731" s="3" t="str">
        <f t="shared" si="46"/>
        <v>Full-Time</v>
      </c>
      <c r="V731" s="3">
        <v>7</v>
      </c>
      <c r="Y731" s="4">
        <v>44990</v>
      </c>
      <c r="AB731" s="3" t="str" cm="1">
        <f t="array" ref="AB731">_xlfn.IFS(AA731="N","No",  AA731 = "Y", "Yes", TRUE, PROPER(TRIM(AA731)))</f>
        <v/>
      </c>
      <c r="AC731" s="3">
        <v>1</v>
      </c>
      <c r="AD731" s="3" t="s">
        <v>46</v>
      </c>
      <c r="AE731">
        <f t="shared" si="47"/>
        <v>1</v>
      </c>
    </row>
    <row r="732" spans="1:31" ht="14.25" customHeight="1" x14ac:dyDescent="0.35">
      <c r="A732" s="3" t="s">
        <v>1445</v>
      </c>
      <c r="B732" s="3" t="s">
        <v>56</v>
      </c>
      <c r="C732" s="3" t="s">
        <v>403</v>
      </c>
      <c r="D732" s="3">
        <v>25</v>
      </c>
      <c r="E732" s="3">
        <f t="shared" si="44"/>
        <v>25</v>
      </c>
      <c r="F732" s="3">
        <v>1999</v>
      </c>
      <c r="G732" s="3" t="s">
        <v>50</v>
      </c>
      <c r="H732" s="12" cm="1">
        <f t="array" ref="H732">_xlfn.IFS(TRIM(G732)="SIXTY THOUSAND",60000,TRIM(G732)="NAN",AVERAGEIFS(G:G,J:J,J732,L:L,L732),TRUE,G732)</f>
        <v>60000</v>
      </c>
      <c r="I732" s="3" t="s">
        <v>38</v>
      </c>
      <c r="J732" s="3" t="s">
        <v>64</v>
      </c>
      <c r="K732" s="3" t="str">
        <f t="shared" si="45"/>
        <v>Finance</v>
      </c>
      <c r="L732" s="3" t="s">
        <v>89</v>
      </c>
      <c r="M732" s="4">
        <v>43195</v>
      </c>
      <c r="N732" s="4">
        <v>43195</v>
      </c>
      <c r="O732" s="3" t="s">
        <v>30</v>
      </c>
      <c r="P732" s="3">
        <v>61</v>
      </c>
      <c r="Q732" s="3" t="s">
        <v>1446</v>
      </c>
      <c r="R732" s="3" t="s">
        <v>104</v>
      </c>
      <c r="S732" s="3" t="s">
        <v>112</v>
      </c>
      <c r="T732" s="3" t="str">
        <f t="shared" si="46"/>
        <v>Full-Time</v>
      </c>
      <c r="V732" s="3">
        <v>4</v>
      </c>
      <c r="Y732" s="3" t="s">
        <v>79</v>
      </c>
      <c r="AA732" s="3" t="s">
        <v>34</v>
      </c>
      <c r="AB732" s="3" t="str" cm="1">
        <f t="array" ref="AB732">_xlfn.IFS(AA732="N","No",  AA732 = "Y", "Yes", TRUE, PROPER(TRIM(AA732)))</f>
        <v>No</v>
      </c>
      <c r="AC732" s="3">
        <v>1</v>
      </c>
      <c r="AD732" s="3" t="s">
        <v>46</v>
      </c>
      <c r="AE732">
        <f t="shared" si="47"/>
        <v>1</v>
      </c>
    </row>
    <row r="733" spans="1:31" ht="14.25" customHeight="1" x14ac:dyDescent="0.35">
      <c r="A733" s="3" t="s">
        <v>1447</v>
      </c>
      <c r="B733" s="3" t="s">
        <v>114</v>
      </c>
      <c r="C733" s="3" t="s">
        <v>125</v>
      </c>
      <c r="D733" s="3">
        <v>25</v>
      </c>
      <c r="E733" s="3">
        <f t="shared" si="44"/>
        <v>25</v>
      </c>
      <c r="F733" s="3">
        <v>1999</v>
      </c>
      <c r="G733" s="3">
        <v>65000</v>
      </c>
      <c r="H733" s="12" cm="1">
        <f t="array" ref="H733">_xlfn.IFS(TRIM(G733)="SIXTY THOUSAND",60000,TRIM(G733)="NAN",AVERAGEIFS(G:G,J:J,J733,L:L,L733),TRUE,G733)</f>
        <v>65000</v>
      </c>
      <c r="I733" s="3" t="s">
        <v>38</v>
      </c>
      <c r="J733" s="3" t="s">
        <v>64</v>
      </c>
      <c r="K733" s="3" t="str">
        <f t="shared" si="45"/>
        <v>Finance</v>
      </c>
      <c r="L733" s="3" t="s">
        <v>40</v>
      </c>
      <c r="M733" s="4">
        <v>43881</v>
      </c>
      <c r="N733" s="4">
        <v>43881</v>
      </c>
      <c r="O733" s="3" t="s">
        <v>78</v>
      </c>
      <c r="P733" s="3">
        <v>81</v>
      </c>
      <c r="Q733" s="3" t="s">
        <v>126</v>
      </c>
      <c r="R733" s="3" t="s">
        <v>61</v>
      </c>
      <c r="S733" s="3" t="s">
        <v>32</v>
      </c>
      <c r="T733" s="3" t="str">
        <f t="shared" si="46"/>
        <v>Contract</v>
      </c>
      <c r="V733" s="3">
        <v>6</v>
      </c>
      <c r="X733" s="3">
        <v>17</v>
      </c>
      <c r="Y733" s="4">
        <v>44732</v>
      </c>
      <c r="AA733" s="3" t="s">
        <v>34</v>
      </c>
      <c r="AB733" s="3" t="str" cm="1">
        <f t="array" ref="AB733">_xlfn.IFS(AA733="N","No",  AA733 = "Y", "Yes", TRUE, PROPER(TRIM(AA733)))</f>
        <v>No</v>
      </c>
      <c r="AC733" s="3">
        <v>4</v>
      </c>
      <c r="AD733" s="3" t="s">
        <v>34</v>
      </c>
      <c r="AE733">
        <f t="shared" si="47"/>
        <v>0</v>
      </c>
    </row>
    <row r="734" spans="1:31" ht="14.25" customHeight="1" x14ac:dyDescent="0.35">
      <c r="A734" s="3" t="s">
        <v>1448</v>
      </c>
      <c r="B734" s="3" t="s">
        <v>75</v>
      </c>
      <c r="C734" s="3" t="s">
        <v>310</v>
      </c>
      <c r="E734" s="3">
        <f t="shared" si="44"/>
        <v>34</v>
      </c>
      <c r="F734" s="3">
        <v>1990</v>
      </c>
      <c r="G734" s="3">
        <v>65000</v>
      </c>
      <c r="H734" s="12" cm="1">
        <f t="array" ref="H734">_xlfn.IFS(TRIM(G734)="SIXTY THOUSAND",60000,TRIM(G734)="NAN",AVERAGEIFS(G:G,J:J,J734,L:L,L734),TRUE,G734)</f>
        <v>65000</v>
      </c>
      <c r="I734" s="3" t="s">
        <v>27</v>
      </c>
      <c r="J734" s="3" t="s">
        <v>28</v>
      </c>
      <c r="K734" s="3" t="str">
        <f t="shared" si="45"/>
        <v>HR</v>
      </c>
      <c r="L734" s="3" t="s">
        <v>89</v>
      </c>
      <c r="M734" s="4">
        <v>43195</v>
      </c>
      <c r="N734" s="4">
        <v>43195</v>
      </c>
      <c r="O734" s="3" t="s">
        <v>78</v>
      </c>
      <c r="P734" s="3">
        <v>84</v>
      </c>
      <c r="Q734" s="3" t="s">
        <v>311</v>
      </c>
      <c r="R734" s="3" t="s">
        <v>104</v>
      </c>
      <c r="S734" s="3" t="s">
        <v>100</v>
      </c>
      <c r="T734" s="3" t="str">
        <f t="shared" si="46"/>
        <v>Part-Time</v>
      </c>
      <c r="V734" s="3">
        <v>7</v>
      </c>
      <c r="W734" s="3">
        <v>0</v>
      </c>
      <c r="Y734" s="4">
        <v>44470</v>
      </c>
      <c r="AA734" s="3" t="s">
        <v>33</v>
      </c>
      <c r="AB734" s="3" t="str" cm="1">
        <f t="array" ref="AB734">_xlfn.IFS(AA734="N","No",  AA734 = "Y", "Yes", TRUE, PROPER(TRIM(AA734)))</f>
        <v>Yes</v>
      </c>
      <c r="AC734" s="3">
        <v>4</v>
      </c>
      <c r="AD734" s="3" t="s">
        <v>46</v>
      </c>
      <c r="AE734">
        <f t="shared" si="47"/>
        <v>1</v>
      </c>
    </row>
    <row r="735" spans="1:31" ht="14.25" customHeight="1" x14ac:dyDescent="0.35">
      <c r="A735" s="3" t="s">
        <v>1449</v>
      </c>
      <c r="B735" s="3" t="s">
        <v>140</v>
      </c>
      <c r="C735" s="3" t="s">
        <v>620</v>
      </c>
      <c r="D735" s="3">
        <v>25</v>
      </c>
      <c r="E735" s="3">
        <f t="shared" si="44"/>
        <v>25</v>
      </c>
      <c r="F735" s="3">
        <v>1999</v>
      </c>
      <c r="G735" s="3" t="s">
        <v>50</v>
      </c>
      <c r="H735" s="12" cm="1">
        <f t="array" ref="H735">_xlfn.IFS(TRIM(G735)="SIXTY THOUSAND",60000,TRIM(G735)="NAN",AVERAGEIFS(G:G,J:J,J735,L:L,L735),TRUE,G735)</f>
        <v>60000</v>
      </c>
      <c r="I735" s="3" t="s">
        <v>38</v>
      </c>
      <c r="J735" s="3" t="s">
        <v>51</v>
      </c>
      <c r="K735" s="3" t="str">
        <f t="shared" si="45"/>
        <v>Sales</v>
      </c>
      <c r="L735" s="3" t="s">
        <v>29</v>
      </c>
      <c r="M735" s="4">
        <v>43195</v>
      </c>
      <c r="N735" s="4">
        <v>43195</v>
      </c>
      <c r="O735" s="3" t="s">
        <v>59</v>
      </c>
      <c r="P735" s="3">
        <v>92</v>
      </c>
      <c r="Q735" s="3" t="s">
        <v>621</v>
      </c>
      <c r="R735" s="3" t="s">
        <v>54</v>
      </c>
      <c r="S735" s="3" t="s">
        <v>72</v>
      </c>
      <c r="T735" s="3" t="str">
        <f t="shared" si="46"/>
        <v>Part-Time</v>
      </c>
      <c r="V735" s="3">
        <v>6</v>
      </c>
      <c r="X735" s="3">
        <v>4</v>
      </c>
      <c r="Y735" s="3" t="s">
        <v>79</v>
      </c>
      <c r="AA735" s="3" t="s">
        <v>73</v>
      </c>
      <c r="AB735" s="3" t="str" cm="1">
        <f t="array" ref="AB735">_xlfn.IFS(AA735="N","No",  AA735 = "Y", "Yes", TRUE, PROPER(TRIM(AA735)))</f>
        <v>No</v>
      </c>
      <c r="AC735" s="3">
        <v>5</v>
      </c>
      <c r="AD735" s="3" t="s">
        <v>34</v>
      </c>
      <c r="AE735">
        <f t="shared" si="47"/>
        <v>0</v>
      </c>
    </row>
    <row r="736" spans="1:31" ht="14.25" customHeight="1" x14ac:dyDescent="0.35">
      <c r="A736" s="3" t="s">
        <v>1450</v>
      </c>
      <c r="B736" s="3" t="s">
        <v>25</v>
      </c>
      <c r="C736" s="3" t="s">
        <v>289</v>
      </c>
      <c r="D736" s="3">
        <v>50</v>
      </c>
      <c r="E736" s="3">
        <f t="shared" si="44"/>
        <v>50</v>
      </c>
      <c r="F736" s="3">
        <v>1974</v>
      </c>
      <c r="G736" s="3">
        <v>50000</v>
      </c>
      <c r="H736" s="12" cm="1">
        <f t="array" ref="H736">_xlfn.IFS(TRIM(G736)="SIXTY THOUSAND",60000,TRIM(G736)="NAN",AVERAGEIFS(G:G,J:J,J736,L:L,L736),TRUE,G736)</f>
        <v>50000</v>
      </c>
      <c r="I736" s="3" t="s">
        <v>27</v>
      </c>
      <c r="J736" s="3" t="s">
        <v>64</v>
      </c>
      <c r="K736" s="3" t="str">
        <f t="shared" si="45"/>
        <v>Finance</v>
      </c>
      <c r="L736" s="3" t="s">
        <v>89</v>
      </c>
      <c r="M736" s="4">
        <v>43549</v>
      </c>
      <c r="N736" s="4">
        <v>43549</v>
      </c>
      <c r="O736" s="3" t="s">
        <v>59</v>
      </c>
      <c r="P736" s="3">
        <v>98</v>
      </c>
      <c r="Q736" s="3" t="s">
        <v>290</v>
      </c>
      <c r="R736" s="3" t="s">
        <v>54</v>
      </c>
      <c r="S736" s="3" t="s">
        <v>32</v>
      </c>
      <c r="T736" s="3" t="str">
        <f t="shared" si="46"/>
        <v>Contract</v>
      </c>
      <c r="U736" s="3" t="s">
        <v>101</v>
      </c>
      <c r="V736" s="3">
        <v>2</v>
      </c>
      <c r="W736" s="3">
        <v>7</v>
      </c>
      <c r="X736" s="3">
        <v>13</v>
      </c>
      <c r="AA736" s="3" t="s">
        <v>169</v>
      </c>
      <c r="AB736" s="3" t="str" cm="1">
        <f t="array" ref="AB736">_xlfn.IFS(AA736="N","No",  AA736 = "Y", "Yes", TRUE, PROPER(TRIM(AA736)))</f>
        <v>Yes</v>
      </c>
      <c r="AC736" s="3">
        <v>5</v>
      </c>
      <c r="AD736" s="3" t="s">
        <v>34</v>
      </c>
      <c r="AE736">
        <f t="shared" si="47"/>
        <v>0</v>
      </c>
    </row>
    <row r="737" spans="1:31" ht="14.25" customHeight="1" x14ac:dyDescent="0.35">
      <c r="A737" s="3" t="s">
        <v>1451</v>
      </c>
      <c r="B737" s="3" t="s">
        <v>25</v>
      </c>
      <c r="C737" s="3" t="s">
        <v>299</v>
      </c>
      <c r="D737" s="3">
        <v>50</v>
      </c>
      <c r="E737" s="3">
        <f t="shared" si="44"/>
        <v>50</v>
      </c>
      <c r="F737" s="3">
        <v>1974</v>
      </c>
      <c r="G737" s="3">
        <v>58600</v>
      </c>
      <c r="H737" s="12" cm="1">
        <f t="array" ref="H737">_xlfn.IFS(TRIM(G737)="SIXTY THOUSAND",60000,TRIM(G737)="NAN",AVERAGEIFS(G:G,J:J,J737,L:L,L737),TRUE,G737)</f>
        <v>58600</v>
      </c>
      <c r="I737" s="3" t="s">
        <v>27</v>
      </c>
      <c r="J737" s="3" t="s">
        <v>122</v>
      </c>
      <c r="K737" s="3" t="str">
        <f t="shared" si="45"/>
        <v>IT</v>
      </c>
      <c r="L737" s="3" t="s">
        <v>77</v>
      </c>
      <c r="M737" s="4">
        <v>43800</v>
      </c>
      <c r="N737" s="4">
        <v>43800</v>
      </c>
      <c r="O737" s="3" t="s">
        <v>30</v>
      </c>
      <c r="P737" s="3">
        <v>60</v>
      </c>
      <c r="Q737" s="3" t="s">
        <v>1452</v>
      </c>
      <c r="S737" s="3" t="s">
        <v>32</v>
      </c>
      <c r="T737" s="3" t="str">
        <f t="shared" si="46"/>
        <v>Contract</v>
      </c>
      <c r="V737" s="3">
        <v>3</v>
      </c>
      <c r="X737" s="3">
        <v>2</v>
      </c>
      <c r="Y737" s="4">
        <v>44941</v>
      </c>
      <c r="AA737" s="3" t="s">
        <v>34</v>
      </c>
      <c r="AB737" s="3" t="str" cm="1">
        <f t="array" ref="AB737">_xlfn.IFS(AA737="N","No",  AA737 = "Y", "Yes", TRUE, PROPER(TRIM(AA737)))</f>
        <v>No</v>
      </c>
      <c r="AC737" s="3">
        <v>1</v>
      </c>
      <c r="AD737" s="3" t="s">
        <v>46</v>
      </c>
      <c r="AE737">
        <f t="shared" si="47"/>
        <v>1</v>
      </c>
    </row>
    <row r="738" spans="1:31" ht="14.25" customHeight="1" x14ac:dyDescent="0.35">
      <c r="A738" s="3" t="s">
        <v>1453</v>
      </c>
      <c r="B738" s="3" t="s">
        <v>107</v>
      </c>
      <c r="C738" s="3" t="s">
        <v>132</v>
      </c>
      <c r="D738" s="3">
        <v>50</v>
      </c>
      <c r="E738" s="3">
        <f t="shared" si="44"/>
        <v>50</v>
      </c>
      <c r="F738" s="3">
        <v>1974</v>
      </c>
      <c r="G738" s="3" t="s">
        <v>50</v>
      </c>
      <c r="H738" s="12" cm="1">
        <f t="array" ref="H738">_xlfn.IFS(TRIM(G738)="SIXTY THOUSAND",60000,TRIM(G738)="NAN",AVERAGEIFS(G:G,J:J,J738,L:L,L738),TRUE,G738)</f>
        <v>60000</v>
      </c>
      <c r="I738" s="3" t="s">
        <v>27</v>
      </c>
      <c r="J738" s="3" t="s">
        <v>70</v>
      </c>
      <c r="K738" s="3" t="str">
        <f t="shared" si="45"/>
        <v>Marketing</v>
      </c>
      <c r="L738" s="3" t="s">
        <v>77</v>
      </c>
      <c r="M738" s="4">
        <v>43549</v>
      </c>
      <c r="N738" s="4">
        <v>43549</v>
      </c>
      <c r="O738" s="3" t="s">
        <v>52</v>
      </c>
      <c r="P738" s="3">
        <v>78</v>
      </c>
      <c r="Q738" s="3" t="s">
        <v>1454</v>
      </c>
      <c r="R738" s="3" t="s">
        <v>104</v>
      </c>
      <c r="S738" s="3" t="s">
        <v>112</v>
      </c>
      <c r="T738" s="3" t="str">
        <f t="shared" si="46"/>
        <v>Full-Time</v>
      </c>
      <c r="V738" s="3">
        <v>7</v>
      </c>
      <c r="Y738" s="4">
        <v>44732</v>
      </c>
      <c r="Z738" s="3">
        <v>27</v>
      </c>
      <c r="AA738" s="3" t="s">
        <v>169</v>
      </c>
      <c r="AB738" s="3" t="str" cm="1">
        <f t="array" ref="AB738">_xlfn.IFS(AA738="N","No",  AA738 = "Y", "Yes", TRUE, PROPER(TRIM(AA738)))</f>
        <v>Yes</v>
      </c>
      <c r="AC738" s="3">
        <v>4</v>
      </c>
      <c r="AD738" s="3" t="s">
        <v>34</v>
      </c>
      <c r="AE738">
        <f t="shared" si="47"/>
        <v>0</v>
      </c>
    </row>
    <row r="739" spans="1:31" ht="14.25" customHeight="1" x14ac:dyDescent="0.35">
      <c r="A739" s="3" t="s">
        <v>1455</v>
      </c>
      <c r="B739" s="3" t="s">
        <v>48</v>
      </c>
      <c r="C739" s="3" t="s">
        <v>262</v>
      </c>
      <c r="E739" s="3">
        <f t="shared" si="44"/>
        <v>35</v>
      </c>
      <c r="F739" s="3">
        <v>1989</v>
      </c>
      <c r="G739" s="3">
        <v>58600</v>
      </c>
      <c r="H739" s="12" cm="1">
        <f t="array" ref="H739">_xlfn.IFS(TRIM(G739)="SIXTY THOUSAND",60000,TRIM(G739)="NAN",AVERAGEIFS(G:G,J:J,J739,L:L,L739),TRUE,G739)</f>
        <v>58600</v>
      </c>
      <c r="I739" s="3" t="s">
        <v>27</v>
      </c>
      <c r="J739" s="3" t="s">
        <v>58</v>
      </c>
      <c r="K739" s="3" t="str">
        <f t="shared" si="45"/>
        <v>IT</v>
      </c>
      <c r="L739" s="3" t="s">
        <v>77</v>
      </c>
      <c r="M739" s="4">
        <v>43549</v>
      </c>
      <c r="N739" s="4">
        <v>43549</v>
      </c>
      <c r="O739" s="3" t="s">
        <v>52</v>
      </c>
      <c r="P739" s="3">
        <v>77</v>
      </c>
      <c r="Q739" s="3" t="s">
        <v>263</v>
      </c>
      <c r="R739" s="3" t="s">
        <v>54</v>
      </c>
      <c r="S739" s="3" t="s">
        <v>112</v>
      </c>
      <c r="T739" s="3" t="str">
        <f t="shared" si="46"/>
        <v>Full-Time</v>
      </c>
      <c r="V739" s="3">
        <v>5</v>
      </c>
      <c r="Z739" s="3">
        <v>48</v>
      </c>
      <c r="AA739" s="3" t="s">
        <v>34</v>
      </c>
      <c r="AB739" s="3" t="str" cm="1">
        <f t="array" ref="AB739">_xlfn.IFS(AA739="N","No",  AA739 = "Y", "Yes", TRUE, PROPER(TRIM(AA739)))</f>
        <v>No</v>
      </c>
      <c r="AC739" s="3">
        <v>4</v>
      </c>
      <c r="AD739" s="3" t="s">
        <v>34</v>
      </c>
      <c r="AE739">
        <f t="shared" si="47"/>
        <v>0</v>
      </c>
    </row>
    <row r="740" spans="1:31" ht="14.25" customHeight="1" x14ac:dyDescent="0.35">
      <c r="A740" s="3" t="s">
        <v>1456</v>
      </c>
      <c r="B740" s="3" t="s">
        <v>36</v>
      </c>
      <c r="C740" s="3" t="s">
        <v>496</v>
      </c>
      <c r="E740" s="3">
        <f t="shared" si="44"/>
        <v>47</v>
      </c>
      <c r="F740" s="3">
        <v>1977</v>
      </c>
      <c r="G740" s="3">
        <v>70000</v>
      </c>
      <c r="H740" s="12" cm="1">
        <f t="array" ref="H740">_xlfn.IFS(TRIM(G740)="SIXTY THOUSAND",60000,TRIM(G740)="NAN",AVERAGEIFS(G:G,J:J,J740,L:L,L740),TRUE,G740)</f>
        <v>70000</v>
      </c>
      <c r="I740" s="3" t="s">
        <v>27</v>
      </c>
      <c r="J740" s="3" t="s">
        <v>70</v>
      </c>
      <c r="K740" s="3" t="str">
        <f t="shared" si="45"/>
        <v>Marketing</v>
      </c>
      <c r="L740" s="3" t="s">
        <v>40</v>
      </c>
      <c r="M740" s="4">
        <v>43195</v>
      </c>
      <c r="N740" s="4">
        <v>43195</v>
      </c>
      <c r="O740" s="3" t="s">
        <v>52</v>
      </c>
      <c r="P740" s="3">
        <v>77</v>
      </c>
      <c r="Q740" s="3" t="s">
        <v>1457</v>
      </c>
      <c r="R740" s="3" t="s">
        <v>61</v>
      </c>
      <c r="S740" s="3" t="s">
        <v>112</v>
      </c>
      <c r="T740" s="3" t="str">
        <f t="shared" si="46"/>
        <v>Full-Time</v>
      </c>
      <c r="V740" s="3">
        <v>5</v>
      </c>
      <c r="W740" s="3">
        <v>0</v>
      </c>
      <c r="X740" s="3">
        <v>11</v>
      </c>
      <c r="Z740" s="3">
        <v>61</v>
      </c>
      <c r="AA740" s="3" t="s">
        <v>33</v>
      </c>
      <c r="AB740" s="3" t="str" cm="1">
        <f t="array" ref="AB740">_xlfn.IFS(AA740="N","No",  AA740 = "Y", "Yes", TRUE, PROPER(TRIM(AA740)))</f>
        <v>Yes</v>
      </c>
      <c r="AC740" s="3">
        <v>3</v>
      </c>
      <c r="AD740" s="3" t="s">
        <v>46</v>
      </c>
      <c r="AE740">
        <f t="shared" si="47"/>
        <v>1</v>
      </c>
    </row>
    <row r="741" spans="1:31" ht="14.25" customHeight="1" x14ac:dyDescent="0.35">
      <c r="A741" s="3" t="s">
        <v>1458</v>
      </c>
      <c r="B741" s="3" t="s">
        <v>48</v>
      </c>
      <c r="C741" s="3" t="s">
        <v>176</v>
      </c>
      <c r="D741" s="3">
        <v>25</v>
      </c>
      <c r="E741" s="3">
        <f t="shared" si="44"/>
        <v>25</v>
      </c>
      <c r="F741" s="3">
        <v>1999</v>
      </c>
      <c r="G741" s="3">
        <v>65000</v>
      </c>
      <c r="H741" s="12" cm="1">
        <f t="array" ref="H741">_xlfn.IFS(TRIM(G741)="SIXTY THOUSAND",60000,TRIM(G741)="NAN",AVERAGEIFS(G:G,J:J,J741,L:L,L741),TRUE,G741)</f>
        <v>65000</v>
      </c>
      <c r="I741" s="3" t="s">
        <v>27</v>
      </c>
      <c r="J741" s="3" t="s">
        <v>64</v>
      </c>
      <c r="K741" s="3" t="str">
        <f t="shared" si="45"/>
        <v>Finance</v>
      </c>
      <c r="L741" s="3" t="s">
        <v>77</v>
      </c>
      <c r="M741" s="4">
        <v>43549</v>
      </c>
      <c r="N741" s="4">
        <v>43549</v>
      </c>
      <c r="O741" s="3" t="s">
        <v>78</v>
      </c>
      <c r="P741" s="3">
        <v>82</v>
      </c>
      <c r="Q741" s="3" t="s">
        <v>1459</v>
      </c>
      <c r="R741" s="3" t="s">
        <v>43</v>
      </c>
      <c r="S741" s="3" t="s">
        <v>72</v>
      </c>
      <c r="T741" s="3" t="str">
        <f t="shared" si="46"/>
        <v>Part-Time</v>
      </c>
      <c r="V741" s="3">
        <v>7</v>
      </c>
      <c r="X741" s="3">
        <v>18</v>
      </c>
      <c r="Z741" s="3">
        <v>21</v>
      </c>
      <c r="AA741" s="3" t="s">
        <v>169</v>
      </c>
      <c r="AB741" s="3" t="str" cm="1">
        <f t="array" ref="AB741">_xlfn.IFS(AA741="N","No",  AA741 = "Y", "Yes", TRUE, PROPER(TRIM(AA741)))</f>
        <v>Yes</v>
      </c>
      <c r="AC741" s="3">
        <v>1</v>
      </c>
      <c r="AD741" s="3" t="s">
        <v>34</v>
      </c>
      <c r="AE741">
        <f t="shared" si="47"/>
        <v>0</v>
      </c>
    </row>
    <row r="742" spans="1:31" ht="14.25" customHeight="1" x14ac:dyDescent="0.35">
      <c r="A742" s="3" t="s">
        <v>1460</v>
      </c>
      <c r="B742" s="3" t="s">
        <v>36</v>
      </c>
      <c r="C742" s="3" t="s">
        <v>256</v>
      </c>
      <c r="D742" s="3" t="s">
        <v>88</v>
      </c>
      <c r="E742" s="3">
        <f t="shared" si="44"/>
        <v>30</v>
      </c>
      <c r="F742" s="3">
        <v>1994</v>
      </c>
      <c r="G742" s="3">
        <v>60900</v>
      </c>
      <c r="H742" s="12" cm="1">
        <f t="array" ref="H742">_xlfn.IFS(TRIM(G742)="SIXTY THOUSAND",60000,TRIM(G742)="NAN",AVERAGEIFS(G:G,J:J,J742,L:L,L742),TRUE,G742)</f>
        <v>60900</v>
      </c>
      <c r="I742" s="3" t="s">
        <v>38</v>
      </c>
      <c r="J742" s="3" t="s">
        <v>28</v>
      </c>
      <c r="K742" s="3" t="str">
        <f t="shared" si="45"/>
        <v>HR</v>
      </c>
      <c r="L742" s="3" t="s">
        <v>40</v>
      </c>
      <c r="M742" s="4">
        <v>43800</v>
      </c>
      <c r="N742" s="4">
        <v>43800</v>
      </c>
      <c r="O742" s="3" t="s">
        <v>78</v>
      </c>
      <c r="P742" s="3">
        <v>81</v>
      </c>
      <c r="Q742" s="3" t="s">
        <v>669</v>
      </c>
      <c r="R742" s="3" t="s">
        <v>43</v>
      </c>
      <c r="S742" s="3" t="s">
        <v>72</v>
      </c>
      <c r="T742" s="3" t="str">
        <f t="shared" si="46"/>
        <v>Part-Time</v>
      </c>
      <c r="V742" s="3">
        <v>6</v>
      </c>
      <c r="Z742" s="3">
        <v>51</v>
      </c>
      <c r="AB742" s="3" t="str" cm="1">
        <f t="array" ref="AB742">_xlfn.IFS(AA742="N","No",  AA742 = "Y", "Yes", TRUE, PROPER(TRIM(AA742)))</f>
        <v/>
      </c>
      <c r="AC742" s="3">
        <v>3</v>
      </c>
      <c r="AD742" s="3" t="s">
        <v>34</v>
      </c>
      <c r="AE742">
        <f t="shared" si="47"/>
        <v>0</v>
      </c>
    </row>
    <row r="743" spans="1:31" ht="14.25" customHeight="1" x14ac:dyDescent="0.35">
      <c r="A743" s="3" t="s">
        <v>1461</v>
      </c>
      <c r="B743" s="3" t="s">
        <v>48</v>
      </c>
      <c r="C743" s="3" t="s">
        <v>96</v>
      </c>
      <c r="D743" s="3" t="s">
        <v>88</v>
      </c>
      <c r="E743" s="3">
        <f t="shared" si="44"/>
        <v>30</v>
      </c>
      <c r="F743" s="3">
        <v>1994</v>
      </c>
      <c r="G743" s="3">
        <v>55000</v>
      </c>
      <c r="H743" s="12" cm="1">
        <f t="array" ref="H743">_xlfn.IFS(TRIM(G743)="SIXTY THOUSAND",60000,TRIM(G743)="NAN",AVERAGEIFS(G:G,J:J,J743,L:L,L743),TRUE,G743)</f>
        <v>55000</v>
      </c>
      <c r="I743" s="3" t="s">
        <v>27</v>
      </c>
      <c r="J743" s="3" t="s">
        <v>122</v>
      </c>
      <c r="K743" s="3" t="str">
        <f t="shared" si="45"/>
        <v>IT</v>
      </c>
      <c r="L743" s="3" t="s">
        <v>40</v>
      </c>
      <c r="M743" s="4">
        <v>43549</v>
      </c>
      <c r="N743" s="4">
        <v>43549</v>
      </c>
      <c r="O743" s="3" t="s">
        <v>41</v>
      </c>
      <c r="P743" s="3">
        <v>30</v>
      </c>
      <c r="Q743" s="3" t="s">
        <v>97</v>
      </c>
      <c r="R743" s="3" t="s">
        <v>104</v>
      </c>
      <c r="S743" s="3" t="s">
        <v>32</v>
      </c>
      <c r="T743" s="3" t="str">
        <f t="shared" si="46"/>
        <v>Contract</v>
      </c>
      <c r="V743" s="3">
        <v>5</v>
      </c>
      <c r="X743" s="3">
        <v>15</v>
      </c>
      <c r="AA743" s="3" t="s">
        <v>33</v>
      </c>
      <c r="AB743" s="3" t="str" cm="1">
        <f t="array" ref="AB743">_xlfn.IFS(AA743="N","No",  AA743 = "Y", "Yes", TRUE, PROPER(TRIM(AA743)))</f>
        <v>Yes</v>
      </c>
      <c r="AC743" s="3">
        <v>4</v>
      </c>
      <c r="AD743" s="3" t="s">
        <v>34</v>
      </c>
      <c r="AE743">
        <f t="shared" si="47"/>
        <v>0</v>
      </c>
    </row>
    <row r="744" spans="1:31" ht="14.25" customHeight="1" x14ac:dyDescent="0.35">
      <c r="A744" s="3" t="s">
        <v>1462</v>
      </c>
      <c r="B744" s="3" t="s">
        <v>140</v>
      </c>
      <c r="C744" s="3" t="s">
        <v>277</v>
      </c>
      <c r="E744" s="3">
        <f t="shared" si="44"/>
        <v>40</v>
      </c>
      <c r="F744" s="3">
        <v>1984</v>
      </c>
      <c r="G744" s="3">
        <v>59800</v>
      </c>
      <c r="H744" s="12" cm="1">
        <f t="array" ref="H744">_xlfn.IFS(TRIM(G744)="SIXTY THOUSAND",60000,TRIM(G744)="NAN",AVERAGEIFS(G:G,J:J,J744,L:L,L744),TRUE,G744)</f>
        <v>59800</v>
      </c>
      <c r="I744" s="3" t="s">
        <v>38</v>
      </c>
      <c r="J744" s="3" t="s">
        <v>122</v>
      </c>
      <c r="K744" s="3" t="str">
        <f t="shared" si="45"/>
        <v>IT</v>
      </c>
      <c r="L744" s="3" t="s">
        <v>89</v>
      </c>
      <c r="M744" s="4">
        <v>43800</v>
      </c>
      <c r="N744" s="4">
        <v>43800</v>
      </c>
      <c r="O744" s="3" t="s">
        <v>78</v>
      </c>
      <c r="P744" s="3">
        <v>86</v>
      </c>
      <c r="Q744" s="3" t="s">
        <v>1463</v>
      </c>
      <c r="S744" s="3" t="s">
        <v>32</v>
      </c>
      <c r="T744" s="3" t="str">
        <f t="shared" si="46"/>
        <v>Contract</v>
      </c>
      <c r="V744" s="3">
        <v>7</v>
      </c>
      <c r="W744" s="3" t="s">
        <v>79</v>
      </c>
      <c r="X744" s="3">
        <v>14</v>
      </c>
      <c r="AA744" s="3" t="s">
        <v>34</v>
      </c>
      <c r="AB744" s="3" t="str" cm="1">
        <f t="array" ref="AB744">_xlfn.IFS(AA744="N","No",  AA744 = "Y", "Yes", TRUE, PROPER(TRIM(AA744)))</f>
        <v>No</v>
      </c>
      <c r="AC744" s="3">
        <v>1</v>
      </c>
      <c r="AD744" s="3" t="s">
        <v>46</v>
      </c>
      <c r="AE744">
        <f t="shared" si="47"/>
        <v>1</v>
      </c>
    </row>
    <row r="745" spans="1:31" ht="14.25" customHeight="1" x14ac:dyDescent="0.35">
      <c r="A745" s="3" t="s">
        <v>1464</v>
      </c>
      <c r="B745" s="3" t="s">
        <v>75</v>
      </c>
      <c r="C745" s="3" t="s">
        <v>151</v>
      </c>
      <c r="D745" s="3">
        <v>25</v>
      </c>
      <c r="E745" s="3">
        <f t="shared" si="44"/>
        <v>25</v>
      </c>
      <c r="F745" s="3">
        <v>1999</v>
      </c>
      <c r="G745" s="3">
        <v>70000</v>
      </c>
      <c r="H745" s="12" cm="1">
        <f t="array" ref="H745">_xlfn.IFS(TRIM(G745)="SIXTY THOUSAND",60000,TRIM(G745)="NAN",AVERAGEIFS(G:G,J:J,J745,L:L,L745),TRUE,G745)</f>
        <v>70000</v>
      </c>
      <c r="I745" s="3" t="s">
        <v>38</v>
      </c>
      <c r="J745" s="3" t="s">
        <v>122</v>
      </c>
      <c r="K745" s="3" t="str">
        <f t="shared" si="45"/>
        <v>IT</v>
      </c>
      <c r="L745" s="3" t="s">
        <v>29</v>
      </c>
      <c r="M745" s="4">
        <v>43549</v>
      </c>
      <c r="N745" s="4">
        <v>43549</v>
      </c>
      <c r="O745" s="3" t="s">
        <v>78</v>
      </c>
      <c r="P745" s="3">
        <v>88</v>
      </c>
      <c r="Q745" s="3" t="s">
        <v>152</v>
      </c>
      <c r="R745" s="3" t="s">
        <v>61</v>
      </c>
      <c r="S745" s="3" t="s">
        <v>44</v>
      </c>
      <c r="T745" s="3" t="str">
        <f t="shared" si="46"/>
        <v>Full-Time</v>
      </c>
      <c r="U745" s="3" t="s">
        <v>24</v>
      </c>
      <c r="V745" s="3">
        <v>4</v>
      </c>
      <c r="X745" s="3">
        <v>4</v>
      </c>
      <c r="Y745" s="3" t="s">
        <v>79</v>
      </c>
      <c r="Z745" s="3">
        <v>18</v>
      </c>
      <c r="AA745" s="3" t="s">
        <v>33</v>
      </c>
      <c r="AB745" s="3" t="str" cm="1">
        <f t="array" ref="AB745">_xlfn.IFS(AA745="N","No",  AA745 = "Y", "Yes", TRUE, PROPER(TRIM(AA745)))</f>
        <v>Yes</v>
      </c>
      <c r="AC745" s="3">
        <v>2</v>
      </c>
      <c r="AD745" s="3" t="s">
        <v>46</v>
      </c>
      <c r="AE745">
        <f t="shared" si="47"/>
        <v>1</v>
      </c>
    </row>
    <row r="746" spans="1:31" ht="14.25" customHeight="1" x14ac:dyDescent="0.35">
      <c r="A746" s="3" t="s">
        <v>1465</v>
      </c>
      <c r="B746" s="3" t="s">
        <v>75</v>
      </c>
      <c r="C746" s="3" t="s">
        <v>179</v>
      </c>
      <c r="D746" s="3" t="s">
        <v>88</v>
      </c>
      <c r="E746" s="3">
        <f t="shared" si="44"/>
        <v>30</v>
      </c>
      <c r="F746" s="3">
        <v>1994</v>
      </c>
      <c r="G746" s="3">
        <v>65000</v>
      </c>
      <c r="H746" s="12" cm="1">
        <f t="array" ref="H746">_xlfn.IFS(TRIM(G746)="SIXTY THOUSAND",60000,TRIM(G746)="NAN",AVERAGEIFS(G:G,J:J,J746,L:L,L746),TRUE,G746)</f>
        <v>65000</v>
      </c>
      <c r="I746" s="3" t="s">
        <v>38</v>
      </c>
      <c r="J746" s="3" t="s">
        <v>93</v>
      </c>
      <c r="K746" s="3" t="str">
        <f t="shared" si="45"/>
        <v>Marketing</v>
      </c>
      <c r="L746" s="3" t="s">
        <v>89</v>
      </c>
      <c r="M746" s="4">
        <v>43800</v>
      </c>
      <c r="N746" s="4">
        <v>43800</v>
      </c>
      <c r="O746" s="3" t="s">
        <v>78</v>
      </c>
      <c r="P746" s="3">
        <v>86</v>
      </c>
      <c r="Q746" s="3" t="s">
        <v>1466</v>
      </c>
      <c r="R746" s="3" t="s">
        <v>104</v>
      </c>
      <c r="S746" s="3" t="s">
        <v>174</v>
      </c>
      <c r="T746" s="3" t="str">
        <f t="shared" si="46"/>
        <v>Full-Time</v>
      </c>
      <c r="U746" s="3" t="s">
        <v>280</v>
      </c>
      <c r="V746" s="3">
        <v>7</v>
      </c>
      <c r="Y746" s="4">
        <v>44941</v>
      </c>
      <c r="Z746" s="3">
        <v>60</v>
      </c>
      <c r="AA746" s="3" t="s">
        <v>169</v>
      </c>
      <c r="AB746" s="3" t="str" cm="1">
        <f t="array" ref="AB746">_xlfn.IFS(AA746="N","No",  AA746 = "Y", "Yes", TRUE, PROPER(TRIM(AA746)))</f>
        <v>Yes</v>
      </c>
      <c r="AC746" s="3">
        <v>4</v>
      </c>
      <c r="AD746" s="3" t="s">
        <v>46</v>
      </c>
      <c r="AE746">
        <f t="shared" si="47"/>
        <v>1</v>
      </c>
    </row>
    <row r="747" spans="1:31" ht="14.25" customHeight="1" x14ac:dyDescent="0.35">
      <c r="A747" s="3" t="s">
        <v>1467</v>
      </c>
      <c r="B747" s="3" t="s">
        <v>114</v>
      </c>
      <c r="C747" s="3" t="s">
        <v>540</v>
      </c>
      <c r="D747" s="3">
        <v>25</v>
      </c>
      <c r="E747" s="3">
        <f t="shared" si="44"/>
        <v>25</v>
      </c>
      <c r="F747" s="3">
        <v>1999</v>
      </c>
      <c r="G747" s="3" t="s">
        <v>50</v>
      </c>
      <c r="H747" s="12" cm="1">
        <f t="array" ref="H747">_xlfn.IFS(TRIM(G747)="SIXTY THOUSAND",60000,TRIM(G747)="NAN",AVERAGEIFS(G:G,J:J,J747,L:L,L747),TRUE,G747)</f>
        <v>60000</v>
      </c>
      <c r="I747" s="3" t="s">
        <v>38</v>
      </c>
      <c r="J747" s="3" t="s">
        <v>64</v>
      </c>
      <c r="K747" s="3" t="str">
        <f t="shared" si="45"/>
        <v>Finance</v>
      </c>
      <c r="L747" s="3" t="s">
        <v>89</v>
      </c>
      <c r="M747" s="4">
        <v>43549</v>
      </c>
      <c r="N747" s="4">
        <v>43549</v>
      </c>
      <c r="O747" s="3" t="s">
        <v>30</v>
      </c>
      <c r="P747" s="3">
        <v>61</v>
      </c>
      <c r="Q747" s="3" t="s">
        <v>541</v>
      </c>
      <c r="R747" s="3" t="s">
        <v>43</v>
      </c>
      <c r="S747" s="3" t="s">
        <v>174</v>
      </c>
      <c r="T747" s="3" t="str">
        <f t="shared" si="46"/>
        <v>Full-Time</v>
      </c>
      <c r="U747" s="3" t="s">
        <v>1468</v>
      </c>
      <c r="V747" s="3">
        <v>8</v>
      </c>
      <c r="Y747" s="3" t="s">
        <v>79</v>
      </c>
      <c r="AA747" s="3" t="s">
        <v>46</v>
      </c>
      <c r="AB747" s="3" t="str" cm="1">
        <f t="array" ref="AB747">_xlfn.IFS(AA747="N","No",  AA747 = "Y", "Yes", TRUE, PROPER(TRIM(AA747)))</f>
        <v>Yes</v>
      </c>
      <c r="AC747" s="3">
        <v>2</v>
      </c>
      <c r="AD747" s="3" t="s">
        <v>46</v>
      </c>
      <c r="AE747">
        <f t="shared" si="47"/>
        <v>1</v>
      </c>
    </row>
    <row r="748" spans="1:31" ht="14.25" customHeight="1" x14ac:dyDescent="0.35">
      <c r="A748" s="3" t="s">
        <v>1469</v>
      </c>
      <c r="B748" s="3" t="s">
        <v>68</v>
      </c>
      <c r="C748" s="3" t="s">
        <v>256</v>
      </c>
      <c r="D748" s="3">
        <v>25</v>
      </c>
      <c r="E748" s="3">
        <f t="shared" si="44"/>
        <v>25</v>
      </c>
      <c r="F748" s="3">
        <v>1999</v>
      </c>
      <c r="G748" s="3">
        <v>70000</v>
      </c>
      <c r="H748" s="12" cm="1">
        <f t="array" ref="H748">_xlfn.IFS(TRIM(G748)="SIXTY THOUSAND",60000,TRIM(G748)="NAN",AVERAGEIFS(G:G,J:J,J748,L:L,L748),TRUE,G748)</f>
        <v>70000</v>
      </c>
      <c r="I748" s="3" t="s">
        <v>27</v>
      </c>
      <c r="J748" s="3" t="s">
        <v>122</v>
      </c>
      <c r="K748" s="3" t="str">
        <f t="shared" si="45"/>
        <v>IT</v>
      </c>
      <c r="L748" s="3" t="s">
        <v>40</v>
      </c>
      <c r="M748" s="4">
        <v>43549</v>
      </c>
      <c r="N748" s="4">
        <v>43549</v>
      </c>
      <c r="O748" s="3" t="s">
        <v>78</v>
      </c>
      <c r="P748" s="3">
        <v>80</v>
      </c>
      <c r="Q748" s="3" t="s">
        <v>257</v>
      </c>
      <c r="R748" s="3" t="s">
        <v>104</v>
      </c>
      <c r="S748" s="3" t="s">
        <v>174</v>
      </c>
      <c r="T748" s="3" t="str">
        <f t="shared" si="46"/>
        <v>Full-Time</v>
      </c>
      <c r="V748" s="3">
        <v>3</v>
      </c>
      <c r="W748" s="3" t="s">
        <v>79</v>
      </c>
      <c r="AA748" s="3" t="s">
        <v>73</v>
      </c>
      <c r="AB748" s="3" t="str" cm="1">
        <f t="array" ref="AB748">_xlfn.IFS(AA748="N","No",  AA748 = "Y", "Yes", TRUE, PROPER(TRIM(AA748)))</f>
        <v>No</v>
      </c>
      <c r="AC748" s="3">
        <v>1</v>
      </c>
      <c r="AD748" s="3" t="s">
        <v>46</v>
      </c>
      <c r="AE748">
        <f t="shared" si="47"/>
        <v>1</v>
      </c>
    </row>
    <row r="749" spans="1:31" ht="14.25" customHeight="1" x14ac:dyDescent="0.35">
      <c r="A749" s="3" t="s">
        <v>1470</v>
      </c>
      <c r="B749" s="3" t="s">
        <v>75</v>
      </c>
      <c r="C749" s="3" t="s">
        <v>213</v>
      </c>
      <c r="D749" s="3">
        <v>25</v>
      </c>
      <c r="E749" s="3">
        <f t="shared" si="44"/>
        <v>25</v>
      </c>
      <c r="F749" s="3">
        <v>1999</v>
      </c>
      <c r="G749" s="3">
        <v>65000</v>
      </c>
      <c r="H749" s="12" cm="1">
        <f t="array" ref="H749">_xlfn.IFS(TRIM(G749)="SIXTY THOUSAND",60000,TRIM(G749)="NAN",AVERAGEIFS(G:G,J:J,J749,L:L,L749),TRUE,G749)</f>
        <v>65000</v>
      </c>
      <c r="I749" s="3" t="s">
        <v>27</v>
      </c>
      <c r="J749" s="3" t="s">
        <v>122</v>
      </c>
      <c r="K749" s="3" t="str">
        <f t="shared" si="45"/>
        <v>IT</v>
      </c>
      <c r="L749" s="3" t="s">
        <v>40</v>
      </c>
      <c r="M749" s="4">
        <v>43881</v>
      </c>
      <c r="N749" s="4">
        <v>43881</v>
      </c>
      <c r="O749" s="3" t="s">
        <v>59</v>
      </c>
      <c r="P749" s="3">
        <v>98</v>
      </c>
      <c r="Q749" s="3" t="s">
        <v>214</v>
      </c>
      <c r="R749" s="3" t="s">
        <v>61</v>
      </c>
      <c r="S749" s="3" t="s">
        <v>44</v>
      </c>
      <c r="T749" s="3" t="str">
        <f t="shared" si="46"/>
        <v>Full-Time</v>
      </c>
      <c r="V749" s="3">
        <v>6</v>
      </c>
      <c r="W749" s="3">
        <v>10</v>
      </c>
      <c r="AA749" s="3" t="s">
        <v>34</v>
      </c>
      <c r="AB749" s="3" t="str" cm="1">
        <f t="array" ref="AB749">_xlfn.IFS(AA749="N","No",  AA749 = "Y", "Yes", TRUE, PROPER(TRIM(AA749)))</f>
        <v>No</v>
      </c>
      <c r="AC749" s="3">
        <v>5</v>
      </c>
      <c r="AD749" s="3" t="s">
        <v>34</v>
      </c>
      <c r="AE749">
        <f t="shared" si="47"/>
        <v>0</v>
      </c>
    </row>
    <row r="750" spans="1:31" ht="14.25" customHeight="1" x14ac:dyDescent="0.35">
      <c r="A750" s="3" t="s">
        <v>1471</v>
      </c>
      <c r="B750" s="3" t="s">
        <v>75</v>
      </c>
      <c r="C750" s="3" t="s">
        <v>840</v>
      </c>
      <c r="D750" s="3">
        <v>40</v>
      </c>
      <c r="E750" s="3">
        <f t="shared" si="44"/>
        <v>40</v>
      </c>
      <c r="F750" s="3">
        <v>1984</v>
      </c>
      <c r="G750" s="3">
        <v>58800</v>
      </c>
      <c r="H750" s="12" cm="1">
        <f t="array" ref="H750">_xlfn.IFS(TRIM(G750)="SIXTY THOUSAND",60000,TRIM(G750)="NAN",AVERAGEIFS(G:G,J:J,J750,L:L,L750),TRUE,G750)</f>
        <v>58800</v>
      </c>
      <c r="I750" s="3" t="s">
        <v>38</v>
      </c>
      <c r="J750" s="3" t="s">
        <v>28</v>
      </c>
      <c r="K750" s="3" t="str">
        <f t="shared" si="45"/>
        <v>HR</v>
      </c>
      <c r="L750" s="3" t="s">
        <v>77</v>
      </c>
      <c r="M750" s="4">
        <v>43800</v>
      </c>
      <c r="N750" s="4">
        <v>43800</v>
      </c>
      <c r="O750" s="3" t="s">
        <v>59</v>
      </c>
      <c r="P750" s="3">
        <v>97</v>
      </c>
      <c r="Q750" s="3" t="s">
        <v>1472</v>
      </c>
      <c r="R750" s="3" t="s">
        <v>54</v>
      </c>
      <c r="S750" s="3" t="s">
        <v>174</v>
      </c>
      <c r="T750" s="3" t="str">
        <f t="shared" si="46"/>
        <v>Full-Time</v>
      </c>
      <c r="V750" s="3">
        <v>8</v>
      </c>
      <c r="W750" s="3" t="s">
        <v>79</v>
      </c>
      <c r="X750" s="3">
        <v>16</v>
      </c>
      <c r="Y750" s="4">
        <v>44990</v>
      </c>
      <c r="AA750" s="3" t="s">
        <v>169</v>
      </c>
      <c r="AB750" s="3" t="str" cm="1">
        <f t="array" ref="AB750">_xlfn.IFS(AA750="N","No",  AA750 = "Y", "Yes", TRUE, PROPER(TRIM(AA750)))</f>
        <v>Yes</v>
      </c>
      <c r="AC750" s="3">
        <v>3</v>
      </c>
      <c r="AD750" s="3" t="s">
        <v>46</v>
      </c>
      <c r="AE750">
        <f t="shared" si="47"/>
        <v>1</v>
      </c>
    </row>
    <row r="751" spans="1:31" ht="14.25" customHeight="1" x14ac:dyDescent="0.35">
      <c r="A751" s="3" t="s">
        <v>1473</v>
      </c>
      <c r="B751" s="3" t="s">
        <v>56</v>
      </c>
      <c r="C751" s="3" t="s">
        <v>413</v>
      </c>
      <c r="D751" s="3">
        <v>50</v>
      </c>
      <c r="E751" s="3">
        <f t="shared" si="44"/>
        <v>50</v>
      </c>
      <c r="F751" s="3">
        <v>1974</v>
      </c>
      <c r="G751" s="3">
        <v>50000</v>
      </c>
      <c r="H751" s="12" cm="1">
        <f t="array" ref="H751">_xlfn.IFS(TRIM(G751)="SIXTY THOUSAND",60000,TRIM(G751)="NAN",AVERAGEIFS(G:G,J:J,J751,L:L,L751),TRUE,G751)</f>
        <v>50000</v>
      </c>
      <c r="I751" s="3" t="s">
        <v>27</v>
      </c>
      <c r="J751" s="3" t="s">
        <v>28</v>
      </c>
      <c r="K751" s="3" t="str">
        <f t="shared" si="45"/>
        <v>HR</v>
      </c>
      <c r="L751" s="3" t="s">
        <v>77</v>
      </c>
      <c r="M751" s="4">
        <v>43800</v>
      </c>
      <c r="N751" s="4">
        <v>43800</v>
      </c>
      <c r="O751" s="3" t="s">
        <v>41</v>
      </c>
      <c r="P751" s="3">
        <v>12</v>
      </c>
      <c r="Q751" s="3" t="s">
        <v>414</v>
      </c>
      <c r="R751" s="3" t="s">
        <v>61</v>
      </c>
      <c r="S751" s="3" t="s">
        <v>112</v>
      </c>
      <c r="T751" s="3" t="str">
        <f t="shared" si="46"/>
        <v>Full-Time</v>
      </c>
      <c r="V751" s="3">
        <v>5</v>
      </c>
      <c r="AA751" s="3" t="s">
        <v>46</v>
      </c>
      <c r="AB751" s="3" t="str" cm="1">
        <f t="array" ref="AB751">_xlfn.IFS(AA751="N","No",  AA751 = "Y", "Yes", TRUE, PROPER(TRIM(AA751)))</f>
        <v>Yes</v>
      </c>
      <c r="AC751" s="3">
        <v>2</v>
      </c>
      <c r="AD751" s="3" t="s">
        <v>34</v>
      </c>
      <c r="AE751">
        <f t="shared" si="47"/>
        <v>0</v>
      </c>
    </row>
    <row r="752" spans="1:31" ht="14.25" customHeight="1" x14ac:dyDescent="0.35">
      <c r="A752" s="3" t="s">
        <v>1474</v>
      </c>
      <c r="B752" s="3" t="s">
        <v>56</v>
      </c>
      <c r="C752" s="3" t="s">
        <v>612</v>
      </c>
      <c r="D752" s="3">
        <v>25</v>
      </c>
      <c r="E752" s="3">
        <f t="shared" si="44"/>
        <v>25</v>
      </c>
      <c r="F752" s="3">
        <v>1999</v>
      </c>
      <c r="G752" s="3">
        <v>50000</v>
      </c>
      <c r="H752" s="12" cm="1">
        <f t="array" ref="H752">_xlfn.IFS(TRIM(G752)="SIXTY THOUSAND",60000,TRIM(G752)="NAN",AVERAGEIFS(G:G,J:J,J752,L:L,L752),TRUE,G752)</f>
        <v>50000</v>
      </c>
      <c r="I752" s="3" t="s">
        <v>38</v>
      </c>
      <c r="J752" s="3" t="s">
        <v>64</v>
      </c>
      <c r="K752" s="3" t="str">
        <f t="shared" si="45"/>
        <v>Finance</v>
      </c>
      <c r="L752" s="3" t="s">
        <v>89</v>
      </c>
      <c r="M752" s="4">
        <v>43800</v>
      </c>
      <c r="N752" s="4">
        <v>43800</v>
      </c>
      <c r="O752" s="3" t="s">
        <v>30</v>
      </c>
      <c r="P752" s="3">
        <v>69</v>
      </c>
      <c r="Q752" s="3" t="s">
        <v>613</v>
      </c>
      <c r="R752" s="3" t="s">
        <v>54</v>
      </c>
      <c r="S752" s="3" t="s">
        <v>72</v>
      </c>
      <c r="T752" s="3" t="str">
        <f t="shared" si="46"/>
        <v>Part-Time</v>
      </c>
      <c r="V752" s="3">
        <v>5</v>
      </c>
      <c r="X752" s="3">
        <v>6</v>
      </c>
      <c r="Z752" s="3">
        <v>79</v>
      </c>
      <c r="AB752" s="3" t="str" cm="1">
        <f t="array" ref="AB752">_xlfn.IFS(AA752="N","No",  AA752 = "Y", "Yes", TRUE, PROPER(TRIM(AA752)))</f>
        <v/>
      </c>
      <c r="AC752" s="3">
        <v>3</v>
      </c>
      <c r="AD752" s="3" t="s">
        <v>46</v>
      </c>
      <c r="AE752">
        <f t="shared" si="47"/>
        <v>1</v>
      </c>
    </row>
    <row r="753" spans="1:31" ht="14.25" customHeight="1" x14ac:dyDescent="0.35">
      <c r="A753" s="3" t="s">
        <v>1475</v>
      </c>
      <c r="B753" s="3" t="s">
        <v>114</v>
      </c>
      <c r="C753" s="3" t="s">
        <v>199</v>
      </c>
      <c r="D753" s="3">
        <v>40</v>
      </c>
      <c r="E753" s="3">
        <f t="shared" si="44"/>
        <v>40</v>
      </c>
      <c r="F753" s="3">
        <v>1984</v>
      </c>
      <c r="G753" s="3">
        <v>55000</v>
      </c>
      <c r="H753" s="12" cm="1">
        <f t="array" ref="H753">_xlfn.IFS(TRIM(G753)="SIXTY THOUSAND",60000,TRIM(G753)="NAN",AVERAGEIFS(G:G,J:J,J753,L:L,L753),TRUE,G753)</f>
        <v>55000</v>
      </c>
      <c r="I753" s="3" t="s">
        <v>27</v>
      </c>
      <c r="J753" s="3" t="s">
        <v>64</v>
      </c>
      <c r="K753" s="3" t="str">
        <f t="shared" si="45"/>
        <v>Finance</v>
      </c>
      <c r="L753" s="3" t="s">
        <v>94</v>
      </c>
      <c r="M753" s="4">
        <v>43845</v>
      </c>
      <c r="N753" s="4">
        <v>43845</v>
      </c>
      <c r="O753" s="3" t="s">
        <v>59</v>
      </c>
      <c r="P753" s="3">
        <v>97</v>
      </c>
      <c r="Q753" s="3" t="s">
        <v>1476</v>
      </c>
      <c r="R753" s="3" t="s">
        <v>54</v>
      </c>
      <c r="S753" s="3" t="s">
        <v>72</v>
      </c>
      <c r="T753" s="3" t="str">
        <f t="shared" si="46"/>
        <v>Part-Time</v>
      </c>
      <c r="U753" s="3" t="s">
        <v>274</v>
      </c>
      <c r="V753" s="3">
        <v>6</v>
      </c>
      <c r="W753" s="3">
        <v>1</v>
      </c>
      <c r="X753" s="3">
        <v>5</v>
      </c>
      <c r="AA753" s="3" t="s">
        <v>34</v>
      </c>
      <c r="AB753" s="3" t="str" cm="1">
        <f t="array" ref="AB753">_xlfn.IFS(AA753="N","No",  AA753 = "Y", "Yes", TRUE, PROPER(TRIM(AA753)))</f>
        <v>No</v>
      </c>
      <c r="AC753" s="3">
        <v>3</v>
      </c>
      <c r="AD753" s="3" t="s">
        <v>46</v>
      </c>
      <c r="AE753">
        <f t="shared" si="47"/>
        <v>1</v>
      </c>
    </row>
    <row r="754" spans="1:31" ht="14.25" customHeight="1" x14ac:dyDescent="0.35">
      <c r="A754" s="3" t="s">
        <v>1477</v>
      </c>
      <c r="B754" s="3" t="s">
        <v>68</v>
      </c>
      <c r="C754" s="3" t="s">
        <v>338</v>
      </c>
      <c r="E754" s="3">
        <f t="shared" si="44"/>
        <v>39</v>
      </c>
      <c r="F754" s="3">
        <v>1985</v>
      </c>
      <c r="G754" s="3">
        <v>65000</v>
      </c>
      <c r="H754" s="12" cm="1">
        <f t="array" ref="H754">_xlfn.IFS(TRIM(G754)="SIXTY THOUSAND",60000,TRIM(G754)="NAN",AVERAGEIFS(G:G,J:J,J754,L:L,L754),TRUE,G754)</f>
        <v>65000</v>
      </c>
      <c r="I754" s="3" t="s">
        <v>27</v>
      </c>
      <c r="J754" s="3" t="s">
        <v>145</v>
      </c>
      <c r="K754" s="3" t="str">
        <f t="shared" si="45"/>
        <v>Sales</v>
      </c>
      <c r="L754" s="3" t="s">
        <v>94</v>
      </c>
      <c r="M754" s="4">
        <v>43549</v>
      </c>
      <c r="N754" s="4">
        <v>43549</v>
      </c>
      <c r="O754" s="3" t="s">
        <v>30</v>
      </c>
      <c r="P754" s="3">
        <v>62</v>
      </c>
      <c r="Q754" s="3" t="s">
        <v>1478</v>
      </c>
      <c r="R754" s="3" t="s">
        <v>54</v>
      </c>
      <c r="S754" s="3" t="s">
        <v>174</v>
      </c>
      <c r="T754" s="3" t="str">
        <f t="shared" si="46"/>
        <v>Full-Time</v>
      </c>
      <c r="V754" s="3">
        <v>7</v>
      </c>
      <c r="W754" s="3" t="s">
        <v>79</v>
      </c>
      <c r="Y754" s="4">
        <v>44990</v>
      </c>
      <c r="Z754" s="3">
        <v>22</v>
      </c>
      <c r="AA754" s="3" t="s">
        <v>73</v>
      </c>
      <c r="AB754" s="3" t="str" cm="1">
        <f t="array" ref="AB754">_xlfn.IFS(AA754="N","No",  AA754 = "Y", "Yes", TRUE, PROPER(TRIM(AA754)))</f>
        <v>No</v>
      </c>
      <c r="AC754" s="3">
        <v>4</v>
      </c>
      <c r="AD754" s="3" t="s">
        <v>34</v>
      </c>
      <c r="AE754">
        <f t="shared" si="47"/>
        <v>0</v>
      </c>
    </row>
    <row r="755" spans="1:31" ht="14.25" customHeight="1" x14ac:dyDescent="0.35">
      <c r="A755" s="3" t="s">
        <v>1479</v>
      </c>
      <c r="B755" s="3" t="s">
        <v>107</v>
      </c>
      <c r="C755" s="3" t="s">
        <v>446</v>
      </c>
      <c r="D755" s="3" t="s">
        <v>88</v>
      </c>
      <c r="E755" s="3">
        <f t="shared" si="44"/>
        <v>30</v>
      </c>
      <c r="F755" s="3">
        <v>1994</v>
      </c>
      <c r="G755" s="3">
        <v>50000</v>
      </c>
      <c r="H755" s="12" cm="1">
        <f t="array" ref="H755">_xlfn.IFS(TRIM(G755)="SIXTY THOUSAND",60000,TRIM(G755)="NAN",AVERAGEIFS(G:G,J:J,J755,L:L,L755),TRUE,G755)</f>
        <v>50000</v>
      </c>
      <c r="I755" s="3" t="s">
        <v>27</v>
      </c>
      <c r="J755" s="3" t="s">
        <v>28</v>
      </c>
      <c r="K755" s="3" t="str">
        <f t="shared" si="45"/>
        <v>HR</v>
      </c>
      <c r="L755" s="3" t="s">
        <v>77</v>
      </c>
      <c r="M755" s="4">
        <v>43800</v>
      </c>
      <c r="N755" s="4">
        <v>43800</v>
      </c>
      <c r="O755" s="3" t="s">
        <v>30</v>
      </c>
      <c r="P755" s="3">
        <v>68</v>
      </c>
      <c r="Q755" t="str">
        <f>LOWER(_xlfn.CONCAT(B755,".",C755,"@saltcorp.com"))</f>
        <v>frank.ramirez@saltcorp.com</v>
      </c>
      <c r="R755" s="3" t="s">
        <v>104</v>
      </c>
      <c r="S755" s="3" t="s">
        <v>32</v>
      </c>
      <c r="T755" s="3" t="str">
        <f t="shared" si="46"/>
        <v>Contract</v>
      </c>
      <c r="U755" s="3" t="s">
        <v>323</v>
      </c>
      <c r="V755" s="3">
        <v>3</v>
      </c>
      <c r="W755" s="3" t="s">
        <v>79</v>
      </c>
      <c r="X755" s="3">
        <v>20</v>
      </c>
      <c r="Z755" s="3">
        <v>70</v>
      </c>
      <c r="AA755" s="3" t="s">
        <v>34</v>
      </c>
      <c r="AB755" s="3" t="str" cm="1">
        <f t="array" ref="AB755">_xlfn.IFS(AA755="N","No",  AA755 = "Y", "Yes", TRUE, PROPER(TRIM(AA755)))</f>
        <v>No</v>
      </c>
      <c r="AC755" s="3">
        <v>4</v>
      </c>
      <c r="AD755" s="3" t="s">
        <v>46</v>
      </c>
      <c r="AE755">
        <f t="shared" si="47"/>
        <v>1</v>
      </c>
    </row>
    <row r="756" spans="1:31" ht="14.25" customHeight="1" x14ac:dyDescent="0.35">
      <c r="A756" s="3" t="s">
        <v>1480</v>
      </c>
      <c r="B756" s="3" t="s">
        <v>56</v>
      </c>
      <c r="C756" s="3" t="s">
        <v>612</v>
      </c>
      <c r="D756" s="3">
        <v>50</v>
      </c>
      <c r="E756" s="3">
        <f t="shared" si="44"/>
        <v>50</v>
      </c>
      <c r="F756" s="3">
        <v>1974</v>
      </c>
      <c r="G756" s="3" t="s">
        <v>50</v>
      </c>
      <c r="H756" s="12" cm="1">
        <f t="array" ref="H756">_xlfn.IFS(TRIM(G756)="SIXTY THOUSAND",60000,TRIM(G756)="NAN",AVERAGEIFS(G:G,J:J,J756,L:L,L756),TRUE,G756)</f>
        <v>60000</v>
      </c>
      <c r="I756" s="3" t="s">
        <v>38</v>
      </c>
      <c r="J756" s="3" t="s">
        <v>145</v>
      </c>
      <c r="K756" s="3" t="str">
        <f t="shared" si="45"/>
        <v>Sales</v>
      </c>
      <c r="L756" s="3" t="s">
        <v>94</v>
      </c>
      <c r="M756" s="4">
        <v>43845</v>
      </c>
      <c r="N756" s="4">
        <v>43845</v>
      </c>
      <c r="O756" s="3" t="s">
        <v>41</v>
      </c>
      <c r="P756" s="3">
        <v>48</v>
      </c>
      <c r="Q756" s="3" t="s">
        <v>613</v>
      </c>
      <c r="R756" s="3" t="s">
        <v>43</v>
      </c>
      <c r="S756" s="3" t="s">
        <v>100</v>
      </c>
      <c r="T756" s="3" t="str">
        <f t="shared" si="46"/>
        <v>Part-Time</v>
      </c>
      <c r="V756" s="3">
        <v>2</v>
      </c>
      <c r="Z756" s="3">
        <v>39</v>
      </c>
      <c r="AA756" s="3" t="s">
        <v>33</v>
      </c>
      <c r="AB756" s="3" t="str" cm="1">
        <f t="array" ref="AB756">_xlfn.IFS(AA756="N","No",  AA756 = "Y", "Yes", TRUE, PROPER(TRIM(AA756)))</f>
        <v>Yes</v>
      </c>
      <c r="AC756" s="3">
        <v>5</v>
      </c>
      <c r="AD756" s="3" t="s">
        <v>34</v>
      </c>
      <c r="AE756">
        <f t="shared" si="47"/>
        <v>0</v>
      </c>
    </row>
    <row r="757" spans="1:31" ht="14.25" customHeight="1" x14ac:dyDescent="0.35">
      <c r="A757" s="3" t="s">
        <v>1481</v>
      </c>
      <c r="B757" s="3" t="s">
        <v>107</v>
      </c>
      <c r="C757" s="3" t="s">
        <v>729</v>
      </c>
      <c r="D757" s="3" t="s">
        <v>88</v>
      </c>
      <c r="E757" s="3">
        <f t="shared" si="44"/>
        <v>30</v>
      </c>
      <c r="F757" s="3">
        <v>1994</v>
      </c>
      <c r="G757" s="3">
        <v>65000</v>
      </c>
      <c r="H757" s="12" cm="1">
        <f t="array" ref="H757">_xlfn.IFS(TRIM(G757)="SIXTY THOUSAND",60000,TRIM(G757)="NAN",AVERAGEIFS(G:G,J:J,J757,L:L,L757),TRUE,G757)</f>
        <v>65000</v>
      </c>
      <c r="I757" s="3" t="s">
        <v>27</v>
      </c>
      <c r="J757" s="3" t="s">
        <v>70</v>
      </c>
      <c r="K757" s="3" t="str">
        <f t="shared" si="45"/>
        <v>Marketing</v>
      </c>
      <c r="L757" s="3" t="s">
        <v>77</v>
      </c>
      <c r="M757" s="4">
        <v>43881</v>
      </c>
      <c r="N757" s="4">
        <v>43881</v>
      </c>
      <c r="O757" s="3" t="s">
        <v>30</v>
      </c>
      <c r="P757" s="3">
        <v>61</v>
      </c>
      <c r="Q757" s="3" t="s">
        <v>730</v>
      </c>
      <c r="R757" s="3" t="s">
        <v>104</v>
      </c>
      <c r="S757" s="3" t="s">
        <v>112</v>
      </c>
      <c r="T757" s="3" t="str">
        <f t="shared" si="46"/>
        <v>Full-Time</v>
      </c>
      <c r="U757" s="3" t="s">
        <v>150</v>
      </c>
      <c r="V757" s="3">
        <v>4</v>
      </c>
      <c r="X757" s="3">
        <v>20</v>
      </c>
      <c r="AA757" s="3" t="s">
        <v>33</v>
      </c>
      <c r="AB757" s="3" t="str" cm="1">
        <f t="array" ref="AB757">_xlfn.IFS(AA757="N","No",  AA757 = "Y", "Yes", TRUE, PROPER(TRIM(AA757)))</f>
        <v>Yes</v>
      </c>
      <c r="AC757" s="3">
        <v>2</v>
      </c>
      <c r="AD757" s="3" t="s">
        <v>46</v>
      </c>
      <c r="AE757">
        <f t="shared" si="47"/>
        <v>1</v>
      </c>
    </row>
    <row r="758" spans="1:31" ht="14.25" customHeight="1" x14ac:dyDescent="0.35">
      <c r="A758" s="3" t="s">
        <v>1482</v>
      </c>
      <c r="B758" s="3" t="s">
        <v>131</v>
      </c>
      <c r="C758" s="3" t="s">
        <v>740</v>
      </c>
      <c r="D758" s="3">
        <v>50</v>
      </c>
      <c r="E758" s="3">
        <f t="shared" si="44"/>
        <v>50</v>
      </c>
      <c r="F758" s="3">
        <v>1974</v>
      </c>
      <c r="G758" s="3" t="s">
        <v>50</v>
      </c>
      <c r="H758" s="12" cm="1">
        <f t="array" ref="H758">_xlfn.IFS(TRIM(G758)="SIXTY THOUSAND",60000,TRIM(G758)="NAN",AVERAGEIFS(G:G,J:J,J758,L:L,L758),TRUE,G758)</f>
        <v>60000</v>
      </c>
      <c r="I758" s="3" t="s">
        <v>27</v>
      </c>
      <c r="J758" s="3" t="s">
        <v>145</v>
      </c>
      <c r="K758" s="3" t="str">
        <f t="shared" si="45"/>
        <v>Sales</v>
      </c>
      <c r="L758" s="3" t="s">
        <v>40</v>
      </c>
      <c r="M758" s="4">
        <v>43800</v>
      </c>
      <c r="N758" s="4">
        <v>43800</v>
      </c>
      <c r="O758" s="3" t="s">
        <v>78</v>
      </c>
      <c r="P758" s="3">
        <v>83</v>
      </c>
      <c r="Q758" s="3" t="s">
        <v>741</v>
      </c>
      <c r="R758" s="3" t="s">
        <v>43</v>
      </c>
      <c r="S758" s="3" t="s">
        <v>44</v>
      </c>
      <c r="T758" s="3" t="str">
        <f t="shared" si="46"/>
        <v>Full-Time</v>
      </c>
      <c r="V758" s="3">
        <v>8</v>
      </c>
      <c r="W758" s="3" t="s">
        <v>79</v>
      </c>
      <c r="X758" s="3">
        <v>3</v>
      </c>
      <c r="Y758" s="4">
        <v>45516</v>
      </c>
      <c r="AA758" s="3" t="s">
        <v>34</v>
      </c>
      <c r="AB758" s="3" t="str" cm="1">
        <f t="array" ref="AB758">_xlfn.IFS(AA758="N","No",  AA758 = "Y", "Yes", TRUE, PROPER(TRIM(AA758)))</f>
        <v>No</v>
      </c>
      <c r="AC758" s="3">
        <v>5</v>
      </c>
      <c r="AD758" s="3" t="s">
        <v>34</v>
      </c>
      <c r="AE758">
        <f t="shared" si="47"/>
        <v>0</v>
      </c>
    </row>
    <row r="759" spans="1:31" ht="14.25" customHeight="1" x14ac:dyDescent="0.35">
      <c r="A759" s="3" t="s">
        <v>1483</v>
      </c>
      <c r="B759" s="3" t="s">
        <v>56</v>
      </c>
      <c r="C759" s="3" t="s">
        <v>395</v>
      </c>
      <c r="D759" s="3" t="s">
        <v>88</v>
      </c>
      <c r="E759" s="3">
        <f t="shared" si="44"/>
        <v>30</v>
      </c>
      <c r="F759" s="3">
        <v>1994</v>
      </c>
      <c r="G759" s="3" t="s">
        <v>50</v>
      </c>
      <c r="H759" s="12" cm="1">
        <f t="array" ref="H759">_xlfn.IFS(TRIM(G759)="SIXTY THOUSAND",60000,TRIM(G759)="NAN",AVERAGEIFS(G:G,J:J,J759,L:L,L759),TRUE,G759)</f>
        <v>60000</v>
      </c>
      <c r="I759" s="3" t="s">
        <v>38</v>
      </c>
      <c r="J759" s="3" t="s">
        <v>122</v>
      </c>
      <c r="K759" s="3" t="str">
        <f t="shared" si="45"/>
        <v>IT</v>
      </c>
      <c r="L759" s="3" t="s">
        <v>89</v>
      </c>
      <c r="M759" s="4">
        <v>43800</v>
      </c>
      <c r="N759" s="4">
        <v>43800</v>
      </c>
      <c r="O759" s="3" t="s">
        <v>30</v>
      </c>
      <c r="P759" s="3">
        <v>60</v>
      </c>
      <c r="Q759" s="3" t="s">
        <v>1484</v>
      </c>
      <c r="R759" s="3" t="s">
        <v>61</v>
      </c>
      <c r="S759" s="3" t="s">
        <v>100</v>
      </c>
      <c r="T759" s="3" t="str">
        <f t="shared" si="46"/>
        <v>Part-Time</v>
      </c>
      <c r="V759" s="3">
        <v>3</v>
      </c>
      <c r="AB759" s="3" t="str" cm="1">
        <f t="array" ref="AB759">_xlfn.IFS(AA759="N","No",  AA759 = "Y", "Yes", TRUE, PROPER(TRIM(AA759)))</f>
        <v/>
      </c>
      <c r="AC759" s="3">
        <v>3</v>
      </c>
      <c r="AD759" s="3" t="s">
        <v>46</v>
      </c>
      <c r="AE759">
        <f t="shared" si="47"/>
        <v>1</v>
      </c>
    </row>
    <row r="760" spans="1:31" ht="14.25" customHeight="1" x14ac:dyDescent="0.35">
      <c r="A760" s="3" t="s">
        <v>1485</v>
      </c>
      <c r="B760" s="3" t="s">
        <v>140</v>
      </c>
      <c r="C760" s="3" t="s">
        <v>620</v>
      </c>
      <c r="D760" s="3">
        <v>50</v>
      </c>
      <c r="E760" s="3">
        <f t="shared" si="44"/>
        <v>50</v>
      </c>
      <c r="F760" s="3">
        <v>1974</v>
      </c>
      <c r="G760" s="3">
        <v>50000</v>
      </c>
      <c r="H760" s="12" cm="1">
        <f t="array" ref="H760">_xlfn.IFS(TRIM(G760)="SIXTY THOUSAND",60000,TRIM(G760)="NAN",AVERAGEIFS(G:G,J:J,J760,L:L,L760),TRUE,G760)</f>
        <v>50000</v>
      </c>
      <c r="I760" s="3" t="s">
        <v>38</v>
      </c>
      <c r="J760" s="3" t="s">
        <v>51</v>
      </c>
      <c r="K760" s="3" t="str">
        <f t="shared" si="45"/>
        <v>Sales</v>
      </c>
      <c r="L760" s="3" t="s">
        <v>29</v>
      </c>
      <c r="M760" s="4">
        <v>43845</v>
      </c>
      <c r="N760" s="4">
        <v>43845</v>
      </c>
      <c r="O760" s="3" t="s">
        <v>41</v>
      </c>
      <c r="P760" s="3">
        <v>29</v>
      </c>
      <c r="Q760" s="3" t="s">
        <v>621</v>
      </c>
      <c r="S760" s="3" t="s">
        <v>72</v>
      </c>
      <c r="T760" s="3" t="str">
        <f t="shared" si="46"/>
        <v>Part-Time</v>
      </c>
      <c r="U760" s="3" t="s">
        <v>1346</v>
      </c>
      <c r="V760" s="3">
        <v>2</v>
      </c>
      <c r="W760" s="3" t="s">
        <v>79</v>
      </c>
      <c r="X760" s="3">
        <v>17</v>
      </c>
      <c r="Y760" s="4">
        <v>44941</v>
      </c>
      <c r="Z760" s="3">
        <v>66</v>
      </c>
      <c r="AA760" s="3" t="s">
        <v>46</v>
      </c>
      <c r="AB760" s="3" t="str" cm="1">
        <f t="array" ref="AB760">_xlfn.IFS(AA760="N","No",  AA760 = "Y", "Yes", TRUE, PROPER(TRIM(AA760)))</f>
        <v>Yes</v>
      </c>
      <c r="AC760" s="3">
        <v>2</v>
      </c>
      <c r="AD760" s="3" t="s">
        <v>34</v>
      </c>
      <c r="AE760">
        <f t="shared" si="47"/>
        <v>0</v>
      </c>
    </row>
    <row r="761" spans="1:31" ht="14.25" customHeight="1" x14ac:dyDescent="0.35">
      <c r="A761" s="3" t="s">
        <v>1486</v>
      </c>
      <c r="B761" s="3" t="s">
        <v>68</v>
      </c>
      <c r="C761" s="3" t="s">
        <v>318</v>
      </c>
      <c r="D761" s="3" t="s">
        <v>88</v>
      </c>
      <c r="E761" s="3">
        <f t="shared" si="44"/>
        <v>30</v>
      </c>
      <c r="F761" s="3">
        <v>1994</v>
      </c>
      <c r="G761" s="3">
        <v>65000</v>
      </c>
      <c r="H761" s="12" cm="1">
        <f t="array" ref="H761">_xlfn.IFS(TRIM(G761)="SIXTY THOUSAND",60000,TRIM(G761)="NAN",AVERAGEIFS(G:G,J:J,J761,L:L,L761),TRUE,G761)</f>
        <v>65000</v>
      </c>
      <c r="I761" s="3" t="s">
        <v>27</v>
      </c>
      <c r="J761" s="3" t="s">
        <v>64</v>
      </c>
      <c r="K761" s="3" t="str">
        <f t="shared" si="45"/>
        <v>Finance</v>
      </c>
      <c r="L761" s="3" t="s">
        <v>89</v>
      </c>
      <c r="M761" s="4">
        <v>43549</v>
      </c>
      <c r="N761" s="4">
        <v>43549</v>
      </c>
      <c r="O761" s="3" t="s">
        <v>41</v>
      </c>
      <c r="P761" s="3">
        <v>8</v>
      </c>
      <c r="Q761" s="3" t="s">
        <v>319</v>
      </c>
      <c r="R761" s="3" t="s">
        <v>61</v>
      </c>
      <c r="S761" s="3" t="s">
        <v>174</v>
      </c>
      <c r="T761" s="3" t="str">
        <f t="shared" si="46"/>
        <v>Full-Time</v>
      </c>
      <c r="U761" s="3" t="s">
        <v>1487</v>
      </c>
      <c r="V761" s="3">
        <v>4</v>
      </c>
      <c r="W761" s="3" t="s">
        <v>79</v>
      </c>
      <c r="Y761" s="4">
        <v>44470</v>
      </c>
      <c r="Z761" s="3">
        <v>27</v>
      </c>
      <c r="AA761" s="3" t="s">
        <v>34</v>
      </c>
      <c r="AB761" s="3" t="str" cm="1">
        <f t="array" ref="AB761">_xlfn.IFS(AA761="N","No",  AA761 = "Y", "Yes", TRUE, PROPER(TRIM(AA761)))</f>
        <v>No</v>
      </c>
      <c r="AC761" s="3">
        <v>1</v>
      </c>
      <c r="AD761" s="3" t="s">
        <v>34</v>
      </c>
      <c r="AE761">
        <f t="shared" si="47"/>
        <v>0</v>
      </c>
    </row>
    <row r="762" spans="1:31" ht="14.25" customHeight="1" x14ac:dyDescent="0.35">
      <c r="A762" s="3" t="s">
        <v>1488</v>
      </c>
      <c r="B762" s="3" t="s">
        <v>114</v>
      </c>
      <c r="C762" s="3" t="s">
        <v>591</v>
      </c>
      <c r="D762" s="3" t="s">
        <v>88</v>
      </c>
      <c r="E762" s="3">
        <f t="shared" si="44"/>
        <v>30</v>
      </c>
      <c r="F762" s="3">
        <v>1994</v>
      </c>
      <c r="G762" s="3">
        <v>58600</v>
      </c>
      <c r="H762" s="12" cm="1">
        <f t="array" ref="H762">_xlfn.IFS(TRIM(G762)="SIXTY THOUSAND",60000,TRIM(G762)="NAN",AVERAGEIFS(G:G,J:J,J762,L:L,L762),TRUE,G762)</f>
        <v>58600</v>
      </c>
      <c r="I762" s="3" t="s">
        <v>27</v>
      </c>
      <c r="J762" s="3" t="s">
        <v>70</v>
      </c>
      <c r="K762" s="3" t="str">
        <f t="shared" si="45"/>
        <v>Marketing</v>
      </c>
      <c r="L762" s="3" t="s">
        <v>77</v>
      </c>
      <c r="M762" s="4">
        <v>43881</v>
      </c>
      <c r="N762" s="4">
        <v>43881</v>
      </c>
      <c r="O762" s="3" t="s">
        <v>41</v>
      </c>
      <c r="P762" s="3">
        <v>36</v>
      </c>
      <c r="Q762" s="3" t="s">
        <v>592</v>
      </c>
      <c r="R762" s="3" t="s">
        <v>104</v>
      </c>
      <c r="S762" s="3" t="s">
        <v>44</v>
      </c>
      <c r="T762" s="3" t="str">
        <f t="shared" si="46"/>
        <v>Full-Time</v>
      </c>
      <c r="V762" s="3">
        <v>7</v>
      </c>
      <c r="W762" s="3">
        <v>2</v>
      </c>
      <c r="AA762" s="3" t="s">
        <v>33</v>
      </c>
      <c r="AB762" s="3" t="str" cm="1">
        <f t="array" ref="AB762">_xlfn.IFS(AA762="N","No",  AA762 = "Y", "Yes", TRUE, PROPER(TRIM(AA762)))</f>
        <v>Yes</v>
      </c>
      <c r="AC762" s="3">
        <v>4</v>
      </c>
      <c r="AD762" s="3" t="s">
        <v>34</v>
      </c>
      <c r="AE762">
        <f t="shared" si="47"/>
        <v>0</v>
      </c>
    </row>
    <row r="763" spans="1:31" ht="14.25" customHeight="1" x14ac:dyDescent="0.35">
      <c r="A763" s="3" t="s">
        <v>1489</v>
      </c>
      <c r="B763" s="3" t="s">
        <v>131</v>
      </c>
      <c r="C763" s="3" t="s">
        <v>635</v>
      </c>
      <c r="D763" s="3" t="s">
        <v>88</v>
      </c>
      <c r="E763" s="3">
        <f t="shared" si="44"/>
        <v>30</v>
      </c>
      <c r="F763" s="3">
        <v>1994</v>
      </c>
      <c r="G763" s="3">
        <v>70000</v>
      </c>
      <c r="H763" s="12" cm="1">
        <f t="array" ref="H763">_xlfn.IFS(TRIM(G763)="SIXTY THOUSAND",60000,TRIM(G763)="NAN",AVERAGEIFS(G:G,J:J,J763,L:L,L763),TRUE,G763)</f>
        <v>70000</v>
      </c>
      <c r="I763" s="3" t="s">
        <v>38</v>
      </c>
      <c r="J763" s="3" t="s">
        <v>122</v>
      </c>
      <c r="K763" s="3" t="str">
        <f t="shared" si="45"/>
        <v>IT</v>
      </c>
      <c r="L763" s="3" t="s">
        <v>77</v>
      </c>
      <c r="M763" s="4">
        <v>43800</v>
      </c>
      <c r="N763" s="4">
        <v>43800</v>
      </c>
      <c r="O763" s="3" t="s">
        <v>59</v>
      </c>
      <c r="P763" s="3">
        <v>90</v>
      </c>
      <c r="Q763" s="3" t="s">
        <v>636</v>
      </c>
      <c r="R763" s="3" t="s">
        <v>104</v>
      </c>
      <c r="S763" s="3" t="s">
        <v>112</v>
      </c>
      <c r="T763" s="3" t="str">
        <f t="shared" si="46"/>
        <v>Full-Time</v>
      </c>
      <c r="V763" s="3">
        <v>6</v>
      </c>
      <c r="W763" s="3">
        <v>12</v>
      </c>
      <c r="X763" s="3">
        <v>18</v>
      </c>
      <c r="AA763" s="3" t="s">
        <v>34</v>
      </c>
      <c r="AB763" s="3" t="str" cm="1">
        <f t="array" ref="AB763">_xlfn.IFS(AA763="N","No",  AA763 = "Y", "Yes", TRUE, PROPER(TRIM(AA763)))</f>
        <v>No</v>
      </c>
      <c r="AC763" s="3">
        <v>3</v>
      </c>
      <c r="AD763" s="3" t="s">
        <v>34</v>
      </c>
      <c r="AE763">
        <f t="shared" si="47"/>
        <v>0</v>
      </c>
    </row>
    <row r="764" spans="1:31" ht="14.25" customHeight="1" x14ac:dyDescent="0.35">
      <c r="A764" s="3" t="s">
        <v>1490</v>
      </c>
      <c r="B764" s="3" t="s">
        <v>68</v>
      </c>
      <c r="C764" s="3" t="s">
        <v>219</v>
      </c>
      <c r="D764" s="3" t="s">
        <v>88</v>
      </c>
      <c r="E764" s="3">
        <f t="shared" si="44"/>
        <v>30</v>
      </c>
      <c r="F764" s="3">
        <v>1994</v>
      </c>
      <c r="G764" s="3">
        <v>50000</v>
      </c>
      <c r="H764" s="12" cm="1">
        <f t="array" ref="H764">_xlfn.IFS(TRIM(G764)="SIXTY THOUSAND",60000,TRIM(G764)="NAN",AVERAGEIFS(G:G,J:J,J764,L:L,L764),TRUE,G764)</f>
        <v>50000</v>
      </c>
      <c r="I764" s="3" t="s">
        <v>38</v>
      </c>
      <c r="J764" s="3" t="s">
        <v>145</v>
      </c>
      <c r="K764" s="3" t="str">
        <f t="shared" si="45"/>
        <v>Sales</v>
      </c>
      <c r="L764" s="3" t="s">
        <v>89</v>
      </c>
      <c r="M764" s="4">
        <v>43549</v>
      </c>
      <c r="N764" s="4">
        <v>43549</v>
      </c>
      <c r="O764" s="3" t="s">
        <v>78</v>
      </c>
      <c r="P764" s="3">
        <v>85</v>
      </c>
      <c r="Q764" s="3" t="s">
        <v>1491</v>
      </c>
      <c r="R764" s="3" t="s">
        <v>43</v>
      </c>
      <c r="S764" s="3" t="s">
        <v>72</v>
      </c>
      <c r="T764" s="3" t="str">
        <f t="shared" si="46"/>
        <v>Part-Time</v>
      </c>
      <c r="V764" s="3">
        <v>1</v>
      </c>
      <c r="X764" s="3">
        <v>15</v>
      </c>
      <c r="AA764" s="3" t="s">
        <v>169</v>
      </c>
      <c r="AB764" s="3" t="str" cm="1">
        <f t="array" ref="AB764">_xlfn.IFS(AA764="N","No",  AA764 = "Y", "Yes", TRUE, PROPER(TRIM(AA764)))</f>
        <v>Yes</v>
      </c>
      <c r="AC764" s="3">
        <v>4</v>
      </c>
      <c r="AD764" s="3" t="s">
        <v>46</v>
      </c>
      <c r="AE764">
        <f t="shared" si="47"/>
        <v>1</v>
      </c>
    </row>
    <row r="765" spans="1:31" ht="14.25" customHeight="1" x14ac:dyDescent="0.35">
      <c r="A765" s="3" t="s">
        <v>1492</v>
      </c>
      <c r="B765" s="3" t="s">
        <v>140</v>
      </c>
      <c r="C765" s="3" t="s">
        <v>436</v>
      </c>
      <c r="E765" s="3">
        <f t="shared" si="44"/>
        <v>30</v>
      </c>
      <c r="F765" s="3">
        <v>1994</v>
      </c>
      <c r="G765" s="3">
        <v>50000</v>
      </c>
      <c r="H765" s="12" cm="1">
        <f t="array" ref="H765">_xlfn.IFS(TRIM(G765)="SIXTY THOUSAND",60000,TRIM(G765)="NAN",AVERAGEIFS(G:G,J:J,J765,L:L,L765),TRUE,G765)</f>
        <v>50000</v>
      </c>
      <c r="I765" s="3" t="s">
        <v>38</v>
      </c>
      <c r="J765" s="3" t="s">
        <v>93</v>
      </c>
      <c r="K765" s="3" t="str">
        <f t="shared" si="45"/>
        <v>Marketing</v>
      </c>
      <c r="L765" s="3" t="s">
        <v>77</v>
      </c>
      <c r="M765" s="4">
        <v>43881</v>
      </c>
      <c r="N765" s="4">
        <v>43881</v>
      </c>
      <c r="O765" s="3" t="s">
        <v>59</v>
      </c>
      <c r="P765" s="3">
        <v>97</v>
      </c>
      <c r="Q765" s="3" t="s">
        <v>437</v>
      </c>
      <c r="R765" s="3" t="s">
        <v>104</v>
      </c>
      <c r="S765" s="3" t="s">
        <v>174</v>
      </c>
      <c r="T765" s="3" t="str">
        <f t="shared" si="46"/>
        <v>Full-Time</v>
      </c>
      <c r="U765" s="3" t="s">
        <v>950</v>
      </c>
      <c r="V765" s="3">
        <v>3</v>
      </c>
      <c r="AA765" s="3" t="s">
        <v>46</v>
      </c>
      <c r="AB765" s="3" t="str" cm="1">
        <f t="array" ref="AB765">_xlfn.IFS(AA765="N","No",  AA765 = "Y", "Yes", TRUE, PROPER(TRIM(AA765)))</f>
        <v>Yes</v>
      </c>
      <c r="AC765" s="3">
        <v>3</v>
      </c>
      <c r="AD765" s="3" t="s">
        <v>34</v>
      </c>
      <c r="AE765">
        <f t="shared" si="47"/>
        <v>0</v>
      </c>
    </row>
    <row r="766" spans="1:31" ht="14.25" customHeight="1" x14ac:dyDescent="0.35">
      <c r="A766" s="3" t="s">
        <v>1493</v>
      </c>
      <c r="B766" s="3" t="s">
        <v>68</v>
      </c>
      <c r="C766" s="3" t="s">
        <v>203</v>
      </c>
      <c r="D766" s="3">
        <v>25</v>
      </c>
      <c r="E766" s="3">
        <f t="shared" si="44"/>
        <v>25</v>
      </c>
      <c r="F766" s="3">
        <v>1999</v>
      </c>
      <c r="G766" s="3">
        <v>60300</v>
      </c>
      <c r="H766" s="12" cm="1">
        <f t="array" ref="H766">_xlfn.IFS(TRIM(G766)="SIXTY THOUSAND",60000,TRIM(G766)="NAN",AVERAGEIFS(G:G,J:J,J766,L:L,L766),TRUE,G766)</f>
        <v>60300</v>
      </c>
      <c r="I766" s="3" t="s">
        <v>27</v>
      </c>
      <c r="J766" s="3" t="s">
        <v>70</v>
      </c>
      <c r="K766" s="3" t="str">
        <f t="shared" si="45"/>
        <v>Marketing</v>
      </c>
      <c r="L766" s="3" t="s">
        <v>94</v>
      </c>
      <c r="M766" s="4">
        <v>43195</v>
      </c>
      <c r="N766" s="4">
        <v>43195</v>
      </c>
      <c r="O766" s="3" t="s">
        <v>52</v>
      </c>
      <c r="P766" s="3">
        <v>71</v>
      </c>
      <c r="Q766" s="3" t="s">
        <v>1494</v>
      </c>
      <c r="R766" s="3" t="s">
        <v>54</v>
      </c>
      <c r="S766" s="3" t="s">
        <v>112</v>
      </c>
      <c r="T766" s="3" t="str">
        <f t="shared" si="46"/>
        <v>Full-Time</v>
      </c>
      <c r="U766" s="3" t="s">
        <v>793</v>
      </c>
      <c r="V766" s="3">
        <v>7</v>
      </c>
      <c r="Y766" s="4">
        <v>44470</v>
      </c>
      <c r="AA766" s="3" t="s">
        <v>46</v>
      </c>
      <c r="AB766" s="3" t="str" cm="1">
        <f t="array" ref="AB766">_xlfn.IFS(AA766="N","No",  AA766 = "Y", "Yes", TRUE, PROPER(TRIM(AA766)))</f>
        <v>Yes</v>
      </c>
      <c r="AC766" s="3">
        <v>3</v>
      </c>
      <c r="AD766" s="3" t="s">
        <v>34</v>
      </c>
      <c r="AE766">
        <f t="shared" si="47"/>
        <v>0</v>
      </c>
    </row>
    <row r="767" spans="1:31" ht="14.25" customHeight="1" x14ac:dyDescent="0.35">
      <c r="A767" s="3" t="s">
        <v>1495</v>
      </c>
      <c r="B767" s="3" t="s">
        <v>140</v>
      </c>
      <c r="C767" s="3" t="s">
        <v>338</v>
      </c>
      <c r="D767" s="3">
        <v>35</v>
      </c>
      <c r="E767" s="3">
        <f t="shared" si="44"/>
        <v>35</v>
      </c>
      <c r="F767" s="3">
        <v>1989</v>
      </c>
      <c r="G767" s="3">
        <v>65000</v>
      </c>
      <c r="H767" s="12" cm="1">
        <f t="array" ref="H767">_xlfn.IFS(TRIM(G767)="SIXTY THOUSAND",60000,TRIM(G767)="NAN",AVERAGEIFS(G:G,J:J,J767,L:L,L767),TRUE,G767)</f>
        <v>65000</v>
      </c>
      <c r="I767" s="3" t="s">
        <v>27</v>
      </c>
      <c r="J767" s="3" t="s">
        <v>122</v>
      </c>
      <c r="K767" s="3" t="str">
        <f t="shared" si="45"/>
        <v>IT</v>
      </c>
      <c r="L767" s="3" t="s">
        <v>94</v>
      </c>
      <c r="M767" s="4">
        <v>43195</v>
      </c>
      <c r="N767" s="4">
        <v>43195</v>
      </c>
      <c r="O767" s="3" t="s">
        <v>78</v>
      </c>
      <c r="P767" s="3">
        <v>87</v>
      </c>
      <c r="Q767" s="3" t="s">
        <v>1496</v>
      </c>
      <c r="R767" s="3" t="s">
        <v>104</v>
      </c>
      <c r="S767" s="3" t="s">
        <v>32</v>
      </c>
      <c r="T767" s="3" t="str">
        <f t="shared" si="46"/>
        <v>Contract</v>
      </c>
      <c r="V767" s="3">
        <v>1</v>
      </c>
      <c r="W767" s="3">
        <v>12</v>
      </c>
      <c r="AA767" s="3" t="s">
        <v>33</v>
      </c>
      <c r="AB767" s="3" t="str" cm="1">
        <f t="array" ref="AB767">_xlfn.IFS(AA767="N","No",  AA767 = "Y", "Yes", TRUE, PROPER(TRIM(AA767)))</f>
        <v>Yes</v>
      </c>
      <c r="AC767" s="3">
        <v>3</v>
      </c>
      <c r="AD767" s="3" t="s">
        <v>34</v>
      </c>
      <c r="AE767">
        <f t="shared" si="47"/>
        <v>0</v>
      </c>
    </row>
    <row r="768" spans="1:31" ht="14.25" customHeight="1" x14ac:dyDescent="0.35">
      <c r="A768" s="3" t="s">
        <v>1497</v>
      </c>
      <c r="B768" s="3" t="s">
        <v>140</v>
      </c>
      <c r="C768" s="3" t="s">
        <v>588</v>
      </c>
      <c r="D768" s="3">
        <v>40</v>
      </c>
      <c r="E768" s="3">
        <f t="shared" si="44"/>
        <v>40</v>
      </c>
      <c r="F768" s="3">
        <v>1984</v>
      </c>
      <c r="G768" s="3">
        <v>65000</v>
      </c>
      <c r="H768" s="12" cm="1">
        <f t="array" ref="H768">_xlfn.IFS(TRIM(G768)="SIXTY THOUSAND",60000,TRIM(G768)="NAN",AVERAGEIFS(G:G,J:J,J768,L:L,L768),TRUE,G768)</f>
        <v>65000</v>
      </c>
      <c r="I768" s="3" t="s">
        <v>38</v>
      </c>
      <c r="J768" s="3" t="s">
        <v>145</v>
      </c>
      <c r="K768" s="3" t="str">
        <f t="shared" si="45"/>
        <v>Sales</v>
      </c>
      <c r="L768" s="3" t="s">
        <v>77</v>
      </c>
      <c r="M768" s="4">
        <v>43881</v>
      </c>
      <c r="N768" s="4">
        <v>43881</v>
      </c>
      <c r="O768" s="3" t="s">
        <v>30</v>
      </c>
      <c r="P768" s="3">
        <v>63</v>
      </c>
      <c r="Q768" s="3" t="s">
        <v>589</v>
      </c>
      <c r="R768" s="3" t="s">
        <v>43</v>
      </c>
      <c r="S768" s="3" t="s">
        <v>100</v>
      </c>
      <c r="T768" s="3" t="str">
        <f t="shared" si="46"/>
        <v>Part-Time</v>
      </c>
      <c r="V768" s="3">
        <v>2</v>
      </c>
      <c r="W768" s="3" t="s">
        <v>79</v>
      </c>
      <c r="AA768" s="3" t="s">
        <v>46</v>
      </c>
      <c r="AB768" s="3" t="str" cm="1">
        <f t="array" ref="AB768">_xlfn.IFS(AA768="N","No",  AA768 = "Y", "Yes", TRUE, PROPER(TRIM(AA768)))</f>
        <v>Yes</v>
      </c>
      <c r="AC768" s="3">
        <v>1</v>
      </c>
      <c r="AD768" s="3" t="s">
        <v>34</v>
      </c>
      <c r="AE768">
        <f t="shared" si="47"/>
        <v>0</v>
      </c>
    </row>
    <row r="769" spans="1:31" ht="14.25" customHeight="1" x14ac:dyDescent="0.35">
      <c r="A769" s="3" t="s">
        <v>1498</v>
      </c>
      <c r="B769" s="3" t="s">
        <v>107</v>
      </c>
      <c r="C769" s="3" t="s">
        <v>49</v>
      </c>
      <c r="D769" s="3">
        <v>35</v>
      </c>
      <c r="E769" s="3">
        <f t="shared" si="44"/>
        <v>35</v>
      </c>
      <c r="F769" s="3">
        <v>1989</v>
      </c>
      <c r="G769" s="3" t="s">
        <v>50</v>
      </c>
      <c r="H769" s="12" cm="1">
        <f t="array" ref="H769">_xlfn.IFS(TRIM(G769)="SIXTY THOUSAND",60000,TRIM(G769)="NAN",AVERAGEIFS(G:G,J:J,J769,L:L,L769),TRUE,G769)</f>
        <v>60000</v>
      </c>
      <c r="I769" s="3" t="s">
        <v>27</v>
      </c>
      <c r="J769" s="3" t="s">
        <v>70</v>
      </c>
      <c r="K769" s="3" t="str">
        <f t="shared" si="45"/>
        <v>Marketing</v>
      </c>
      <c r="L769" s="3" t="s">
        <v>77</v>
      </c>
      <c r="M769" s="4">
        <v>43845</v>
      </c>
      <c r="N769" s="4">
        <v>43845</v>
      </c>
      <c r="O769" s="3" t="s">
        <v>41</v>
      </c>
      <c r="P769" s="3">
        <v>5</v>
      </c>
      <c r="Q769" s="3" t="s">
        <v>1499</v>
      </c>
      <c r="R769" s="3" t="s">
        <v>43</v>
      </c>
      <c r="S769" s="3" t="s">
        <v>100</v>
      </c>
      <c r="T769" s="3" t="str">
        <f t="shared" si="46"/>
        <v>Part-Time</v>
      </c>
      <c r="V769" s="3">
        <v>3</v>
      </c>
      <c r="W769" s="3" t="s">
        <v>79</v>
      </c>
      <c r="Y769" s="4">
        <v>44732</v>
      </c>
      <c r="Z769" s="3">
        <v>55</v>
      </c>
      <c r="AA769" s="3" t="s">
        <v>169</v>
      </c>
      <c r="AB769" s="3" t="str" cm="1">
        <f t="array" ref="AB769">_xlfn.IFS(AA769="N","No",  AA769 = "Y", "Yes", TRUE, PROPER(TRIM(AA769)))</f>
        <v>Yes</v>
      </c>
      <c r="AC769" s="3">
        <v>4</v>
      </c>
      <c r="AD769" s="3" t="s">
        <v>46</v>
      </c>
      <c r="AE769">
        <f t="shared" si="47"/>
        <v>1</v>
      </c>
    </row>
    <row r="770" spans="1:31" ht="14.25" customHeight="1" x14ac:dyDescent="0.35">
      <c r="A770" s="3" t="s">
        <v>1500</v>
      </c>
      <c r="B770" s="3" t="s">
        <v>48</v>
      </c>
      <c r="C770" s="3" t="s">
        <v>681</v>
      </c>
      <c r="D770" s="3">
        <v>35</v>
      </c>
      <c r="E770" s="3">
        <f t="shared" ref="E770:E833" si="48">2024-F770</f>
        <v>35</v>
      </c>
      <c r="F770" s="3">
        <v>1989</v>
      </c>
      <c r="G770" s="3">
        <v>60300</v>
      </c>
      <c r="H770" s="12" cm="1">
        <f t="array" ref="H770">_xlfn.IFS(TRIM(G770)="SIXTY THOUSAND",60000,TRIM(G770)="NAN",AVERAGEIFS(G:G,J:J,J770,L:L,L770),TRUE,G770)</f>
        <v>60300</v>
      </c>
      <c r="I770" s="3" t="s">
        <v>38</v>
      </c>
      <c r="J770" s="3" t="s">
        <v>93</v>
      </c>
      <c r="K770" s="3" t="str">
        <f t="shared" ref="K770:K833" si="49">IF(OR(J770="HR",J770="IT"),UPPER(J770),PROPER(J770))</f>
        <v>Marketing</v>
      </c>
      <c r="L770" s="3" t="s">
        <v>94</v>
      </c>
      <c r="M770" s="4">
        <v>43881</v>
      </c>
      <c r="N770" s="4">
        <v>43881</v>
      </c>
      <c r="O770" s="3" t="s">
        <v>52</v>
      </c>
      <c r="P770" s="3">
        <v>79</v>
      </c>
      <c r="Q770" s="3" t="s">
        <v>682</v>
      </c>
      <c r="R770" s="3" t="s">
        <v>54</v>
      </c>
      <c r="S770" s="3" t="s">
        <v>100</v>
      </c>
      <c r="T770" s="3" t="str">
        <f t="shared" ref="T770:T833" si="50">PROPER(S770)</f>
        <v>Part-Time</v>
      </c>
      <c r="V770" s="3">
        <v>8</v>
      </c>
      <c r="W770" s="3" t="s">
        <v>79</v>
      </c>
      <c r="X770" s="3">
        <v>10</v>
      </c>
      <c r="Y770" s="4">
        <v>44470</v>
      </c>
      <c r="Z770" s="3">
        <v>21</v>
      </c>
      <c r="AA770" s="3" t="s">
        <v>34</v>
      </c>
      <c r="AB770" s="3" t="str" cm="1">
        <f t="array" ref="AB770">_xlfn.IFS(AA770="N","No",  AA770 = "Y", "Yes", TRUE, PROPER(TRIM(AA770)))</f>
        <v>No</v>
      </c>
      <c r="AC770" s="3">
        <v>4</v>
      </c>
      <c r="AD770" s="3" t="s">
        <v>34</v>
      </c>
      <c r="AE770">
        <f t="shared" si="47"/>
        <v>0</v>
      </c>
    </row>
    <row r="771" spans="1:31" ht="14.25" customHeight="1" x14ac:dyDescent="0.35">
      <c r="A771" s="3" t="s">
        <v>1501</v>
      </c>
      <c r="B771" s="3" t="s">
        <v>131</v>
      </c>
      <c r="C771" s="3" t="s">
        <v>285</v>
      </c>
      <c r="D771" s="3">
        <v>50</v>
      </c>
      <c r="E771" s="3">
        <f t="shared" si="48"/>
        <v>50</v>
      </c>
      <c r="F771" s="3">
        <v>1974</v>
      </c>
      <c r="G771" s="3">
        <v>58800</v>
      </c>
      <c r="H771" s="12" cm="1">
        <f t="array" ref="H771">_xlfn.IFS(TRIM(G771)="SIXTY THOUSAND",60000,TRIM(G771)="NAN",AVERAGEIFS(G:G,J:J,J771,L:L,L771),TRUE,G771)</f>
        <v>58800</v>
      </c>
      <c r="I771" s="3" t="s">
        <v>38</v>
      </c>
      <c r="J771" s="3" t="s">
        <v>28</v>
      </c>
      <c r="K771" s="3" t="str">
        <f t="shared" si="49"/>
        <v>HR</v>
      </c>
      <c r="L771" s="3" t="s">
        <v>77</v>
      </c>
      <c r="M771" s="4">
        <v>43881</v>
      </c>
      <c r="N771" s="4">
        <v>43881</v>
      </c>
      <c r="O771" s="3" t="s">
        <v>78</v>
      </c>
      <c r="P771" s="3">
        <v>82</v>
      </c>
      <c r="Q771" s="3" t="s">
        <v>286</v>
      </c>
      <c r="R771" s="3" t="s">
        <v>43</v>
      </c>
      <c r="S771" s="3" t="s">
        <v>66</v>
      </c>
      <c r="T771" s="3" t="str">
        <f t="shared" si="50"/>
        <v>Contract</v>
      </c>
      <c r="V771" s="3">
        <v>7</v>
      </c>
      <c r="W771" s="3" t="s">
        <v>79</v>
      </c>
      <c r="AA771" s="3" t="s">
        <v>73</v>
      </c>
      <c r="AB771" s="3" t="str" cm="1">
        <f t="array" ref="AB771">_xlfn.IFS(AA771="N","No",  AA771 = "Y", "Yes", TRUE, PROPER(TRIM(AA771)))</f>
        <v>No</v>
      </c>
      <c r="AC771" s="3">
        <v>3</v>
      </c>
      <c r="AD771" s="3" t="s">
        <v>34</v>
      </c>
      <c r="AE771">
        <f t="shared" ref="AE771:AE834" si="51">IF(AD771="Yes",1,0)</f>
        <v>0</v>
      </c>
    </row>
    <row r="772" spans="1:31" ht="14.25" customHeight="1" x14ac:dyDescent="0.35">
      <c r="A772" s="3" t="s">
        <v>1502</v>
      </c>
      <c r="B772" s="3" t="s">
        <v>68</v>
      </c>
      <c r="C772" s="3" t="s">
        <v>250</v>
      </c>
      <c r="D772" s="3">
        <v>25</v>
      </c>
      <c r="E772" s="3">
        <f t="shared" si="48"/>
        <v>25</v>
      </c>
      <c r="F772" s="3">
        <v>1999</v>
      </c>
      <c r="G772" s="3">
        <v>65000</v>
      </c>
      <c r="H772" s="12" cm="1">
        <f t="array" ref="H772">_xlfn.IFS(TRIM(G772)="SIXTY THOUSAND",60000,TRIM(G772)="NAN",AVERAGEIFS(G:G,J:J,J772,L:L,L772),TRUE,G772)</f>
        <v>65000</v>
      </c>
      <c r="I772" s="3" t="s">
        <v>27</v>
      </c>
      <c r="J772" s="3" t="s">
        <v>70</v>
      </c>
      <c r="K772" s="3" t="str">
        <f t="shared" si="49"/>
        <v>Marketing</v>
      </c>
      <c r="L772" s="3" t="s">
        <v>77</v>
      </c>
      <c r="M772" s="4">
        <v>43845</v>
      </c>
      <c r="N772" s="4">
        <v>43845</v>
      </c>
      <c r="O772" s="3" t="s">
        <v>59</v>
      </c>
      <c r="P772" s="3">
        <v>96</v>
      </c>
      <c r="Q772" s="3" t="s">
        <v>251</v>
      </c>
      <c r="S772" s="3" t="s">
        <v>174</v>
      </c>
      <c r="T772" s="3" t="str">
        <f t="shared" si="50"/>
        <v>Full-Time</v>
      </c>
      <c r="V772" s="3">
        <v>2</v>
      </c>
      <c r="W772" s="3" t="s">
        <v>79</v>
      </c>
      <c r="X772" s="3">
        <v>16</v>
      </c>
      <c r="Y772" s="4">
        <v>44470</v>
      </c>
      <c r="Z772" s="3">
        <v>41</v>
      </c>
      <c r="AA772" s="3" t="s">
        <v>46</v>
      </c>
      <c r="AB772" s="3" t="str" cm="1">
        <f t="array" ref="AB772">_xlfn.IFS(AA772="N","No",  AA772 = "Y", "Yes", TRUE, PROPER(TRIM(AA772)))</f>
        <v>Yes</v>
      </c>
      <c r="AC772" s="3">
        <v>2</v>
      </c>
      <c r="AD772" s="3" t="s">
        <v>46</v>
      </c>
      <c r="AE772">
        <f t="shared" si="51"/>
        <v>1</v>
      </c>
    </row>
    <row r="773" spans="1:31" ht="14.25" customHeight="1" x14ac:dyDescent="0.35">
      <c r="A773" s="3" t="s">
        <v>1503</v>
      </c>
      <c r="B773" s="3" t="s">
        <v>36</v>
      </c>
      <c r="C773" s="3" t="s">
        <v>156</v>
      </c>
      <c r="D773" s="3">
        <v>50</v>
      </c>
      <c r="E773" s="3">
        <f t="shared" si="48"/>
        <v>50</v>
      </c>
      <c r="F773" s="3">
        <v>1974</v>
      </c>
      <c r="G773" s="3" t="s">
        <v>50</v>
      </c>
      <c r="H773" s="12" cm="1">
        <f t="array" ref="H773">_xlfn.IFS(TRIM(G773)="SIXTY THOUSAND",60000,TRIM(G773)="NAN",AVERAGEIFS(G:G,J:J,J773,L:L,L773),TRUE,G773)</f>
        <v>60000</v>
      </c>
      <c r="I773" s="3" t="s">
        <v>27</v>
      </c>
      <c r="J773" s="3" t="s">
        <v>82</v>
      </c>
      <c r="K773" s="3" t="str">
        <f t="shared" si="49"/>
        <v>HR</v>
      </c>
      <c r="L773" s="3" t="s">
        <v>89</v>
      </c>
      <c r="M773" s="4">
        <v>43845</v>
      </c>
      <c r="N773" s="4">
        <v>43845</v>
      </c>
      <c r="O773" s="3" t="s">
        <v>41</v>
      </c>
      <c r="P773" s="3">
        <v>35</v>
      </c>
      <c r="Q773" s="3" t="s">
        <v>184</v>
      </c>
      <c r="R773" s="3" t="s">
        <v>61</v>
      </c>
      <c r="S773" s="3" t="s">
        <v>112</v>
      </c>
      <c r="T773" s="3" t="str">
        <f t="shared" si="50"/>
        <v>Full-Time</v>
      </c>
      <c r="U773" s="3" t="s">
        <v>280</v>
      </c>
      <c r="V773" s="3">
        <v>2</v>
      </c>
      <c r="W773" s="3">
        <v>4</v>
      </c>
      <c r="X773" s="3">
        <v>12</v>
      </c>
      <c r="Y773" s="4">
        <v>44470</v>
      </c>
      <c r="AA773" s="3" t="s">
        <v>46</v>
      </c>
      <c r="AB773" s="3" t="str" cm="1">
        <f t="array" ref="AB773">_xlfn.IFS(AA773="N","No",  AA773 = "Y", "Yes", TRUE, PROPER(TRIM(AA773)))</f>
        <v>Yes</v>
      </c>
      <c r="AC773" s="3">
        <v>2</v>
      </c>
      <c r="AD773" s="3" t="s">
        <v>46</v>
      </c>
      <c r="AE773">
        <f t="shared" si="51"/>
        <v>1</v>
      </c>
    </row>
    <row r="774" spans="1:31" ht="14.25" customHeight="1" x14ac:dyDescent="0.35">
      <c r="A774" s="3" t="s">
        <v>1504</v>
      </c>
      <c r="B774" s="3" t="s">
        <v>131</v>
      </c>
      <c r="C774" s="3" t="s">
        <v>740</v>
      </c>
      <c r="D774" s="3">
        <v>25</v>
      </c>
      <c r="E774" s="3">
        <f t="shared" si="48"/>
        <v>25</v>
      </c>
      <c r="F774" s="3">
        <v>1999</v>
      </c>
      <c r="G774" s="3">
        <v>50000</v>
      </c>
      <c r="H774" s="12" cm="1">
        <f t="array" ref="H774">_xlfn.IFS(TRIM(G774)="SIXTY THOUSAND",60000,TRIM(G774)="NAN",AVERAGEIFS(G:G,J:J,J774,L:L,L774),TRUE,G774)</f>
        <v>50000</v>
      </c>
      <c r="I774" s="3" t="s">
        <v>38</v>
      </c>
      <c r="J774" s="3" t="s">
        <v>51</v>
      </c>
      <c r="K774" s="3" t="str">
        <f t="shared" si="49"/>
        <v>Sales</v>
      </c>
      <c r="L774" s="3" t="s">
        <v>29</v>
      </c>
      <c r="M774" s="4">
        <v>43549</v>
      </c>
      <c r="N774" s="4">
        <v>43549</v>
      </c>
      <c r="O774" s="3" t="s">
        <v>59</v>
      </c>
      <c r="P774" s="3">
        <v>98</v>
      </c>
      <c r="Q774" s="3" t="s">
        <v>741</v>
      </c>
      <c r="R774" s="3" t="s">
        <v>104</v>
      </c>
      <c r="S774" s="3" t="s">
        <v>100</v>
      </c>
      <c r="T774" s="3" t="str">
        <f t="shared" si="50"/>
        <v>Part-Time</v>
      </c>
      <c r="U774" s="3" t="s">
        <v>670</v>
      </c>
      <c r="V774" s="3">
        <v>5</v>
      </c>
      <c r="W774" s="3">
        <v>1</v>
      </c>
      <c r="X774" s="3">
        <v>4</v>
      </c>
      <c r="Y774" s="4">
        <v>44470</v>
      </c>
      <c r="Z774" s="3">
        <v>8</v>
      </c>
      <c r="AB774" s="3" t="str" cm="1">
        <f t="array" ref="AB774">_xlfn.IFS(AA774="N","No",  AA774 = "Y", "Yes", TRUE, PROPER(TRIM(AA774)))</f>
        <v/>
      </c>
      <c r="AC774" s="3">
        <v>5</v>
      </c>
      <c r="AD774" s="3" t="s">
        <v>34</v>
      </c>
      <c r="AE774">
        <f t="shared" si="51"/>
        <v>0</v>
      </c>
    </row>
    <row r="775" spans="1:31" ht="14.25" customHeight="1" x14ac:dyDescent="0.35">
      <c r="A775" s="3" t="s">
        <v>1505</v>
      </c>
      <c r="B775" s="3" t="s">
        <v>48</v>
      </c>
      <c r="C775" s="3" t="s">
        <v>459</v>
      </c>
      <c r="D775" s="3">
        <v>25</v>
      </c>
      <c r="E775" s="3">
        <f t="shared" si="48"/>
        <v>25</v>
      </c>
      <c r="F775" s="3">
        <v>1999</v>
      </c>
      <c r="G775" s="3">
        <v>55000</v>
      </c>
      <c r="H775" s="12" cm="1">
        <f t="array" ref="H775">_xlfn.IFS(TRIM(G775)="SIXTY THOUSAND",60000,TRIM(G775)="NAN",AVERAGEIFS(G:G,J:J,J775,L:L,L775),TRUE,G775)</f>
        <v>55000</v>
      </c>
      <c r="I775" s="3" t="s">
        <v>38</v>
      </c>
      <c r="J775" s="3" t="s">
        <v>145</v>
      </c>
      <c r="K775" s="3" t="str">
        <f t="shared" si="49"/>
        <v>Sales</v>
      </c>
      <c r="L775" s="3" t="s">
        <v>94</v>
      </c>
      <c r="M775" s="4">
        <v>43549</v>
      </c>
      <c r="N775" s="4">
        <v>43549</v>
      </c>
      <c r="O775" s="3" t="s">
        <v>78</v>
      </c>
      <c r="P775" s="3">
        <v>81</v>
      </c>
      <c r="Q775" s="3" t="s">
        <v>460</v>
      </c>
      <c r="S775" s="3" t="s">
        <v>174</v>
      </c>
      <c r="T775" s="3" t="str">
        <f t="shared" si="50"/>
        <v>Full-Time</v>
      </c>
      <c r="V775" s="3">
        <v>4</v>
      </c>
      <c r="Y775" s="4">
        <v>44732</v>
      </c>
      <c r="AA775" s="3" t="s">
        <v>169</v>
      </c>
      <c r="AB775" s="3" t="str" cm="1">
        <f t="array" ref="AB775">_xlfn.IFS(AA775="N","No",  AA775 = "Y", "Yes", TRUE, PROPER(TRIM(AA775)))</f>
        <v>Yes</v>
      </c>
      <c r="AC775" s="3">
        <v>4</v>
      </c>
      <c r="AD775" s="3" t="s">
        <v>34</v>
      </c>
      <c r="AE775">
        <f t="shared" si="51"/>
        <v>0</v>
      </c>
    </row>
    <row r="776" spans="1:31" ht="14.25" customHeight="1" x14ac:dyDescent="0.35">
      <c r="A776" s="3" t="s">
        <v>1506</v>
      </c>
      <c r="B776" s="3" t="s">
        <v>131</v>
      </c>
      <c r="C776" s="3" t="s">
        <v>144</v>
      </c>
      <c r="D776" s="3" t="s">
        <v>88</v>
      </c>
      <c r="E776" s="3">
        <f t="shared" si="48"/>
        <v>30</v>
      </c>
      <c r="F776" s="3">
        <v>1994</v>
      </c>
      <c r="G776" s="3">
        <v>70000</v>
      </c>
      <c r="H776" s="12" cm="1">
        <f t="array" ref="H776">_xlfn.IFS(TRIM(G776)="SIXTY THOUSAND",60000,TRIM(G776)="NAN",AVERAGEIFS(G:G,J:J,J776,L:L,L776),TRUE,G776)</f>
        <v>70000</v>
      </c>
      <c r="I776" s="3" t="s">
        <v>38</v>
      </c>
      <c r="J776" s="3" t="s">
        <v>145</v>
      </c>
      <c r="K776" s="3" t="str">
        <f t="shared" si="49"/>
        <v>Sales</v>
      </c>
      <c r="L776" s="3" t="s">
        <v>89</v>
      </c>
      <c r="M776" s="4">
        <v>43845</v>
      </c>
      <c r="N776" s="4">
        <v>43845</v>
      </c>
      <c r="O776" s="3" t="s">
        <v>78</v>
      </c>
      <c r="P776" s="3">
        <v>82</v>
      </c>
      <c r="Q776" s="3" t="s">
        <v>146</v>
      </c>
      <c r="R776" s="3" t="s">
        <v>104</v>
      </c>
      <c r="S776" s="3" t="s">
        <v>32</v>
      </c>
      <c r="T776" s="3" t="str">
        <f t="shared" si="50"/>
        <v>Contract</v>
      </c>
      <c r="V776" s="3">
        <v>6</v>
      </c>
      <c r="Y776" s="4">
        <v>44990</v>
      </c>
      <c r="AA776" s="3" t="s">
        <v>33</v>
      </c>
      <c r="AB776" s="3" t="str" cm="1">
        <f t="array" ref="AB776">_xlfn.IFS(AA776="N","No",  AA776 = "Y", "Yes", TRUE, PROPER(TRIM(AA776)))</f>
        <v>Yes</v>
      </c>
      <c r="AC776" s="3">
        <v>4</v>
      </c>
      <c r="AD776" s="3" t="s">
        <v>46</v>
      </c>
      <c r="AE776">
        <f t="shared" si="51"/>
        <v>1</v>
      </c>
    </row>
    <row r="777" spans="1:31" ht="14.25" customHeight="1" x14ac:dyDescent="0.35">
      <c r="A777" s="3" t="s">
        <v>1507</v>
      </c>
      <c r="B777" s="3" t="s">
        <v>75</v>
      </c>
      <c r="C777" s="3" t="s">
        <v>176</v>
      </c>
      <c r="E777" s="3">
        <f t="shared" si="48"/>
        <v>46</v>
      </c>
      <c r="F777" s="3">
        <v>1978</v>
      </c>
      <c r="G777" s="3">
        <v>50000</v>
      </c>
      <c r="H777" s="12" cm="1">
        <f t="array" ref="H777">_xlfn.IFS(TRIM(G777)="SIXTY THOUSAND",60000,TRIM(G777)="NAN",AVERAGEIFS(G:G,J:J,J777,L:L,L777),TRUE,G777)</f>
        <v>50000</v>
      </c>
      <c r="I777" s="3" t="s">
        <v>27</v>
      </c>
      <c r="J777" s="3" t="s">
        <v>39</v>
      </c>
      <c r="K777" s="3" t="str">
        <f t="shared" si="49"/>
        <v>Finance</v>
      </c>
      <c r="L777" s="3" t="s">
        <v>29</v>
      </c>
      <c r="M777" s="4">
        <v>43195</v>
      </c>
      <c r="N777" s="4">
        <v>43195</v>
      </c>
      <c r="O777" s="3" t="s">
        <v>52</v>
      </c>
      <c r="P777" s="3">
        <v>79</v>
      </c>
      <c r="Q777" t="str">
        <f>LOWER(_xlfn.CONCAT(B777,".",C777,"@saltcorp.com"))</f>
        <v>charlie.lucas@saltcorp.com</v>
      </c>
      <c r="S777" s="3" t="s">
        <v>100</v>
      </c>
      <c r="T777" s="3" t="str">
        <f t="shared" si="50"/>
        <v>Part-Time</v>
      </c>
      <c r="V777" s="3">
        <v>2</v>
      </c>
      <c r="W777" s="3">
        <v>3</v>
      </c>
      <c r="Y777" s="4">
        <v>44990</v>
      </c>
      <c r="AA777" s="3" t="s">
        <v>73</v>
      </c>
      <c r="AB777" s="3" t="str" cm="1">
        <f t="array" ref="AB777">_xlfn.IFS(AA777="N","No",  AA777 = "Y", "Yes", TRUE, PROPER(TRIM(AA777)))</f>
        <v>No</v>
      </c>
      <c r="AC777" s="3">
        <v>1</v>
      </c>
      <c r="AD777" s="3" t="s">
        <v>34</v>
      </c>
      <c r="AE777">
        <f t="shared" si="51"/>
        <v>0</v>
      </c>
    </row>
    <row r="778" spans="1:31" ht="14.25" customHeight="1" x14ac:dyDescent="0.35">
      <c r="A778" s="3" t="s">
        <v>1508</v>
      </c>
      <c r="B778" s="3" t="s">
        <v>36</v>
      </c>
      <c r="C778" s="3" t="s">
        <v>37</v>
      </c>
      <c r="D778" s="3" t="s">
        <v>88</v>
      </c>
      <c r="E778" s="3">
        <f t="shared" si="48"/>
        <v>30</v>
      </c>
      <c r="F778" s="3">
        <v>1994</v>
      </c>
      <c r="G778" s="3">
        <v>65000</v>
      </c>
      <c r="H778" s="12" cm="1">
        <f t="array" ref="H778">_xlfn.IFS(TRIM(G778)="SIXTY THOUSAND",60000,TRIM(G778)="NAN",AVERAGEIFS(G:G,J:J,J778,L:L,L778),TRUE,G778)</f>
        <v>65000</v>
      </c>
      <c r="I778" s="3" t="s">
        <v>27</v>
      </c>
      <c r="J778" s="3" t="s">
        <v>145</v>
      </c>
      <c r="K778" s="3" t="str">
        <f t="shared" si="49"/>
        <v>Sales</v>
      </c>
      <c r="L778" s="3" t="s">
        <v>77</v>
      </c>
      <c r="M778" s="4">
        <v>43195</v>
      </c>
      <c r="N778" s="4">
        <v>43195</v>
      </c>
      <c r="O778" s="3" t="s">
        <v>30</v>
      </c>
      <c r="P778" s="3">
        <v>63</v>
      </c>
      <c r="Q778" s="3" t="s">
        <v>42</v>
      </c>
      <c r="R778" s="3" t="s">
        <v>104</v>
      </c>
      <c r="S778" s="3" t="s">
        <v>112</v>
      </c>
      <c r="T778" s="3" t="str">
        <f t="shared" si="50"/>
        <v>Full-Time</v>
      </c>
      <c r="V778" s="3">
        <v>1</v>
      </c>
      <c r="W778" s="3" t="s">
        <v>79</v>
      </c>
      <c r="AA778" s="3" t="s">
        <v>46</v>
      </c>
      <c r="AB778" s="3" t="str" cm="1">
        <f t="array" ref="AB778">_xlfn.IFS(AA778="N","No",  AA778 = "Y", "Yes", TRUE, PROPER(TRIM(AA778)))</f>
        <v>Yes</v>
      </c>
      <c r="AC778" s="3">
        <v>1</v>
      </c>
      <c r="AD778" s="3" t="s">
        <v>34</v>
      </c>
      <c r="AE778">
        <f t="shared" si="51"/>
        <v>0</v>
      </c>
    </row>
    <row r="779" spans="1:31" ht="14.25" customHeight="1" x14ac:dyDescent="0.35">
      <c r="A779" s="3" t="s">
        <v>1509</v>
      </c>
      <c r="B779" s="3" t="s">
        <v>48</v>
      </c>
      <c r="C779" s="3" t="s">
        <v>334</v>
      </c>
      <c r="E779" s="3">
        <f t="shared" si="48"/>
        <v>36</v>
      </c>
      <c r="F779" s="3">
        <v>1988</v>
      </c>
      <c r="G779" s="3">
        <v>70000</v>
      </c>
      <c r="H779" s="12" cm="1">
        <f t="array" ref="H779">_xlfn.IFS(TRIM(G779)="SIXTY THOUSAND",60000,TRIM(G779)="NAN",AVERAGEIFS(G:G,J:J,J779,L:L,L779),TRUE,G779)</f>
        <v>70000</v>
      </c>
      <c r="I779" s="3" t="s">
        <v>38</v>
      </c>
      <c r="J779" s="3" t="s">
        <v>70</v>
      </c>
      <c r="K779" s="3" t="str">
        <f t="shared" si="49"/>
        <v>Marketing</v>
      </c>
      <c r="L779" s="3" t="s">
        <v>77</v>
      </c>
      <c r="M779" s="4">
        <v>43881</v>
      </c>
      <c r="N779" s="4">
        <v>43881</v>
      </c>
      <c r="O779" s="3" t="s">
        <v>59</v>
      </c>
      <c r="P779" s="3">
        <v>100</v>
      </c>
      <c r="Q779" s="3" t="s">
        <v>335</v>
      </c>
      <c r="R779" s="3" t="s">
        <v>54</v>
      </c>
      <c r="S779" s="3" t="s">
        <v>174</v>
      </c>
      <c r="T779" s="3" t="str">
        <f t="shared" si="50"/>
        <v>Full-Time</v>
      </c>
      <c r="V779" s="3">
        <v>7</v>
      </c>
      <c r="W779" s="3" t="s">
        <v>79</v>
      </c>
      <c r="Y779" s="4">
        <v>44470</v>
      </c>
      <c r="AA779" s="3" t="s">
        <v>34</v>
      </c>
      <c r="AB779" s="3" t="str" cm="1">
        <f t="array" ref="AB779">_xlfn.IFS(AA779="N","No",  AA779 = "Y", "Yes", TRUE, PROPER(TRIM(AA779)))</f>
        <v>No</v>
      </c>
      <c r="AC779" s="3">
        <v>5</v>
      </c>
      <c r="AD779" s="3" t="s">
        <v>34</v>
      </c>
      <c r="AE779">
        <f t="shared" si="51"/>
        <v>0</v>
      </c>
    </row>
    <row r="780" spans="1:31" ht="14.25" customHeight="1" x14ac:dyDescent="0.35">
      <c r="A780" s="3" t="s">
        <v>1510</v>
      </c>
      <c r="B780" s="3" t="s">
        <v>107</v>
      </c>
      <c r="C780" s="3" t="s">
        <v>247</v>
      </c>
      <c r="D780" s="3">
        <v>50</v>
      </c>
      <c r="E780" s="3">
        <f t="shared" si="48"/>
        <v>50</v>
      </c>
      <c r="F780" s="3">
        <v>1974</v>
      </c>
      <c r="G780" s="3">
        <v>55000</v>
      </c>
      <c r="H780" s="12" cm="1">
        <f t="array" ref="H780">_xlfn.IFS(TRIM(G780)="SIXTY THOUSAND",60000,TRIM(G780)="NAN",AVERAGEIFS(G:G,J:J,J780,L:L,L780),TRUE,G780)</f>
        <v>55000</v>
      </c>
      <c r="I780" s="3" t="s">
        <v>27</v>
      </c>
      <c r="J780" s="3" t="s">
        <v>122</v>
      </c>
      <c r="K780" s="3" t="str">
        <f t="shared" si="49"/>
        <v>IT</v>
      </c>
      <c r="L780" s="3" t="s">
        <v>89</v>
      </c>
      <c r="M780" s="4">
        <v>43800</v>
      </c>
      <c r="N780" s="4">
        <v>43800</v>
      </c>
      <c r="O780" s="3" t="s">
        <v>52</v>
      </c>
      <c r="P780" s="3">
        <v>70</v>
      </c>
      <c r="Q780" s="3" t="s">
        <v>1511</v>
      </c>
      <c r="R780" s="3" t="s">
        <v>43</v>
      </c>
      <c r="S780" s="3" t="s">
        <v>100</v>
      </c>
      <c r="T780" s="3" t="str">
        <f t="shared" si="50"/>
        <v>Part-Time</v>
      </c>
      <c r="V780" s="3">
        <v>7</v>
      </c>
      <c r="W780" s="3">
        <v>10</v>
      </c>
      <c r="X780" s="3">
        <v>1</v>
      </c>
      <c r="Y780" s="3" t="s">
        <v>79</v>
      </c>
      <c r="AB780" s="3" t="str" cm="1">
        <f t="array" ref="AB780">_xlfn.IFS(AA780="N","No",  AA780 = "Y", "Yes", TRUE, PROPER(TRIM(AA780)))</f>
        <v/>
      </c>
      <c r="AC780" s="3">
        <v>4</v>
      </c>
      <c r="AD780" s="3" t="s">
        <v>34</v>
      </c>
      <c r="AE780">
        <f t="shared" si="51"/>
        <v>0</v>
      </c>
    </row>
    <row r="781" spans="1:31" ht="14.25" customHeight="1" x14ac:dyDescent="0.35">
      <c r="A781" s="3" t="s">
        <v>1512</v>
      </c>
      <c r="B781" s="3" t="s">
        <v>68</v>
      </c>
      <c r="C781" s="3" t="s">
        <v>295</v>
      </c>
      <c r="E781" s="3">
        <f t="shared" si="48"/>
        <v>30</v>
      </c>
      <c r="F781" s="3">
        <v>1994</v>
      </c>
      <c r="G781" s="3">
        <v>55000</v>
      </c>
      <c r="H781" s="12" cm="1">
        <f t="array" ref="H781">_xlfn.IFS(TRIM(G781)="SIXTY THOUSAND",60000,TRIM(G781)="NAN",AVERAGEIFS(G:G,J:J,J781,L:L,L781),TRUE,G781)</f>
        <v>55000</v>
      </c>
      <c r="I781" s="3" t="s">
        <v>27</v>
      </c>
      <c r="J781" s="3" t="s">
        <v>82</v>
      </c>
      <c r="K781" s="3" t="str">
        <f t="shared" si="49"/>
        <v>HR</v>
      </c>
      <c r="L781" s="3" t="s">
        <v>77</v>
      </c>
      <c r="M781" s="4">
        <v>43881</v>
      </c>
      <c r="N781" s="4">
        <v>43881</v>
      </c>
      <c r="O781" s="3" t="s">
        <v>41</v>
      </c>
      <c r="P781" s="3">
        <v>31</v>
      </c>
      <c r="Q781" s="3" t="s">
        <v>1513</v>
      </c>
      <c r="R781" s="3" t="s">
        <v>43</v>
      </c>
      <c r="S781" s="3" t="s">
        <v>112</v>
      </c>
      <c r="T781" s="3" t="str">
        <f t="shared" si="50"/>
        <v>Full-Time</v>
      </c>
      <c r="V781" s="3">
        <v>5</v>
      </c>
      <c r="W781" s="3">
        <v>5</v>
      </c>
      <c r="X781" s="3">
        <v>19</v>
      </c>
      <c r="AA781" s="3" t="s">
        <v>34</v>
      </c>
      <c r="AB781" s="3" t="str" cm="1">
        <f t="array" ref="AB781">_xlfn.IFS(AA781="N","No",  AA781 = "Y", "Yes", TRUE, PROPER(TRIM(AA781)))</f>
        <v>No</v>
      </c>
      <c r="AC781" s="3">
        <v>1</v>
      </c>
      <c r="AD781" s="3" t="s">
        <v>46</v>
      </c>
      <c r="AE781">
        <f t="shared" si="51"/>
        <v>1</v>
      </c>
    </row>
    <row r="782" spans="1:31" ht="14.25" customHeight="1" x14ac:dyDescent="0.35">
      <c r="A782" s="3" t="s">
        <v>1514</v>
      </c>
      <c r="B782" s="3" t="s">
        <v>25</v>
      </c>
      <c r="C782" s="3" t="s">
        <v>413</v>
      </c>
      <c r="D782" s="3">
        <v>50</v>
      </c>
      <c r="E782" s="3">
        <f t="shared" si="48"/>
        <v>50</v>
      </c>
      <c r="F782" s="3">
        <v>1974</v>
      </c>
      <c r="G782" s="3" t="s">
        <v>50</v>
      </c>
      <c r="H782" s="12" cm="1">
        <f t="array" ref="H782">_xlfn.IFS(TRIM(G782)="SIXTY THOUSAND",60000,TRIM(G782)="NAN",AVERAGEIFS(G:G,J:J,J782,L:L,L782),TRUE,G782)</f>
        <v>60000</v>
      </c>
      <c r="I782" s="3" t="s">
        <v>38</v>
      </c>
      <c r="J782" s="3" t="s">
        <v>64</v>
      </c>
      <c r="K782" s="3" t="str">
        <f t="shared" si="49"/>
        <v>Finance</v>
      </c>
      <c r="L782" s="3" t="s">
        <v>40</v>
      </c>
      <c r="M782" s="4">
        <v>43881</v>
      </c>
      <c r="N782" s="4">
        <v>43881</v>
      </c>
      <c r="O782" s="3" t="s">
        <v>30</v>
      </c>
      <c r="P782" s="3">
        <v>62</v>
      </c>
      <c r="Q782" s="3" t="s">
        <v>1515</v>
      </c>
      <c r="R782" s="3" t="s">
        <v>54</v>
      </c>
      <c r="S782" s="3" t="s">
        <v>72</v>
      </c>
      <c r="T782" s="3" t="str">
        <f t="shared" si="50"/>
        <v>Part-Time</v>
      </c>
      <c r="V782" s="3">
        <v>1</v>
      </c>
      <c r="W782" s="3">
        <v>13</v>
      </c>
      <c r="AA782" s="3" t="s">
        <v>33</v>
      </c>
      <c r="AB782" s="3" t="str" cm="1">
        <f t="array" ref="AB782">_xlfn.IFS(AA782="N","No",  AA782 = "Y", "Yes", TRUE, PROPER(TRIM(AA782)))</f>
        <v>Yes</v>
      </c>
      <c r="AC782" s="3">
        <v>2</v>
      </c>
      <c r="AD782" s="3" t="s">
        <v>46</v>
      </c>
      <c r="AE782">
        <f t="shared" si="51"/>
        <v>1</v>
      </c>
    </row>
    <row r="783" spans="1:31" ht="14.25" customHeight="1" x14ac:dyDescent="0.35">
      <c r="A783" s="3" t="s">
        <v>1516</v>
      </c>
      <c r="B783" s="3" t="s">
        <v>48</v>
      </c>
      <c r="C783" s="3" t="s">
        <v>158</v>
      </c>
      <c r="D783" s="3">
        <v>35</v>
      </c>
      <c r="E783" s="3">
        <f t="shared" si="48"/>
        <v>35</v>
      </c>
      <c r="F783" s="3">
        <v>1989</v>
      </c>
      <c r="G783" s="3">
        <v>70000</v>
      </c>
      <c r="H783" s="12" cm="1">
        <f t="array" ref="H783">_xlfn.IFS(TRIM(G783)="SIXTY THOUSAND",60000,TRIM(G783)="NAN",AVERAGEIFS(G:G,J:J,J783,L:L,L783),TRUE,G783)</f>
        <v>70000</v>
      </c>
      <c r="I783" s="3" t="s">
        <v>38</v>
      </c>
      <c r="J783" s="3" t="s">
        <v>145</v>
      </c>
      <c r="K783" s="3" t="str">
        <f t="shared" si="49"/>
        <v>Sales</v>
      </c>
      <c r="L783" s="3" t="s">
        <v>89</v>
      </c>
      <c r="M783" s="4">
        <v>43800</v>
      </c>
      <c r="N783" s="4">
        <v>43800</v>
      </c>
      <c r="O783" s="3" t="s">
        <v>52</v>
      </c>
      <c r="P783" s="3">
        <v>74</v>
      </c>
      <c r="Q783" s="3" t="s">
        <v>1517</v>
      </c>
      <c r="S783" s="3" t="s">
        <v>32</v>
      </c>
      <c r="T783" s="3" t="str">
        <f t="shared" si="50"/>
        <v>Contract</v>
      </c>
      <c r="U783" s="3" t="s">
        <v>211</v>
      </c>
      <c r="V783" s="3">
        <v>3</v>
      </c>
      <c r="W783" s="3" t="s">
        <v>79</v>
      </c>
      <c r="X783" s="3">
        <v>15</v>
      </c>
      <c r="AA783" s="3" t="s">
        <v>34</v>
      </c>
      <c r="AB783" s="3" t="str" cm="1">
        <f t="array" ref="AB783">_xlfn.IFS(AA783="N","No",  AA783 = "Y", "Yes", TRUE, PROPER(TRIM(AA783)))</f>
        <v>No</v>
      </c>
      <c r="AC783" s="3">
        <v>2</v>
      </c>
      <c r="AD783" s="3" t="s">
        <v>34</v>
      </c>
      <c r="AE783">
        <f t="shared" si="51"/>
        <v>0</v>
      </c>
    </row>
    <row r="784" spans="1:31" ht="14.25" customHeight="1" x14ac:dyDescent="0.35">
      <c r="A784" s="3" t="s">
        <v>1518</v>
      </c>
      <c r="B784" s="3" t="s">
        <v>114</v>
      </c>
      <c r="C784" s="3" t="s">
        <v>608</v>
      </c>
      <c r="D784" s="3">
        <v>35</v>
      </c>
      <c r="E784" s="3">
        <f t="shared" si="48"/>
        <v>35</v>
      </c>
      <c r="F784" s="3">
        <v>1989</v>
      </c>
      <c r="G784" s="3" t="s">
        <v>50</v>
      </c>
      <c r="H784" s="12" cm="1">
        <f t="array" ref="H784">_xlfn.IFS(TRIM(G784)="SIXTY THOUSAND",60000,TRIM(G784)="NAN",AVERAGEIFS(G:G,J:J,J784,L:L,L784),TRUE,G784)</f>
        <v>60000</v>
      </c>
      <c r="I784" s="3" t="s">
        <v>27</v>
      </c>
      <c r="J784" s="3" t="s">
        <v>145</v>
      </c>
      <c r="K784" s="3" t="str">
        <f t="shared" si="49"/>
        <v>Sales</v>
      </c>
      <c r="L784" s="3" t="s">
        <v>29</v>
      </c>
      <c r="M784" s="4">
        <v>43845</v>
      </c>
      <c r="N784" s="4">
        <v>43845</v>
      </c>
      <c r="O784" s="3" t="s">
        <v>59</v>
      </c>
      <c r="P784" s="3">
        <v>92</v>
      </c>
      <c r="Q784" s="3" t="s">
        <v>609</v>
      </c>
      <c r="R784" s="3" t="s">
        <v>61</v>
      </c>
      <c r="S784" s="3" t="s">
        <v>174</v>
      </c>
      <c r="T784" s="3" t="str">
        <f t="shared" si="50"/>
        <v>Full-Time</v>
      </c>
      <c r="V784" s="3">
        <v>8</v>
      </c>
      <c r="W784" s="3">
        <v>1</v>
      </c>
      <c r="X784" s="3">
        <v>9</v>
      </c>
      <c r="AA784" s="3" t="s">
        <v>33</v>
      </c>
      <c r="AB784" s="3" t="str" cm="1">
        <f t="array" ref="AB784">_xlfn.IFS(AA784="N","No",  AA784 = "Y", "Yes", TRUE, PROPER(TRIM(AA784)))</f>
        <v>Yes</v>
      </c>
      <c r="AC784" s="3">
        <v>5</v>
      </c>
      <c r="AD784" s="3" t="s">
        <v>34</v>
      </c>
      <c r="AE784">
        <f t="shared" si="51"/>
        <v>0</v>
      </c>
    </row>
    <row r="785" spans="1:31" ht="14.25" customHeight="1" x14ac:dyDescent="0.35">
      <c r="A785" s="3" t="s">
        <v>1519</v>
      </c>
      <c r="B785" s="3" t="s">
        <v>68</v>
      </c>
      <c r="C785" s="3" t="s">
        <v>324</v>
      </c>
      <c r="E785" s="3">
        <f t="shared" si="48"/>
        <v>33</v>
      </c>
      <c r="F785" s="3">
        <v>1991</v>
      </c>
      <c r="G785" s="3">
        <v>50000</v>
      </c>
      <c r="H785" s="12" cm="1">
        <f t="array" ref="H785">_xlfn.IFS(TRIM(G785)="SIXTY THOUSAND",60000,TRIM(G785)="NAN",AVERAGEIFS(G:G,J:J,J785,L:L,L785),TRUE,G785)</f>
        <v>50000</v>
      </c>
      <c r="I785" s="3" t="s">
        <v>27</v>
      </c>
      <c r="J785" s="3" t="s">
        <v>122</v>
      </c>
      <c r="K785" s="3" t="str">
        <f t="shared" si="49"/>
        <v>IT</v>
      </c>
      <c r="L785" s="3" t="s">
        <v>89</v>
      </c>
      <c r="M785" s="4">
        <v>43195</v>
      </c>
      <c r="N785" s="4">
        <v>43195</v>
      </c>
      <c r="O785" s="3" t="s">
        <v>78</v>
      </c>
      <c r="P785" s="3">
        <v>84</v>
      </c>
      <c r="Q785" s="3" t="s">
        <v>325</v>
      </c>
      <c r="S785" s="3" t="s">
        <v>112</v>
      </c>
      <c r="T785" s="3" t="str">
        <f t="shared" si="50"/>
        <v>Full-Time</v>
      </c>
      <c r="V785" s="3">
        <v>8</v>
      </c>
      <c r="AA785" s="3" t="s">
        <v>33</v>
      </c>
      <c r="AB785" s="3" t="str" cm="1">
        <f t="array" ref="AB785">_xlfn.IFS(AA785="N","No",  AA785 = "Y", "Yes", TRUE, PROPER(TRIM(AA785)))</f>
        <v>Yes</v>
      </c>
      <c r="AC785" s="3">
        <v>1</v>
      </c>
      <c r="AD785" s="3" t="s">
        <v>46</v>
      </c>
      <c r="AE785">
        <f t="shared" si="51"/>
        <v>1</v>
      </c>
    </row>
    <row r="786" spans="1:31" ht="14.25" customHeight="1" x14ac:dyDescent="0.35">
      <c r="A786" s="3" t="s">
        <v>1520</v>
      </c>
      <c r="B786" s="3" t="s">
        <v>48</v>
      </c>
      <c r="C786" s="3" t="s">
        <v>534</v>
      </c>
      <c r="E786" s="3">
        <f t="shared" si="48"/>
        <v>27</v>
      </c>
      <c r="F786" s="3">
        <v>1997</v>
      </c>
      <c r="G786" s="3">
        <v>59300</v>
      </c>
      <c r="H786" s="12" cm="1">
        <f t="array" ref="H786">_xlfn.IFS(TRIM(G786)="SIXTY THOUSAND",60000,TRIM(G786)="NAN",AVERAGEIFS(G:G,J:J,J786,L:L,L786),TRUE,G786)</f>
        <v>59300</v>
      </c>
      <c r="I786" s="3" t="s">
        <v>27</v>
      </c>
      <c r="J786" s="3" t="s">
        <v>58</v>
      </c>
      <c r="K786" s="3" t="str">
        <f t="shared" si="49"/>
        <v>IT</v>
      </c>
      <c r="L786" s="3" t="s">
        <v>94</v>
      </c>
      <c r="M786" s="4">
        <v>43881</v>
      </c>
      <c r="N786" s="4">
        <v>43881</v>
      </c>
      <c r="O786" s="3" t="s">
        <v>41</v>
      </c>
      <c r="P786" s="3">
        <v>17</v>
      </c>
      <c r="Q786" s="3" t="s">
        <v>535</v>
      </c>
      <c r="R786" s="3" t="s">
        <v>43</v>
      </c>
      <c r="S786" s="3" t="s">
        <v>112</v>
      </c>
      <c r="T786" s="3" t="str">
        <f t="shared" si="50"/>
        <v>Full-Time</v>
      </c>
      <c r="U786" s="3" t="s">
        <v>1521</v>
      </c>
      <c r="V786" s="3">
        <v>1</v>
      </c>
      <c r="AB786" s="3" t="str" cm="1">
        <f t="array" ref="AB786">_xlfn.IFS(AA786="N","No",  AA786 = "Y", "Yes", TRUE, PROPER(TRIM(AA786)))</f>
        <v/>
      </c>
      <c r="AC786" s="3">
        <v>2</v>
      </c>
      <c r="AD786" s="3" t="s">
        <v>34</v>
      </c>
      <c r="AE786">
        <f t="shared" si="51"/>
        <v>0</v>
      </c>
    </row>
    <row r="787" spans="1:31" ht="14.25" customHeight="1" x14ac:dyDescent="0.35">
      <c r="A787" s="3" t="s">
        <v>1522</v>
      </c>
      <c r="B787" s="3" t="s">
        <v>75</v>
      </c>
      <c r="C787" s="3" t="s">
        <v>295</v>
      </c>
      <c r="D787" s="3">
        <v>50</v>
      </c>
      <c r="E787" s="3">
        <f t="shared" si="48"/>
        <v>50</v>
      </c>
      <c r="F787" s="3">
        <v>1974</v>
      </c>
      <c r="G787" s="3">
        <v>58500</v>
      </c>
      <c r="H787" s="12" cm="1">
        <f t="array" ref="H787">_xlfn.IFS(TRIM(G787)="SIXTY THOUSAND",60000,TRIM(G787)="NAN",AVERAGEIFS(G:G,J:J,J787,L:L,L787),TRUE,G787)</f>
        <v>58500</v>
      </c>
      <c r="I787" s="3" t="s">
        <v>27</v>
      </c>
      <c r="J787" s="3" t="s">
        <v>64</v>
      </c>
      <c r="K787" s="3" t="str">
        <f t="shared" si="49"/>
        <v>Finance</v>
      </c>
      <c r="L787" s="3" t="s">
        <v>89</v>
      </c>
      <c r="M787" s="4">
        <v>43800</v>
      </c>
      <c r="N787" s="4">
        <v>43800</v>
      </c>
      <c r="O787" s="3" t="s">
        <v>59</v>
      </c>
      <c r="P787" s="3">
        <v>96</v>
      </c>
      <c r="Q787" s="3" t="s">
        <v>1523</v>
      </c>
      <c r="R787" s="3" t="s">
        <v>61</v>
      </c>
      <c r="S787" s="3" t="s">
        <v>66</v>
      </c>
      <c r="T787" s="3" t="str">
        <f t="shared" si="50"/>
        <v>Contract</v>
      </c>
      <c r="U787" s="3" t="s">
        <v>1524</v>
      </c>
      <c r="V787" s="3">
        <v>4</v>
      </c>
      <c r="AB787" s="3" t="str" cm="1">
        <f t="array" ref="AB787">_xlfn.IFS(AA787="N","No",  AA787 = "Y", "Yes", TRUE, PROPER(TRIM(AA787)))</f>
        <v/>
      </c>
      <c r="AC787" s="3">
        <v>2</v>
      </c>
      <c r="AD787" s="3" t="s">
        <v>34</v>
      </c>
      <c r="AE787">
        <f t="shared" si="51"/>
        <v>0</v>
      </c>
    </row>
    <row r="788" spans="1:31" ht="14.25" customHeight="1" x14ac:dyDescent="0.35">
      <c r="A788" s="3" t="s">
        <v>1525</v>
      </c>
      <c r="B788" s="3" t="s">
        <v>25</v>
      </c>
      <c r="C788" s="3" t="s">
        <v>171</v>
      </c>
      <c r="D788" s="3" t="s">
        <v>88</v>
      </c>
      <c r="E788" s="3">
        <f t="shared" si="48"/>
        <v>30</v>
      </c>
      <c r="F788" s="3">
        <v>1994</v>
      </c>
      <c r="G788" s="3">
        <v>58800</v>
      </c>
      <c r="H788" s="12" cm="1">
        <f t="array" ref="H788">_xlfn.IFS(TRIM(G788)="SIXTY THOUSAND",60000,TRIM(G788)="NAN",AVERAGEIFS(G:G,J:J,J788,L:L,L788),TRUE,G788)</f>
        <v>58800</v>
      </c>
      <c r="I788" s="3" t="s">
        <v>27</v>
      </c>
      <c r="J788" s="3" t="s">
        <v>28</v>
      </c>
      <c r="K788" s="3" t="str">
        <f t="shared" si="49"/>
        <v>HR</v>
      </c>
      <c r="L788" s="3" t="s">
        <v>77</v>
      </c>
      <c r="M788" s="4">
        <v>43549</v>
      </c>
      <c r="N788" s="4">
        <v>43549</v>
      </c>
      <c r="O788" s="3" t="s">
        <v>30</v>
      </c>
      <c r="P788" s="3">
        <v>60</v>
      </c>
      <c r="Q788" s="3" t="s">
        <v>172</v>
      </c>
      <c r="R788" s="3" t="s">
        <v>104</v>
      </c>
      <c r="S788" s="3" t="s">
        <v>174</v>
      </c>
      <c r="T788" s="3" t="str">
        <f t="shared" si="50"/>
        <v>Full-Time</v>
      </c>
      <c r="V788" s="3">
        <v>5</v>
      </c>
      <c r="W788" s="3" t="s">
        <v>79</v>
      </c>
      <c r="X788" s="3">
        <v>5</v>
      </c>
      <c r="Y788" s="4">
        <v>44470</v>
      </c>
      <c r="AB788" s="3" t="str" cm="1">
        <f t="array" ref="AB788">_xlfn.IFS(AA788="N","No",  AA788 = "Y", "Yes", TRUE, PROPER(TRIM(AA788)))</f>
        <v/>
      </c>
      <c r="AC788" s="3">
        <v>4</v>
      </c>
      <c r="AD788" s="3" t="s">
        <v>34</v>
      </c>
      <c r="AE788">
        <f t="shared" si="51"/>
        <v>0</v>
      </c>
    </row>
    <row r="789" spans="1:31" ht="14.25" customHeight="1" x14ac:dyDescent="0.35">
      <c r="A789" s="3" t="s">
        <v>1526</v>
      </c>
      <c r="B789" s="3" t="s">
        <v>75</v>
      </c>
      <c r="C789" s="3" t="s">
        <v>99</v>
      </c>
      <c r="D789" s="3">
        <v>50</v>
      </c>
      <c r="E789" s="3">
        <f t="shared" si="48"/>
        <v>50</v>
      </c>
      <c r="F789" s="3">
        <v>1974</v>
      </c>
      <c r="G789" s="3">
        <v>70000</v>
      </c>
      <c r="H789" s="12" cm="1">
        <f t="array" ref="H789">_xlfn.IFS(TRIM(G789)="SIXTY THOUSAND",60000,TRIM(G789)="NAN",AVERAGEIFS(G:G,J:J,J789,L:L,L789),TRUE,G789)</f>
        <v>70000</v>
      </c>
      <c r="I789" s="3" t="s">
        <v>27</v>
      </c>
      <c r="J789" s="3" t="s">
        <v>51</v>
      </c>
      <c r="K789" s="3" t="str">
        <f t="shared" si="49"/>
        <v>Sales</v>
      </c>
      <c r="L789" s="3" t="s">
        <v>77</v>
      </c>
      <c r="M789" s="4">
        <v>43881</v>
      </c>
      <c r="N789" s="4">
        <v>43881</v>
      </c>
      <c r="O789" s="3" t="s">
        <v>30</v>
      </c>
      <c r="P789" s="3">
        <v>67</v>
      </c>
      <c r="Q789" s="3" t="s">
        <v>1527</v>
      </c>
      <c r="R789" s="3" t="s">
        <v>61</v>
      </c>
      <c r="S789" s="3" t="s">
        <v>72</v>
      </c>
      <c r="T789" s="3" t="str">
        <f t="shared" si="50"/>
        <v>Part-Time</v>
      </c>
      <c r="U789" s="3" t="s">
        <v>1528</v>
      </c>
      <c r="V789" s="3">
        <v>4</v>
      </c>
      <c r="W789" s="3" t="s">
        <v>79</v>
      </c>
      <c r="X789" s="3">
        <v>8</v>
      </c>
      <c r="Y789" s="4">
        <v>44470</v>
      </c>
      <c r="AA789" s="3" t="s">
        <v>46</v>
      </c>
      <c r="AB789" s="3" t="str" cm="1">
        <f t="array" ref="AB789">_xlfn.IFS(AA789="N","No",  AA789 = "Y", "Yes", TRUE, PROPER(TRIM(AA789)))</f>
        <v>Yes</v>
      </c>
      <c r="AC789" s="3">
        <v>1</v>
      </c>
      <c r="AD789" s="3" t="s">
        <v>34</v>
      </c>
      <c r="AE789">
        <f t="shared" si="51"/>
        <v>0</v>
      </c>
    </row>
    <row r="790" spans="1:31" ht="14.25" customHeight="1" x14ac:dyDescent="0.35">
      <c r="A790" s="3" t="s">
        <v>1529</v>
      </c>
      <c r="B790" s="3" t="s">
        <v>25</v>
      </c>
      <c r="C790" s="3" t="s">
        <v>380</v>
      </c>
      <c r="D790" s="3" t="s">
        <v>88</v>
      </c>
      <c r="E790" s="3">
        <f t="shared" si="48"/>
        <v>30</v>
      </c>
      <c r="F790" s="3">
        <v>1994</v>
      </c>
      <c r="G790" s="3">
        <v>60300</v>
      </c>
      <c r="H790" s="12" cm="1">
        <f t="array" ref="H790">_xlfn.IFS(TRIM(G790)="SIXTY THOUSAND",60000,TRIM(G790)="NAN",AVERAGEIFS(G:G,J:J,J790,L:L,L790),TRUE,G790)</f>
        <v>60300</v>
      </c>
      <c r="I790" s="3" t="s">
        <v>27</v>
      </c>
      <c r="J790" s="3" t="s">
        <v>64</v>
      </c>
      <c r="K790" s="3" t="str">
        <f t="shared" si="49"/>
        <v>Finance</v>
      </c>
      <c r="L790" s="3" t="s">
        <v>40</v>
      </c>
      <c r="M790" s="4">
        <v>43195</v>
      </c>
      <c r="N790" s="4">
        <v>43195</v>
      </c>
      <c r="O790" s="3" t="s">
        <v>78</v>
      </c>
      <c r="P790" s="3">
        <v>88</v>
      </c>
      <c r="Q790" s="3" t="s">
        <v>1530</v>
      </c>
      <c r="S790" s="3" t="s">
        <v>174</v>
      </c>
      <c r="T790" s="3" t="str">
        <f t="shared" si="50"/>
        <v>Full-Time</v>
      </c>
      <c r="V790" s="3">
        <v>1</v>
      </c>
      <c r="W790" s="3">
        <v>5</v>
      </c>
      <c r="X790" s="3">
        <v>3</v>
      </c>
      <c r="AA790" s="3" t="s">
        <v>73</v>
      </c>
      <c r="AB790" s="3" t="str" cm="1">
        <f t="array" ref="AB790">_xlfn.IFS(AA790="N","No",  AA790 = "Y", "Yes", TRUE, PROPER(TRIM(AA790)))</f>
        <v>No</v>
      </c>
      <c r="AC790" s="3">
        <v>5</v>
      </c>
      <c r="AD790" s="3" t="s">
        <v>34</v>
      </c>
      <c r="AE790">
        <f t="shared" si="51"/>
        <v>0</v>
      </c>
    </row>
    <row r="791" spans="1:31" ht="14.25" customHeight="1" x14ac:dyDescent="0.35">
      <c r="A791" s="3" t="s">
        <v>1531</v>
      </c>
      <c r="B791" s="3" t="s">
        <v>114</v>
      </c>
      <c r="C791" s="3" t="s">
        <v>540</v>
      </c>
      <c r="D791" s="3">
        <v>35</v>
      </c>
      <c r="E791" s="3">
        <f t="shared" si="48"/>
        <v>35</v>
      </c>
      <c r="F791" s="3">
        <v>1989</v>
      </c>
      <c r="G791" s="3">
        <v>50000</v>
      </c>
      <c r="H791" s="12" cm="1">
        <f t="array" ref="H791">_xlfn.IFS(TRIM(G791)="SIXTY THOUSAND",60000,TRIM(G791)="NAN",AVERAGEIFS(G:G,J:J,J791,L:L,L791),TRUE,G791)</f>
        <v>50000</v>
      </c>
      <c r="I791" s="3" t="s">
        <v>27</v>
      </c>
      <c r="J791" s="3" t="s">
        <v>70</v>
      </c>
      <c r="K791" s="3" t="str">
        <f t="shared" si="49"/>
        <v>Marketing</v>
      </c>
      <c r="L791" s="3" t="s">
        <v>40</v>
      </c>
      <c r="M791" s="4">
        <v>43845</v>
      </c>
      <c r="N791" s="4">
        <v>43845</v>
      </c>
      <c r="O791" s="3" t="s">
        <v>78</v>
      </c>
      <c r="P791" s="3">
        <v>80</v>
      </c>
      <c r="Q791" s="3" t="s">
        <v>541</v>
      </c>
      <c r="R791" s="3" t="s">
        <v>54</v>
      </c>
      <c r="S791" s="3" t="s">
        <v>32</v>
      </c>
      <c r="T791" s="3" t="str">
        <f t="shared" si="50"/>
        <v>Contract</v>
      </c>
      <c r="U791" s="3" t="s">
        <v>331</v>
      </c>
      <c r="V791" s="3">
        <v>4</v>
      </c>
      <c r="W791" s="3" t="s">
        <v>79</v>
      </c>
      <c r="X791" s="3">
        <v>12</v>
      </c>
      <c r="AA791" s="3" t="s">
        <v>34</v>
      </c>
      <c r="AB791" s="3" t="str" cm="1">
        <f t="array" ref="AB791">_xlfn.IFS(AA791="N","No",  AA791 = "Y", "Yes", TRUE, PROPER(TRIM(AA791)))</f>
        <v>No</v>
      </c>
      <c r="AC791" s="3">
        <v>2</v>
      </c>
      <c r="AD791" s="3" t="s">
        <v>46</v>
      </c>
      <c r="AE791">
        <f t="shared" si="51"/>
        <v>1</v>
      </c>
    </row>
    <row r="792" spans="1:31" ht="14.25" customHeight="1" x14ac:dyDescent="0.35">
      <c r="A792" s="3" t="s">
        <v>1532</v>
      </c>
      <c r="B792" s="3" t="s">
        <v>68</v>
      </c>
      <c r="C792" s="3" t="s">
        <v>499</v>
      </c>
      <c r="D792" s="3">
        <v>25</v>
      </c>
      <c r="E792" s="3">
        <f t="shared" si="48"/>
        <v>25</v>
      </c>
      <c r="F792" s="3">
        <v>1999</v>
      </c>
      <c r="G792" s="3" t="s">
        <v>50</v>
      </c>
      <c r="H792" s="12" cm="1">
        <f t="array" ref="H792">_xlfn.IFS(TRIM(G792)="SIXTY THOUSAND",60000,TRIM(G792)="NAN",AVERAGEIFS(G:G,J:J,J792,L:L,L792),TRUE,G792)</f>
        <v>60000</v>
      </c>
      <c r="I792" s="3" t="s">
        <v>27</v>
      </c>
      <c r="J792" s="3" t="s">
        <v>70</v>
      </c>
      <c r="K792" s="3" t="str">
        <f t="shared" si="49"/>
        <v>Marketing</v>
      </c>
      <c r="L792" s="3" t="s">
        <v>40</v>
      </c>
      <c r="M792" s="4">
        <v>43881</v>
      </c>
      <c r="N792" s="4">
        <v>43881</v>
      </c>
      <c r="O792" s="3" t="s">
        <v>41</v>
      </c>
      <c r="P792" s="3">
        <v>33</v>
      </c>
      <c r="Q792" s="3" t="s">
        <v>1533</v>
      </c>
      <c r="R792" s="3" t="s">
        <v>104</v>
      </c>
      <c r="S792" s="3" t="s">
        <v>66</v>
      </c>
      <c r="T792" s="3" t="str">
        <f t="shared" si="50"/>
        <v>Contract</v>
      </c>
      <c r="V792" s="3">
        <v>3</v>
      </c>
      <c r="AA792" s="3" t="s">
        <v>46</v>
      </c>
      <c r="AB792" s="3" t="str" cm="1">
        <f t="array" ref="AB792">_xlfn.IFS(AA792="N","No",  AA792 = "Y", "Yes", TRUE, PROPER(TRIM(AA792)))</f>
        <v>Yes</v>
      </c>
      <c r="AC792" s="3">
        <v>5</v>
      </c>
      <c r="AD792" s="3" t="s">
        <v>34</v>
      </c>
      <c r="AE792">
        <f t="shared" si="51"/>
        <v>0</v>
      </c>
    </row>
    <row r="793" spans="1:31" ht="14.25" customHeight="1" x14ac:dyDescent="0.35">
      <c r="A793" s="3" t="s">
        <v>1534</v>
      </c>
      <c r="B793" s="3" t="s">
        <v>107</v>
      </c>
      <c r="C793" s="3" t="s">
        <v>121</v>
      </c>
      <c r="E793" s="3">
        <f t="shared" si="48"/>
        <v>36</v>
      </c>
      <c r="F793" s="3">
        <v>1988</v>
      </c>
      <c r="G793" s="3">
        <v>70000</v>
      </c>
      <c r="H793" s="12" cm="1">
        <f t="array" ref="H793">_xlfn.IFS(TRIM(G793)="SIXTY THOUSAND",60000,TRIM(G793)="NAN",AVERAGEIFS(G:G,J:J,J793,L:L,L793),TRUE,G793)</f>
        <v>70000</v>
      </c>
      <c r="I793" s="3" t="s">
        <v>27</v>
      </c>
      <c r="J793" s="3" t="s">
        <v>64</v>
      </c>
      <c r="K793" s="3" t="str">
        <f t="shared" si="49"/>
        <v>Finance</v>
      </c>
      <c r="L793" s="3" t="s">
        <v>29</v>
      </c>
      <c r="M793" s="4">
        <v>43881</v>
      </c>
      <c r="N793" s="4">
        <v>43881</v>
      </c>
      <c r="O793" s="3" t="s">
        <v>41</v>
      </c>
      <c r="P793" s="3">
        <v>6</v>
      </c>
      <c r="Q793" s="3" t="s">
        <v>123</v>
      </c>
      <c r="S793" s="3" t="s">
        <v>174</v>
      </c>
      <c r="T793" s="3" t="str">
        <f t="shared" si="50"/>
        <v>Full-Time</v>
      </c>
      <c r="V793" s="3">
        <v>1</v>
      </c>
      <c r="W793" s="3">
        <v>0</v>
      </c>
      <c r="Z793" s="3">
        <v>28</v>
      </c>
      <c r="AA793" s="3" t="s">
        <v>73</v>
      </c>
      <c r="AB793" s="3" t="str" cm="1">
        <f t="array" ref="AB793">_xlfn.IFS(AA793="N","No",  AA793 = "Y", "Yes", TRUE, PROPER(TRIM(AA793)))</f>
        <v>No</v>
      </c>
      <c r="AC793" s="3">
        <v>1</v>
      </c>
      <c r="AD793" s="3" t="s">
        <v>46</v>
      </c>
      <c r="AE793">
        <f t="shared" si="51"/>
        <v>1</v>
      </c>
    </row>
    <row r="794" spans="1:31" ht="14.25" customHeight="1" x14ac:dyDescent="0.35">
      <c r="A794" s="3" t="s">
        <v>1535</v>
      </c>
      <c r="B794" s="3" t="s">
        <v>75</v>
      </c>
      <c r="C794" s="3" t="s">
        <v>546</v>
      </c>
      <c r="D794" s="3" t="s">
        <v>88</v>
      </c>
      <c r="E794" s="3">
        <f t="shared" si="48"/>
        <v>30</v>
      </c>
      <c r="F794" s="3">
        <v>1994</v>
      </c>
      <c r="G794" s="3" t="s">
        <v>50</v>
      </c>
      <c r="H794" s="12" cm="1">
        <f t="array" ref="H794">_xlfn.IFS(TRIM(G794)="SIXTY THOUSAND",60000,TRIM(G794)="NAN",AVERAGEIFS(G:G,J:J,J794,L:L,L794),TRUE,G794)</f>
        <v>60000</v>
      </c>
      <c r="I794" s="3" t="s">
        <v>27</v>
      </c>
      <c r="J794" s="3" t="s">
        <v>145</v>
      </c>
      <c r="K794" s="3" t="str">
        <f t="shared" si="49"/>
        <v>Sales</v>
      </c>
      <c r="L794" s="3" t="s">
        <v>40</v>
      </c>
      <c r="M794" s="4">
        <v>43800</v>
      </c>
      <c r="N794" s="4">
        <v>43800</v>
      </c>
      <c r="O794" s="3" t="s">
        <v>78</v>
      </c>
      <c r="P794" s="3">
        <v>83</v>
      </c>
      <c r="Q794" s="3" t="s">
        <v>1536</v>
      </c>
      <c r="R794" s="3" t="s">
        <v>104</v>
      </c>
      <c r="S794" s="3" t="s">
        <v>174</v>
      </c>
      <c r="T794" s="3" t="str">
        <f t="shared" si="50"/>
        <v>Full-Time</v>
      </c>
      <c r="V794" s="3">
        <v>6</v>
      </c>
      <c r="AB794" s="3" t="str" cm="1">
        <f t="array" ref="AB794">_xlfn.IFS(AA794="N","No",  AA794 = "Y", "Yes", TRUE, PROPER(TRIM(AA794)))</f>
        <v/>
      </c>
      <c r="AC794" s="3">
        <v>2</v>
      </c>
      <c r="AD794" s="3" t="s">
        <v>34</v>
      </c>
      <c r="AE794">
        <f t="shared" si="51"/>
        <v>0</v>
      </c>
    </row>
    <row r="795" spans="1:31" ht="14.25" customHeight="1" x14ac:dyDescent="0.35">
      <c r="A795" s="3" t="s">
        <v>1537</v>
      </c>
      <c r="B795" s="3" t="s">
        <v>75</v>
      </c>
      <c r="C795" s="3" t="s">
        <v>299</v>
      </c>
      <c r="D795" s="3">
        <v>50</v>
      </c>
      <c r="E795" s="3">
        <f t="shared" si="48"/>
        <v>50</v>
      </c>
      <c r="F795" s="3">
        <v>1974</v>
      </c>
      <c r="G795" s="3">
        <v>70000</v>
      </c>
      <c r="H795" s="12" cm="1">
        <f t="array" ref="H795">_xlfn.IFS(TRIM(G795)="SIXTY THOUSAND",60000,TRIM(G795)="NAN",AVERAGEIFS(G:G,J:J,J795,L:L,L795),TRUE,G795)</f>
        <v>70000</v>
      </c>
      <c r="I795" s="3" t="s">
        <v>38</v>
      </c>
      <c r="J795" s="3" t="s">
        <v>64</v>
      </c>
      <c r="K795" s="3" t="str">
        <f t="shared" si="49"/>
        <v>Finance</v>
      </c>
      <c r="L795" s="3" t="s">
        <v>29</v>
      </c>
      <c r="M795" s="4">
        <v>43549</v>
      </c>
      <c r="N795" s="4">
        <v>43549</v>
      </c>
      <c r="O795" s="3" t="s">
        <v>78</v>
      </c>
      <c r="P795" s="3">
        <v>83</v>
      </c>
      <c r="Q795" s="3" t="s">
        <v>1538</v>
      </c>
      <c r="R795" s="3" t="s">
        <v>61</v>
      </c>
      <c r="S795" s="3" t="s">
        <v>100</v>
      </c>
      <c r="T795" s="3" t="str">
        <f t="shared" si="50"/>
        <v>Part-Time</v>
      </c>
      <c r="V795" s="3">
        <v>4</v>
      </c>
      <c r="X795" s="3">
        <v>16</v>
      </c>
      <c r="AB795" s="3" t="str" cm="1">
        <f t="array" ref="AB795">_xlfn.IFS(AA795="N","No",  AA795 = "Y", "Yes", TRUE, PROPER(TRIM(AA795)))</f>
        <v/>
      </c>
      <c r="AC795" s="3">
        <v>4</v>
      </c>
      <c r="AD795" s="3" t="s">
        <v>34</v>
      </c>
      <c r="AE795">
        <f t="shared" si="51"/>
        <v>0</v>
      </c>
    </row>
    <row r="796" spans="1:31" ht="14.25" customHeight="1" x14ac:dyDescent="0.35">
      <c r="A796" s="3" t="s">
        <v>1539</v>
      </c>
      <c r="B796" s="3" t="s">
        <v>140</v>
      </c>
      <c r="C796" s="3" t="s">
        <v>268</v>
      </c>
      <c r="D796" s="3">
        <v>35</v>
      </c>
      <c r="E796" s="3">
        <f t="shared" si="48"/>
        <v>35</v>
      </c>
      <c r="F796" s="3">
        <v>1989</v>
      </c>
      <c r="G796" s="3" t="s">
        <v>50</v>
      </c>
      <c r="H796" s="12" cm="1">
        <f t="array" ref="H796">_xlfn.IFS(TRIM(G796)="SIXTY THOUSAND",60000,TRIM(G796)="NAN",AVERAGEIFS(G:G,J:J,J796,L:L,L796),TRUE,G796)</f>
        <v>60000</v>
      </c>
      <c r="I796" s="3" t="s">
        <v>27</v>
      </c>
      <c r="J796" s="3" t="s">
        <v>51</v>
      </c>
      <c r="K796" s="3" t="str">
        <f t="shared" si="49"/>
        <v>Sales</v>
      </c>
      <c r="L796" s="3" t="s">
        <v>40</v>
      </c>
      <c r="M796" s="4">
        <v>43549</v>
      </c>
      <c r="N796" s="4">
        <v>43549</v>
      </c>
      <c r="O796" s="3" t="s">
        <v>30</v>
      </c>
      <c r="P796" s="3">
        <v>69</v>
      </c>
      <c r="Q796" s="3" t="s">
        <v>269</v>
      </c>
      <c r="R796" s="3" t="s">
        <v>43</v>
      </c>
      <c r="S796" s="3" t="s">
        <v>112</v>
      </c>
      <c r="T796" s="3" t="str">
        <f t="shared" si="50"/>
        <v>Full-Time</v>
      </c>
      <c r="V796" s="3">
        <v>1</v>
      </c>
      <c r="W796" s="3" t="s">
        <v>79</v>
      </c>
      <c r="X796" s="3">
        <v>1</v>
      </c>
      <c r="Y796" s="4">
        <v>44941</v>
      </c>
      <c r="AB796" s="3" t="str" cm="1">
        <f t="array" ref="AB796">_xlfn.IFS(AA796="N","No",  AA796 = "Y", "Yes", TRUE, PROPER(TRIM(AA796)))</f>
        <v/>
      </c>
      <c r="AC796" s="3">
        <v>2</v>
      </c>
      <c r="AD796" s="3" t="s">
        <v>46</v>
      </c>
      <c r="AE796">
        <f t="shared" si="51"/>
        <v>1</v>
      </c>
    </row>
    <row r="797" spans="1:31" ht="14.25" customHeight="1" x14ac:dyDescent="0.35">
      <c r="A797" s="3" t="s">
        <v>1540</v>
      </c>
      <c r="B797" s="3" t="s">
        <v>25</v>
      </c>
      <c r="C797" s="3" t="s">
        <v>92</v>
      </c>
      <c r="D797" s="3" t="s">
        <v>88</v>
      </c>
      <c r="E797" s="3">
        <f t="shared" si="48"/>
        <v>30</v>
      </c>
      <c r="F797" s="3">
        <v>1994</v>
      </c>
      <c r="G797" s="3">
        <v>55000</v>
      </c>
      <c r="H797" s="12" cm="1">
        <f t="array" ref="H797">_xlfn.IFS(TRIM(G797)="SIXTY THOUSAND",60000,TRIM(G797)="NAN",AVERAGEIFS(G:G,J:J,J797,L:L,L797),TRUE,G797)</f>
        <v>55000</v>
      </c>
      <c r="I797" s="3" t="s">
        <v>27</v>
      </c>
      <c r="J797" s="3" t="s">
        <v>122</v>
      </c>
      <c r="K797" s="3" t="str">
        <f t="shared" si="49"/>
        <v>IT</v>
      </c>
      <c r="L797" s="3" t="s">
        <v>29</v>
      </c>
      <c r="M797" s="4">
        <v>43845</v>
      </c>
      <c r="N797" s="4">
        <v>43845</v>
      </c>
      <c r="O797" s="3" t="s">
        <v>78</v>
      </c>
      <c r="P797" s="3">
        <v>89</v>
      </c>
      <c r="Q797" s="3" t="s">
        <v>1541</v>
      </c>
      <c r="S797" s="3" t="s">
        <v>32</v>
      </c>
      <c r="T797" s="3" t="str">
        <f t="shared" si="50"/>
        <v>Contract</v>
      </c>
      <c r="V797" s="3">
        <v>3</v>
      </c>
      <c r="X797" s="3">
        <v>7</v>
      </c>
      <c r="Y797" s="4">
        <v>44470</v>
      </c>
      <c r="Z797" s="3">
        <v>20</v>
      </c>
      <c r="AA797" s="3" t="s">
        <v>169</v>
      </c>
      <c r="AB797" s="3" t="str" cm="1">
        <f t="array" ref="AB797">_xlfn.IFS(AA797="N","No",  AA797 = "Y", "Yes", TRUE, PROPER(TRIM(AA797)))</f>
        <v>Yes</v>
      </c>
      <c r="AC797" s="3">
        <v>3</v>
      </c>
      <c r="AD797" s="3" t="s">
        <v>34</v>
      </c>
      <c r="AE797">
        <f t="shared" si="51"/>
        <v>0</v>
      </c>
    </row>
    <row r="798" spans="1:31" ht="14.25" customHeight="1" x14ac:dyDescent="0.35">
      <c r="A798" s="3" t="s">
        <v>1542</v>
      </c>
      <c r="B798" s="3" t="s">
        <v>56</v>
      </c>
      <c r="C798" s="3" t="s">
        <v>612</v>
      </c>
      <c r="D798" s="3">
        <v>50</v>
      </c>
      <c r="E798" s="3">
        <f t="shared" si="48"/>
        <v>50</v>
      </c>
      <c r="F798" s="3">
        <v>1974</v>
      </c>
      <c r="G798" s="3" t="s">
        <v>50</v>
      </c>
      <c r="H798" s="12" cm="1">
        <f t="array" ref="H798">_xlfn.IFS(TRIM(G798)="SIXTY THOUSAND",60000,TRIM(G798)="NAN",AVERAGEIFS(G:G,J:J,J798,L:L,L798),TRUE,G798)</f>
        <v>60000</v>
      </c>
      <c r="I798" s="3" t="s">
        <v>38</v>
      </c>
      <c r="J798" s="3" t="s">
        <v>64</v>
      </c>
      <c r="K798" s="3" t="str">
        <f t="shared" si="49"/>
        <v>Finance</v>
      </c>
      <c r="L798" s="3" t="s">
        <v>89</v>
      </c>
      <c r="M798" s="4">
        <v>43195</v>
      </c>
      <c r="N798" s="4">
        <v>43195</v>
      </c>
      <c r="O798" s="3" t="s">
        <v>52</v>
      </c>
      <c r="P798" s="3">
        <v>79</v>
      </c>
      <c r="Q798" s="3" t="s">
        <v>613</v>
      </c>
      <c r="R798" s="3" t="s">
        <v>54</v>
      </c>
      <c r="S798" s="3" t="s">
        <v>72</v>
      </c>
      <c r="T798" s="3" t="str">
        <f t="shared" si="50"/>
        <v>Part-Time</v>
      </c>
      <c r="U798" s="3" t="s">
        <v>1428</v>
      </c>
      <c r="V798" s="3">
        <v>2</v>
      </c>
      <c r="X798" s="3">
        <v>9</v>
      </c>
      <c r="AA798" s="3" t="s">
        <v>33</v>
      </c>
      <c r="AB798" s="3" t="str" cm="1">
        <f t="array" ref="AB798">_xlfn.IFS(AA798="N","No",  AA798 = "Y", "Yes", TRUE, PROPER(TRIM(AA798)))</f>
        <v>Yes</v>
      </c>
      <c r="AC798" s="3">
        <v>3</v>
      </c>
      <c r="AD798" s="3" t="s">
        <v>34</v>
      </c>
      <c r="AE798">
        <f t="shared" si="51"/>
        <v>0</v>
      </c>
    </row>
    <row r="799" spans="1:31" ht="14.25" customHeight="1" x14ac:dyDescent="0.35">
      <c r="A799" s="3" t="s">
        <v>1543</v>
      </c>
      <c r="B799" s="3" t="s">
        <v>68</v>
      </c>
      <c r="C799" s="3" t="s">
        <v>256</v>
      </c>
      <c r="E799" s="3">
        <f t="shared" si="48"/>
        <v>32</v>
      </c>
      <c r="F799" s="3">
        <v>1992</v>
      </c>
      <c r="G799" s="3">
        <v>58300</v>
      </c>
      <c r="H799" s="12" cm="1">
        <f t="array" ref="H799">_xlfn.IFS(TRIM(G799)="SIXTY THOUSAND",60000,TRIM(G799)="NAN",AVERAGEIFS(G:G,J:J,J799,L:L,L799),TRUE,G799)</f>
        <v>58300</v>
      </c>
      <c r="I799" s="3" t="s">
        <v>27</v>
      </c>
      <c r="J799" s="3" t="s">
        <v>145</v>
      </c>
      <c r="K799" s="3" t="str">
        <f t="shared" si="49"/>
        <v>Sales</v>
      </c>
      <c r="L799" s="3" t="s">
        <v>89</v>
      </c>
      <c r="M799" s="4">
        <v>43845</v>
      </c>
      <c r="N799" s="4">
        <v>43845</v>
      </c>
      <c r="O799" s="3" t="s">
        <v>59</v>
      </c>
      <c r="P799" s="3">
        <v>97</v>
      </c>
      <c r="Q799" s="3" t="s">
        <v>257</v>
      </c>
      <c r="R799" s="3" t="s">
        <v>61</v>
      </c>
      <c r="S799" s="3" t="s">
        <v>66</v>
      </c>
      <c r="T799" s="3" t="str">
        <f t="shared" si="50"/>
        <v>Contract</v>
      </c>
      <c r="U799" s="3" t="s">
        <v>124</v>
      </c>
      <c r="V799" s="3">
        <v>5</v>
      </c>
      <c r="W799" s="3">
        <v>9</v>
      </c>
      <c r="AA799" s="3" t="s">
        <v>46</v>
      </c>
      <c r="AB799" s="3" t="str" cm="1">
        <f t="array" ref="AB799">_xlfn.IFS(AA799="N","No",  AA799 = "Y", "Yes", TRUE, PROPER(TRIM(AA799)))</f>
        <v>Yes</v>
      </c>
      <c r="AC799" s="3">
        <v>4</v>
      </c>
      <c r="AD799" s="3" t="s">
        <v>34</v>
      </c>
      <c r="AE799">
        <f t="shared" si="51"/>
        <v>0</v>
      </c>
    </row>
    <row r="800" spans="1:31" ht="14.25" customHeight="1" x14ac:dyDescent="0.35">
      <c r="A800" s="3" t="s">
        <v>1544</v>
      </c>
      <c r="B800" s="3" t="s">
        <v>25</v>
      </c>
      <c r="C800" s="3" t="s">
        <v>203</v>
      </c>
      <c r="E800" s="3">
        <f t="shared" si="48"/>
        <v>33</v>
      </c>
      <c r="F800" s="3">
        <v>1991</v>
      </c>
      <c r="G800" s="3">
        <v>55000</v>
      </c>
      <c r="H800" s="12" cm="1">
        <f t="array" ref="H800">_xlfn.IFS(TRIM(G800)="SIXTY THOUSAND",60000,TRIM(G800)="NAN",AVERAGEIFS(G:G,J:J,J800,L:L,L800),TRUE,G800)</f>
        <v>55000</v>
      </c>
      <c r="I800" s="3" t="s">
        <v>27</v>
      </c>
      <c r="J800" s="3" t="s">
        <v>64</v>
      </c>
      <c r="K800" s="3" t="str">
        <f t="shared" si="49"/>
        <v>Finance</v>
      </c>
      <c r="L800" s="3" t="s">
        <v>77</v>
      </c>
      <c r="M800" s="4">
        <v>43881</v>
      </c>
      <c r="N800" s="4">
        <v>43881</v>
      </c>
      <c r="O800" s="3" t="s">
        <v>78</v>
      </c>
      <c r="P800" s="3">
        <v>81</v>
      </c>
      <c r="Q800" s="3" t="s">
        <v>1545</v>
      </c>
      <c r="S800" s="3" t="s">
        <v>112</v>
      </c>
      <c r="T800" s="3" t="str">
        <f t="shared" si="50"/>
        <v>Full-Time</v>
      </c>
      <c r="V800" s="3">
        <v>7</v>
      </c>
      <c r="Y800" s="4">
        <v>44941</v>
      </c>
      <c r="Z800" s="3">
        <v>37</v>
      </c>
      <c r="AA800" s="3" t="s">
        <v>169</v>
      </c>
      <c r="AB800" s="3" t="str" cm="1">
        <f t="array" ref="AB800">_xlfn.IFS(AA800="N","No",  AA800 = "Y", "Yes", TRUE, PROPER(TRIM(AA800)))</f>
        <v>Yes</v>
      </c>
      <c r="AC800" s="3">
        <v>2</v>
      </c>
      <c r="AD800" s="3" t="s">
        <v>46</v>
      </c>
      <c r="AE800">
        <f t="shared" si="51"/>
        <v>1</v>
      </c>
    </row>
    <row r="801" spans="1:31" ht="14.25" customHeight="1" x14ac:dyDescent="0.35">
      <c r="A801" s="3" t="s">
        <v>1546</v>
      </c>
      <c r="B801" s="3" t="s">
        <v>140</v>
      </c>
      <c r="C801" s="3" t="s">
        <v>281</v>
      </c>
      <c r="D801" s="3">
        <v>40</v>
      </c>
      <c r="E801" s="3">
        <f t="shared" si="48"/>
        <v>40</v>
      </c>
      <c r="F801" s="3">
        <v>1984</v>
      </c>
      <c r="G801" s="3" t="s">
        <v>50</v>
      </c>
      <c r="H801" s="12" cm="1">
        <f t="array" ref="H801">_xlfn.IFS(TRIM(G801)="SIXTY THOUSAND",60000,TRIM(G801)="NAN",AVERAGEIFS(G:G,J:J,J801,L:L,L801),TRUE,G801)</f>
        <v>60000</v>
      </c>
      <c r="I801" s="3" t="s">
        <v>38</v>
      </c>
      <c r="J801" s="3" t="s">
        <v>64</v>
      </c>
      <c r="K801" s="3" t="str">
        <f t="shared" si="49"/>
        <v>Finance</v>
      </c>
      <c r="L801" s="3" t="s">
        <v>29</v>
      </c>
      <c r="M801" s="4">
        <v>43881</v>
      </c>
      <c r="N801" s="4">
        <v>43881</v>
      </c>
      <c r="O801" s="3" t="s">
        <v>41</v>
      </c>
      <c r="P801" s="3">
        <v>0</v>
      </c>
      <c r="Q801" t="str">
        <f>LOWER(_xlfn.CONCAT(B801,".",C801,"@saltcorp.com"))</f>
        <v>ivy.sharma@saltcorp.com</v>
      </c>
      <c r="R801" s="3" t="s">
        <v>54</v>
      </c>
      <c r="S801" s="3" t="s">
        <v>44</v>
      </c>
      <c r="T801" s="3" t="str">
        <f t="shared" si="50"/>
        <v>Full-Time</v>
      </c>
      <c r="V801" s="3">
        <v>6</v>
      </c>
      <c r="W801" s="3">
        <v>9</v>
      </c>
      <c r="X801" s="3">
        <v>17</v>
      </c>
      <c r="AB801" s="3" t="str" cm="1">
        <f t="array" ref="AB801">_xlfn.IFS(AA801="N","No",  AA801 = "Y", "Yes", TRUE, PROPER(TRIM(AA801)))</f>
        <v/>
      </c>
      <c r="AC801" s="3">
        <v>2</v>
      </c>
      <c r="AD801" s="3" t="s">
        <v>46</v>
      </c>
      <c r="AE801">
        <f t="shared" si="51"/>
        <v>1</v>
      </c>
    </row>
    <row r="802" spans="1:31" ht="14.25" customHeight="1" x14ac:dyDescent="0.35">
      <c r="A802" s="3" t="s">
        <v>1547</v>
      </c>
      <c r="B802" s="3" t="s">
        <v>131</v>
      </c>
      <c r="C802" s="3" t="s">
        <v>110</v>
      </c>
      <c r="D802" s="3">
        <v>25</v>
      </c>
      <c r="E802" s="3">
        <f t="shared" si="48"/>
        <v>25</v>
      </c>
      <c r="F802" s="3">
        <v>1999</v>
      </c>
      <c r="G802" s="3">
        <v>70000</v>
      </c>
      <c r="H802" s="12" cm="1">
        <f t="array" ref="H802">_xlfn.IFS(TRIM(G802)="SIXTY THOUSAND",60000,TRIM(G802)="NAN",AVERAGEIFS(G:G,J:J,J802,L:L,L802),TRUE,G802)</f>
        <v>70000</v>
      </c>
      <c r="I802" s="3" t="s">
        <v>27</v>
      </c>
      <c r="J802" s="3" t="s">
        <v>51</v>
      </c>
      <c r="K802" s="3" t="str">
        <f t="shared" si="49"/>
        <v>Sales</v>
      </c>
      <c r="L802" s="3" t="s">
        <v>94</v>
      </c>
      <c r="M802" s="4">
        <v>43549</v>
      </c>
      <c r="N802" s="4">
        <v>43549</v>
      </c>
      <c r="O802" s="3" t="s">
        <v>52</v>
      </c>
      <c r="P802" s="3">
        <v>73</v>
      </c>
      <c r="Q802" s="3" t="s">
        <v>1548</v>
      </c>
      <c r="S802" s="3" t="s">
        <v>32</v>
      </c>
      <c r="T802" s="3" t="str">
        <f t="shared" si="50"/>
        <v>Contract</v>
      </c>
      <c r="V802" s="3">
        <v>7</v>
      </c>
      <c r="W802" s="3">
        <v>3</v>
      </c>
      <c r="X802" s="3">
        <v>3</v>
      </c>
      <c r="AA802" s="3" t="s">
        <v>46</v>
      </c>
      <c r="AB802" s="3" t="str" cm="1">
        <f t="array" ref="AB802">_xlfn.IFS(AA802="N","No",  AA802 = "Y", "Yes", TRUE, PROPER(TRIM(AA802)))</f>
        <v>Yes</v>
      </c>
      <c r="AC802" s="3">
        <v>1</v>
      </c>
      <c r="AD802" s="3" t="s">
        <v>34</v>
      </c>
      <c r="AE802">
        <f t="shared" si="51"/>
        <v>0</v>
      </c>
    </row>
    <row r="803" spans="1:31" ht="14.25" customHeight="1" x14ac:dyDescent="0.35">
      <c r="A803" s="3" t="s">
        <v>1549</v>
      </c>
      <c r="B803" s="3" t="s">
        <v>25</v>
      </c>
      <c r="C803" s="3" t="s">
        <v>462</v>
      </c>
      <c r="D803" s="3">
        <v>40</v>
      </c>
      <c r="E803" s="3">
        <f t="shared" si="48"/>
        <v>40</v>
      </c>
      <c r="F803" s="3">
        <v>1984</v>
      </c>
      <c r="G803" s="3">
        <v>70000</v>
      </c>
      <c r="H803" s="12" cm="1">
        <f t="array" ref="H803">_xlfn.IFS(TRIM(G803)="SIXTY THOUSAND",60000,TRIM(G803)="NAN",AVERAGEIFS(G:G,J:J,J803,L:L,L803),TRUE,G803)</f>
        <v>70000</v>
      </c>
      <c r="I803" s="3" t="s">
        <v>27</v>
      </c>
      <c r="J803" s="3" t="s">
        <v>51</v>
      </c>
      <c r="K803" s="3" t="str">
        <f t="shared" si="49"/>
        <v>Sales</v>
      </c>
      <c r="L803" s="3" t="s">
        <v>77</v>
      </c>
      <c r="M803" s="4">
        <v>43195</v>
      </c>
      <c r="N803" s="4">
        <v>43195</v>
      </c>
      <c r="O803" s="3" t="s">
        <v>41</v>
      </c>
      <c r="P803" s="3">
        <v>9</v>
      </c>
      <c r="Q803" s="3" t="s">
        <v>1550</v>
      </c>
      <c r="R803" s="3" t="s">
        <v>61</v>
      </c>
      <c r="S803" s="3" t="s">
        <v>66</v>
      </c>
      <c r="T803" s="3" t="str">
        <f t="shared" si="50"/>
        <v>Contract</v>
      </c>
      <c r="V803" s="3">
        <v>7</v>
      </c>
      <c r="W803" s="3" t="s">
        <v>79</v>
      </c>
      <c r="Z803" s="3">
        <v>59</v>
      </c>
      <c r="AA803" s="3" t="s">
        <v>46</v>
      </c>
      <c r="AB803" s="3" t="str" cm="1">
        <f t="array" ref="AB803">_xlfn.IFS(AA803="N","No",  AA803 = "Y", "Yes", TRUE, PROPER(TRIM(AA803)))</f>
        <v>Yes</v>
      </c>
      <c r="AC803" s="3">
        <v>4</v>
      </c>
      <c r="AD803" s="3" t="s">
        <v>34</v>
      </c>
      <c r="AE803">
        <f t="shared" si="51"/>
        <v>0</v>
      </c>
    </row>
    <row r="804" spans="1:31" ht="14.25" customHeight="1" x14ac:dyDescent="0.35">
      <c r="A804" s="3" t="s">
        <v>1551</v>
      </c>
      <c r="B804" s="3" t="s">
        <v>107</v>
      </c>
      <c r="C804" s="3" t="s">
        <v>355</v>
      </c>
      <c r="D804" s="3">
        <v>35</v>
      </c>
      <c r="E804" s="3">
        <f t="shared" si="48"/>
        <v>35</v>
      </c>
      <c r="F804" s="3">
        <v>1989</v>
      </c>
      <c r="G804" s="3">
        <v>70000</v>
      </c>
      <c r="H804" s="12" cm="1">
        <f t="array" ref="H804">_xlfn.IFS(TRIM(G804)="SIXTY THOUSAND",60000,TRIM(G804)="NAN",AVERAGEIFS(G:G,J:J,J804,L:L,L804),TRUE,G804)</f>
        <v>70000</v>
      </c>
      <c r="I804" s="3" t="s">
        <v>38</v>
      </c>
      <c r="J804" s="3" t="s">
        <v>28</v>
      </c>
      <c r="K804" s="3" t="str">
        <f t="shared" si="49"/>
        <v>HR</v>
      </c>
      <c r="L804" s="3" t="s">
        <v>89</v>
      </c>
      <c r="M804" s="4">
        <v>43800</v>
      </c>
      <c r="N804" s="4">
        <v>43800</v>
      </c>
      <c r="O804" s="3" t="s">
        <v>52</v>
      </c>
      <c r="P804" s="3">
        <v>71</v>
      </c>
      <c r="Q804" s="3" t="s">
        <v>356</v>
      </c>
      <c r="S804" s="3" t="s">
        <v>72</v>
      </c>
      <c r="T804" s="3" t="str">
        <f t="shared" si="50"/>
        <v>Part-Time</v>
      </c>
      <c r="V804" s="3">
        <v>4</v>
      </c>
      <c r="W804" s="3">
        <v>15</v>
      </c>
      <c r="Z804" s="3">
        <v>54</v>
      </c>
      <c r="AA804" s="3" t="s">
        <v>46</v>
      </c>
      <c r="AB804" s="3" t="str" cm="1">
        <f t="array" ref="AB804">_xlfn.IFS(AA804="N","No",  AA804 = "Y", "Yes", TRUE, PROPER(TRIM(AA804)))</f>
        <v>Yes</v>
      </c>
      <c r="AC804" s="3">
        <v>4</v>
      </c>
      <c r="AD804" s="3" t="s">
        <v>34</v>
      </c>
      <c r="AE804">
        <f t="shared" si="51"/>
        <v>0</v>
      </c>
    </row>
    <row r="805" spans="1:31" ht="14.25" customHeight="1" x14ac:dyDescent="0.35">
      <c r="A805" s="3" t="s">
        <v>1552</v>
      </c>
      <c r="B805" s="3" t="s">
        <v>68</v>
      </c>
      <c r="C805" s="3" t="s">
        <v>256</v>
      </c>
      <c r="D805" s="3" t="s">
        <v>88</v>
      </c>
      <c r="E805" s="3">
        <f t="shared" si="48"/>
        <v>30</v>
      </c>
      <c r="F805" s="3">
        <v>1994</v>
      </c>
      <c r="G805" s="3">
        <v>65000</v>
      </c>
      <c r="H805" s="12" cm="1">
        <f t="array" ref="H805">_xlfn.IFS(TRIM(G805)="SIXTY THOUSAND",60000,TRIM(G805)="NAN",AVERAGEIFS(G:G,J:J,J805,L:L,L805),TRUE,G805)</f>
        <v>65000</v>
      </c>
      <c r="I805" s="3" t="s">
        <v>27</v>
      </c>
      <c r="J805" s="3" t="s">
        <v>64</v>
      </c>
      <c r="K805" s="3" t="str">
        <f t="shared" si="49"/>
        <v>Finance</v>
      </c>
      <c r="L805" s="3" t="s">
        <v>29</v>
      </c>
      <c r="M805" s="4">
        <v>43195</v>
      </c>
      <c r="N805" s="4">
        <v>43195</v>
      </c>
      <c r="O805" s="3" t="s">
        <v>78</v>
      </c>
      <c r="P805" s="3">
        <v>81</v>
      </c>
      <c r="Q805" s="3" t="s">
        <v>257</v>
      </c>
      <c r="R805" s="3" t="s">
        <v>104</v>
      </c>
      <c r="S805" s="3" t="s">
        <v>66</v>
      </c>
      <c r="T805" s="3" t="str">
        <f t="shared" si="50"/>
        <v>Contract</v>
      </c>
      <c r="V805" s="3">
        <v>1</v>
      </c>
      <c r="Y805" s="4">
        <v>44990</v>
      </c>
      <c r="Z805" s="3">
        <v>20</v>
      </c>
      <c r="AA805" s="3" t="s">
        <v>33</v>
      </c>
      <c r="AB805" s="3" t="str" cm="1">
        <f t="array" ref="AB805">_xlfn.IFS(AA805="N","No",  AA805 = "Y", "Yes", TRUE, PROPER(TRIM(AA805)))</f>
        <v>Yes</v>
      </c>
      <c r="AC805" s="3">
        <v>1</v>
      </c>
      <c r="AD805" s="3" t="s">
        <v>46</v>
      </c>
      <c r="AE805">
        <f t="shared" si="51"/>
        <v>1</v>
      </c>
    </row>
    <row r="806" spans="1:31" ht="14.25" customHeight="1" x14ac:dyDescent="0.35">
      <c r="A806" s="3" t="s">
        <v>1553</v>
      </c>
      <c r="B806" s="3" t="s">
        <v>140</v>
      </c>
      <c r="C806" s="3" t="s">
        <v>436</v>
      </c>
      <c r="D806" s="3">
        <v>35</v>
      </c>
      <c r="E806" s="3">
        <f t="shared" si="48"/>
        <v>35</v>
      </c>
      <c r="F806" s="3">
        <v>1989</v>
      </c>
      <c r="G806" s="3">
        <v>50000</v>
      </c>
      <c r="H806" s="12" cm="1">
        <f t="array" ref="H806">_xlfn.IFS(TRIM(G806)="SIXTY THOUSAND",60000,TRIM(G806)="NAN",AVERAGEIFS(G:G,J:J,J806,L:L,L806),TRUE,G806)</f>
        <v>50000</v>
      </c>
      <c r="I806" s="3" t="s">
        <v>27</v>
      </c>
      <c r="J806" s="3" t="s">
        <v>70</v>
      </c>
      <c r="K806" s="3" t="str">
        <f t="shared" si="49"/>
        <v>Marketing</v>
      </c>
      <c r="L806" s="3" t="s">
        <v>40</v>
      </c>
      <c r="M806" s="4">
        <v>43881</v>
      </c>
      <c r="N806" s="4">
        <v>43881</v>
      </c>
      <c r="O806" s="3" t="s">
        <v>59</v>
      </c>
      <c r="P806" s="3">
        <v>91</v>
      </c>
      <c r="Q806" s="3" t="s">
        <v>437</v>
      </c>
      <c r="R806" s="3" t="s">
        <v>61</v>
      </c>
      <c r="S806" s="3" t="s">
        <v>66</v>
      </c>
      <c r="T806" s="3" t="str">
        <f t="shared" si="50"/>
        <v>Contract</v>
      </c>
      <c r="U806" s="3" t="s">
        <v>1128</v>
      </c>
      <c r="V806" s="3">
        <v>2</v>
      </c>
      <c r="Y806" s="4">
        <v>45516</v>
      </c>
      <c r="Z806" s="3">
        <v>13</v>
      </c>
      <c r="AA806" s="3" t="s">
        <v>46</v>
      </c>
      <c r="AB806" s="3" t="str" cm="1">
        <f t="array" ref="AB806">_xlfn.IFS(AA806="N","No",  AA806 = "Y", "Yes", TRUE, PROPER(TRIM(AA806)))</f>
        <v>Yes</v>
      </c>
      <c r="AC806" s="3">
        <v>5</v>
      </c>
      <c r="AD806" s="3" t="s">
        <v>34</v>
      </c>
      <c r="AE806">
        <f t="shared" si="51"/>
        <v>0</v>
      </c>
    </row>
    <row r="807" spans="1:31" ht="14.25" customHeight="1" x14ac:dyDescent="0.35">
      <c r="A807" s="3" t="s">
        <v>1554</v>
      </c>
      <c r="B807" s="3" t="s">
        <v>131</v>
      </c>
      <c r="C807" s="3" t="s">
        <v>161</v>
      </c>
      <c r="D807" s="3">
        <v>50</v>
      </c>
      <c r="E807" s="3">
        <f t="shared" si="48"/>
        <v>50</v>
      </c>
      <c r="F807" s="3">
        <v>1974</v>
      </c>
      <c r="G807" s="3">
        <v>70000</v>
      </c>
      <c r="H807" s="12" cm="1">
        <f t="array" ref="H807">_xlfn.IFS(TRIM(G807)="SIXTY THOUSAND",60000,TRIM(G807)="NAN",AVERAGEIFS(G:G,J:J,J807,L:L,L807),TRUE,G807)</f>
        <v>70000</v>
      </c>
      <c r="I807" s="3" t="s">
        <v>38</v>
      </c>
      <c r="J807" s="3" t="s">
        <v>39</v>
      </c>
      <c r="K807" s="3" t="str">
        <f t="shared" si="49"/>
        <v>Finance</v>
      </c>
      <c r="L807" s="3" t="s">
        <v>94</v>
      </c>
      <c r="M807" s="4">
        <v>43800</v>
      </c>
      <c r="N807" s="4">
        <v>43800</v>
      </c>
      <c r="O807" s="3" t="s">
        <v>41</v>
      </c>
      <c r="P807" s="3">
        <v>11</v>
      </c>
      <c r="Q807" s="3" t="s">
        <v>1555</v>
      </c>
      <c r="S807" s="3" t="s">
        <v>66</v>
      </c>
      <c r="T807" s="3" t="str">
        <f t="shared" si="50"/>
        <v>Contract</v>
      </c>
      <c r="V807" s="3">
        <v>2</v>
      </c>
      <c r="W807" s="3">
        <v>15</v>
      </c>
      <c r="X807" s="3">
        <v>4</v>
      </c>
      <c r="Z807" s="3">
        <v>39</v>
      </c>
      <c r="AA807" s="3" t="s">
        <v>33</v>
      </c>
      <c r="AB807" s="3" t="str" cm="1">
        <f t="array" ref="AB807">_xlfn.IFS(AA807="N","No",  AA807 = "Y", "Yes", TRUE, PROPER(TRIM(AA807)))</f>
        <v>Yes</v>
      </c>
      <c r="AC807" s="3">
        <v>5</v>
      </c>
      <c r="AD807" s="3" t="s">
        <v>34</v>
      </c>
      <c r="AE807">
        <f t="shared" si="51"/>
        <v>0</v>
      </c>
    </row>
    <row r="808" spans="1:31" ht="14.25" customHeight="1" x14ac:dyDescent="0.35">
      <c r="A808" s="3" t="s">
        <v>1556</v>
      </c>
      <c r="B808" s="3" t="s">
        <v>36</v>
      </c>
      <c r="C808" s="3" t="s">
        <v>219</v>
      </c>
      <c r="E808" s="3">
        <f t="shared" si="48"/>
        <v>40</v>
      </c>
      <c r="F808" s="3">
        <v>1984</v>
      </c>
      <c r="G808" s="3">
        <v>55000</v>
      </c>
      <c r="H808" s="12" cm="1">
        <f t="array" ref="H808">_xlfn.IFS(TRIM(G808)="SIXTY THOUSAND",60000,TRIM(G808)="NAN",AVERAGEIFS(G:G,J:J,J808,L:L,L808),TRUE,G808)</f>
        <v>55000</v>
      </c>
      <c r="I808" s="3" t="s">
        <v>27</v>
      </c>
      <c r="J808" s="3" t="s">
        <v>64</v>
      </c>
      <c r="K808" s="3" t="str">
        <f t="shared" si="49"/>
        <v>Finance</v>
      </c>
      <c r="L808" s="3" t="s">
        <v>89</v>
      </c>
      <c r="M808" s="4">
        <v>43195</v>
      </c>
      <c r="N808" s="4">
        <v>43195</v>
      </c>
      <c r="O808" s="3" t="s">
        <v>52</v>
      </c>
      <c r="P808" s="3">
        <v>75</v>
      </c>
      <c r="Q808" s="3" t="s">
        <v>220</v>
      </c>
      <c r="R808" s="3" t="s">
        <v>43</v>
      </c>
      <c r="S808" s="3" t="s">
        <v>100</v>
      </c>
      <c r="T808" s="3" t="str">
        <f t="shared" si="50"/>
        <v>Part-Time</v>
      </c>
      <c r="V808" s="3">
        <v>5</v>
      </c>
      <c r="X808" s="3">
        <v>6</v>
      </c>
      <c r="Y808" s="4">
        <v>44470</v>
      </c>
      <c r="AA808" s="3" t="s">
        <v>73</v>
      </c>
      <c r="AB808" s="3" t="str" cm="1">
        <f t="array" ref="AB808">_xlfn.IFS(AA808="N","No",  AA808 = "Y", "Yes", TRUE, PROPER(TRIM(AA808)))</f>
        <v>No</v>
      </c>
      <c r="AC808" s="3">
        <v>4</v>
      </c>
      <c r="AD808" s="3" t="s">
        <v>34</v>
      </c>
      <c r="AE808">
        <f t="shared" si="51"/>
        <v>0</v>
      </c>
    </row>
    <row r="809" spans="1:31" ht="14.25" customHeight="1" x14ac:dyDescent="0.35">
      <c r="A809" s="3" t="s">
        <v>1557</v>
      </c>
      <c r="B809" s="3" t="s">
        <v>140</v>
      </c>
      <c r="C809" s="3" t="s">
        <v>524</v>
      </c>
      <c r="D809" s="3">
        <v>40</v>
      </c>
      <c r="E809" s="3">
        <f t="shared" si="48"/>
        <v>40</v>
      </c>
      <c r="F809" s="3">
        <v>1984</v>
      </c>
      <c r="G809" s="3">
        <v>70000</v>
      </c>
      <c r="H809" s="12" cm="1">
        <f t="array" ref="H809">_xlfn.IFS(TRIM(G809)="SIXTY THOUSAND",60000,TRIM(G809)="NAN",AVERAGEIFS(G:G,J:J,J809,L:L,L809),TRUE,G809)</f>
        <v>70000</v>
      </c>
      <c r="I809" s="3" t="s">
        <v>38</v>
      </c>
      <c r="J809" s="3" t="s">
        <v>145</v>
      </c>
      <c r="K809" s="3" t="str">
        <f t="shared" si="49"/>
        <v>Sales</v>
      </c>
      <c r="L809" s="3" t="s">
        <v>77</v>
      </c>
      <c r="M809" s="4">
        <v>43195</v>
      </c>
      <c r="N809" s="4">
        <v>43195</v>
      </c>
      <c r="O809" s="3" t="s">
        <v>30</v>
      </c>
      <c r="P809" s="3">
        <v>64</v>
      </c>
      <c r="Q809" s="3" t="s">
        <v>1558</v>
      </c>
      <c r="S809" s="3" t="s">
        <v>44</v>
      </c>
      <c r="T809" s="3" t="str">
        <f t="shared" si="50"/>
        <v>Full-Time</v>
      </c>
      <c r="U809" s="3" t="s">
        <v>766</v>
      </c>
      <c r="V809" s="3">
        <v>6</v>
      </c>
      <c r="Y809" s="4">
        <v>45516</v>
      </c>
      <c r="AA809" s="3" t="s">
        <v>73</v>
      </c>
      <c r="AB809" s="3" t="str" cm="1">
        <f t="array" ref="AB809">_xlfn.IFS(AA809="N","No",  AA809 = "Y", "Yes", TRUE, PROPER(TRIM(AA809)))</f>
        <v>No</v>
      </c>
      <c r="AC809" s="3">
        <v>2</v>
      </c>
      <c r="AD809" s="3" t="s">
        <v>46</v>
      </c>
      <c r="AE809">
        <f t="shared" si="51"/>
        <v>1</v>
      </c>
    </row>
    <row r="810" spans="1:31" ht="14.25" customHeight="1" x14ac:dyDescent="0.35">
      <c r="A810" s="3" t="s">
        <v>1559</v>
      </c>
      <c r="B810" s="3" t="s">
        <v>36</v>
      </c>
      <c r="C810" s="3" t="s">
        <v>253</v>
      </c>
      <c r="D810" s="3">
        <v>40</v>
      </c>
      <c r="E810" s="3">
        <f t="shared" si="48"/>
        <v>40</v>
      </c>
      <c r="F810" s="3">
        <v>1984</v>
      </c>
      <c r="G810" s="3">
        <v>65000</v>
      </c>
      <c r="H810" s="12" cm="1">
        <f t="array" ref="H810">_xlfn.IFS(TRIM(G810)="SIXTY THOUSAND",60000,TRIM(G810)="NAN",AVERAGEIFS(G:G,J:J,J810,L:L,L810),TRUE,G810)</f>
        <v>65000</v>
      </c>
      <c r="I810" s="3" t="s">
        <v>38</v>
      </c>
      <c r="J810" s="3" t="s">
        <v>64</v>
      </c>
      <c r="K810" s="3" t="str">
        <f t="shared" si="49"/>
        <v>Finance</v>
      </c>
      <c r="L810" s="3" t="s">
        <v>29</v>
      </c>
      <c r="M810" s="4">
        <v>43800</v>
      </c>
      <c r="N810" s="4">
        <v>43800</v>
      </c>
      <c r="O810" s="3" t="s">
        <v>78</v>
      </c>
      <c r="P810" s="3">
        <v>82</v>
      </c>
      <c r="Q810" s="3" t="s">
        <v>1560</v>
      </c>
      <c r="R810" s="3" t="s">
        <v>104</v>
      </c>
      <c r="S810" s="3" t="s">
        <v>72</v>
      </c>
      <c r="T810" s="3" t="str">
        <f t="shared" si="50"/>
        <v>Part-Time</v>
      </c>
      <c r="V810" s="3">
        <v>6</v>
      </c>
      <c r="W810" s="3" t="s">
        <v>79</v>
      </c>
      <c r="Y810" s="3" t="s">
        <v>79</v>
      </c>
      <c r="Z810" s="3">
        <v>77</v>
      </c>
      <c r="AA810" s="3" t="s">
        <v>73</v>
      </c>
      <c r="AB810" s="3" t="str" cm="1">
        <f t="array" ref="AB810">_xlfn.IFS(AA810="N","No",  AA810 = "Y", "Yes", TRUE, PROPER(TRIM(AA810)))</f>
        <v>No</v>
      </c>
      <c r="AC810" s="3">
        <v>2</v>
      </c>
      <c r="AD810" s="3" t="s">
        <v>46</v>
      </c>
      <c r="AE810">
        <f t="shared" si="51"/>
        <v>1</v>
      </c>
    </row>
    <row r="811" spans="1:31" ht="14.25" customHeight="1" x14ac:dyDescent="0.35">
      <c r="A811" s="3" t="s">
        <v>1561</v>
      </c>
      <c r="B811" s="3" t="s">
        <v>68</v>
      </c>
      <c r="C811" s="3" t="s">
        <v>229</v>
      </c>
      <c r="D811" s="3">
        <v>40</v>
      </c>
      <c r="E811" s="3">
        <f t="shared" si="48"/>
        <v>40</v>
      </c>
      <c r="F811" s="3">
        <v>1984</v>
      </c>
      <c r="G811" s="3">
        <v>60800</v>
      </c>
      <c r="H811" s="12" cm="1">
        <f t="array" ref="H811">_xlfn.IFS(TRIM(G811)="SIXTY THOUSAND",60000,TRIM(G811)="NAN",AVERAGEIFS(G:G,J:J,J811,L:L,L811),TRUE,G811)</f>
        <v>60800</v>
      </c>
      <c r="I811" s="3" t="s">
        <v>27</v>
      </c>
      <c r="J811" s="3" t="s">
        <v>64</v>
      </c>
      <c r="K811" s="3" t="str">
        <f t="shared" si="49"/>
        <v>Finance</v>
      </c>
      <c r="L811" s="3" t="s">
        <v>94</v>
      </c>
      <c r="M811" s="4">
        <v>43881</v>
      </c>
      <c r="N811" s="4">
        <v>43881</v>
      </c>
      <c r="O811" s="3" t="s">
        <v>59</v>
      </c>
      <c r="P811" s="3">
        <v>99</v>
      </c>
      <c r="Q811" s="3" t="s">
        <v>1562</v>
      </c>
      <c r="R811" s="3" t="s">
        <v>54</v>
      </c>
      <c r="S811" s="3" t="s">
        <v>72</v>
      </c>
      <c r="T811" s="3" t="str">
        <f t="shared" si="50"/>
        <v>Part-Time</v>
      </c>
      <c r="V811" s="3">
        <v>5</v>
      </c>
      <c r="X811" s="3">
        <v>13</v>
      </c>
      <c r="Z811" s="3">
        <v>41</v>
      </c>
      <c r="AA811" s="3" t="s">
        <v>73</v>
      </c>
      <c r="AB811" s="3" t="str" cm="1">
        <f t="array" ref="AB811">_xlfn.IFS(AA811="N","No",  AA811 = "Y", "Yes", TRUE, PROPER(TRIM(AA811)))</f>
        <v>No</v>
      </c>
      <c r="AC811" s="3">
        <v>2</v>
      </c>
      <c r="AD811" s="3" t="s">
        <v>46</v>
      </c>
      <c r="AE811">
        <f t="shared" si="51"/>
        <v>1</v>
      </c>
    </row>
    <row r="812" spans="1:31" ht="14.25" customHeight="1" x14ac:dyDescent="0.35">
      <c r="A812" s="3" t="s">
        <v>1563</v>
      </c>
      <c r="B812" s="3" t="s">
        <v>75</v>
      </c>
      <c r="C812" s="3" t="s">
        <v>213</v>
      </c>
      <c r="D812" s="3">
        <v>35</v>
      </c>
      <c r="E812" s="3">
        <f t="shared" si="48"/>
        <v>35</v>
      </c>
      <c r="F812" s="3">
        <v>1989</v>
      </c>
      <c r="G812" s="3">
        <v>55000</v>
      </c>
      <c r="H812" s="12" cm="1">
        <f t="array" ref="H812">_xlfn.IFS(TRIM(G812)="SIXTY THOUSAND",60000,TRIM(G812)="NAN",AVERAGEIFS(G:G,J:J,J812,L:L,L812),TRUE,G812)</f>
        <v>55000</v>
      </c>
      <c r="I812" s="3" t="s">
        <v>27</v>
      </c>
      <c r="J812" s="3" t="s">
        <v>70</v>
      </c>
      <c r="K812" s="3" t="str">
        <f t="shared" si="49"/>
        <v>Marketing</v>
      </c>
      <c r="L812" s="3" t="s">
        <v>29</v>
      </c>
      <c r="M812" s="4">
        <v>43195</v>
      </c>
      <c r="N812" s="4">
        <v>43195</v>
      </c>
      <c r="O812" s="3" t="s">
        <v>78</v>
      </c>
      <c r="P812" s="3">
        <v>85</v>
      </c>
      <c r="Q812" s="3" t="s">
        <v>214</v>
      </c>
      <c r="R812" s="3" t="s">
        <v>54</v>
      </c>
      <c r="S812" s="3" t="s">
        <v>72</v>
      </c>
      <c r="T812" s="3" t="str">
        <f t="shared" si="50"/>
        <v>Part-Time</v>
      </c>
      <c r="U812" s="3" t="s">
        <v>1564</v>
      </c>
      <c r="V812" s="3">
        <v>4</v>
      </c>
      <c r="X812" s="3">
        <v>0</v>
      </c>
      <c r="AA812" s="3" t="s">
        <v>46</v>
      </c>
      <c r="AB812" s="3" t="str" cm="1">
        <f t="array" ref="AB812">_xlfn.IFS(AA812="N","No",  AA812 = "Y", "Yes", TRUE, PROPER(TRIM(AA812)))</f>
        <v>Yes</v>
      </c>
      <c r="AC812" s="3">
        <v>5</v>
      </c>
      <c r="AD812" s="3" t="s">
        <v>34</v>
      </c>
      <c r="AE812">
        <f t="shared" si="51"/>
        <v>0</v>
      </c>
    </row>
    <row r="813" spans="1:31" ht="14.25" customHeight="1" x14ac:dyDescent="0.35">
      <c r="A813" s="3" t="s">
        <v>1565</v>
      </c>
      <c r="B813" s="3" t="s">
        <v>140</v>
      </c>
      <c r="C813" s="3" t="s">
        <v>436</v>
      </c>
      <c r="E813" s="3">
        <f t="shared" si="48"/>
        <v>51</v>
      </c>
      <c r="F813" s="3">
        <v>1973</v>
      </c>
      <c r="G813" s="3">
        <v>65000</v>
      </c>
      <c r="H813" s="12" cm="1">
        <f t="array" ref="H813">_xlfn.IFS(TRIM(G813)="SIXTY THOUSAND",60000,TRIM(G813)="NAN",AVERAGEIFS(G:G,J:J,J813,L:L,L813),TRUE,G813)</f>
        <v>65000</v>
      </c>
      <c r="I813" s="3" t="s">
        <v>38</v>
      </c>
      <c r="J813" s="3" t="s">
        <v>145</v>
      </c>
      <c r="K813" s="3" t="str">
        <f t="shared" si="49"/>
        <v>Sales</v>
      </c>
      <c r="L813" s="3" t="s">
        <v>40</v>
      </c>
      <c r="M813" s="4">
        <v>43800</v>
      </c>
      <c r="N813" s="4">
        <v>43800</v>
      </c>
      <c r="O813" s="3" t="s">
        <v>30</v>
      </c>
      <c r="P813" s="3">
        <v>62</v>
      </c>
      <c r="Q813" s="3" t="s">
        <v>437</v>
      </c>
      <c r="R813" s="3" t="s">
        <v>54</v>
      </c>
      <c r="S813" s="3" t="s">
        <v>112</v>
      </c>
      <c r="T813" s="3" t="str">
        <f t="shared" si="50"/>
        <v>Full-Time</v>
      </c>
      <c r="U813" s="3" t="s">
        <v>1566</v>
      </c>
      <c r="V813" s="3">
        <v>4</v>
      </c>
      <c r="W813" s="3">
        <v>1</v>
      </c>
      <c r="X813" s="3">
        <v>20</v>
      </c>
      <c r="AA813" s="3" t="s">
        <v>73</v>
      </c>
      <c r="AB813" s="3" t="str" cm="1">
        <f t="array" ref="AB813">_xlfn.IFS(AA813="N","No",  AA813 = "Y", "Yes", TRUE, PROPER(TRIM(AA813)))</f>
        <v>No</v>
      </c>
      <c r="AC813" s="3">
        <v>3</v>
      </c>
      <c r="AD813" s="3" t="s">
        <v>34</v>
      </c>
      <c r="AE813">
        <f t="shared" si="51"/>
        <v>0</v>
      </c>
    </row>
    <row r="814" spans="1:31" ht="14.25" customHeight="1" x14ac:dyDescent="0.35">
      <c r="A814" s="3" t="s">
        <v>1567</v>
      </c>
      <c r="B814" s="3" t="s">
        <v>114</v>
      </c>
      <c r="C814" s="3" t="s">
        <v>367</v>
      </c>
      <c r="D814" s="3" t="s">
        <v>88</v>
      </c>
      <c r="E814" s="3">
        <f t="shared" si="48"/>
        <v>30</v>
      </c>
      <c r="F814" s="3">
        <v>1994</v>
      </c>
      <c r="G814" s="3">
        <v>61300</v>
      </c>
      <c r="H814" s="12" cm="1">
        <f t="array" ref="H814">_xlfn.IFS(TRIM(G814)="SIXTY THOUSAND",60000,TRIM(G814)="NAN",AVERAGEIFS(G:G,J:J,J814,L:L,L814),TRUE,G814)</f>
        <v>61300</v>
      </c>
      <c r="I814" s="3" t="s">
        <v>27</v>
      </c>
      <c r="J814" s="3" t="s">
        <v>39</v>
      </c>
      <c r="K814" s="3" t="str">
        <f t="shared" si="49"/>
        <v>Finance</v>
      </c>
      <c r="L814" s="3" t="s">
        <v>77</v>
      </c>
      <c r="M814" s="4">
        <v>43881</v>
      </c>
      <c r="N814" s="4">
        <v>43881</v>
      </c>
      <c r="O814" s="3" t="s">
        <v>59</v>
      </c>
      <c r="P814" s="3">
        <v>91</v>
      </c>
      <c r="Q814" s="3" t="s">
        <v>1568</v>
      </c>
      <c r="R814" s="3" t="s">
        <v>43</v>
      </c>
      <c r="S814" s="3" t="s">
        <v>32</v>
      </c>
      <c r="T814" s="3" t="str">
        <f t="shared" si="50"/>
        <v>Contract</v>
      </c>
      <c r="U814" s="3" t="s">
        <v>1569</v>
      </c>
      <c r="V814" s="3">
        <v>8</v>
      </c>
      <c r="W814" s="3">
        <v>7</v>
      </c>
      <c r="X814" s="3">
        <v>8</v>
      </c>
      <c r="Z814" s="3">
        <v>35</v>
      </c>
      <c r="AB814" s="3" t="str" cm="1">
        <f t="array" ref="AB814">_xlfn.IFS(AA814="N","No",  AA814 = "Y", "Yes", TRUE, PROPER(TRIM(AA814)))</f>
        <v/>
      </c>
      <c r="AC814" s="3">
        <v>5</v>
      </c>
      <c r="AD814" s="3" t="s">
        <v>34</v>
      </c>
      <c r="AE814">
        <f t="shared" si="51"/>
        <v>0</v>
      </c>
    </row>
    <row r="815" spans="1:31" ht="14.25" customHeight="1" x14ac:dyDescent="0.35">
      <c r="A815" s="3" t="s">
        <v>1570</v>
      </c>
      <c r="B815" s="3" t="s">
        <v>36</v>
      </c>
      <c r="C815" s="3" t="s">
        <v>367</v>
      </c>
      <c r="D815" s="3">
        <v>50</v>
      </c>
      <c r="E815" s="3">
        <f t="shared" si="48"/>
        <v>50</v>
      </c>
      <c r="F815" s="3">
        <v>1974</v>
      </c>
      <c r="G815" s="3">
        <v>55000</v>
      </c>
      <c r="H815" s="12" cm="1">
        <f t="array" ref="H815">_xlfn.IFS(TRIM(G815)="SIXTY THOUSAND",60000,TRIM(G815)="NAN",AVERAGEIFS(G:G,J:J,J815,L:L,L815),TRUE,G815)</f>
        <v>55000</v>
      </c>
      <c r="I815" s="3" t="s">
        <v>27</v>
      </c>
      <c r="J815" s="3" t="s">
        <v>122</v>
      </c>
      <c r="K815" s="3" t="str">
        <f t="shared" si="49"/>
        <v>IT</v>
      </c>
      <c r="L815" s="3" t="s">
        <v>29</v>
      </c>
      <c r="M815" s="4">
        <v>43800</v>
      </c>
      <c r="N815" s="4">
        <v>43800</v>
      </c>
      <c r="O815" s="3" t="s">
        <v>30</v>
      </c>
      <c r="P815" s="3">
        <v>67</v>
      </c>
      <c r="Q815" s="3" t="s">
        <v>1571</v>
      </c>
      <c r="R815" s="3" t="s">
        <v>104</v>
      </c>
      <c r="S815" s="3" t="s">
        <v>72</v>
      </c>
      <c r="T815" s="3" t="str">
        <f t="shared" si="50"/>
        <v>Part-Time</v>
      </c>
      <c r="U815" s="3" t="s">
        <v>1572</v>
      </c>
      <c r="V815" s="3">
        <v>7</v>
      </c>
      <c r="Y815" s="4">
        <v>44732</v>
      </c>
      <c r="AA815" s="3" t="s">
        <v>33</v>
      </c>
      <c r="AB815" s="3" t="str" cm="1">
        <f t="array" ref="AB815">_xlfn.IFS(AA815="N","No",  AA815 = "Y", "Yes", TRUE, PROPER(TRIM(AA815)))</f>
        <v>Yes</v>
      </c>
      <c r="AC815" s="3">
        <v>2</v>
      </c>
      <c r="AD815" s="3" t="s">
        <v>46</v>
      </c>
      <c r="AE815">
        <f t="shared" si="51"/>
        <v>1</v>
      </c>
    </row>
    <row r="816" spans="1:31" ht="14.25" customHeight="1" x14ac:dyDescent="0.35">
      <c r="A816" s="3" t="s">
        <v>1573</v>
      </c>
      <c r="B816" s="3" t="s">
        <v>107</v>
      </c>
      <c r="C816" s="3" t="s">
        <v>244</v>
      </c>
      <c r="D816" s="3" t="s">
        <v>88</v>
      </c>
      <c r="E816" s="3">
        <f t="shared" si="48"/>
        <v>30</v>
      </c>
      <c r="F816" s="3">
        <v>1994</v>
      </c>
      <c r="G816" s="3" t="s">
        <v>50</v>
      </c>
      <c r="H816" s="12" cm="1">
        <f t="array" ref="H816">_xlfn.IFS(TRIM(G816)="SIXTY THOUSAND",60000,TRIM(G816)="NAN",AVERAGEIFS(G:G,J:J,J816,L:L,L816),TRUE,G816)</f>
        <v>60000</v>
      </c>
      <c r="I816" s="3" t="s">
        <v>38</v>
      </c>
      <c r="J816" s="3" t="s">
        <v>28</v>
      </c>
      <c r="K816" s="3" t="str">
        <f t="shared" si="49"/>
        <v>HR</v>
      </c>
      <c r="L816" s="3" t="s">
        <v>89</v>
      </c>
      <c r="M816" s="4">
        <v>43800</v>
      </c>
      <c r="N816" s="4">
        <v>43800</v>
      </c>
      <c r="O816" s="3" t="s">
        <v>78</v>
      </c>
      <c r="P816" s="3">
        <v>83</v>
      </c>
      <c r="Q816" s="3" t="s">
        <v>245</v>
      </c>
      <c r="R816" s="3" t="s">
        <v>61</v>
      </c>
      <c r="S816" s="3" t="s">
        <v>32</v>
      </c>
      <c r="T816" s="3" t="str">
        <f t="shared" si="50"/>
        <v>Contract</v>
      </c>
      <c r="V816" s="3">
        <v>1</v>
      </c>
      <c r="X816" s="3">
        <v>8</v>
      </c>
      <c r="Y816" s="4">
        <v>44732</v>
      </c>
      <c r="AA816" s="3" t="s">
        <v>46</v>
      </c>
      <c r="AB816" s="3" t="str" cm="1">
        <f t="array" ref="AB816">_xlfn.IFS(AA816="N","No",  AA816 = "Y", "Yes", TRUE, PROPER(TRIM(AA816)))</f>
        <v>Yes</v>
      </c>
      <c r="AC816" s="3">
        <v>3</v>
      </c>
      <c r="AD816" s="3" t="s">
        <v>34</v>
      </c>
      <c r="AE816">
        <f t="shared" si="51"/>
        <v>0</v>
      </c>
    </row>
    <row r="817" spans="1:31" ht="14.25" customHeight="1" x14ac:dyDescent="0.35">
      <c r="A817" s="3" t="s">
        <v>1574</v>
      </c>
      <c r="B817" s="3" t="s">
        <v>114</v>
      </c>
      <c r="C817" s="3" t="s">
        <v>115</v>
      </c>
      <c r="D817" s="3">
        <v>35</v>
      </c>
      <c r="E817" s="3">
        <f t="shared" si="48"/>
        <v>35</v>
      </c>
      <c r="F817" s="3">
        <v>1989</v>
      </c>
      <c r="G817" s="3">
        <v>50000</v>
      </c>
      <c r="H817" s="12" cm="1">
        <f t="array" ref="H817">_xlfn.IFS(TRIM(G817)="SIXTY THOUSAND",60000,TRIM(G817)="NAN",AVERAGEIFS(G:G,J:J,J817,L:L,L817),TRUE,G817)</f>
        <v>50000</v>
      </c>
      <c r="I817" s="3" t="s">
        <v>27</v>
      </c>
      <c r="J817" s="3" t="s">
        <v>93</v>
      </c>
      <c r="K817" s="3" t="str">
        <f t="shared" si="49"/>
        <v>Marketing</v>
      </c>
      <c r="L817" s="3" t="s">
        <v>77</v>
      </c>
      <c r="M817" s="4">
        <v>43195</v>
      </c>
      <c r="N817" s="4">
        <v>43195</v>
      </c>
      <c r="O817" s="3" t="s">
        <v>52</v>
      </c>
      <c r="P817" s="3">
        <v>70</v>
      </c>
      <c r="Q817" s="3" t="s">
        <v>182</v>
      </c>
      <c r="R817" s="3" t="s">
        <v>54</v>
      </c>
      <c r="S817" s="3" t="s">
        <v>72</v>
      </c>
      <c r="T817" s="3" t="str">
        <f t="shared" si="50"/>
        <v>Part-Time</v>
      </c>
      <c r="V817" s="3">
        <v>5</v>
      </c>
      <c r="W817" s="3" t="s">
        <v>79</v>
      </c>
      <c r="AA817" s="3" t="s">
        <v>34</v>
      </c>
      <c r="AB817" s="3" t="str" cm="1">
        <f t="array" ref="AB817">_xlfn.IFS(AA817="N","No",  AA817 = "Y", "Yes", TRUE, PROPER(TRIM(AA817)))</f>
        <v>No</v>
      </c>
      <c r="AC817" s="3">
        <v>1</v>
      </c>
      <c r="AD817" s="3" t="s">
        <v>46</v>
      </c>
      <c r="AE817">
        <f t="shared" si="51"/>
        <v>1</v>
      </c>
    </row>
    <row r="818" spans="1:31" ht="14.25" customHeight="1" x14ac:dyDescent="0.35">
      <c r="A818" s="3" t="s">
        <v>1575</v>
      </c>
      <c r="B818" s="3" t="s">
        <v>48</v>
      </c>
      <c r="C818" s="3" t="s">
        <v>305</v>
      </c>
      <c r="D818" s="3">
        <v>50</v>
      </c>
      <c r="E818" s="3">
        <f t="shared" si="48"/>
        <v>50</v>
      </c>
      <c r="F818" s="3">
        <v>1974</v>
      </c>
      <c r="G818" s="3">
        <v>50000</v>
      </c>
      <c r="H818" s="12" cm="1">
        <f t="array" ref="H818">_xlfn.IFS(TRIM(G818)="SIXTY THOUSAND",60000,TRIM(G818)="NAN",AVERAGEIFS(G:G,J:J,J818,L:L,L818),TRUE,G818)</f>
        <v>50000</v>
      </c>
      <c r="I818" s="3" t="s">
        <v>27</v>
      </c>
      <c r="J818" s="3" t="s">
        <v>64</v>
      </c>
      <c r="K818" s="3" t="str">
        <f t="shared" si="49"/>
        <v>Finance</v>
      </c>
      <c r="L818" s="3" t="s">
        <v>89</v>
      </c>
      <c r="M818" s="4">
        <v>43881</v>
      </c>
      <c r="N818" s="4">
        <v>43881</v>
      </c>
      <c r="O818" s="3" t="s">
        <v>78</v>
      </c>
      <c r="P818" s="3">
        <v>86</v>
      </c>
      <c r="Q818" s="3" t="s">
        <v>1576</v>
      </c>
      <c r="R818" s="3" t="s">
        <v>104</v>
      </c>
      <c r="S818" s="3" t="s">
        <v>44</v>
      </c>
      <c r="T818" s="3" t="str">
        <f t="shared" si="50"/>
        <v>Full-Time</v>
      </c>
      <c r="V818" s="3">
        <v>3</v>
      </c>
      <c r="X818" s="3">
        <v>13</v>
      </c>
      <c r="Y818" s="4">
        <v>44941</v>
      </c>
      <c r="Z818" s="3">
        <v>7</v>
      </c>
      <c r="AA818" s="3" t="s">
        <v>34</v>
      </c>
      <c r="AB818" s="3" t="str" cm="1">
        <f t="array" ref="AB818">_xlfn.IFS(AA818="N","No",  AA818 = "Y", "Yes", TRUE, PROPER(TRIM(AA818)))</f>
        <v>No</v>
      </c>
      <c r="AC818" s="3">
        <v>2</v>
      </c>
      <c r="AD818" s="3" t="s">
        <v>46</v>
      </c>
      <c r="AE818">
        <f t="shared" si="51"/>
        <v>1</v>
      </c>
    </row>
    <row r="819" spans="1:31" ht="14.25" customHeight="1" x14ac:dyDescent="0.35">
      <c r="A819" s="3" t="s">
        <v>1577</v>
      </c>
      <c r="B819" s="3" t="s">
        <v>48</v>
      </c>
      <c r="C819" s="3" t="s">
        <v>499</v>
      </c>
      <c r="D819" s="3">
        <v>40</v>
      </c>
      <c r="E819" s="3">
        <f t="shared" si="48"/>
        <v>40</v>
      </c>
      <c r="F819" s="3">
        <v>1984</v>
      </c>
      <c r="G819" s="3">
        <v>65000</v>
      </c>
      <c r="H819" s="12" cm="1">
        <f t="array" ref="H819">_xlfn.IFS(TRIM(G819)="SIXTY THOUSAND",60000,TRIM(G819)="NAN",AVERAGEIFS(G:G,J:J,J819,L:L,L819),TRUE,G819)</f>
        <v>65000</v>
      </c>
      <c r="I819" s="3" t="s">
        <v>38</v>
      </c>
      <c r="J819" s="3" t="s">
        <v>58</v>
      </c>
      <c r="K819" s="3" t="str">
        <f t="shared" si="49"/>
        <v>IT</v>
      </c>
      <c r="L819" s="3" t="s">
        <v>29</v>
      </c>
      <c r="M819" s="4">
        <v>43195</v>
      </c>
      <c r="N819" s="4">
        <v>43195</v>
      </c>
      <c r="O819" s="3" t="s">
        <v>78</v>
      </c>
      <c r="P819" s="3">
        <v>85</v>
      </c>
      <c r="Q819" s="3" t="s">
        <v>1578</v>
      </c>
      <c r="S819" s="3" t="s">
        <v>112</v>
      </c>
      <c r="T819" s="3" t="str">
        <f t="shared" si="50"/>
        <v>Full-Time</v>
      </c>
      <c r="V819" s="3">
        <v>7</v>
      </c>
      <c r="W819" s="3" t="s">
        <v>79</v>
      </c>
      <c r="Y819" s="4">
        <v>44470</v>
      </c>
      <c r="Z819" s="3">
        <v>39</v>
      </c>
      <c r="AA819" s="3" t="s">
        <v>73</v>
      </c>
      <c r="AB819" s="3" t="str" cm="1">
        <f t="array" ref="AB819">_xlfn.IFS(AA819="N","No",  AA819 = "Y", "Yes", TRUE, PROPER(TRIM(AA819)))</f>
        <v>No</v>
      </c>
      <c r="AC819" s="3">
        <v>4</v>
      </c>
      <c r="AD819" s="3" t="s">
        <v>46</v>
      </c>
      <c r="AE819">
        <f t="shared" si="51"/>
        <v>1</v>
      </c>
    </row>
    <row r="820" spans="1:31" ht="14.25" customHeight="1" x14ac:dyDescent="0.35">
      <c r="A820" s="3" t="s">
        <v>1579</v>
      </c>
      <c r="B820" s="3" t="s">
        <v>131</v>
      </c>
      <c r="C820" s="3" t="s">
        <v>277</v>
      </c>
      <c r="D820" s="3">
        <v>25</v>
      </c>
      <c r="E820" s="3">
        <f t="shared" si="48"/>
        <v>25</v>
      </c>
      <c r="F820" s="3">
        <v>1999</v>
      </c>
      <c r="G820" s="3">
        <v>61300</v>
      </c>
      <c r="H820" s="12" cm="1">
        <f t="array" ref="H820">_xlfn.IFS(TRIM(G820)="SIXTY THOUSAND",60000,TRIM(G820)="NAN",AVERAGEIFS(G:G,J:J,J820,L:L,L820),TRUE,G820)</f>
        <v>61300</v>
      </c>
      <c r="I820" s="3" t="s">
        <v>38</v>
      </c>
      <c r="J820" s="3" t="s">
        <v>64</v>
      </c>
      <c r="K820" s="3" t="str">
        <f t="shared" si="49"/>
        <v>Finance</v>
      </c>
      <c r="L820" s="3" t="s">
        <v>77</v>
      </c>
      <c r="M820" s="4">
        <v>43845</v>
      </c>
      <c r="N820" s="4">
        <v>43845</v>
      </c>
      <c r="O820" s="3" t="s">
        <v>78</v>
      </c>
      <c r="P820" s="3">
        <v>89</v>
      </c>
      <c r="Q820" s="3" t="s">
        <v>1580</v>
      </c>
      <c r="R820" s="3" t="s">
        <v>43</v>
      </c>
      <c r="S820" s="3" t="s">
        <v>112</v>
      </c>
      <c r="T820" s="3" t="str">
        <f t="shared" si="50"/>
        <v>Full-Time</v>
      </c>
      <c r="V820" s="3">
        <v>2</v>
      </c>
      <c r="AA820" s="3" t="s">
        <v>169</v>
      </c>
      <c r="AB820" s="3" t="str" cm="1">
        <f t="array" ref="AB820">_xlfn.IFS(AA820="N","No",  AA820 = "Y", "Yes", TRUE, PROPER(TRIM(AA820)))</f>
        <v>Yes</v>
      </c>
      <c r="AC820" s="3">
        <v>4</v>
      </c>
      <c r="AD820" s="3" t="s">
        <v>46</v>
      </c>
      <c r="AE820">
        <f t="shared" si="51"/>
        <v>1</v>
      </c>
    </row>
    <row r="821" spans="1:31" ht="14.25" customHeight="1" x14ac:dyDescent="0.35">
      <c r="A821" s="3" t="s">
        <v>1581</v>
      </c>
      <c r="B821" s="3" t="s">
        <v>75</v>
      </c>
      <c r="C821" s="3" t="s">
        <v>271</v>
      </c>
      <c r="D821" s="3">
        <v>35</v>
      </c>
      <c r="E821" s="3">
        <f t="shared" si="48"/>
        <v>35</v>
      </c>
      <c r="F821" s="3">
        <v>1989</v>
      </c>
      <c r="G821" s="3">
        <v>50000</v>
      </c>
      <c r="H821" s="12" cm="1">
        <f t="array" ref="H821">_xlfn.IFS(TRIM(G821)="SIXTY THOUSAND",60000,TRIM(G821)="NAN",AVERAGEIFS(G:G,J:J,J821,L:L,L821),TRUE,G821)</f>
        <v>50000</v>
      </c>
      <c r="I821" s="3" t="s">
        <v>27</v>
      </c>
      <c r="J821" s="3" t="s">
        <v>64</v>
      </c>
      <c r="K821" s="3" t="str">
        <f t="shared" si="49"/>
        <v>Finance</v>
      </c>
      <c r="L821" s="3" t="s">
        <v>89</v>
      </c>
      <c r="M821" s="4">
        <v>43845</v>
      </c>
      <c r="N821" s="4">
        <v>43845</v>
      </c>
      <c r="O821" s="3" t="s">
        <v>41</v>
      </c>
      <c r="P821" s="3">
        <v>20</v>
      </c>
      <c r="Q821" s="3" t="s">
        <v>1582</v>
      </c>
      <c r="R821" s="3" t="s">
        <v>104</v>
      </c>
      <c r="S821" s="3" t="s">
        <v>66</v>
      </c>
      <c r="T821" s="3" t="str">
        <f t="shared" si="50"/>
        <v>Contract</v>
      </c>
      <c r="V821" s="3">
        <v>2</v>
      </c>
      <c r="W821" s="3" t="s">
        <v>79</v>
      </c>
      <c r="AA821" s="3" t="s">
        <v>34</v>
      </c>
      <c r="AB821" s="3" t="str" cm="1">
        <f t="array" ref="AB821">_xlfn.IFS(AA821="N","No",  AA821 = "Y", "Yes", TRUE, PROPER(TRIM(AA821)))</f>
        <v>No</v>
      </c>
      <c r="AC821" s="3">
        <v>4</v>
      </c>
      <c r="AD821" s="3" t="s">
        <v>34</v>
      </c>
      <c r="AE821">
        <f t="shared" si="51"/>
        <v>0</v>
      </c>
    </row>
    <row r="822" spans="1:31" ht="14.25" customHeight="1" x14ac:dyDescent="0.35">
      <c r="A822" s="3" t="s">
        <v>1583</v>
      </c>
      <c r="B822" s="3" t="s">
        <v>68</v>
      </c>
      <c r="C822" s="3" t="s">
        <v>250</v>
      </c>
      <c r="D822" s="3">
        <v>35</v>
      </c>
      <c r="E822" s="3">
        <f t="shared" si="48"/>
        <v>35</v>
      </c>
      <c r="F822" s="3">
        <v>1989</v>
      </c>
      <c r="G822" s="3">
        <v>63000</v>
      </c>
      <c r="H822" s="12" cm="1">
        <f t="array" ref="H822">_xlfn.IFS(TRIM(G822)="SIXTY THOUSAND",60000,TRIM(G822)="NAN",AVERAGEIFS(G:G,J:J,J822,L:L,L822),TRUE,G822)</f>
        <v>63000</v>
      </c>
      <c r="I822" s="3" t="s">
        <v>27</v>
      </c>
      <c r="J822" s="3" t="s">
        <v>145</v>
      </c>
      <c r="K822" s="3" t="str">
        <f t="shared" si="49"/>
        <v>Sales</v>
      </c>
      <c r="L822" s="3" t="s">
        <v>40</v>
      </c>
      <c r="M822" s="4">
        <v>43881</v>
      </c>
      <c r="N822" s="4">
        <v>43881</v>
      </c>
      <c r="O822" s="3" t="s">
        <v>30</v>
      </c>
      <c r="P822" s="3">
        <v>65</v>
      </c>
      <c r="Q822" s="3" t="s">
        <v>251</v>
      </c>
      <c r="R822" s="3" t="s">
        <v>104</v>
      </c>
      <c r="S822" s="3" t="s">
        <v>100</v>
      </c>
      <c r="T822" s="3" t="str">
        <f t="shared" si="50"/>
        <v>Part-Time</v>
      </c>
      <c r="V822" s="3">
        <v>5</v>
      </c>
      <c r="W822" s="3">
        <v>5</v>
      </c>
      <c r="AA822" s="3" t="s">
        <v>34</v>
      </c>
      <c r="AB822" s="3" t="str" cm="1">
        <f t="array" ref="AB822">_xlfn.IFS(AA822="N","No",  AA822 = "Y", "Yes", TRUE, PROPER(TRIM(AA822)))</f>
        <v>No</v>
      </c>
      <c r="AC822" s="3">
        <v>4</v>
      </c>
      <c r="AD822" s="3" t="s">
        <v>34</v>
      </c>
      <c r="AE822">
        <f t="shared" si="51"/>
        <v>0</v>
      </c>
    </row>
    <row r="823" spans="1:31" ht="14.25" customHeight="1" x14ac:dyDescent="0.35">
      <c r="A823" s="3" t="s">
        <v>1584</v>
      </c>
      <c r="B823" s="3" t="s">
        <v>140</v>
      </c>
      <c r="C823" s="3" t="s">
        <v>620</v>
      </c>
      <c r="E823" s="3">
        <f t="shared" si="48"/>
        <v>43</v>
      </c>
      <c r="F823" s="3">
        <v>1981</v>
      </c>
      <c r="G823" s="3">
        <v>63000</v>
      </c>
      <c r="H823" s="12" cm="1">
        <f t="array" ref="H823">_xlfn.IFS(TRIM(G823)="SIXTY THOUSAND",60000,TRIM(G823)="NAN",AVERAGEIFS(G:G,J:J,J823,L:L,L823),TRUE,G823)</f>
        <v>63000</v>
      </c>
      <c r="I823" s="3" t="s">
        <v>38</v>
      </c>
      <c r="J823" s="3" t="s">
        <v>145</v>
      </c>
      <c r="K823" s="3" t="str">
        <f t="shared" si="49"/>
        <v>Sales</v>
      </c>
      <c r="L823" s="3" t="s">
        <v>40</v>
      </c>
      <c r="M823" s="4">
        <v>43800</v>
      </c>
      <c r="N823" s="4">
        <v>43800</v>
      </c>
      <c r="O823" s="3" t="s">
        <v>30</v>
      </c>
      <c r="P823" s="3">
        <v>68</v>
      </c>
      <c r="Q823" s="3" t="s">
        <v>621</v>
      </c>
      <c r="R823" s="3" t="s">
        <v>61</v>
      </c>
      <c r="S823" s="3" t="s">
        <v>112</v>
      </c>
      <c r="T823" s="3" t="str">
        <f t="shared" si="50"/>
        <v>Full-Time</v>
      </c>
      <c r="U823" s="3" t="s">
        <v>252</v>
      </c>
      <c r="V823" s="3">
        <v>6</v>
      </c>
      <c r="W823" s="3" t="s">
        <v>79</v>
      </c>
      <c r="Y823" s="4">
        <v>44941</v>
      </c>
      <c r="AA823" s="3" t="s">
        <v>34</v>
      </c>
      <c r="AB823" s="3" t="str" cm="1">
        <f t="array" ref="AB823">_xlfn.IFS(AA823="N","No",  AA823 = "Y", "Yes", TRUE, PROPER(TRIM(AA823)))</f>
        <v>No</v>
      </c>
      <c r="AC823" s="3">
        <v>2</v>
      </c>
      <c r="AD823" s="3" t="s">
        <v>34</v>
      </c>
      <c r="AE823">
        <f t="shared" si="51"/>
        <v>0</v>
      </c>
    </row>
    <row r="824" spans="1:31" ht="14.25" customHeight="1" x14ac:dyDescent="0.35">
      <c r="A824" s="3" t="s">
        <v>1585</v>
      </c>
      <c r="B824" s="3" t="s">
        <v>56</v>
      </c>
      <c r="C824" s="3" t="s">
        <v>747</v>
      </c>
      <c r="D824" s="3" t="s">
        <v>88</v>
      </c>
      <c r="E824" s="3">
        <f t="shared" si="48"/>
        <v>30</v>
      </c>
      <c r="F824" s="3">
        <v>1994</v>
      </c>
      <c r="G824" s="3">
        <v>65000</v>
      </c>
      <c r="H824" s="12" cm="1">
        <f t="array" ref="H824">_xlfn.IFS(TRIM(G824)="SIXTY THOUSAND",60000,TRIM(G824)="NAN",AVERAGEIFS(G:G,J:J,J824,L:L,L824),TRUE,G824)</f>
        <v>65000</v>
      </c>
      <c r="I824" s="3" t="s">
        <v>38</v>
      </c>
      <c r="J824" s="3" t="s">
        <v>145</v>
      </c>
      <c r="K824" s="3" t="str">
        <f t="shared" si="49"/>
        <v>Sales</v>
      </c>
      <c r="L824" s="3" t="s">
        <v>29</v>
      </c>
      <c r="M824" s="4">
        <v>43195</v>
      </c>
      <c r="N824" s="4">
        <v>43195</v>
      </c>
      <c r="O824" s="3" t="s">
        <v>30</v>
      </c>
      <c r="P824" s="3">
        <v>69</v>
      </c>
      <c r="Q824" s="3" t="s">
        <v>1586</v>
      </c>
      <c r="R824" s="3" t="s">
        <v>104</v>
      </c>
      <c r="S824" s="3" t="s">
        <v>112</v>
      </c>
      <c r="T824" s="3" t="str">
        <f t="shared" si="50"/>
        <v>Full-Time</v>
      </c>
      <c r="V824" s="3">
        <v>2</v>
      </c>
      <c r="Y824" s="4">
        <v>45516</v>
      </c>
      <c r="Z824" s="3">
        <v>57</v>
      </c>
      <c r="AB824" s="3" t="str" cm="1">
        <f t="array" ref="AB824">_xlfn.IFS(AA824="N","No",  AA824 = "Y", "Yes", TRUE, PROPER(TRIM(AA824)))</f>
        <v/>
      </c>
      <c r="AC824" s="3">
        <v>4</v>
      </c>
      <c r="AD824" s="3" t="s">
        <v>34</v>
      </c>
      <c r="AE824">
        <f t="shared" si="51"/>
        <v>0</v>
      </c>
    </row>
    <row r="825" spans="1:31" ht="14.25" customHeight="1" x14ac:dyDescent="0.35">
      <c r="A825" s="3" t="s">
        <v>1587</v>
      </c>
      <c r="B825" s="3" t="s">
        <v>107</v>
      </c>
      <c r="C825" s="3" t="s">
        <v>524</v>
      </c>
      <c r="D825" s="3">
        <v>35</v>
      </c>
      <c r="E825" s="3">
        <f t="shared" si="48"/>
        <v>35</v>
      </c>
      <c r="F825" s="3">
        <v>1989</v>
      </c>
      <c r="G825" s="3">
        <v>65000</v>
      </c>
      <c r="H825" s="12" cm="1">
        <f t="array" ref="H825">_xlfn.IFS(TRIM(G825)="SIXTY THOUSAND",60000,TRIM(G825)="NAN",AVERAGEIFS(G:G,J:J,J825,L:L,L825),TRUE,G825)</f>
        <v>65000</v>
      </c>
      <c r="I825" s="3" t="s">
        <v>38</v>
      </c>
      <c r="J825" s="3" t="s">
        <v>122</v>
      </c>
      <c r="K825" s="3" t="str">
        <f t="shared" si="49"/>
        <v>IT</v>
      </c>
      <c r="L825" s="3" t="s">
        <v>77</v>
      </c>
      <c r="M825" s="4">
        <v>43195</v>
      </c>
      <c r="N825" s="4">
        <v>43195</v>
      </c>
      <c r="O825" s="3" t="s">
        <v>41</v>
      </c>
      <c r="P825" s="3">
        <v>38</v>
      </c>
      <c r="Q825" s="3" t="s">
        <v>1588</v>
      </c>
      <c r="R825" s="3" t="s">
        <v>61</v>
      </c>
      <c r="S825" s="3" t="s">
        <v>44</v>
      </c>
      <c r="T825" s="3" t="str">
        <f t="shared" si="50"/>
        <v>Full-Time</v>
      </c>
      <c r="U825" s="3" t="s">
        <v>1589</v>
      </c>
      <c r="V825" s="3">
        <v>5</v>
      </c>
      <c r="Z825" s="3">
        <v>54</v>
      </c>
      <c r="AB825" s="3" t="str" cm="1">
        <f t="array" ref="AB825">_xlfn.IFS(AA825="N","No",  AA825 = "Y", "Yes", TRUE, PROPER(TRIM(AA825)))</f>
        <v/>
      </c>
      <c r="AC825" s="3">
        <v>5</v>
      </c>
      <c r="AD825" s="3" t="s">
        <v>46</v>
      </c>
      <c r="AE825">
        <f t="shared" si="51"/>
        <v>1</v>
      </c>
    </row>
    <row r="826" spans="1:31" ht="14.25" customHeight="1" x14ac:dyDescent="0.35">
      <c r="A826" s="3" t="s">
        <v>1590</v>
      </c>
      <c r="B826" s="3" t="s">
        <v>36</v>
      </c>
      <c r="C826" s="3" t="s">
        <v>219</v>
      </c>
      <c r="D826" s="3">
        <v>35</v>
      </c>
      <c r="E826" s="3">
        <f t="shared" si="48"/>
        <v>35</v>
      </c>
      <c r="F826" s="3">
        <v>1989</v>
      </c>
      <c r="G826" s="3">
        <v>65000</v>
      </c>
      <c r="H826" s="12" cm="1">
        <f t="array" ref="H826">_xlfn.IFS(TRIM(G826)="SIXTY THOUSAND",60000,TRIM(G826)="NAN",AVERAGEIFS(G:G,J:J,J826,L:L,L826),TRUE,G826)</f>
        <v>65000</v>
      </c>
      <c r="I826" s="3" t="s">
        <v>38</v>
      </c>
      <c r="J826" s="3" t="s">
        <v>64</v>
      </c>
      <c r="K826" s="3" t="str">
        <f t="shared" si="49"/>
        <v>Finance</v>
      </c>
      <c r="L826" s="3" t="s">
        <v>94</v>
      </c>
      <c r="M826" s="4">
        <v>43881</v>
      </c>
      <c r="N826" s="4">
        <v>43881</v>
      </c>
      <c r="O826" s="3" t="s">
        <v>52</v>
      </c>
      <c r="P826" s="3">
        <v>70</v>
      </c>
      <c r="Q826" s="3" t="s">
        <v>220</v>
      </c>
      <c r="R826" s="3" t="s">
        <v>43</v>
      </c>
      <c r="S826" s="3" t="s">
        <v>72</v>
      </c>
      <c r="T826" s="3" t="str">
        <f t="shared" si="50"/>
        <v>Part-Time</v>
      </c>
      <c r="V826" s="3">
        <v>5</v>
      </c>
      <c r="W826" s="3">
        <v>13</v>
      </c>
      <c r="X826" s="3">
        <v>3</v>
      </c>
      <c r="Y826" s="3" t="s">
        <v>79</v>
      </c>
      <c r="Z826" s="3">
        <v>31</v>
      </c>
      <c r="AB826" s="3" t="str" cm="1">
        <f t="array" ref="AB826">_xlfn.IFS(AA826="N","No",  AA826 = "Y", "Yes", TRUE, PROPER(TRIM(AA826)))</f>
        <v/>
      </c>
      <c r="AC826" s="3">
        <v>3</v>
      </c>
      <c r="AD826" s="3" t="s">
        <v>34</v>
      </c>
      <c r="AE826">
        <f t="shared" si="51"/>
        <v>0</v>
      </c>
    </row>
    <row r="827" spans="1:31" ht="14.25" customHeight="1" x14ac:dyDescent="0.35">
      <c r="A827" s="3" t="s">
        <v>1591</v>
      </c>
      <c r="B827" s="3" t="s">
        <v>68</v>
      </c>
      <c r="C827" s="3" t="s">
        <v>318</v>
      </c>
      <c r="D827" s="3">
        <v>40</v>
      </c>
      <c r="E827" s="3">
        <f t="shared" si="48"/>
        <v>40</v>
      </c>
      <c r="F827" s="3">
        <v>1984</v>
      </c>
      <c r="G827" s="3">
        <v>50000</v>
      </c>
      <c r="H827" s="12" cm="1">
        <f t="array" ref="H827">_xlfn.IFS(TRIM(G827)="SIXTY THOUSAND",60000,TRIM(G827)="NAN",AVERAGEIFS(G:G,J:J,J827,L:L,L827),TRUE,G827)</f>
        <v>50000</v>
      </c>
      <c r="I827" s="3" t="s">
        <v>27</v>
      </c>
      <c r="J827" s="3" t="s">
        <v>28</v>
      </c>
      <c r="K827" s="3" t="str">
        <f t="shared" si="49"/>
        <v>HR</v>
      </c>
      <c r="L827" s="3" t="s">
        <v>77</v>
      </c>
      <c r="M827" s="4">
        <v>43881</v>
      </c>
      <c r="N827" s="4">
        <v>43881</v>
      </c>
      <c r="O827" s="3" t="s">
        <v>78</v>
      </c>
      <c r="P827" s="3">
        <v>83</v>
      </c>
      <c r="Q827" s="3" t="s">
        <v>319</v>
      </c>
      <c r="R827" s="3" t="s">
        <v>43</v>
      </c>
      <c r="S827" s="3" t="s">
        <v>174</v>
      </c>
      <c r="T827" s="3" t="str">
        <f t="shared" si="50"/>
        <v>Full-Time</v>
      </c>
      <c r="V827" s="3">
        <v>8</v>
      </c>
      <c r="W827" s="3" t="s">
        <v>79</v>
      </c>
      <c r="Y827" s="3" t="s">
        <v>79</v>
      </c>
      <c r="AA827" s="3" t="s">
        <v>34</v>
      </c>
      <c r="AB827" s="3" t="str" cm="1">
        <f t="array" ref="AB827">_xlfn.IFS(AA827="N","No",  AA827 = "Y", "Yes", TRUE, PROPER(TRIM(AA827)))</f>
        <v>No</v>
      </c>
      <c r="AC827" s="3">
        <v>1</v>
      </c>
      <c r="AD827" s="3" t="s">
        <v>34</v>
      </c>
      <c r="AE827">
        <f t="shared" si="51"/>
        <v>0</v>
      </c>
    </row>
    <row r="828" spans="1:31" ht="14.25" customHeight="1" x14ac:dyDescent="0.35">
      <c r="A828" s="3" t="s">
        <v>1592</v>
      </c>
      <c r="B828" s="3" t="s">
        <v>114</v>
      </c>
      <c r="C828" s="3" t="s">
        <v>662</v>
      </c>
      <c r="D828" s="3">
        <v>40</v>
      </c>
      <c r="E828" s="3">
        <f t="shared" si="48"/>
        <v>40</v>
      </c>
      <c r="F828" s="3">
        <v>1984</v>
      </c>
      <c r="G828" s="3">
        <v>65000</v>
      </c>
      <c r="H828" s="12" cm="1">
        <f t="array" ref="H828">_xlfn.IFS(TRIM(G828)="SIXTY THOUSAND",60000,TRIM(G828)="NAN",AVERAGEIFS(G:G,J:J,J828,L:L,L828),TRUE,G828)</f>
        <v>65000</v>
      </c>
      <c r="I828" s="3" t="s">
        <v>27</v>
      </c>
      <c r="J828" s="3" t="s">
        <v>93</v>
      </c>
      <c r="K828" s="3" t="str">
        <f t="shared" si="49"/>
        <v>Marketing</v>
      </c>
      <c r="L828" s="3" t="s">
        <v>40</v>
      </c>
      <c r="M828" s="4">
        <v>43845</v>
      </c>
      <c r="N828" s="4">
        <v>43845</v>
      </c>
      <c r="O828" s="3" t="s">
        <v>52</v>
      </c>
      <c r="P828" s="3">
        <v>74</v>
      </c>
      <c r="Q828" s="3" t="s">
        <v>663</v>
      </c>
      <c r="S828" s="3" t="s">
        <v>112</v>
      </c>
      <c r="T828" s="3" t="str">
        <f t="shared" si="50"/>
        <v>Full-Time</v>
      </c>
      <c r="U828" s="3" t="s">
        <v>1593</v>
      </c>
      <c r="V828" s="3">
        <v>7</v>
      </c>
      <c r="X828" s="3">
        <v>20</v>
      </c>
      <c r="Z828" s="3">
        <v>54</v>
      </c>
      <c r="AB828" s="3" t="str" cm="1">
        <f t="array" ref="AB828">_xlfn.IFS(AA828="N","No",  AA828 = "Y", "Yes", TRUE, PROPER(TRIM(AA828)))</f>
        <v/>
      </c>
      <c r="AC828" s="3">
        <v>1</v>
      </c>
      <c r="AD828" s="3" t="s">
        <v>46</v>
      </c>
      <c r="AE828">
        <f t="shared" si="51"/>
        <v>1</v>
      </c>
    </row>
    <row r="829" spans="1:31" ht="14.25" customHeight="1" x14ac:dyDescent="0.35">
      <c r="A829" s="3" t="s">
        <v>1594</v>
      </c>
      <c r="B829" s="3" t="s">
        <v>48</v>
      </c>
      <c r="C829" s="3" t="s">
        <v>259</v>
      </c>
      <c r="D829" s="3">
        <v>50</v>
      </c>
      <c r="E829" s="3">
        <f t="shared" si="48"/>
        <v>50</v>
      </c>
      <c r="F829" s="3">
        <v>1974</v>
      </c>
      <c r="G829" s="3">
        <v>50000</v>
      </c>
      <c r="H829" s="12" cm="1">
        <f t="array" ref="H829">_xlfn.IFS(TRIM(G829)="SIXTY THOUSAND",60000,TRIM(G829)="NAN",AVERAGEIFS(G:G,J:J,J829,L:L,L829),TRUE,G829)</f>
        <v>50000</v>
      </c>
      <c r="I829" s="3" t="s">
        <v>38</v>
      </c>
      <c r="J829" s="3" t="s">
        <v>145</v>
      </c>
      <c r="K829" s="3" t="str">
        <f t="shared" si="49"/>
        <v>Sales</v>
      </c>
      <c r="L829" s="3" t="s">
        <v>89</v>
      </c>
      <c r="M829" s="4">
        <v>43549</v>
      </c>
      <c r="N829" s="4">
        <v>43549</v>
      </c>
      <c r="O829" s="3" t="s">
        <v>41</v>
      </c>
      <c r="P829" s="3">
        <v>35</v>
      </c>
      <c r="Q829" s="3" t="s">
        <v>1595</v>
      </c>
      <c r="R829" s="3" t="s">
        <v>61</v>
      </c>
      <c r="S829" s="3" t="s">
        <v>112</v>
      </c>
      <c r="T829" s="3" t="str">
        <f t="shared" si="50"/>
        <v>Full-Time</v>
      </c>
      <c r="U829" s="3" t="s">
        <v>102</v>
      </c>
      <c r="V829" s="3">
        <v>8</v>
      </c>
      <c r="Z829" s="3">
        <v>52</v>
      </c>
      <c r="AA829" s="3" t="s">
        <v>46</v>
      </c>
      <c r="AB829" s="3" t="str" cm="1">
        <f t="array" ref="AB829">_xlfn.IFS(AA829="N","No",  AA829 = "Y", "Yes", TRUE, PROPER(TRIM(AA829)))</f>
        <v>Yes</v>
      </c>
      <c r="AC829" s="3">
        <v>4</v>
      </c>
      <c r="AD829" s="3" t="s">
        <v>34</v>
      </c>
      <c r="AE829">
        <f t="shared" si="51"/>
        <v>0</v>
      </c>
    </row>
    <row r="830" spans="1:31" ht="14.25" customHeight="1" x14ac:dyDescent="0.35">
      <c r="A830" s="3" t="s">
        <v>1596</v>
      </c>
      <c r="B830" s="3" t="s">
        <v>107</v>
      </c>
      <c r="C830" s="3" t="s">
        <v>219</v>
      </c>
      <c r="D830" s="3">
        <v>25</v>
      </c>
      <c r="E830" s="3">
        <f t="shared" si="48"/>
        <v>25</v>
      </c>
      <c r="F830" s="3">
        <v>1999</v>
      </c>
      <c r="G830" s="3">
        <v>65000</v>
      </c>
      <c r="H830" s="12" cm="1">
        <f t="array" ref="H830">_xlfn.IFS(TRIM(G830)="SIXTY THOUSAND",60000,TRIM(G830)="NAN",AVERAGEIFS(G:G,J:J,J830,L:L,L830),TRUE,G830)</f>
        <v>65000</v>
      </c>
      <c r="I830" s="3" t="s">
        <v>27</v>
      </c>
      <c r="J830" s="3" t="s">
        <v>145</v>
      </c>
      <c r="K830" s="3" t="str">
        <f t="shared" si="49"/>
        <v>Sales</v>
      </c>
      <c r="L830" s="3" t="s">
        <v>94</v>
      </c>
      <c r="M830" s="4">
        <v>43881</v>
      </c>
      <c r="N830" s="4">
        <v>43881</v>
      </c>
      <c r="O830" s="3" t="s">
        <v>30</v>
      </c>
      <c r="P830" s="3">
        <v>65</v>
      </c>
      <c r="Q830" s="3" t="s">
        <v>1597</v>
      </c>
      <c r="R830" s="3" t="s">
        <v>61</v>
      </c>
      <c r="S830" s="3" t="s">
        <v>174</v>
      </c>
      <c r="T830" s="3" t="str">
        <f t="shared" si="50"/>
        <v>Full-Time</v>
      </c>
      <c r="V830" s="3">
        <v>4</v>
      </c>
      <c r="Z830" s="3">
        <v>26</v>
      </c>
      <c r="AA830" s="3" t="s">
        <v>73</v>
      </c>
      <c r="AB830" s="3" t="str" cm="1">
        <f t="array" ref="AB830">_xlfn.IFS(AA830="N","No",  AA830 = "Y", "Yes", TRUE, PROPER(TRIM(AA830)))</f>
        <v>No</v>
      </c>
      <c r="AC830" s="3">
        <v>5</v>
      </c>
      <c r="AD830" s="3" t="s">
        <v>34</v>
      </c>
      <c r="AE830">
        <f t="shared" si="51"/>
        <v>0</v>
      </c>
    </row>
    <row r="831" spans="1:31" ht="14.25" customHeight="1" x14ac:dyDescent="0.35">
      <c r="A831" s="3" t="s">
        <v>1598</v>
      </c>
      <c r="B831" s="3" t="s">
        <v>56</v>
      </c>
      <c r="C831" s="3" t="s">
        <v>141</v>
      </c>
      <c r="E831" s="3">
        <f t="shared" si="48"/>
        <v>46</v>
      </c>
      <c r="F831" s="3">
        <v>1978</v>
      </c>
      <c r="G831" s="3">
        <v>70000</v>
      </c>
      <c r="H831" s="12" cm="1">
        <f t="array" ref="H831">_xlfn.IFS(TRIM(G831)="SIXTY THOUSAND",60000,TRIM(G831)="NAN",AVERAGEIFS(G:G,J:J,J831,L:L,L831),TRUE,G831)</f>
        <v>70000</v>
      </c>
      <c r="I831" s="3" t="s">
        <v>27</v>
      </c>
      <c r="J831" s="3" t="s">
        <v>64</v>
      </c>
      <c r="K831" s="3" t="str">
        <f t="shared" si="49"/>
        <v>Finance</v>
      </c>
      <c r="L831" s="3" t="s">
        <v>29</v>
      </c>
      <c r="M831" s="4">
        <v>43549</v>
      </c>
      <c r="N831" s="4">
        <v>43549</v>
      </c>
      <c r="O831" s="3" t="s">
        <v>78</v>
      </c>
      <c r="P831" s="3">
        <v>81</v>
      </c>
      <c r="Q831" s="3" t="s">
        <v>1599</v>
      </c>
      <c r="R831" s="3" t="s">
        <v>54</v>
      </c>
      <c r="S831" s="3" t="s">
        <v>100</v>
      </c>
      <c r="T831" s="3" t="str">
        <f t="shared" si="50"/>
        <v>Part-Time</v>
      </c>
      <c r="U831" s="3" t="s">
        <v>481</v>
      </c>
      <c r="V831" s="3">
        <v>6</v>
      </c>
      <c r="Y831" s="4">
        <v>44470</v>
      </c>
      <c r="Z831" s="3">
        <v>50</v>
      </c>
      <c r="AA831" s="3" t="s">
        <v>73</v>
      </c>
      <c r="AB831" s="3" t="str" cm="1">
        <f t="array" ref="AB831">_xlfn.IFS(AA831="N","No",  AA831 = "Y", "Yes", TRUE, PROPER(TRIM(AA831)))</f>
        <v>No</v>
      </c>
      <c r="AC831" s="3">
        <v>2</v>
      </c>
      <c r="AD831" s="3" t="s">
        <v>34</v>
      </c>
      <c r="AE831">
        <f t="shared" si="51"/>
        <v>0</v>
      </c>
    </row>
    <row r="832" spans="1:31" ht="14.25" customHeight="1" x14ac:dyDescent="0.35">
      <c r="A832" s="3" t="s">
        <v>1600</v>
      </c>
      <c r="B832" s="3" t="s">
        <v>140</v>
      </c>
      <c r="C832" s="3" t="s">
        <v>196</v>
      </c>
      <c r="D832" s="3">
        <v>25</v>
      </c>
      <c r="E832" s="3">
        <f t="shared" si="48"/>
        <v>25</v>
      </c>
      <c r="F832" s="3">
        <v>1999</v>
      </c>
      <c r="G832" s="3">
        <v>60800</v>
      </c>
      <c r="H832" s="12" cm="1">
        <f t="array" ref="H832">_xlfn.IFS(TRIM(G832)="SIXTY THOUSAND",60000,TRIM(G832)="NAN",AVERAGEIFS(G:G,J:J,J832,L:L,L832),TRUE,G832)</f>
        <v>60800</v>
      </c>
      <c r="I832" s="3" t="s">
        <v>38</v>
      </c>
      <c r="J832" s="3" t="s">
        <v>64</v>
      </c>
      <c r="K832" s="3" t="str">
        <f t="shared" si="49"/>
        <v>Finance</v>
      </c>
      <c r="L832" s="3" t="s">
        <v>94</v>
      </c>
      <c r="M832" s="4">
        <v>43881</v>
      </c>
      <c r="N832" s="4">
        <v>43881</v>
      </c>
      <c r="O832" s="3" t="s">
        <v>59</v>
      </c>
      <c r="P832" s="3">
        <v>93</v>
      </c>
      <c r="Q832" s="3" t="s">
        <v>197</v>
      </c>
      <c r="R832" s="3" t="s">
        <v>54</v>
      </c>
      <c r="S832" s="3" t="s">
        <v>32</v>
      </c>
      <c r="T832" s="3" t="str">
        <f t="shared" si="50"/>
        <v>Contract</v>
      </c>
      <c r="U832" s="3" t="s">
        <v>1601</v>
      </c>
      <c r="V832" s="3">
        <v>8</v>
      </c>
      <c r="Z832" s="3">
        <v>34</v>
      </c>
      <c r="AA832" s="3" t="s">
        <v>34</v>
      </c>
      <c r="AB832" s="3" t="str" cm="1">
        <f t="array" ref="AB832">_xlfn.IFS(AA832="N","No",  AA832 = "Y", "Yes", TRUE, PROPER(TRIM(AA832)))</f>
        <v>No</v>
      </c>
      <c r="AC832" s="3">
        <v>3</v>
      </c>
      <c r="AD832" s="3" t="s">
        <v>34</v>
      </c>
      <c r="AE832">
        <f t="shared" si="51"/>
        <v>0</v>
      </c>
    </row>
    <row r="833" spans="1:31" ht="14.25" customHeight="1" x14ac:dyDescent="0.35">
      <c r="A833" s="3" t="s">
        <v>1602</v>
      </c>
      <c r="B833" s="3" t="s">
        <v>131</v>
      </c>
      <c r="C833" s="3" t="s">
        <v>179</v>
      </c>
      <c r="D833" s="3">
        <v>50</v>
      </c>
      <c r="E833" s="3">
        <f t="shared" si="48"/>
        <v>50</v>
      </c>
      <c r="F833" s="3">
        <v>1974</v>
      </c>
      <c r="G833" s="3">
        <v>65000</v>
      </c>
      <c r="H833" s="12" cm="1">
        <f t="array" ref="H833">_xlfn.IFS(TRIM(G833)="SIXTY THOUSAND",60000,TRIM(G833)="NAN",AVERAGEIFS(G:G,J:J,J833,L:L,L833),TRUE,G833)</f>
        <v>65000</v>
      </c>
      <c r="I833" s="3" t="s">
        <v>27</v>
      </c>
      <c r="J833" s="3" t="s">
        <v>122</v>
      </c>
      <c r="K833" s="3" t="str">
        <f t="shared" si="49"/>
        <v>IT</v>
      </c>
      <c r="L833" s="3" t="s">
        <v>29</v>
      </c>
      <c r="M833" s="4">
        <v>43800</v>
      </c>
      <c r="N833" s="4">
        <v>43800</v>
      </c>
      <c r="O833" s="3" t="s">
        <v>59</v>
      </c>
      <c r="P833" s="3">
        <v>100</v>
      </c>
      <c r="Q833" s="3" t="s">
        <v>1603</v>
      </c>
      <c r="S833" s="3" t="s">
        <v>44</v>
      </c>
      <c r="T833" s="3" t="str">
        <f t="shared" si="50"/>
        <v>Full-Time</v>
      </c>
      <c r="V833" s="3">
        <v>8</v>
      </c>
      <c r="W833" s="3" t="s">
        <v>79</v>
      </c>
      <c r="AA833" s="3" t="s">
        <v>73</v>
      </c>
      <c r="AB833" s="3" t="str" cm="1">
        <f t="array" ref="AB833">_xlfn.IFS(AA833="N","No",  AA833 = "Y", "Yes", TRUE, PROPER(TRIM(AA833)))</f>
        <v>No</v>
      </c>
      <c r="AC833" s="3">
        <v>5</v>
      </c>
      <c r="AD833" s="3" t="s">
        <v>34</v>
      </c>
      <c r="AE833">
        <f t="shared" si="51"/>
        <v>0</v>
      </c>
    </row>
    <row r="834" spans="1:31" ht="14.25" customHeight="1" x14ac:dyDescent="0.35">
      <c r="A834" s="3" t="s">
        <v>1604</v>
      </c>
      <c r="B834" s="3" t="s">
        <v>56</v>
      </c>
      <c r="C834" s="3" t="s">
        <v>117</v>
      </c>
      <c r="D834" s="3">
        <v>40</v>
      </c>
      <c r="E834" s="3">
        <f t="shared" ref="E834:E897" si="52">2024-F834</f>
        <v>40</v>
      </c>
      <c r="F834" s="3">
        <v>1984</v>
      </c>
      <c r="G834" s="3">
        <v>55000</v>
      </c>
      <c r="H834" s="12" cm="1">
        <f t="array" ref="H834">_xlfn.IFS(TRIM(G834)="SIXTY THOUSAND",60000,TRIM(G834)="NAN",AVERAGEIFS(G:G,J:J,J834,L:L,L834),TRUE,G834)</f>
        <v>55000</v>
      </c>
      <c r="I834" s="3" t="s">
        <v>38</v>
      </c>
      <c r="J834" s="3" t="s">
        <v>122</v>
      </c>
      <c r="K834" s="3" t="str">
        <f t="shared" ref="K834:K897" si="53">IF(OR(J834="HR",J834="IT"),UPPER(J834),PROPER(J834))</f>
        <v>IT</v>
      </c>
      <c r="L834" s="3" t="s">
        <v>94</v>
      </c>
      <c r="M834" s="4">
        <v>43800</v>
      </c>
      <c r="N834" s="4">
        <v>43800</v>
      </c>
      <c r="O834" s="3" t="s">
        <v>52</v>
      </c>
      <c r="P834" s="3">
        <v>76</v>
      </c>
      <c r="Q834" s="3" t="s">
        <v>1605</v>
      </c>
      <c r="R834" s="3" t="s">
        <v>43</v>
      </c>
      <c r="S834" s="3" t="s">
        <v>174</v>
      </c>
      <c r="T834" s="3" t="str">
        <f t="shared" ref="T834:T897" si="54">PROPER(S834)</f>
        <v>Full-Time</v>
      </c>
      <c r="V834" s="3">
        <v>1</v>
      </c>
      <c r="W834" s="3">
        <v>3</v>
      </c>
      <c r="X834" s="3">
        <v>9</v>
      </c>
      <c r="Z834" s="3">
        <v>13</v>
      </c>
      <c r="AB834" s="3" t="str" cm="1">
        <f t="array" ref="AB834">_xlfn.IFS(AA834="N","No",  AA834 = "Y", "Yes", TRUE, PROPER(TRIM(AA834)))</f>
        <v/>
      </c>
      <c r="AC834" s="3">
        <v>4</v>
      </c>
      <c r="AD834" s="3" t="s">
        <v>46</v>
      </c>
      <c r="AE834">
        <f t="shared" si="51"/>
        <v>1</v>
      </c>
    </row>
    <row r="835" spans="1:31" ht="14.25" customHeight="1" x14ac:dyDescent="0.35">
      <c r="A835" s="3" t="s">
        <v>1606</v>
      </c>
      <c r="B835" s="3" t="s">
        <v>107</v>
      </c>
      <c r="C835" s="3" t="s">
        <v>84</v>
      </c>
      <c r="D835" s="3" t="s">
        <v>88</v>
      </c>
      <c r="E835" s="3">
        <f t="shared" si="52"/>
        <v>30</v>
      </c>
      <c r="F835" s="3">
        <v>1994</v>
      </c>
      <c r="G835" s="3">
        <v>61500</v>
      </c>
      <c r="H835" s="12" cm="1">
        <f t="array" ref="H835">_xlfn.IFS(TRIM(G835)="SIXTY THOUSAND",60000,TRIM(G835)="NAN",AVERAGEIFS(G:G,J:J,J835,L:L,L835),TRUE,G835)</f>
        <v>61500</v>
      </c>
      <c r="I835" s="3" t="s">
        <v>38</v>
      </c>
      <c r="J835" s="3" t="s">
        <v>145</v>
      </c>
      <c r="K835" s="3" t="str">
        <f t="shared" si="53"/>
        <v>Sales</v>
      </c>
      <c r="L835" s="3" t="s">
        <v>29</v>
      </c>
      <c r="M835" s="4">
        <v>43845</v>
      </c>
      <c r="N835" s="4">
        <v>43845</v>
      </c>
      <c r="O835" s="3" t="s">
        <v>30</v>
      </c>
      <c r="P835" s="3">
        <v>68</v>
      </c>
      <c r="Q835" s="3" t="s">
        <v>1607</v>
      </c>
      <c r="R835" s="3" t="s">
        <v>54</v>
      </c>
      <c r="S835" s="3" t="s">
        <v>174</v>
      </c>
      <c r="T835" s="3" t="str">
        <f t="shared" si="54"/>
        <v>Full-Time</v>
      </c>
      <c r="V835" s="3">
        <v>8</v>
      </c>
      <c r="W835" s="3" t="s">
        <v>79</v>
      </c>
      <c r="X835" s="3">
        <v>14</v>
      </c>
      <c r="Y835" s="4">
        <v>44941</v>
      </c>
      <c r="Z835" s="3">
        <v>51</v>
      </c>
      <c r="AA835" s="3" t="s">
        <v>73</v>
      </c>
      <c r="AB835" s="3" t="str" cm="1">
        <f t="array" ref="AB835">_xlfn.IFS(AA835="N","No",  AA835 = "Y", "Yes", TRUE, PROPER(TRIM(AA835)))</f>
        <v>No</v>
      </c>
      <c r="AC835" s="3">
        <v>1</v>
      </c>
      <c r="AD835" s="3" t="s">
        <v>46</v>
      </c>
      <c r="AE835">
        <f t="shared" ref="AE835:AE898" si="55">IF(AD835="Yes",1,0)</f>
        <v>1</v>
      </c>
    </row>
    <row r="836" spans="1:31" ht="14.25" customHeight="1" x14ac:dyDescent="0.35">
      <c r="A836" s="3" t="s">
        <v>1608</v>
      </c>
      <c r="B836" s="3" t="s">
        <v>56</v>
      </c>
      <c r="C836" s="3" t="s">
        <v>1043</v>
      </c>
      <c r="D836" s="3">
        <v>40</v>
      </c>
      <c r="E836" s="3">
        <f t="shared" si="52"/>
        <v>40</v>
      </c>
      <c r="F836" s="3">
        <v>1984</v>
      </c>
      <c r="G836" s="3">
        <v>59500</v>
      </c>
      <c r="H836" s="12" cm="1">
        <f t="array" ref="H836">_xlfn.IFS(TRIM(G836)="SIXTY THOUSAND",60000,TRIM(G836)="NAN",AVERAGEIFS(G:G,J:J,J836,L:L,L836),TRUE,G836)</f>
        <v>59500</v>
      </c>
      <c r="I836" s="3" t="s">
        <v>38</v>
      </c>
      <c r="J836" s="3" t="s">
        <v>64</v>
      </c>
      <c r="K836" s="3" t="str">
        <f t="shared" si="53"/>
        <v>Finance</v>
      </c>
      <c r="L836" s="3" t="s">
        <v>29</v>
      </c>
      <c r="M836" s="4">
        <v>43845</v>
      </c>
      <c r="N836" s="4">
        <v>43845</v>
      </c>
      <c r="O836" s="3" t="s">
        <v>59</v>
      </c>
      <c r="P836" s="3">
        <v>92</v>
      </c>
      <c r="Q836" s="3" t="s">
        <v>1044</v>
      </c>
      <c r="R836" s="3" t="s">
        <v>104</v>
      </c>
      <c r="S836" s="3" t="s">
        <v>100</v>
      </c>
      <c r="T836" s="3" t="str">
        <f t="shared" si="54"/>
        <v>Part-Time</v>
      </c>
      <c r="V836" s="3">
        <v>2</v>
      </c>
      <c r="W836" s="3" t="s">
        <v>79</v>
      </c>
      <c r="X836" s="3">
        <v>17</v>
      </c>
      <c r="Y836" s="4">
        <v>45516</v>
      </c>
      <c r="Z836" s="3">
        <v>62</v>
      </c>
      <c r="AA836" s="3" t="s">
        <v>169</v>
      </c>
      <c r="AB836" s="3" t="str" cm="1">
        <f t="array" ref="AB836">_xlfn.IFS(AA836="N","No",  AA836 = "Y", "Yes", TRUE, PROPER(TRIM(AA836)))</f>
        <v>Yes</v>
      </c>
      <c r="AC836" s="3">
        <v>5</v>
      </c>
      <c r="AD836" s="3" t="s">
        <v>34</v>
      </c>
      <c r="AE836">
        <f t="shared" si="55"/>
        <v>0</v>
      </c>
    </row>
    <row r="837" spans="1:31" ht="14.25" customHeight="1" x14ac:dyDescent="0.35">
      <c r="A837" s="3" t="s">
        <v>1609</v>
      </c>
      <c r="B837" s="3" t="s">
        <v>107</v>
      </c>
      <c r="C837" s="3" t="s">
        <v>777</v>
      </c>
      <c r="E837" s="3">
        <f t="shared" si="52"/>
        <v>39</v>
      </c>
      <c r="F837" s="3">
        <v>1985</v>
      </c>
      <c r="G837" s="3">
        <v>65000</v>
      </c>
      <c r="H837" s="12" cm="1">
        <f t="array" ref="H837">_xlfn.IFS(TRIM(G837)="SIXTY THOUSAND",60000,TRIM(G837)="NAN",AVERAGEIFS(G:G,J:J,J837,L:L,L837),TRUE,G837)</f>
        <v>65000</v>
      </c>
      <c r="I837" s="3" t="s">
        <v>38</v>
      </c>
      <c r="J837" s="3" t="s">
        <v>28</v>
      </c>
      <c r="K837" s="3" t="str">
        <f t="shared" si="53"/>
        <v>HR</v>
      </c>
      <c r="L837" s="3" t="s">
        <v>94</v>
      </c>
      <c r="M837" s="4">
        <v>43549</v>
      </c>
      <c r="N837" s="4">
        <v>43549</v>
      </c>
      <c r="O837" s="3" t="s">
        <v>52</v>
      </c>
      <c r="P837" s="3">
        <v>74</v>
      </c>
      <c r="Q837" s="3" t="s">
        <v>778</v>
      </c>
      <c r="R837" s="3" t="s">
        <v>43</v>
      </c>
      <c r="S837" s="3" t="s">
        <v>112</v>
      </c>
      <c r="T837" s="3" t="str">
        <f t="shared" si="54"/>
        <v>Full-Time</v>
      </c>
      <c r="V837" s="3">
        <v>5</v>
      </c>
      <c r="Y837" s="3" t="s">
        <v>79</v>
      </c>
      <c r="AA837" s="3" t="s">
        <v>34</v>
      </c>
      <c r="AB837" s="3" t="str" cm="1">
        <f t="array" ref="AB837">_xlfn.IFS(AA837="N","No",  AA837 = "Y", "Yes", TRUE, PROPER(TRIM(AA837)))</f>
        <v>No</v>
      </c>
      <c r="AC837" s="3">
        <v>3</v>
      </c>
      <c r="AD837" s="3" t="s">
        <v>34</v>
      </c>
      <c r="AE837">
        <f t="shared" si="55"/>
        <v>0</v>
      </c>
    </row>
    <row r="838" spans="1:31" ht="14.25" customHeight="1" x14ac:dyDescent="0.35">
      <c r="A838" s="3" t="s">
        <v>1610</v>
      </c>
      <c r="B838" s="3" t="s">
        <v>107</v>
      </c>
      <c r="C838" s="3" t="s">
        <v>465</v>
      </c>
      <c r="D838" s="3">
        <v>40</v>
      </c>
      <c r="E838" s="3">
        <f t="shared" si="52"/>
        <v>40</v>
      </c>
      <c r="F838" s="3">
        <v>1984</v>
      </c>
      <c r="G838" s="3" t="s">
        <v>50</v>
      </c>
      <c r="H838" s="12" cm="1">
        <f t="array" ref="H838">_xlfn.IFS(TRIM(G838)="SIXTY THOUSAND",60000,TRIM(G838)="NAN",AVERAGEIFS(G:G,J:J,J838,L:L,L838),TRUE,G838)</f>
        <v>60000</v>
      </c>
      <c r="I838" s="3" t="s">
        <v>27</v>
      </c>
      <c r="J838" s="3" t="s">
        <v>70</v>
      </c>
      <c r="K838" s="3" t="str">
        <f t="shared" si="53"/>
        <v>Marketing</v>
      </c>
      <c r="L838" s="3" t="s">
        <v>94</v>
      </c>
      <c r="M838" s="4">
        <v>43881</v>
      </c>
      <c r="N838" s="4">
        <v>43881</v>
      </c>
      <c r="O838" s="3" t="s">
        <v>41</v>
      </c>
      <c r="P838" s="3">
        <v>3</v>
      </c>
      <c r="Q838" s="3" t="s">
        <v>1611</v>
      </c>
      <c r="R838" s="3" t="s">
        <v>104</v>
      </c>
      <c r="S838" s="3" t="s">
        <v>112</v>
      </c>
      <c r="T838" s="3" t="str">
        <f t="shared" si="54"/>
        <v>Full-Time</v>
      </c>
      <c r="V838" s="3">
        <v>2</v>
      </c>
      <c r="W838" s="3">
        <v>4</v>
      </c>
      <c r="Y838" s="3" t="s">
        <v>79</v>
      </c>
      <c r="AA838" s="3" t="s">
        <v>46</v>
      </c>
      <c r="AB838" s="3" t="str" cm="1">
        <f t="array" ref="AB838">_xlfn.IFS(AA838="N","No",  AA838 = "Y", "Yes", TRUE, PROPER(TRIM(AA838)))</f>
        <v>Yes</v>
      </c>
      <c r="AC838" s="3">
        <v>1</v>
      </c>
      <c r="AD838" s="3" t="s">
        <v>34</v>
      </c>
      <c r="AE838">
        <f t="shared" si="55"/>
        <v>0</v>
      </c>
    </row>
    <row r="839" spans="1:31" ht="14.25" customHeight="1" x14ac:dyDescent="0.35">
      <c r="A839" s="3" t="s">
        <v>1612</v>
      </c>
      <c r="B839" s="3" t="s">
        <v>25</v>
      </c>
      <c r="C839" s="3" t="s">
        <v>158</v>
      </c>
      <c r="E839" s="3">
        <f t="shared" si="52"/>
        <v>46</v>
      </c>
      <c r="F839" s="3">
        <v>1978</v>
      </c>
      <c r="G839" s="3">
        <v>65000</v>
      </c>
      <c r="H839" s="12" cm="1">
        <f t="array" ref="H839">_xlfn.IFS(TRIM(G839)="SIXTY THOUSAND",60000,TRIM(G839)="NAN",AVERAGEIFS(G:G,J:J,J839,L:L,L839),TRUE,G839)</f>
        <v>65000</v>
      </c>
      <c r="I839" s="3" t="s">
        <v>38</v>
      </c>
      <c r="J839" s="3" t="s">
        <v>39</v>
      </c>
      <c r="K839" s="3" t="str">
        <f t="shared" si="53"/>
        <v>Finance</v>
      </c>
      <c r="L839" s="3" t="s">
        <v>29</v>
      </c>
      <c r="M839" s="4">
        <v>43195</v>
      </c>
      <c r="N839" s="4">
        <v>43195</v>
      </c>
      <c r="O839" s="3" t="s">
        <v>52</v>
      </c>
      <c r="P839" s="3">
        <v>71</v>
      </c>
      <c r="Q839" t="str">
        <f>LOWER(_xlfn.CONCAT(B839,".",C839,"@saltcorp.com"))</f>
        <v>grace.williamson@saltcorp.com</v>
      </c>
      <c r="R839" s="3" t="s">
        <v>61</v>
      </c>
      <c r="S839" s="3" t="s">
        <v>44</v>
      </c>
      <c r="T839" s="3" t="str">
        <f t="shared" si="54"/>
        <v>Full-Time</v>
      </c>
      <c r="U839" s="3" t="s">
        <v>975</v>
      </c>
      <c r="V839" s="3">
        <v>7</v>
      </c>
      <c r="X839" s="3">
        <v>9</v>
      </c>
      <c r="Y839" s="4">
        <v>44732</v>
      </c>
      <c r="AA839" s="3" t="s">
        <v>73</v>
      </c>
      <c r="AB839" s="3" t="str" cm="1">
        <f t="array" ref="AB839">_xlfn.IFS(AA839="N","No",  AA839 = "Y", "Yes", TRUE, PROPER(TRIM(AA839)))</f>
        <v>No</v>
      </c>
      <c r="AC839" s="3">
        <v>4</v>
      </c>
      <c r="AD839" s="3" t="s">
        <v>34</v>
      </c>
      <c r="AE839">
        <f t="shared" si="55"/>
        <v>0</v>
      </c>
    </row>
    <row r="840" spans="1:31" ht="14.25" customHeight="1" x14ac:dyDescent="0.35">
      <c r="A840" s="3" t="s">
        <v>1613</v>
      </c>
      <c r="B840" s="3" t="s">
        <v>36</v>
      </c>
      <c r="C840" s="3" t="s">
        <v>318</v>
      </c>
      <c r="E840" s="3">
        <f t="shared" si="52"/>
        <v>59</v>
      </c>
      <c r="F840" s="3">
        <v>1965</v>
      </c>
      <c r="G840" s="3">
        <v>60300</v>
      </c>
      <c r="H840" s="12" cm="1">
        <f t="array" ref="H840">_xlfn.IFS(TRIM(G840)="SIXTY THOUSAND",60000,TRIM(G840)="NAN",AVERAGEIFS(G:G,J:J,J840,L:L,L840),TRUE,G840)</f>
        <v>60300</v>
      </c>
      <c r="I840" s="3" t="s">
        <v>38</v>
      </c>
      <c r="J840" s="3" t="s">
        <v>64</v>
      </c>
      <c r="K840" s="3" t="str">
        <f t="shared" si="53"/>
        <v>Finance</v>
      </c>
      <c r="L840" s="3" t="s">
        <v>40</v>
      </c>
      <c r="M840" s="4">
        <v>43845</v>
      </c>
      <c r="N840" s="4">
        <v>43845</v>
      </c>
      <c r="O840" s="3" t="s">
        <v>52</v>
      </c>
      <c r="P840" s="3">
        <v>79</v>
      </c>
      <c r="Q840" s="3" t="s">
        <v>419</v>
      </c>
      <c r="R840" s="3" t="s">
        <v>43</v>
      </c>
      <c r="S840" s="3" t="s">
        <v>66</v>
      </c>
      <c r="T840" s="3" t="str">
        <f t="shared" si="54"/>
        <v>Contract</v>
      </c>
      <c r="U840" s="3" t="s">
        <v>109</v>
      </c>
      <c r="V840" s="3">
        <v>4</v>
      </c>
      <c r="W840" s="3" t="s">
        <v>79</v>
      </c>
      <c r="X840" s="3">
        <v>19</v>
      </c>
      <c r="AA840" s="3" t="s">
        <v>46</v>
      </c>
      <c r="AB840" s="3" t="str" cm="1">
        <f t="array" ref="AB840">_xlfn.IFS(AA840="N","No",  AA840 = "Y", "Yes", TRUE, PROPER(TRIM(AA840)))</f>
        <v>Yes</v>
      </c>
      <c r="AC840" s="3">
        <v>3</v>
      </c>
      <c r="AD840" s="3" t="s">
        <v>34</v>
      </c>
      <c r="AE840">
        <f t="shared" si="55"/>
        <v>0</v>
      </c>
    </row>
    <row r="841" spans="1:31" ht="14.25" customHeight="1" x14ac:dyDescent="0.35">
      <c r="A841" s="3" t="s">
        <v>1614</v>
      </c>
      <c r="B841" s="3" t="s">
        <v>48</v>
      </c>
      <c r="C841" s="3" t="s">
        <v>262</v>
      </c>
      <c r="E841" s="3">
        <f t="shared" si="52"/>
        <v>39</v>
      </c>
      <c r="F841" s="3">
        <v>1985</v>
      </c>
      <c r="G841" s="3">
        <v>55000</v>
      </c>
      <c r="H841" s="12" cm="1">
        <f t="array" ref="H841">_xlfn.IFS(TRIM(G841)="SIXTY THOUSAND",60000,TRIM(G841)="NAN",AVERAGEIFS(G:G,J:J,J841,L:L,L841),TRUE,G841)</f>
        <v>55000</v>
      </c>
      <c r="I841" s="3" t="s">
        <v>27</v>
      </c>
      <c r="J841" s="3" t="s">
        <v>122</v>
      </c>
      <c r="K841" s="3" t="str">
        <f t="shared" si="53"/>
        <v>IT</v>
      </c>
      <c r="L841" s="3" t="s">
        <v>94</v>
      </c>
      <c r="M841" s="4">
        <v>43195</v>
      </c>
      <c r="N841" s="4">
        <v>43195</v>
      </c>
      <c r="O841" s="3" t="s">
        <v>52</v>
      </c>
      <c r="P841" s="3">
        <v>78</v>
      </c>
      <c r="Q841" s="3" t="s">
        <v>263</v>
      </c>
      <c r="S841" s="3" t="s">
        <v>66</v>
      </c>
      <c r="T841" s="3" t="str">
        <f t="shared" si="54"/>
        <v>Contract</v>
      </c>
      <c r="U841" s="3" t="s">
        <v>944</v>
      </c>
      <c r="V841" s="3">
        <v>4</v>
      </c>
      <c r="Y841" s="4">
        <v>44941</v>
      </c>
      <c r="AA841" s="3" t="s">
        <v>34</v>
      </c>
      <c r="AB841" s="3" t="str" cm="1">
        <f t="array" ref="AB841">_xlfn.IFS(AA841="N","No",  AA841 = "Y", "Yes", TRUE, PROPER(TRIM(AA841)))</f>
        <v>No</v>
      </c>
      <c r="AC841" s="3">
        <v>3</v>
      </c>
      <c r="AD841" s="3" t="s">
        <v>46</v>
      </c>
      <c r="AE841">
        <f t="shared" si="55"/>
        <v>1</v>
      </c>
    </row>
    <row r="842" spans="1:31" ht="14.25" customHeight="1" x14ac:dyDescent="0.35">
      <c r="A842" s="3" t="s">
        <v>1615</v>
      </c>
      <c r="B842" s="3" t="s">
        <v>25</v>
      </c>
      <c r="C842" s="3" t="s">
        <v>328</v>
      </c>
      <c r="D842" s="3">
        <v>50</v>
      </c>
      <c r="E842" s="3">
        <f t="shared" si="52"/>
        <v>50</v>
      </c>
      <c r="F842" s="3">
        <v>1974</v>
      </c>
      <c r="G842" s="3">
        <v>58600</v>
      </c>
      <c r="H842" s="12" cm="1">
        <f t="array" ref="H842">_xlfn.IFS(TRIM(G842)="SIXTY THOUSAND",60000,TRIM(G842)="NAN",AVERAGEIFS(G:G,J:J,J842,L:L,L842),TRUE,G842)</f>
        <v>58600</v>
      </c>
      <c r="I842" s="3" t="s">
        <v>27</v>
      </c>
      <c r="J842" s="3" t="s">
        <v>70</v>
      </c>
      <c r="K842" s="3" t="str">
        <f t="shared" si="53"/>
        <v>Marketing</v>
      </c>
      <c r="L842" s="3" t="s">
        <v>77</v>
      </c>
      <c r="M842" s="4">
        <v>43195</v>
      </c>
      <c r="N842" s="4">
        <v>43195</v>
      </c>
      <c r="O842" s="3" t="s">
        <v>78</v>
      </c>
      <c r="P842" s="3">
        <v>87</v>
      </c>
      <c r="Q842" s="3" t="s">
        <v>329</v>
      </c>
      <c r="R842" s="3" t="s">
        <v>61</v>
      </c>
      <c r="S842" s="3" t="s">
        <v>174</v>
      </c>
      <c r="T842" s="3" t="str">
        <f t="shared" si="54"/>
        <v>Full-Time</v>
      </c>
      <c r="V842" s="3">
        <v>6</v>
      </c>
      <c r="X842" s="3">
        <v>0</v>
      </c>
      <c r="AA842" s="3" t="s">
        <v>46</v>
      </c>
      <c r="AB842" s="3" t="str" cm="1">
        <f t="array" ref="AB842">_xlfn.IFS(AA842="N","No",  AA842 = "Y", "Yes", TRUE, PROPER(TRIM(AA842)))</f>
        <v>Yes</v>
      </c>
      <c r="AC842" s="3">
        <v>2</v>
      </c>
      <c r="AD842" s="3" t="s">
        <v>46</v>
      </c>
      <c r="AE842">
        <f t="shared" si="55"/>
        <v>1</v>
      </c>
    </row>
    <row r="843" spans="1:31" ht="14.25" customHeight="1" x14ac:dyDescent="0.35">
      <c r="A843" s="3" t="s">
        <v>1616</v>
      </c>
      <c r="B843" s="3" t="s">
        <v>140</v>
      </c>
      <c r="C843" s="3" t="s">
        <v>219</v>
      </c>
      <c r="E843" s="3">
        <f t="shared" si="52"/>
        <v>34</v>
      </c>
      <c r="F843" s="3">
        <v>1990</v>
      </c>
      <c r="G843" s="3">
        <v>55000</v>
      </c>
      <c r="H843" s="12" cm="1">
        <f t="array" ref="H843">_xlfn.IFS(TRIM(G843)="SIXTY THOUSAND",60000,TRIM(G843)="NAN",AVERAGEIFS(G:G,J:J,J843,L:L,L843),TRUE,G843)</f>
        <v>55000</v>
      </c>
      <c r="I843" s="3" t="s">
        <v>38</v>
      </c>
      <c r="J843" s="3" t="s">
        <v>145</v>
      </c>
      <c r="K843" s="3" t="str">
        <f t="shared" si="53"/>
        <v>Sales</v>
      </c>
      <c r="L843" s="3" t="s">
        <v>89</v>
      </c>
      <c r="M843" s="4">
        <v>43881</v>
      </c>
      <c r="N843" s="4">
        <v>43881</v>
      </c>
      <c r="O843" s="3" t="s">
        <v>52</v>
      </c>
      <c r="P843" s="3">
        <v>76</v>
      </c>
      <c r="Q843" s="3" t="s">
        <v>1617</v>
      </c>
      <c r="R843" s="3" t="s">
        <v>61</v>
      </c>
      <c r="S843" s="3" t="s">
        <v>112</v>
      </c>
      <c r="T843" s="3" t="str">
        <f t="shared" si="54"/>
        <v>Full-Time</v>
      </c>
      <c r="V843" s="3">
        <v>7</v>
      </c>
      <c r="W843" s="3" t="s">
        <v>79</v>
      </c>
      <c r="X843" s="3">
        <v>19</v>
      </c>
      <c r="AA843" s="3" t="s">
        <v>34</v>
      </c>
      <c r="AB843" s="3" t="str" cm="1">
        <f t="array" ref="AB843">_xlfn.IFS(AA843="N","No",  AA843 = "Y", "Yes", TRUE, PROPER(TRIM(AA843)))</f>
        <v>No</v>
      </c>
      <c r="AC843" s="3">
        <v>3</v>
      </c>
      <c r="AD843" s="3" t="s">
        <v>34</v>
      </c>
      <c r="AE843">
        <f t="shared" si="55"/>
        <v>0</v>
      </c>
    </row>
    <row r="844" spans="1:31" ht="14.25" customHeight="1" x14ac:dyDescent="0.35">
      <c r="A844" s="3" t="s">
        <v>1618</v>
      </c>
      <c r="B844" s="3" t="s">
        <v>25</v>
      </c>
      <c r="C844" s="3" t="s">
        <v>914</v>
      </c>
      <c r="E844" s="3">
        <f t="shared" si="52"/>
        <v>39</v>
      </c>
      <c r="F844" s="3">
        <v>1985</v>
      </c>
      <c r="G844" s="3">
        <v>50000</v>
      </c>
      <c r="H844" s="12" cm="1">
        <f t="array" ref="H844">_xlfn.IFS(TRIM(G844)="SIXTY THOUSAND",60000,TRIM(G844)="NAN",AVERAGEIFS(G:G,J:J,J844,L:L,L844),TRUE,G844)</f>
        <v>50000</v>
      </c>
      <c r="I844" s="3" t="s">
        <v>38</v>
      </c>
      <c r="J844" s="3" t="s">
        <v>64</v>
      </c>
      <c r="K844" s="3" t="str">
        <f t="shared" si="53"/>
        <v>Finance</v>
      </c>
      <c r="L844" s="3" t="s">
        <v>29</v>
      </c>
      <c r="M844" s="4">
        <v>43549</v>
      </c>
      <c r="N844" s="4">
        <v>43549</v>
      </c>
      <c r="O844" s="3" t="s">
        <v>52</v>
      </c>
      <c r="P844" s="3">
        <v>79</v>
      </c>
      <c r="Q844" s="3" t="s">
        <v>915</v>
      </c>
      <c r="R844" s="3" t="s">
        <v>104</v>
      </c>
      <c r="S844" s="3" t="s">
        <v>174</v>
      </c>
      <c r="T844" s="3" t="str">
        <f t="shared" si="54"/>
        <v>Full-Time</v>
      </c>
      <c r="U844" s="3" t="s">
        <v>1528</v>
      </c>
      <c r="V844" s="3">
        <v>6</v>
      </c>
      <c r="W844" s="3">
        <v>1</v>
      </c>
      <c r="X844" s="3">
        <v>16</v>
      </c>
      <c r="AA844" s="3" t="s">
        <v>34</v>
      </c>
      <c r="AB844" s="3" t="str" cm="1">
        <f t="array" ref="AB844">_xlfn.IFS(AA844="N","No",  AA844 = "Y", "Yes", TRUE, PROPER(TRIM(AA844)))</f>
        <v>No</v>
      </c>
      <c r="AC844" s="3">
        <v>1</v>
      </c>
      <c r="AD844" s="3" t="s">
        <v>46</v>
      </c>
      <c r="AE844">
        <f t="shared" si="55"/>
        <v>1</v>
      </c>
    </row>
    <row r="845" spans="1:31" ht="14.25" customHeight="1" x14ac:dyDescent="0.35">
      <c r="A845" s="3" t="s">
        <v>1619</v>
      </c>
      <c r="B845" s="3" t="s">
        <v>75</v>
      </c>
      <c r="C845" s="3" t="s">
        <v>213</v>
      </c>
      <c r="D845" s="3" t="s">
        <v>88</v>
      </c>
      <c r="E845" s="3">
        <f t="shared" si="52"/>
        <v>30</v>
      </c>
      <c r="F845" s="3">
        <v>1994</v>
      </c>
      <c r="G845" s="3">
        <v>70000</v>
      </c>
      <c r="H845" s="12" cm="1">
        <f t="array" ref="H845">_xlfn.IFS(TRIM(G845)="SIXTY THOUSAND",60000,TRIM(G845)="NAN",AVERAGEIFS(G:G,J:J,J845,L:L,L845),TRUE,G845)</f>
        <v>70000</v>
      </c>
      <c r="I845" s="3" t="s">
        <v>27</v>
      </c>
      <c r="J845" s="3" t="s">
        <v>145</v>
      </c>
      <c r="K845" s="3" t="str">
        <f t="shared" si="53"/>
        <v>Sales</v>
      </c>
      <c r="L845" s="3" t="s">
        <v>29</v>
      </c>
      <c r="M845" s="4">
        <v>43881</v>
      </c>
      <c r="N845" s="4">
        <v>43881</v>
      </c>
      <c r="O845" s="3" t="s">
        <v>78</v>
      </c>
      <c r="P845" s="3">
        <v>87</v>
      </c>
      <c r="Q845" s="3" t="s">
        <v>214</v>
      </c>
      <c r="R845" s="3" t="s">
        <v>61</v>
      </c>
      <c r="S845" s="3" t="s">
        <v>174</v>
      </c>
      <c r="T845" s="3" t="str">
        <f t="shared" si="54"/>
        <v>Full-Time</v>
      </c>
      <c r="V845" s="3">
        <v>1</v>
      </c>
      <c r="W845" s="3" t="s">
        <v>79</v>
      </c>
      <c r="AB845" s="3" t="str" cm="1">
        <f t="array" ref="AB845">_xlfn.IFS(AA845="N","No",  AA845 = "Y", "Yes", TRUE, PROPER(TRIM(AA845)))</f>
        <v/>
      </c>
      <c r="AC845" s="3">
        <v>2</v>
      </c>
      <c r="AD845" s="3" t="s">
        <v>34</v>
      </c>
      <c r="AE845">
        <f t="shared" si="55"/>
        <v>0</v>
      </c>
    </row>
    <row r="846" spans="1:31" ht="14.25" customHeight="1" x14ac:dyDescent="0.35">
      <c r="A846" s="3" t="s">
        <v>1620</v>
      </c>
      <c r="B846" s="3" t="s">
        <v>75</v>
      </c>
      <c r="C846" s="3" t="s">
        <v>151</v>
      </c>
      <c r="D846" s="3">
        <v>25</v>
      </c>
      <c r="E846" s="3">
        <f t="shared" si="52"/>
        <v>25</v>
      </c>
      <c r="F846" s="3">
        <v>1999</v>
      </c>
      <c r="G846" s="3">
        <v>58500</v>
      </c>
      <c r="H846" s="12" cm="1">
        <f t="array" ref="H846">_xlfn.IFS(TRIM(G846)="SIXTY THOUSAND",60000,TRIM(G846)="NAN",AVERAGEIFS(G:G,J:J,J846,L:L,L846),TRUE,G846)</f>
        <v>58500</v>
      </c>
      <c r="I846" s="3" t="s">
        <v>27</v>
      </c>
      <c r="J846" s="3" t="s">
        <v>64</v>
      </c>
      <c r="K846" s="3" t="str">
        <f t="shared" si="53"/>
        <v>Finance</v>
      </c>
      <c r="L846" s="3" t="s">
        <v>89</v>
      </c>
      <c r="M846" s="4">
        <v>43845</v>
      </c>
      <c r="N846" s="4">
        <v>43845</v>
      </c>
      <c r="O846" s="3" t="s">
        <v>78</v>
      </c>
      <c r="P846" s="3">
        <v>82</v>
      </c>
      <c r="Q846" s="3" t="s">
        <v>152</v>
      </c>
      <c r="R846" s="3" t="s">
        <v>54</v>
      </c>
      <c r="S846" s="3" t="s">
        <v>112</v>
      </c>
      <c r="T846" s="3" t="str">
        <f t="shared" si="54"/>
        <v>Full-Time</v>
      </c>
      <c r="V846" s="3">
        <v>5</v>
      </c>
      <c r="Z846" s="3">
        <v>44</v>
      </c>
      <c r="AB846" s="3" t="str" cm="1">
        <f t="array" ref="AB846">_xlfn.IFS(AA846="N","No",  AA846 = "Y", "Yes", TRUE, PROPER(TRIM(AA846)))</f>
        <v/>
      </c>
      <c r="AC846" s="3">
        <v>5</v>
      </c>
      <c r="AD846" s="3" t="s">
        <v>34</v>
      </c>
      <c r="AE846">
        <f t="shared" si="55"/>
        <v>0</v>
      </c>
    </row>
    <row r="847" spans="1:31" ht="14.25" customHeight="1" x14ac:dyDescent="0.35">
      <c r="A847" s="3" t="s">
        <v>1621</v>
      </c>
      <c r="B847" s="3" t="s">
        <v>48</v>
      </c>
      <c r="C847" s="3" t="s">
        <v>229</v>
      </c>
      <c r="D847" s="3">
        <v>35</v>
      </c>
      <c r="E847" s="3">
        <f t="shared" si="52"/>
        <v>35</v>
      </c>
      <c r="F847" s="3">
        <v>1989</v>
      </c>
      <c r="G847" s="3">
        <v>65000</v>
      </c>
      <c r="H847" s="12" cm="1">
        <f t="array" ref="H847">_xlfn.IFS(TRIM(G847)="SIXTY THOUSAND",60000,TRIM(G847)="NAN",AVERAGEIFS(G:G,J:J,J847,L:L,L847),TRUE,G847)</f>
        <v>65000</v>
      </c>
      <c r="I847" s="3" t="s">
        <v>27</v>
      </c>
      <c r="J847" s="3" t="s">
        <v>145</v>
      </c>
      <c r="K847" s="3" t="str">
        <f t="shared" si="53"/>
        <v>Sales</v>
      </c>
      <c r="L847" s="3" t="s">
        <v>40</v>
      </c>
      <c r="M847" s="4">
        <v>43195</v>
      </c>
      <c r="N847" s="4">
        <v>43195</v>
      </c>
      <c r="O847" s="3" t="s">
        <v>41</v>
      </c>
      <c r="P847" s="3">
        <v>53</v>
      </c>
      <c r="Q847" s="3" t="s">
        <v>1622</v>
      </c>
      <c r="R847" s="3" t="s">
        <v>43</v>
      </c>
      <c r="S847" s="3" t="s">
        <v>100</v>
      </c>
      <c r="T847" s="3" t="str">
        <f t="shared" si="54"/>
        <v>Part-Time</v>
      </c>
      <c r="U847" s="3" t="s">
        <v>74</v>
      </c>
      <c r="V847" s="3">
        <v>4</v>
      </c>
      <c r="X847" s="3">
        <v>6</v>
      </c>
      <c r="Y847" s="4">
        <v>45516</v>
      </c>
      <c r="AA847" s="3" t="s">
        <v>46</v>
      </c>
      <c r="AB847" s="3" t="str" cm="1">
        <f t="array" ref="AB847">_xlfn.IFS(AA847="N","No",  AA847 = "Y", "Yes", TRUE, PROPER(TRIM(AA847)))</f>
        <v>Yes</v>
      </c>
      <c r="AC847" s="3">
        <v>5</v>
      </c>
      <c r="AD847" s="3" t="s">
        <v>34</v>
      </c>
      <c r="AE847">
        <f t="shared" si="55"/>
        <v>0</v>
      </c>
    </row>
    <row r="848" spans="1:31" ht="14.25" customHeight="1" x14ac:dyDescent="0.35">
      <c r="A848" s="3" t="s">
        <v>1623</v>
      </c>
      <c r="B848" s="3" t="s">
        <v>56</v>
      </c>
      <c r="C848" s="3" t="s">
        <v>87</v>
      </c>
      <c r="D848" s="3">
        <v>25</v>
      </c>
      <c r="E848" s="3">
        <f t="shared" si="52"/>
        <v>25</v>
      </c>
      <c r="F848" s="3">
        <v>1999</v>
      </c>
      <c r="G848" s="3">
        <v>50000</v>
      </c>
      <c r="H848" s="12" cm="1">
        <f t="array" ref="H848">_xlfn.IFS(TRIM(G848)="SIXTY THOUSAND",60000,TRIM(G848)="NAN",AVERAGEIFS(G:G,J:J,J848,L:L,L848),TRUE,G848)</f>
        <v>50000</v>
      </c>
      <c r="I848" s="3" t="s">
        <v>38</v>
      </c>
      <c r="J848" s="3" t="s">
        <v>70</v>
      </c>
      <c r="K848" s="3" t="str">
        <f t="shared" si="53"/>
        <v>Marketing</v>
      </c>
      <c r="L848" s="3" t="s">
        <v>89</v>
      </c>
      <c r="M848" s="4">
        <v>43881</v>
      </c>
      <c r="N848" s="4">
        <v>43881</v>
      </c>
      <c r="O848" s="3" t="s">
        <v>30</v>
      </c>
      <c r="P848" s="3">
        <v>61</v>
      </c>
      <c r="Q848" s="3" t="s">
        <v>129</v>
      </c>
      <c r="R848" s="3" t="s">
        <v>54</v>
      </c>
      <c r="S848" s="3" t="s">
        <v>32</v>
      </c>
      <c r="T848" s="3" t="str">
        <f t="shared" si="54"/>
        <v>Contract</v>
      </c>
      <c r="V848" s="3">
        <v>5</v>
      </c>
      <c r="W848" s="3">
        <v>3</v>
      </c>
      <c r="AA848" s="3" t="s">
        <v>34</v>
      </c>
      <c r="AB848" s="3" t="str" cm="1">
        <f t="array" ref="AB848">_xlfn.IFS(AA848="N","No",  AA848 = "Y", "Yes", TRUE, PROPER(TRIM(AA848)))</f>
        <v>No</v>
      </c>
      <c r="AC848" s="3">
        <v>2</v>
      </c>
      <c r="AD848" s="3" t="s">
        <v>46</v>
      </c>
      <c r="AE848">
        <f t="shared" si="55"/>
        <v>1</v>
      </c>
    </row>
    <row r="849" spans="1:31" ht="14.25" customHeight="1" x14ac:dyDescent="0.35">
      <c r="A849" s="3" t="s">
        <v>1624</v>
      </c>
      <c r="B849" s="3" t="s">
        <v>36</v>
      </c>
      <c r="C849" s="3" t="s">
        <v>156</v>
      </c>
      <c r="E849" s="3">
        <f t="shared" si="52"/>
        <v>34</v>
      </c>
      <c r="F849" s="3">
        <v>1990</v>
      </c>
      <c r="G849" s="3">
        <v>70000</v>
      </c>
      <c r="H849" s="12" cm="1">
        <f t="array" ref="H849">_xlfn.IFS(TRIM(G849)="SIXTY THOUSAND",60000,TRIM(G849)="NAN",AVERAGEIFS(G:G,J:J,J849,L:L,L849),TRUE,G849)</f>
        <v>70000</v>
      </c>
      <c r="I849" s="3" t="s">
        <v>38</v>
      </c>
      <c r="J849" s="3" t="s">
        <v>122</v>
      </c>
      <c r="K849" s="3" t="str">
        <f t="shared" si="53"/>
        <v>IT</v>
      </c>
      <c r="L849" s="3" t="s">
        <v>94</v>
      </c>
      <c r="M849" s="4">
        <v>43881</v>
      </c>
      <c r="N849" s="4">
        <v>43881</v>
      </c>
      <c r="O849" s="3" t="s">
        <v>59</v>
      </c>
      <c r="P849" s="3">
        <v>96</v>
      </c>
      <c r="Q849" s="3" t="s">
        <v>184</v>
      </c>
      <c r="R849" s="3" t="s">
        <v>104</v>
      </c>
      <c r="S849" s="3" t="s">
        <v>32</v>
      </c>
      <c r="T849" s="3" t="str">
        <f t="shared" si="54"/>
        <v>Contract</v>
      </c>
      <c r="V849" s="3">
        <v>2</v>
      </c>
      <c r="W849" s="3" t="s">
        <v>79</v>
      </c>
      <c r="X849" s="3">
        <v>13</v>
      </c>
      <c r="Y849" s="3" t="s">
        <v>79</v>
      </c>
      <c r="Z849" s="3">
        <v>30</v>
      </c>
      <c r="AA849" s="3" t="s">
        <v>34</v>
      </c>
      <c r="AB849" s="3" t="str" cm="1">
        <f t="array" ref="AB849">_xlfn.IFS(AA849="N","No",  AA849 = "Y", "Yes", TRUE, PROPER(TRIM(AA849)))</f>
        <v>No</v>
      </c>
      <c r="AC849" s="3">
        <v>2</v>
      </c>
      <c r="AD849" s="3" t="s">
        <v>34</v>
      </c>
      <c r="AE849">
        <f t="shared" si="55"/>
        <v>0</v>
      </c>
    </row>
    <row r="850" spans="1:31" ht="14.25" customHeight="1" x14ac:dyDescent="0.35">
      <c r="A850" s="3" t="s">
        <v>1625</v>
      </c>
      <c r="B850" s="3" t="s">
        <v>48</v>
      </c>
      <c r="C850" s="3" t="s">
        <v>459</v>
      </c>
      <c r="D850" s="3" t="s">
        <v>88</v>
      </c>
      <c r="E850" s="3">
        <f t="shared" si="52"/>
        <v>30</v>
      </c>
      <c r="F850" s="3">
        <v>1994</v>
      </c>
      <c r="G850" s="3">
        <v>65000</v>
      </c>
      <c r="H850" s="12" cm="1">
        <f t="array" ref="H850">_xlfn.IFS(TRIM(G850)="SIXTY THOUSAND",60000,TRIM(G850)="NAN",AVERAGEIFS(G:G,J:J,J850,L:L,L850),TRUE,G850)</f>
        <v>65000</v>
      </c>
      <c r="I850" s="3" t="s">
        <v>38</v>
      </c>
      <c r="J850" s="3" t="s">
        <v>70</v>
      </c>
      <c r="K850" s="3" t="str">
        <f t="shared" si="53"/>
        <v>Marketing</v>
      </c>
      <c r="L850" s="3" t="s">
        <v>89</v>
      </c>
      <c r="M850" s="4">
        <v>43881</v>
      </c>
      <c r="N850" s="4">
        <v>43881</v>
      </c>
      <c r="O850" s="3" t="s">
        <v>59</v>
      </c>
      <c r="P850" s="3">
        <v>94</v>
      </c>
      <c r="Q850" s="3" t="s">
        <v>460</v>
      </c>
      <c r="R850" s="3" t="s">
        <v>104</v>
      </c>
      <c r="S850" s="3" t="s">
        <v>100</v>
      </c>
      <c r="T850" s="3" t="str">
        <f t="shared" si="54"/>
        <v>Part-Time</v>
      </c>
      <c r="U850" s="3" t="s">
        <v>1626</v>
      </c>
      <c r="V850" s="3">
        <v>7</v>
      </c>
      <c r="Y850" s="4">
        <v>44941</v>
      </c>
      <c r="AB850" s="3" t="str" cm="1">
        <f t="array" ref="AB850">_xlfn.IFS(AA850="N","No",  AA850 = "Y", "Yes", TRUE, PROPER(TRIM(AA850)))</f>
        <v/>
      </c>
      <c r="AC850" s="3">
        <v>4</v>
      </c>
      <c r="AD850" s="3" t="s">
        <v>34</v>
      </c>
      <c r="AE850">
        <f t="shared" si="55"/>
        <v>0</v>
      </c>
    </row>
    <row r="851" spans="1:31" ht="14.25" customHeight="1" x14ac:dyDescent="0.35">
      <c r="A851" s="3" t="s">
        <v>1627</v>
      </c>
      <c r="B851" s="3" t="s">
        <v>107</v>
      </c>
      <c r="C851" s="3" t="s">
        <v>259</v>
      </c>
      <c r="D851" s="3">
        <v>40</v>
      </c>
      <c r="E851" s="3">
        <f t="shared" si="52"/>
        <v>40</v>
      </c>
      <c r="F851" s="3">
        <v>1984</v>
      </c>
      <c r="G851" s="3" t="s">
        <v>50</v>
      </c>
      <c r="H851" s="12" cm="1">
        <f t="array" ref="H851">_xlfn.IFS(TRIM(G851)="SIXTY THOUSAND",60000,TRIM(G851)="NAN",AVERAGEIFS(G:G,J:J,J851,L:L,L851),TRUE,G851)</f>
        <v>60000</v>
      </c>
      <c r="I851" s="3" t="s">
        <v>27</v>
      </c>
      <c r="J851" s="3" t="s">
        <v>28</v>
      </c>
      <c r="K851" s="3" t="str">
        <f t="shared" si="53"/>
        <v>HR</v>
      </c>
      <c r="L851" s="3" t="s">
        <v>29</v>
      </c>
      <c r="M851" s="4">
        <v>43845</v>
      </c>
      <c r="N851" s="4">
        <v>43845</v>
      </c>
      <c r="O851" s="3" t="s">
        <v>52</v>
      </c>
      <c r="P851" s="3">
        <v>78</v>
      </c>
      <c r="Q851" s="3" t="s">
        <v>1628</v>
      </c>
      <c r="R851" s="3" t="s">
        <v>43</v>
      </c>
      <c r="S851" s="3" t="s">
        <v>174</v>
      </c>
      <c r="T851" s="3" t="str">
        <f t="shared" si="54"/>
        <v>Full-Time</v>
      </c>
      <c r="V851" s="3">
        <v>6</v>
      </c>
      <c r="X851" s="3">
        <v>9</v>
      </c>
      <c r="Z851" s="3">
        <v>27</v>
      </c>
      <c r="AB851" s="3" t="str" cm="1">
        <f t="array" ref="AB851">_xlfn.IFS(AA851="N","No",  AA851 = "Y", "Yes", TRUE, PROPER(TRIM(AA851)))</f>
        <v/>
      </c>
      <c r="AC851" s="3">
        <v>2</v>
      </c>
      <c r="AD851" s="3" t="s">
        <v>46</v>
      </c>
      <c r="AE851">
        <f t="shared" si="55"/>
        <v>1</v>
      </c>
    </row>
    <row r="852" spans="1:31" ht="14.25" customHeight="1" x14ac:dyDescent="0.35">
      <c r="A852" s="3" t="s">
        <v>1629</v>
      </c>
      <c r="B852" s="3" t="s">
        <v>114</v>
      </c>
      <c r="C852" s="3" t="s">
        <v>395</v>
      </c>
      <c r="D852" s="3" t="s">
        <v>88</v>
      </c>
      <c r="E852" s="3">
        <f t="shared" si="52"/>
        <v>30</v>
      </c>
      <c r="F852" s="3">
        <v>1994</v>
      </c>
      <c r="G852" s="3">
        <v>65000</v>
      </c>
      <c r="H852" s="12" cm="1">
        <f t="array" ref="H852">_xlfn.IFS(TRIM(G852)="SIXTY THOUSAND",60000,TRIM(G852)="NAN",AVERAGEIFS(G:G,J:J,J852,L:L,L852),TRUE,G852)</f>
        <v>65000</v>
      </c>
      <c r="I852" s="3" t="s">
        <v>27</v>
      </c>
      <c r="J852" s="3" t="s">
        <v>122</v>
      </c>
      <c r="K852" s="3" t="str">
        <f t="shared" si="53"/>
        <v>IT</v>
      </c>
      <c r="L852" s="3" t="s">
        <v>89</v>
      </c>
      <c r="M852" s="4">
        <v>43549</v>
      </c>
      <c r="N852" s="4">
        <v>43549</v>
      </c>
      <c r="O852" s="3" t="s">
        <v>41</v>
      </c>
      <c r="P852" s="3">
        <v>37</v>
      </c>
      <c r="Q852" s="3" t="s">
        <v>1630</v>
      </c>
      <c r="R852" s="3" t="s">
        <v>61</v>
      </c>
      <c r="S852" s="3" t="s">
        <v>100</v>
      </c>
      <c r="T852" s="3" t="str">
        <f t="shared" si="54"/>
        <v>Part-Time</v>
      </c>
      <c r="V852" s="3">
        <v>2</v>
      </c>
      <c r="X852" s="3">
        <v>0</v>
      </c>
      <c r="AA852" s="3" t="s">
        <v>34</v>
      </c>
      <c r="AB852" s="3" t="str" cm="1">
        <f t="array" ref="AB852">_xlfn.IFS(AA852="N","No",  AA852 = "Y", "Yes", TRUE, PROPER(TRIM(AA852)))</f>
        <v>No</v>
      </c>
      <c r="AC852" s="3">
        <v>2</v>
      </c>
      <c r="AD852" s="3" t="s">
        <v>46</v>
      </c>
      <c r="AE852">
        <f t="shared" si="55"/>
        <v>1</v>
      </c>
    </row>
    <row r="853" spans="1:31" ht="14.25" customHeight="1" x14ac:dyDescent="0.35">
      <c r="A853" s="3" t="s">
        <v>1631</v>
      </c>
      <c r="B853" s="3" t="s">
        <v>36</v>
      </c>
      <c r="C853" s="3" t="s">
        <v>295</v>
      </c>
      <c r="E853" s="3">
        <f t="shared" si="52"/>
        <v>30</v>
      </c>
      <c r="F853" s="3">
        <v>1994</v>
      </c>
      <c r="G853" s="3">
        <v>55000</v>
      </c>
      <c r="H853" s="12" cm="1">
        <f t="array" ref="H853">_xlfn.IFS(TRIM(G853)="SIXTY THOUSAND",60000,TRIM(G853)="NAN",AVERAGEIFS(G:G,J:J,J853,L:L,L853),TRUE,G853)</f>
        <v>55000</v>
      </c>
      <c r="I853" s="3" t="s">
        <v>27</v>
      </c>
      <c r="J853" s="3" t="s">
        <v>93</v>
      </c>
      <c r="K853" s="3" t="str">
        <f t="shared" si="53"/>
        <v>Marketing</v>
      </c>
      <c r="L853" s="3" t="s">
        <v>77</v>
      </c>
      <c r="M853" s="4">
        <v>43881</v>
      </c>
      <c r="N853" s="4">
        <v>43881</v>
      </c>
      <c r="O853" s="3" t="s">
        <v>52</v>
      </c>
      <c r="P853" s="3">
        <v>71</v>
      </c>
      <c r="Q853" s="3" t="s">
        <v>1632</v>
      </c>
      <c r="S853" s="3" t="s">
        <v>72</v>
      </c>
      <c r="T853" s="3" t="str">
        <f t="shared" si="54"/>
        <v>Part-Time</v>
      </c>
      <c r="V853" s="3">
        <v>3</v>
      </c>
      <c r="AB853" s="3" t="str" cm="1">
        <f t="array" ref="AB853">_xlfn.IFS(AA853="N","No",  AA853 = "Y", "Yes", TRUE, PROPER(TRIM(AA853)))</f>
        <v/>
      </c>
      <c r="AC853" s="3">
        <v>3</v>
      </c>
      <c r="AD853" s="3" t="s">
        <v>46</v>
      </c>
      <c r="AE853">
        <f t="shared" si="55"/>
        <v>1</v>
      </c>
    </row>
    <row r="854" spans="1:31" ht="14.25" customHeight="1" x14ac:dyDescent="0.35">
      <c r="A854" s="3" t="s">
        <v>1633</v>
      </c>
      <c r="B854" s="3" t="s">
        <v>36</v>
      </c>
      <c r="C854" s="3" t="s">
        <v>556</v>
      </c>
      <c r="D854" s="3" t="s">
        <v>88</v>
      </c>
      <c r="E854" s="3">
        <f t="shared" si="52"/>
        <v>30</v>
      </c>
      <c r="F854" s="3">
        <v>1994</v>
      </c>
      <c r="G854" s="3">
        <v>55000</v>
      </c>
      <c r="H854" s="12" cm="1">
        <f t="array" ref="H854">_xlfn.IFS(TRIM(G854)="SIXTY THOUSAND",60000,TRIM(G854)="NAN",AVERAGEIFS(G:G,J:J,J854,L:L,L854),TRUE,G854)</f>
        <v>55000</v>
      </c>
      <c r="I854" s="3" t="s">
        <v>38</v>
      </c>
      <c r="J854" s="3" t="s">
        <v>82</v>
      </c>
      <c r="K854" s="3" t="str">
        <f t="shared" si="53"/>
        <v>HR</v>
      </c>
      <c r="L854" s="3" t="s">
        <v>94</v>
      </c>
      <c r="M854" s="4">
        <v>43845</v>
      </c>
      <c r="N854" s="4">
        <v>43845</v>
      </c>
      <c r="O854" s="3" t="s">
        <v>59</v>
      </c>
      <c r="P854" s="3">
        <v>91</v>
      </c>
      <c r="Q854" s="3" t="s">
        <v>557</v>
      </c>
      <c r="R854" s="3" t="s">
        <v>104</v>
      </c>
      <c r="S854" s="3" t="s">
        <v>112</v>
      </c>
      <c r="T854" s="3" t="str">
        <f t="shared" si="54"/>
        <v>Full-Time</v>
      </c>
      <c r="U854" s="3" t="s">
        <v>970</v>
      </c>
      <c r="V854" s="3">
        <v>8</v>
      </c>
      <c r="Y854" s="4">
        <v>44732</v>
      </c>
      <c r="Z854" s="3">
        <v>28</v>
      </c>
      <c r="AB854" s="3" t="str" cm="1">
        <f t="array" ref="AB854">_xlfn.IFS(AA854="N","No",  AA854 = "Y", "Yes", TRUE, PROPER(TRIM(AA854)))</f>
        <v/>
      </c>
      <c r="AC854" s="3">
        <v>4</v>
      </c>
      <c r="AD854" s="3" t="s">
        <v>34</v>
      </c>
      <c r="AE854">
        <f t="shared" si="55"/>
        <v>0</v>
      </c>
    </row>
    <row r="855" spans="1:31" ht="14.25" customHeight="1" x14ac:dyDescent="0.35">
      <c r="A855" s="3" t="s">
        <v>1634</v>
      </c>
      <c r="B855" s="3" t="s">
        <v>107</v>
      </c>
      <c r="C855" s="3" t="s">
        <v>543</v>
      </c>
      <c r="D855" s="3" t="s">
        <v>88</v>
      </c>
      <c r="E855" s="3">
        <f t="shared" si="52"/>
        <v>30</v>
      </c>
      <c r="F855" s="3">
        <v>1994</v>
      </c>
      <c r="G855" s="3" t="s">
        <v>50</v>
      </c>
      <c r="H855" s="12" cm="1">
        <f t="array" ref="H855">_xlfn.IFS(TRIM(G855)="SIXTY THOUSAND",60000,TRIM(G855)="NAN",AVERAGEIFS(G:G,J:J,J855,L:L,L855),TRUE,G855)</f>
        <v>60000</v>
      </c>
      <c r="I855" s="3" t="s">
        <v>38</v>
      </c>
      <c r="J855" s="3" t="s">
        <v>64</v>
      </c>
      <c r="K855" s="3" t="str">
        <f t="shared" si="53"/>
        <v>Finance</v>
      </c>
      <c r="L855" s="3" t="s">
        <v>89</v>
      </c>
      <c r="M855" s="4">
        <v>43195</v>
      </c>
      <c r="N855" s="4">
        <v>43195</v>
      </c>
      <c r="O855" s="3" t="s">
        <v>78</v>
      </c>
      <c r="P855" s="3">
        <v>84</v>
      </c>
      <c r="Q855" s="3" t="s">
        <v>544</v>
      </c>
      <c r="R855" s="3" t="s">
        <v>43</v>
      </c>
      <c r="S855" s="3" t="s">
        <v>72</v>
      </c>
      <c r="T855" s="3" t="str">
        <f t="shared" si="54"/>
        <v>Part-Time</v>
      </c>
      <c r="V855" s="3">
        <v>6</v>
      </c>
      <c r="W855" s="3" t="s">
        <v>79</v>
      </c>
      <c r="X855" s="3">
        <v>6</v>
      </c>
      <c r="Y855" s="4">
        <v>44470</v>
      </c>
      <c r="Z855" s="3">
        <v>26</v>
      </c>
      <c r="AA855" s="3" t="s">
        <v>46</v>
      </c>
      <c r="AB855" s="3" t="str" cm="1">
        <f t="array" ref="AB855">_xlfn.IFS(AA855="N","No",  AA855 = "Y", "Yes", TRUE, PROPER(TRIM(AA855)))</f>
        <v>Yes</v>
      </c>
      <c r="AC855" s="3">
        <v>1</v>
      </c>
      <c r="AD855" s="3" t="s">
        <v>46</v>
      </c>
      <c r="AE855">
        <f t="shared" si="55"/>
        <v>1</v>
      </c>
    </row>
    <row r="856" spans="1:31" ht="14.25" customHeight="1" x14ac:dyDescent="0.35">
      <c r="A856" s="3" t="s">
        <v>1635</v>
      </c>
      <c r="B856" s="3" t="s">
        <v>107</v>
      </c>
      <c r="C856" s="3" t="s">
        <v>141</v>
      </c>
      <c r="E856" s="3">
        <f t="shared" si="52"/>
        <v>45</v>
      </c>
      <c r="F856" s="3">
        <v>1979</v>
      </c>
      <c r="G856" s="3">
        <v>50000</v>
      </c>
      <c r="H856" s="12" cm="1">
        <f t="array" ref="H856">_xlfn.IFS(TRIM(G856)="SIXTY THOUSAND",60000,TRIM(G856)="NAN",AVERAGEIFS(G:G,J:J,J856,L:L,L856),TRUE,G856)</f>
        <v>50000</v>
      </c>
      <c r="I856" s="3" t="s">
        <v>27</v>
      </c>
      <c r="J856" s="3" t="s">
        <v>64</v>
      </c>
      <c r="K856" s="3" t="str">
        <f t="shared" si="53"/>
        <v>Finance</v>
      </c>
      <c r="L856" s="3" t="s">
        <v>29</v>
      </c>
      <c r="M856" s="4">
        <v>43800</v>
      </c>
      <c r="N856" s="4">
        <v>43800</v>
      </c>
      <c r="O856" s="3" t="s">
        <v>30</v>
      </c>
      <c r="P856" s="3">
        <v>62</v>
      </c>
      <c r="Q856" s="3" t="s">
        <v>1636</v>
      </c>
      <c r="S856" s="3" t="s">
        <v>66</v>
      </c>
      <c r="T856" s="3" t="str">
        <f t="shared" si="54"/>
        <v>Contract</v>
      </c>
      <c r="V856" s="3">
        <v>6</v>
      </c>
      <c r="W856" s="3" t="s">
        <v>79</v>
      </c>
      <c r="AA856" s="3" t="s">
        <v>46</v>
      </c>
      <c r="AB856" s="3" t="str" cm="1">
        <f t="array" ref="AB856">_xlfn.IFS(AA856="N","No",  AA856 = "Y", "Yes", TRUE, PROPER(TRIM(AA856)))</f>
        <v>Yes</v>
      </c>
      <c r="AC856" s="3">
        <v>3</v>
      </c>
      <c r="AD856" s="3" t="s">
        <v>46</v>
      </c>
      <c r="AE856">
        <f t="shared" si="55"/>
        <v>1</v>
      </c>
    </row>
    <row r="857" spans="1:31" ht="14.25" customHeight="1" x14ac:dyDescent="0.35">
      <c r="A857" s="3" t="s">
        <v>1637</v>
      </c>
      <c r="B857" s="3" t="s">
        <v>131</v>
      </c>
      <c r="C857" s="3" t="s">
        <v>285</v>
      </c>
      <c r="D857" s="3">
        <v>50</v>
      </c>
      <c r="E857" s="3">
        <f t="shared" si="52"/>
        <v>50</v>
      </c>
      <c r="F857" s="3">
        <v>1974</v>
      </c>
      <c r="G857" s="3">
        <v>70000</v>
      </c>
      <c r="H857" s="12" cm="1">
        <f t="array" ref="H857">_xlfn.IFS(TRIM(G857)="SIXTY THOUSAND",60000,TRIM(G857)="NAN",AVERAGEIFS(G:G,J:J,J857,L:L,L857),TRUE,G857)</f>
        <v>70000</v>
      </c>
      <c r="I857" s="3" t="s">
        <v>27</v>
      </c>
      <c r="J857" s="3" t="s">
        <v>145</v>
      </c>
      <c r="K857" s="3" t="str">
        <f t="shared" si="53"/>
        <v>Sales</v>
      </c>
      <c r="L857" s="3" t="s">
        <v>94</v>
      </c>
      <c r="M857" s="4">
        <v>43845</v>
      </c>
      <c r="N857" s="4">
        <v>43845</v>
      </c>
      <c r="O857" s="3" t="s">
        <v>41</v>
      </c>
      <c r="P857" s="3">
        <v>43</v>
      </c>
      <c r="Q857" s="3" t="s">
        <v>286</v>
      </c>
      <c r="R857" s="3" t="s">
        <v>61</v>
      </c>
      <c r="S857" s="3" t="s">
        <v>112</v>
      </c>
      <c r="T857" s="3" t="str">
        <f t="shared" si="54"/>
        <v>Full-Time</v>
      </c>
      <c r="V857" s="3">
        <v>4</v>
      </c>
      <c r="AA857" s="3" t="s">
        <v>169</v>
      </c>
      <c r="AB857" s="3" t="str" cm="1">
        <f t="array" ref="AB857">_xlfn.IFS(AA857="N","No",  AA857 = "Y", "Yes", TRUE, PROPER(TRIM(AA857)))</f>
        <v>Yes</v>
      </c>
      <c r="AC857" s="3">
        <v>5</v>
      </c>
      <c r="AD857" s="3" t="s">
        <v>34</v>
      </c>
      <c r="AE857">
        <f t="shared" si="55"/>
        <v>0</v>
      </c>
    </row>
    <row r="858" spans="1:31" ht="14.25" customHeight="1" x14ac:dyDescent="0.35">
      <c r="A858" s="3" t="s">
        <v>1638</v>
      </c>
      <c r="B858" s="3" t="s">
        <v>48</v>
      </c>
      <c r="C858" s="3" t="s">
        <v>403</v>
      </c>
      <c r="D858" s="3" t="s">
        <v>88</v>
      </c>
      <c r="E858" s="3">
        <f t="shared" si="52"/>
        <v>30</v>
      </c>
      <c r="F858" s="3">
        <v>1994</v>
      </c>
      <c r="G858" s="3">
        <v>65000</v>
      </c>
      <c r="H858" s="12" cm="1">
        <f t="array" ref="H858">_xlfn.IFS(TRIM(G858)="SIXTY THOUSAND",60000,TRIM(G858)="NAN",AVERAGEIFS(G:G,J:J,J858,L:L,L858),TRUE,G858)</f>
        <v>65000</v>
      </c>
      <c r="I858" s="3" t="s">
        <v>38</v>
      </c>
      <c r="J858" s="3" t="s">
        <v>122</v>
      </c>
      <c r="K858" s="3" t="str">
        <f t="shared" si="53"/>
        <v>IT</v>
      </c>
      <c r="L858" s="3" t="s">
        <v>29</v>
      </c>
      <c r="M858" s="4">
        <v>43800</v>
      </c>
      <c r="N858" s="4">
        <v>43800</v>
      </c>
      <c r="O858" s="3" t="s">
        <v>78</v>
      </c>
      <c r="P858" s="3">
        <v>80</v>
      </c>
      <c r="Q858" s="3" t="s">
        <v>1639</v>
      </c>
      <c r="R858" s="3" t="s">
        <v>104</v>
      </c>
      <c r="S858" s="3" t="s">
        <v>112</v>
      </c>
      <c r="T858" s="3" t="str">
        <f t="shared" si="54"/>
        <v>Full-Time</v>
      </c>
      <c r="V858" s="3">
        <v>5</v>
      </c>
      <c r="X858" s="3">
        <v>20</v>
      </c>
      <c r="Y858" s="4">
        <v>45516</v>
      </c>
      <c r="AA858" s="3" t="s">
        <v>73</v>
      </c>
      <c r="AB858" s="3" t="str" cm="1">
        <f t="array" ref="AB858">_xlfn.IFS(AA858="N","No",  AA858 = "Y", "Yes", TRUE, PROPER(TRIM(AA858)))</f>
        <v>No</v>
      </c>
      <c r="AC858" s="3">
        <v>4</v>
      </c>
      <c r="AD858" s="3" t="s">
        <v>46</v>
      </c>
      <c r="AE858">
        <f t="shared" si="55"/>
        <v>1</v>
      </c>
    </row>
    <row r="859" spans="1:31" ht="14.25" customHeight="1" x14ac:dyDescent="0.35">
      <c r="A859" s="3" t="s">
        <v>1640</v>
      </c>
      <c r="B859" s="3" t="s">
        <v>107</v>
      </c>
      <c r="C859" s="3" t="s">
        <v>295</v>
      </c>
      <c r="D859" s="3">
        <v>35</v>
      </c>
      <c r="E859" s="3">
        <f t="shared" si="52"/>
        <v>35</v>
      </c>
      <c r="F859" s="3">
        <v>1989</v>
      </c>
      <c r="G859" s="3">
        <v>55000</v>
      </c>
      <c r="H859" s="12" cm="1">
        <f t="array" ref="H859">_xlfn.IFS(TRIM(G859)="SIXTY THOUSAND",60000,TRIM(G859)="NAN",AVERAGEIFS(G:G,J:J,J859,L:L,L859),TRUE,G859)</f>
        <v>55000</v>
      </c>
      <c r="I859" s="3" t="s">
        <v>38</v>
      </c>
      <c r="J859" s="3" t="s">
        <v>64</v>
      </c>
      <c r="K859" s="3" t="str">
        <f t="shared" si="53"/>
        <v>Finance</v>
      </c>
      <c r="L859" s="3" t="s">
        <v>40</v>
      </c>
      <c r="M859" s="4">
        <v>43881</v>
      </c>
      <c r="N859" s="4">
        <v>43881</v>
      </c>
      <c r="O859" s="3" t="s">
        <v>30</v>
      </c>
      <c r="P859" s="3">
        <v>64</v>
      </c>
      <c r="Q859" s="3" t="s">
        <v>1641</v>
      </c>
      <c r="R859" s="3" t="s">
        <v>43</v>
      </c>
      <c r="S859" s="3" t="s">
        <v>44</v>
      </c>
      <c r="T859" s="3" t="str">
        <f t="shared" si="54"/>
        <v>Full-Time</v>
      </c>
      <c r="V859" s="3">
        <v>3</v>
      </c>
      <c r="Y859" s="3" t="s">
        <v>79</v>
      </c>
      <c r="Z859" s="3">
        <v>63</v>
      </c>
      <c r="AA859" s="3" t="s">
        <v>46</v>
      </c>
      <c r="AB859" s="3" t="str" cm="1">
        <f t="array" ref="AB859">_xlfn.IFS(AA859="N","No",  AA859 = "Y", "Yes", TRUE, PROPER(TRIM(AA859)))</f>
        <v>Yes</v>
      </c>
      <c r="AC859" s="3">
        <v>2</v>
      </c>
      <c r="AD859" s="3" t="s">
        <v>34</v>
      </c>
      <c r="AE859">
        <f t="shared" si="55"/>
        <v>0</v>
      </c>
    </row>
    <row r="860" spans="1:31" ht="14.25" customHeight="1" x14ac:dyDescent="0.35">
      <c r="A860" s="3" t="s">
        <v>1642</v>
      </c>
      <c r="B860" s="3" t="s">
        <v>75</v>
      </c>
      <c r="C860" s="3" t="s">
        <v>747</v>
      </c>
      <c r="D860" s="3">
        <v>35</v>
      </c>
      <c r="E860" s="3">
        <f t="shared" si="52"/>
        <v>35</v>
      </c>
      <c r="F860" s="3">
        <v>1989</v>
      </c>
      <c r="G860" s="3">
        <v>50000</v>
      </c>
      <c r="H860" s="12" cm="1">
        <f t="array" ref="H860">_xlfn.IFS(TRIM(G860)="SIXTY THOUSAND",60000,TRIM(G860)="NAN",AVERAGEIFS(G:G,J:J,J860,L:L,L860),TRUE,G860)</f>
        <v>50000</v>
      </c>
      <c r="I860" s="3" t="s">
        <v>38</v>
      </c>
      <c r="J860" s="3" t="s">
        <v>58</v>
      </c>
      <c r="K860" s="3" t="str">
        <f t="shared" si="53"/>
        <v>IT</v>
      </c>
      <c r="L860" s="3" t="s">
        <v>77</v>
      </c>
      <c r="M860" s="4">
        <v>43881</v>
      </c>
      <c r="N860" s="4">
        <v>43881</v>
      </c>
      <c r="O860" s="3" t="s">
        <v>41</v>
      </c>
      <c r="P860" s="3">
        <v>19</v>
      </c>
      <c r="Q860" s="3" t="s">
        <v>1643</v>
      </c>
      <c r="R860" s="3" t="s">
        <v>43</v>
      </c>
      <c r="S860" s="3" t="s">
        <v>112</v>
      </c>
      <c r="T860" s="3" t="str">
        <f t="shared" si="54"/>
        <v>Full-Time</v>
      </c>
      <c r="V860" s="3">
        <v>4</v>
      </c>
      <c r="AA860" s="3" t="s">
        <v>46</v>
      </c>
      <c r="AB860" s="3" t="str" cm="1">
        <f t="array" ref="AB860">_xlfn.IFS(AA860="N","No",  AA860 = "Y", "Yes", TRUE, PROPER(TRIM(AA860)))</f>
        <v>Yes</v>
      </c>
      <c r="AC860" s="3">
        <v>1</v>
      </c>
      <c r="AD860" s="3" t="s">
        <v>46</v>
      </c>
      <c r="AE860">
        <f t="shared" si="55"/>
        <v>1</v>
      </c>
    </row>
    <row r="861" spans="1:31" ht="14.25" customHeight="1" x14ac:dyDescent="0.35">
      <c r="A861" s="3" t="s">
        <v>1644</v>
      </c>
      <c r="B861" s="3" t="s">
        <v>140</v>
      </c>
      <c r="C861" s="3" t="s">
        <v>240</v>
      </c>
      <c r="D861" s="3" t="s">
        <v>88</v>
      </c>
      <c r="E861" s="3">
        <f t="shared" si="52"/>
        <v>30</v>
      </c>
      <c r="F861" s="3">
        <v>1994</v>
      </c>
      <c r="G861" s="3" t="s">
        <v>50</v>
      </c>
      <c r="H861" s="12" cm="1">
        <f t="array" ref="H861">_xlfn.IFS(TRIM(G861)="SIXTY THOUSAND",60000,TRIM(G861)="NAN",AVERAGEIFS(G:G,J:J,J861,L:L,L861),TRUE,G861)</f>
        <v>60000</v>
      </c>
      <c r="I861" s="3" t="s">
        <v>27</v>
      </c>
      <c r="J861" s="3" t="s">
        <v>64</v>
      </c>
      <c r="K861" s="3" t="str">
        <f t="shared" si="53"/>
        <v>Finance</v>
      </c>
      <c r="L861" s="3" t="s">
        <v>40</v>
      </c>
      <c r="M861" s="4">
        <v>43845</v>
      </c>
      <c r="N861" s="4">
        <v>43845</v>
      </c>
      <c r="O861" s="3" t="s">
        <v>41</v>
      </c>
      <c r="P861" s="3">
        <v>8</v>
      </c>
      <c r="Q861" s="3" t="s">
        <v>1078</v>
      </c>
      <c r="R861" s="3" t="s">
        <v>43</v>
      </c>
      <c r="S861" s="3" t="s">
        <v>66</v>
      </c>
      <c r="T861" s="3" t="str">
        <f t="shared" si="54"/>
        <v>Contract</v>
      </c>
      <c r="U861" s="3" t="s">
        <v>1645</v>
      </c>
      <c r="V861" s="3">
        <v>8</v>
      </c>
      <c r="X861" s="3">
        <v>3</v>
      </c>
      <c r="Y861" s="3" t="s">
        <v>79</v>
      </c>
      <c r="Z861" s="3">
        <v>13</v>
      </c>
      <c r="AA861" s="3" t="s">
        <v>34</v>
      </c>
      <c r="AB861" s="3" t="str" cm="1">
        <f t="array" ref="AB861">_xlfn.IFS(AA861="N","No",  AA861 = "Y", "Yes", TRUE, PROPER(TRIM(AA861)))</f>
        <v>No</v>
      </c>
      <c r="AC861" s="3">
        <v>4</v>
      </c>
      <c r="AD861" s="3" t="s">
        <v>34</v>
      </c>
      <c r="AE861">
        <f t="shared" si="55"/>
        <v>0</v>
      </c>
    </row>
    <row r="862" spans="1:31" ht="14.25" customHeight="1" x14ac:dyDescent="0.35">
      <c r="A862" s="3" t="s">
        <v>1646</v>
      </c>
      <c r="B862" s="3" t="s">
        <v>114</v>
      </c>
      <c r="C862" s="3" t="s">
        <v>222</v>
      </c>
      <c r="D862" s="3">
        <v>50</v>
      </c>
      <c r="E862" s="3">
        <f t="shared" si="52"/>
        <v>50</v>
      </c>
      <c r="F862" s="3">
        <v>1974</v>
      </c>
      <c r="G862" s="3">
        <v>63000</v>
      </c>
      <c r="H862" s="12" cm="1">
        <f t="array" ref="H862">_xlfn.IFS(TRIM(G862)="SIXTY THOUSAND",60000,TRIM(G862)="NAN",AVERAGEIFS(G:G,J:J,J862,L:L,L862),TRUE,G862)</f>
        <v>63000</v>
      </c>
      <c r="I862" s="3" t="s">
        <v>38</v>
      </c>
      <c r="J862" s="3" t="s">
        <v>145</v>
      </c>
      <c r="K862" s="3" t="str">
        <f t="shared" si="53"/>
        <v>Sales</v>
      </c>
      <c r="L862" s="3" t="s">
        <v>77</v>
      </c>
      <c r="M862" s="4">
        <v>43800</v>
      </c>
      <c r="N862" s="4">
        <v>43800</v>
      </c>
      <c r="O862" s="3" t="s">
        <v>59</v>
      </c>
      <c r="P862" s="3">
        <v>94</v>
      </c>
      <c r="Q862" s="3" t="s">
        <v>223</v>
      </c>
      <c r="R862" s="3" t="s">
        <v>104</v>
      </c>
      <c r="S862" s="3" t="s">
        <v>32</v>
      </c>
      <c r="T862" s="3" t="str">
        <f t="shared" si="54"/>
        <v>Contract</v>
      </c>
      <c r="U862" s="3" t="s">
        <v>153</v>
      </c>
      <c r="V862" s="3">
        <v>4</v>
      </c>
      <c r="Z862" s="3">
        <v>63</v>
      </c>
      <c r="AA862" s="3" t="s">
        <v>46</v>
      </c>
      <c r="AB862" s="3" t="str" cm="1">
        <f t="array" ref="AB862">_xlfn.IFS(AA862="N","No",  AA862 = "Y", "Yes", TRUE, PROPER(TRIM(AA862)))</f>
        <v>Yes</v>
      </c>
      <c r="AC862" s="3">
        <v>1</v>
      </c>
      <c r="AD862" s="3" t="s">
        <v>46</v>
      </c>
      <c r="AE862">
        <f t="shared" si="55"/>
        <v>1</v>
      </c>
    </row>
    <row r="863" spans="1:31" ht="14.25" customHeight="1" x14ac:dyDescent="0.35">
      <c r="A863" s="3" t="s">
        <v>1647</v>
      </c>
      <c r="B863" s="3" t="s">
        <v>48</v>
      </c>
      <c r="C863" s="3" t="s">
        <v>108</v>
      </c>
      <c r="D863" s="3">
        <v>40</v>
      </c>
      <c r="E863" s="3">
        <f t="shared" si="52"/>
        <v>40</v>
      </c>
      <c r="F863" s="3">
        <v>1984</v>
      </c>
      <c r="G863" s="3">
        <v>55000</v>
      </c>
      <c r="H863" s="12" cm="1">
        <f t="array" ref="H863">_xlfn.IFS(TRIM(G863)="SIXTY THOUSAND",60000,TRIM(G863)="NAN",AVERAGEIFS(G:G,J:J,J863,L:L,L863),TRUE,G863)</f>
        <v>55000</v>
      </c>
      <c r="I863" s="3" t="s">
        <v>38</v>
      </c>
      <c r="J863" s="3" t="s">
        <v>70</v>
      </c>
      <c r="K863" s="3" t="str">
        <f t="shared" si="53"/>
        <v>Marketing</v>
      </c>
      <c r="L863" s="3" t="s">
        <v>89</v>
      </c>
      <c r="M863" s="4">
        <v>43881</v>
      </c>
      <c r="N863" s="4">
        <v>43881</v>
      </c>
      <c r="O863" s="3" t="s">
        <v>78</v>
      </c>
      <c r="P863" s="3">
        <v>89</v>
      </c>
      <c r="Q863" s="3" t="s">
        <v>1648</v>
      </c>
      <c r="S863" s="3" t="s">
        <v>32</v>
      </c>
      <c r="T863" s="3" t="str">
        <f t="shared" si="54"/>
        <v>Contract</v>
      </c>
      <c r="V863" s="3">
        <v>4</v>
      </c>
      <c r="W863" s="3">
        <v>1</v>
      </c>
      <c r="Y863" s="4">
        <v>44470</v>
      </c>
      <c r="AA863" s="3" t="s">
        <v>34</v>
      </c>
      <c r="AB863" s="3" t="str" cm="1">
        <f t="array" ref="AB863">_xlfn.IFS(AA863="N","No",  AA863 = "Y", "Yes", TRUE, PROPER(TRIM(AA863)))</f>
        <v>No</v>
      </c>
      <c r="AC863" s="3">
        <v>3</v>
      </c>
      <c r="AD863" s="3" t="s">
        <v>46</v>
      </c>
      <c r="AE863">
        <f t="shared" si="55"/>
        <v>1</v>
      </c>
    </row>
    <row r="864" spans="1:31" ht="14.25" customHeight="1" x14ac:dyDescent="0.35">
      <c r="A864" s="3" t="s">
        <v>1649</v>
      </c>
      <c r="B864" s="3" t="s">
        <v>68</v>
      </c>
      <c r="C864" s="3" t="s">
        <v>137</v>
      </c>
      <c r="E864" s="3">
        <f t="shared" si="52"/>
        <v>33</v>
      </c>
      <c r="F864" s="3">
        <v>1991</v>
      </c>
      <c r="G864" s="3" t="s">
        <v>50</v>
      </c>
      <c r="H864" s="12" cm="1">
        <f t="array" ref="H864">_xlfn.IFS(TRIM(G864)="SIXTY THOUSAND",60000,TRIM(G864)="NAN",AVERAGEIFS(G:G,J:J,J864,L:L,L864),TRUE,G864)</f>
        <v>60000</v>
      </c>
      <c r="I864" s="3" t="s">
        <v>27</v>
      </c>
      <c r="J864" s="3" t="s">
        <v>145</v>
      </c>
      <c r="K864" s="3" t="str">
        <f t="shared" si="53"/>
        <v>Sales</v>
      </c>
      <c r="L864" s="3" t="s">
        <v>94</v>
      </c>
      <c r="M864" s="4">
        <v>43195</v>
      </c>
      <c r="N864" s="4">
        <v>43195</v>
      </c>
      <c r="O864" s="3" t="s">
        <v>41</v>
      </c>
      <c r="P864" s="3">
        <v>55</v>
      </c>
      <c r="Q864" s="3" t="s">
        <v>1650</v>
      </c>
      <c r="R864" s="3" t="s">
        <v>43</v>
      </c>
      <c r="S864" s="3" t="s">
        <v>174</v>
      </c>
      <c r="T864" s="3" t="str">
        <f t="shared" si="54"/>
        <v>Full-Time</v>
      </c>
      <c r="V864" s="3">
        <v>4</v>
      </c>
      <c r="X864" s="3">
        <v>10</v>
      </c>
      <c r="Z864" s="3">
        <v>56</v>
      </c>
      <c r="AA864" s="3" t="s">
        <v>34</v>
      </c>
      <c r="AB864" s="3" t="str" cm="1">
        <f t="array" ref="AB864">_xlfn.IFS(AA864="N","No",  AA864 = "Y", "Yes", TRUE, PROPER(TRIM(AA864)))</f>
        <v>No</v>
      </c>
      <c r="AC864" s="3">
        <v>2</v>
      </c>
      <c r="AD864" s="3" t="s">
        <v>46</v>
      </c>
      <c r="AE864">
        <f t="shared" si="55"/>
        <v>1</v>
      </c>
    </row>
    <row r="865" spans="1:31" ht="14.25" customHeight="1" x14ac:dyDescent="0.35">
      <c r="A865" s="3" t="s">
        <v>1651</v>
      </c>
      <c r="B865" s="3" t="s">
        <v>75</v>
      </c>
      <c r="C865" s="3" t="s">
        <v>49</v>
      </c>
      <c r="D865" s="3">
        <v>35</v>
      </c>
      <c r="E865" s="3">
        <f t="shared" si="52"/>
        <v>35</v>
      </c>
      <c r="F865" s="3">
        <v>1989</v>
      </c>
      <c r="G865" s="3">
        <v>65000</v>
      </c>
      <c r="H865" s="12" cm="1">
        <f t="array" ref="H865">_xlfn.IFS(TRIM(G865)="SIXTY THOUSAND",60000,TRIM(G865)="NAN",AVERAGEIFS(G:G,J:J,J865,L:L,L865),TRUE,G865)</f>
        <v>65000</v>
      </c>
      <c r="I865" s="3" t="s">
        <v>27</v>
      </c>
      <c r="J865" s="3" t="s">
        <v>28</v>
      </c>
      <c r="K865" s="3" t="str">
        <f t="shared" si="53"/>
        <v>HR</v>
      </c>
      <c r="L865" s="3" t="s">
        <v>89</v>
      </c>
      <c r="M865" s="4">
        <v>43549</v>
      </c>
      <c r="N865" s="4">
        <v>43549</v>
      </c>
      <c r="O865" s="3" t="s">
        <v>41</v>
      </c>
      <c r="P865" s="3">
        <v>4</v>
      </c>
      <c r="Q865" s="3" t="s">
        <v>1652</v>
      </c>
      <c r="R865" s="3" t="s">
        <v>61</v>
      </c>
      <c r="S865" s="3" t="s">
        <v>112</v>
      </c>
      <c r="T865" s="3" t="str">
        <f t="shared" si="54"/>
        <v>Full-Time</v>
      </c>
      <c r="U865" s="3" t="s">
        <v>1653</v>
      </c>
      <c r="V865" s="3">
        <v>5</v>
      </c>
      <c r="AB865" s="3" t="str" cm="1">
        <f t="array" ref="AB865">_xlfn.IFS(AA865="N","No",  AA865 = "Y", "Yes", TRUE, PROPER(TRIM(AA865)))</f>
        <v/>
      </c>
      <c r="AC865" s="3">
        <v>1</v>
      </c>
      <c r="AD865" s="3" t="s">
        <v>46</v>
      </c>
      <c r="AE865">
        <f t="shared" si="55"/>
        <v>1</v>
      </c>
    </row>
    <row r="866" spans="1:31" ht="14.25" customHeight="1" x14ac:dyDescent="0.35">
      <c r="A866" s="3" t="s">
        <v>1654</v>
      </c>
      <c r="B866" s="3" t="s">
        <v>56</v>
      </c>
      <c r="C866" s="3" t="s">
        <v>277</v>
      </c>
      <c r="D866" s="3">
        <v>40</v>
      </c>
      <c r="E866" s="3">
        <f t="shared" si="52"/>
        <v>40</v>
      </c>
      <c r="F866" s="3">
        <v>1984</v>
      </c>
      <c r="G866" s="3">
        <v>70000</v>
      </c>
      <c r="H866" s="12" cm="1">
        <f t="array" ref="H866">_xlfn.IFS(TRIM(G866)="SIXTY THOUSAND",60000,TRIM(G866)="NAN",AVERAGEIFS(G:G,J:J,J866,L:L,L866),TRUE,G866)</f>
        <v>70000</v>
      </c>
      <c r="I866" s="3" t="s">
        <v>38</v>
      </c>
      <c r="J866" s="3" t="s">
        <v>39</v>
      </c>
      <c r="K866" s="3" t="str">
        <f t="shared" si="53"/>
        <v>Finance</v>
      </c>
      <c r="L866" s="3" t="s">
        <v>77</v>
      </c>
      <c r="M866" s="4">
        <v>43549</v>
      </c>
      <c r="N866" s="4">
        <v>43549</v>
      </c>
      <c r="O866" s="3" t="s">
        <v>30</v>
      </c>
      <c r="P866" s="3">
        <v>62</v>
      </c>
      <c r="Q866" s="3" t="s">
        <v>1655</v>
      </c>
      <c r="R866" s="3" t="s">
        <v>43</v>
      </c>
      <c r="S866" s="3" t="s">
        <v>32</v>
      </c>
      <c r="T866" s="3" t="str">
        <f t="shared" si="54"/>
        <v>Contract</v>
      </c>
      <c r="V866" s="3">
        <v>4</v>
      </c>
      <c r="X866" s="3">
        <v>2</v>
      </c>
      <c r="AA866" s="3" t="s">
        <v>169</v>
      </c>
      <c r="AB866" s="3" t="str" cm="1">
        <f t="array" ref="AB866">_xlfn.IFS(AA866="N","No",  AA866 = "Y", "Yes", TRUE, PROPER(TRIM(AA866)))</f>
        <v>Yes</v>
      </c>
      <c r="AC866" s="3">
        <v>4</v>
      </c>
      <c r="AD866" s="3" t="s">
        <v>34</v>
      </c>
      <c r="AE866">
        <f t="shared" si="55"/>
        <v>0</v>
      </c>
    </row>
    <row r="867" spans="1:31" ht="14.25" customHeight="1" x14ac:dyDescent="0.35">
      <c r="A867" s="3" t="s">
        <v>1656</v>
      </c>
      <c r="B867" s="3" t="s">
        <v>107</v>
      </c>
      <c r="C867" s="3" t="s">
        <v>496</v>
      </c>
      <c r="D867" s="3" t="s">
        <v>88</v>
      </c>
      <c r="E867" s="3">
        <f t="shared" si="52"/>
        <v>30</v>
      </c>
      <c r="F867" s="3">
        <v>1994</v>
      </c>
      <c r="G867" s="3">
        <v>55000</v>
      </c>
      <c r="H867" s="12" cm="1">
        <f t="array" ref="H867">_xlfn.IFS(TRIM(G867)="SIXTY THOUSAND",60000,TRIM(G867)="NAN",AVERAGEIFS(G:G,J:J,J867,L:L,L867),TRUE,G867)</f>
        <v>55000</v>
      </c>
      <c r="I867" s="3" t="s">
        <v>27</v>
      </c>
      <c r="J867" s="3" t="s">
        <v>28</v>
      </c>
      <c r="K867" s="3" t="str">
        <f t="shared" si="53"/>
        <v>HR</v>
      </c>
      <c r="L867" s="3" t="s">
        <v>77</v>
      </c>
      <c r="M867" s="4">
        <v>43881</v>
      </c>
      <c r="N867" s="4">
        <v>43881</v>
      </c>
      <c r="O867" s="3" t="s">
        <v>59</v>
      </c>
      <c r="P867" s="3">
        <v>98</v>
      </c>
      <c r="Q867" s="3" t="s">
        <v>1657</v>
      </c>
      <c r="S867" s="3" t="s">
        <v>72</v>
      </c>
      <c r="T867" s="3" t="str">
        <f t="shared" si="54"/>
        <v>Part-Time</v>
      </c>
      <c r="U867" s="3" t="s">
        <v>907</v>
      </c>
      <c r="V867" s="3">
        <v>4</v>
      </c>
      <c r="W867" s="3" t="s">
        <v>79</v>
      </c>
      <c r="Y867" s="4">
        <v>44732</v>
      </c>
      <c r="AB867" s="3" t="str" cm="1">
        <f t="array" ref="AB867">_xlfn.IFS(AA867="N","No",  AA867 = "Y", "Yes", TRUE, PROPER(TRIM(AA867)))</f>
        <v/>
      </c>
      <c r="AC867" s="3">
        <v>4</v>
      </c>
      <c r="AD867" s="3" t="s">
        <v>46</v>
      </c>
      <c r="AE867">
        <f t="shared" si="55"/>
        <v>1</v>
      </c>
    </row>
    <row r="868" spans="1:31" ht="14.25" customHeight="1" x14ac:dyDescent="0.35">
      <c r="A868" s="3" t="s">
        <v>1658</v>
      </c>
      <c r="B868" s="3" t="s">
        <v>68</v>
      </c>
      <c r="C868" s="3" t="s">
        <v>324</v>
      </c>
      <c r="D868" s="3">
        <v>40</v>
      </c>
      <c r="E868" s="3">
        <f t="shared" si="52"/>
        <v>40</v>
      </c>
      <c r="F868" s="3">
        <v>1984</v>
      </c>
      <c r="G868" s="3">
        <v>55000</v>
      </c>
      <c r="H868" s="12" cm="1">
        <f t="array" ref="H868">_xlfn.IFS(TRIM(G868)="SIXTY THOUSAND",60000,TRIM(G868)="NAN",AVERAGEIFS(G:G,J:J,J868,L:L,L868),TRUE,G868)</f>
        <v>55000</v>
      </c>
      <c r="I868" s="3" t="s">
        <v>38</v>
      </c>
      <c r="J868" s="3" t="s">
        <v>82</v>
      </c>
      <c r="K868" s="3" t="str">
        <f t="shared" si="53"/>
        <v>HR</v>
      </c>
      <c r="L868" s="3" t="s">
        <v>77</v>
      </c>
      <c r="M868" s="4">
        <v>43800</v>
      </c>
      <c r="N868" s="4">
        <v>43800</v>
      </c>
      <c r="O868" s="3" t="s">
        <v>52</v>
      </c>
      <c r="P868" s="3">
        <v>73</v>
      </c>
      <c r="Q868" s="3" t="s">
        <v>325</v>
      </c>
      <c r="R868" s="3" t="s">
        <v>104</v>
      </c>
      <c r="S868" s="3" t="s">
        <v>174</v>
      </c>
      <c r="T868" s="3" t="str">
        <f t="shared" si="54"/>
        <v>Full-Time</v>
      </c>
      <c r="U868" s="3" t="s">
        <v>201</v>
      </c>
      <c r="V868" s="3">
        <v>4</v>
      </c>
      <c r="Y868" s="4">
        <v>45516</v>
      </c>
      <c r="Z868" s="3">
        <v>26</v>
      </c>
      <c r="AA868" s="3" t="s">
        <v>46</v>
      </c>
      <c r="AB868" s="3" t="str" cm="1">
        <f t="array" ref="AB868">_xlfn.IFS(AA868="N","No",  AA868 = "Y", "Yes", TRUE, PROPER(TRIM(AA868)))</f>
        <v>Yes</v>
      </c>
      <c r="AC868" s="3">
        <v>4</v>
      </c>
      <c r="AD868" s="3" t="s">
        <v>34</v>
      </c>
      <c r="AE868">
        <f t="shared" si="55"/>
        <v>0</v>
      </c>
    </row>
    <row r="869" spans="1:31" ht="14.25" customHeight="1" x14ac:dyDescent="0.35">
      <c r="A869" s="3" t="s">
        <v>1659</v>
      </c>
      <c r="B869" s="3" t="s">
        <v>107</v>
      </c>
      <c r="C869" s="3" t="s">
        <v>117</v>
      </c>
      <c r="D869" s="3">
        <v>25</v>
      </c>
      <c r="E869" s="3">
        <f t="shared" si="52"/>
        <v>25</v>
      </c>
      <c r="F869" s="3">
        <v>1999</v>
      </c>
      <c r="G869" s="3">
        <v>65000</v>
      </c>
      <c r="H869" s="12" cm="1">
        <f t="array" ref="H869">_xlfn.IFS(TRIM(G869)="SIXTY THOUSAND",60000,TRIM(G869)="NAN",AVERAGEIFS(G:G,J:J,J869,L:L,L869),TRUE,G869)</f>
        <v>65000</v>
      </c>
      <c r="I869" s="3" t="s">
        <v>27</v>
      </c>
      <c r="J869" s="3" t="s">
        <v>122</v>
      </c>
      <c r="K869" s="3" t="str">
        <f t="shared" si="53"/>
        <v>IT</v>
      </c>
      <c r="L869" s="3" t="s">
        <v>29</v>
      </c>
      <c r="M869" s="4">
        <v>43881</v>
      </c>
      <c r="N869" s="4">
        <v>43881</v>
      </c>
      <c r="O869" s="3" t="s">
        <v>59</v>
      </c>
      <c r="P869" s="3">
        <v>90</v>
      </c>
      <c r="Q869" s="3" t="s">
        <v>1660</v>
      </c>
      <c r="R869" s="3" t="s">
        <v>43</v>
      </c>
      <c r="S869" s="3" t="s">
        <v>112</v>
      </c>
      <c r="T869" s="3" t="str">
        <f t="shared" si="54"/>
        <v>Full-Time</v>
      </c>
      <c r="V869" s="3">
        <v>4</v>
      </c>
      <c r="Y869" s="4">
        <v>44941</v>
      </c>
      <c r="Z869" s="3">
        <v>9</v>
      </c>
      <c r="AA869" s="3" t="s">
        <v>73</v>
      </c>
      <c r="AB869" s="3" t="str" cm="1">
        <f t="array" ref="AB869">_xlfn.IFS(AA869="N","No",  AA869 = "Y", "Yes", TRUE, PROPER(TRIM(AA869)))</f>
        <v>No</v>
      </c>
      <c r="AC869" s="3">
        <v>3</v>
      </c>
      <c r="AD869" s="3" t="s">
        <v>46</v>
      </c>
      <c r="AE869">
        <f t="shared" si="55"/>
        <v>1</v>
      </c>
    </row>
    <row r="870" spans="1:31" ht="14.25" customHeight="1" x14ac:dyDescent="0.35">
      <c r="A870" s="3" t="s">
        <v>1661</v>
      </c>
      <c r="B870" s="3" t="s">
        <v>36</v>
      </c>
      <c r="C870" s="3" t="s">
        <v>556</v>
      </c>
      <c r="D870" s="3">
        <v>35</v>
      </c>
      <c r="E870" s="3">
        <f t="shared" si="52"/>
        <v>35</v>
      </c>
      <c r="F870" s="3">
        <v>1989</v>
      </c>
      <c r="G870" s="3">
        <v>60800</v>
      </c>
      <c r="H870" s="12" cm="1">
        <f t="array" ref="H870">_xlfn.IFS(TRIM(G870)="SIXTY THOUSAND",60000,TRIM(G870)="NAN",AVERAGEIFS(G:G,J:J,J870,L:L,L870),TRUE,G870)</f>
        <v>60800</v>
      </c>
      <c r="I870" s="3" t="s">
        <v>38</v>
      </c>
      <c r="J870" s="3" t="s">
        <v>39</v>
      </c>
      <c r="K870" s="3" t="str">
        <f t="shared" si="53"/>
        <v>Finance</v>
      </c>
      <c r="L870" s="3" t="s">
        <v>94</v>
      </c>
      <c r="M870" s="4">
        <v>43800</v>
      </c>
      <c r="N870" s="4">
        <v>43800</v>
      </c>
      <c r="O870" s="3" t="s">
        <v>52</v>
      </c>
      <c r="P870" s="3">
        <v>76</v>
      </c>
      <c r="Q870" s="3" t="s">
        <v>557</v>
      </c>
      <c r="R870" s="3" t="s">
        <v>43</v>
      </c>
      <c r="S870" s="3" t="s">
        <v>72</v>
      </c>
      <c r="T870" s="3" t="str">
        <f t="shared" si="54"/>
        <v>Part-Time</v>
      </c>
      <c r="V870" s="3">
        <v>6</v>
      </c>
      <c r="W870" s="3" t="s">
        <v>79</v>
      </c>
      <c r="Y870" s="4">
        <v>45516</v>
      </c>
      <c r="Z870" s="3">
        <v>52</v>
      </c>
      <c r="AA870" s="3" t="s">
        <v>34</v>
      </c>
      <c r="AB870" s="3" t="str" cm="1">
        <f t="array" ref="AB870">_xlfn.IFS(AA870="N","No",  AA870 = "Y", "Yes", TRUE, PROPER(TRIM(AA870)))</f>
        <v>No</v>
      </c>
      <c r="AC870" s="3">
        <v>1</v>
      </c>
      <c r="AD870" s="3" t="s">
        <v>46</v>
      </c>
      <c r="AE870">
        <f t="shared" si="55"/>
        <v>1</v>
      </c>
    </row>
    <row r="871" spans="1:31" ht="14.25" customHeight="1" x14ac:dyDescent="0.35">
      <c r="A871" s="3" t="s">
        <v>1662</v>
      </c>
      <c r="B871" s="3" t="s">
        <v>75</v>
      </c>
      <c r="C871" s="3" t="s">
        <v>209</v>
      </c>
      <c r="D871" s="3" t="s">
        <v>88</v>
      </c>
      <c r="E871" s="3">
        <f t="shared" si="52"/>
        <v>30</v>
      </c>
      <c r="F871" s="3">
        <v>1994</v>
      </c>
      <c r="G871" s="3">
        <v>50000</v>
      </c>
      <c r="H871" s="12" cm="1">
        <f t="array" ref="H871">_xlfn.IFS(TRIM(G871)="SIXTY THOUSAND",60000,TRIM(G871)="NAN",AVERAGEIFS(G:G,J:J,J871,L:L,L871),TRUE,G871)</f>
        <v>50000</v>
      </c>
      <c r="I871" s="3" t="s">
        <v>27</v>
      </c>
      <c r="J871" s="3" t="s">
        <v>28</v>
      </c>
      <c r="K871" s="3" t="str">
        <f t="shared" si="53"/>
        <v>HR</v>
      </c>
      <c r="L871" s="3" t="s">
        <v>89</v>
      </c>
      <c r="M871" s="4">
        <v>43195</v>
      </c>
      <c r="N871" s="4">
        <v>43195</v>
      </c>
      <c r="O871" s="3" t="s">
        <v>78</v>
      </c>
      <c r="P871" s="3">
        <v>83</v>
      </c>
      <c r="Q871" s="3" t="s">
        <v>1663</v>
      </c>
      <c r="R871" s="3" t="s">
        <v>61</v>
      </c>
      <c r="S871" s="3" t="s">
        <v>100</v>
      </c>
      <c r="T871" s="3" t="str">
        <f t="shared" si="54"/>
        <v>Part-Time</v>
      </c>
      <c r="U871" s="3" t="s">
        <v>274</v>
      </c>
      <c r="V871" s="3">
        <v>3</v>
      </c>
      <c r="W871" s="3">
        <v>13</v>
      </c>
      <c r="X871" s="3">
        <v>20</v>
      </c>
      <c r="Z871" s="3">
        <v>53</v>
      </c>
      <c r="AA871" s="3" t="s">
        <v>46</v>
      </c>
      <c r="AB871" s="3" t="str" cm="1">
        <f t="array" ref="AB871">_xlfn.IFS(AA871="N","No",  AA871 = "Y", "Yes", TRUE, PROPER(TRIM(AA871)))</f>
        <v>Yes</v>
      </c>
      <c r="AC871" s="3">
        <v>4</v>
      </c>
      <c r="AD871" s="3" t="s">
        <v>34</v>
      </c>
      <c r="AE871">
        <f t="shared" si="55"/>
        <v>0</v>
      </c>
    </row>
    <row r="872" spans="1:31" ht="14.25" customHeight="1" x14ac:dyDescent="0.35">
      <c r="A872" s="3" t="s">
        <v>1664</v>
      </c>
      <c r="B872" s="3" t="s">
        <v>36</v>
      </c>
      <c r="C872" s="3" t="s">
        <v>343</v>
      </c>
      <c r="E872" s="3">
        <f t="shared" si="52"/>
        <v>32</v>
      </c>
      <c r="F872" s="3">
        <v>1992</v>
      </c>
      <c r="G872" s="3">
        <v>70000</v>
      </c>
      <c r="H872" s="12" cm="1">
        <f t="array" ref="H872">_xlfn.IFS(TRIM(G872)="SIXTY THOUSAND",60000,TRIM(G872)="NAN",AVERAGEIFS(G:G,J:J,J872,L:L,L872),TRUE,G872)</f>
        <v>70000</v>
      </c>
      <c r="I872" s="3" t="s">
        <v>27</v>
      </c>
      <c r="J872" s="3" t="s">
        <v>70</v>
      </c>
      <c r="K872" s="3" t="str">
        <f t="shared" si="53"/>
        <v>Marketing</v>
      </c>
      <c r="L872" s="3" t="s">
        <v>89</v>
      </c>
      <c r="M872" s="4">
        <v>43800</v>
      </c>
      <c r="N872" s="4">
        <v>43800</v>
      </c>
      <c r="O872" s="3" t="s">
        <v>78</v>
      </c>
      <c r="P872" s="3">
        <v>82</v>
      </c>
      <c r="Q872" s="3" t="s">
        <v>1665</v>
      </c>
      <c r="R872" s="3" t="s">
        <v>61</v>
      </c>
      <c r="S872" s="3" t="s">
        <v>100</v>
      </c>
      <c r="T872" s="3" t="str">
        <f t="shared" si="54"/>
        <v>Part-Time</v>
      </c>
      <c r="V872" s="3">
        <v>2</v>
      </c>
      <c r="W872" s="3" t="s">
        <v>79</v>
      </c>
      <c r="X872" s="3">
        <v>19</v>
      </c>
      <c r="Z872" s="3">
        <v>45</v>
      </c>
      <c r="AB872" s="3" t="str" cm="1">
        <f t="array" ref="AB872">_xlfn.IFS(AA872="N","No",  AA872 = "Y", "Yes", TRUE, PROPER(TRIM(AA872)))</f>
        <v/>
      </c>
      <c r="AC872" s="3">
        <v>1</v>
      </c>
      <c r="AD872" s="3" t="s">
        <v>34</v>
      </c>
      <c r="AE872">
        <f t="shared" si="55"/>
        <v>0</v>
      </c>
    </row>
    <row r="873" spans="1:31" ht="14.25" customHeight="1" x14ac:dyDescent="0.35">
      <c r="A873" s="3" t="s">
        <v>1666</v>
      </c>
      <c r="B873" s="3" t="s">
        <v>131</v>
      </c>
      <c r="C873" s="3" t="s">
        <v>229</v>
      </c>
      <c r="D873" s="3">
        <v>50</v>
      </c>
      <c r="E873" s="3">
        <f t="shared" si="52"/>
        <v>50</v>
      </c>
      <c r="F873" s="3">
        <v>1974</v>
      </c>
      <c r="G873" s="3">
        <v>55000</v>
      </c>
      <c r="H873" s="12" cm="1">
        <f t="array" ref="H873">_xlfn.IFS(TRIM(G873)="SIXTY THOUSAND",60000,TRIM(G873)="NAN",AVERAGEIFS(G:G,J:J,J873,L:L,L873),TRUE,G873)</f>
        <v>55000</v>
      </c>
      <c r="I873" s="3" t="s">
        <v>27</v>
      </c>
      <c r="J873" s="3" t="s">
        <v>28</v>
      </c>
      <c r="K873" s="3" t="str">
        <f t="shared" si="53"/>
        <v>HR</v>
      </c>
      <c r="L873" s="3" t="s">
        <v>40</v>
      </c>
      <c r="M873" s="4">
        <v>43881</v>
      </c>
      <c r="N873" s="4">
        <v>43881</v>
      </c>
      <c r="O873" s="3" t="s">
        <v>41</v>
      </c>
      <c r="P873" s="3">
        <v>47</v>
      </c>
      <c r="Q873" s="3" t="s">
        <v>1667</v>
      </c>
      <c r="R873" s="3" t="s">
        <v>43</v>
      </c>
      <c r="S873" s="3" t="s">
        <v>44</v>
      </c>
      <c r="T873" s="3" t="str">
        <f t="shared" si="54"/>
        <v>Full-Time</v>
      </c>
      <c r="U873" s="3" t="s">
        <v>1668</v>
      </c>
      <c r="V873" s="3">
        <v>2</v>
      </c>
      <c r="W873" s="3">
        <v>2</v>
      </c>
      <c r="X873" s="3">
        <v>8</v>
      </c>
      <c r="Z873" s="3">
        <v>32</v>
      </c>
      <c r="AB873" s="3" t="str" cm="1">
        <f t="array" ref="AB873">_xlfn.IFS(AA873="N","No",  AA873 = "Y", "Yes", TRUE, PROPER(TRIM(AA873)))</f>
        <v/>
      </c>
      <c r="AC873" s="3">
        <v>5</v>
      </c>
      <c r="AD873" s="3" t="s">
        <v>34</v>
      </c>
      <c r="AE873">
        <f t="shared" si="55"/>
        <v>0</v>
      </c>
    </row>
    <row r="874" spans="1:31" ht="14.25" customHeight="1" x14ac:dyDescent="0.35">
      <c r="A874" s="3" t="s">
        <v>1669</v>
      </c>
      <c r="B874" s="3" t="s">
        <v>36</v>
      </c>
      <c r="C874" s="3" t="s">
        <v>84</v>
      </c>
      <c r="D874" s="3" t="s">
        <v>88</v>
      </c>
      <c r="E874" s="3">
        <f t="shared" si="52"/>
        <v>30</v>
      </c>
      <c r="F874" s="3">
        <v>1994</v>
      </c>
      <c r="G874" s="3">
        <v>70000</v>
      </c>
      <c r="H874" s="12" cm="1">
        <f t="array" ref="H874">_xlfn.IFS(TRIM(G874)="SIXTY THOUSAND",60000,TRIM(G874)="NAN",AVERAGEIFS(G:G,J:J,J874,L:L,L874),TRUE,G874)</f>
        <v>70000</v>
      </c>
      <c r="I874" s="3" t="s">
        <v>38</v>
      </c>
      <c r="J874" s="3" t="s">
        <v>93</v>
      </c>
      <c r="K874" s="3" t="str">
        <f t="shared" si="53"/>
        <v>Marketing</v>
      </c>
      <c r="L874" s="3" t="s">
        <v>77</v>
      </c>
      <c r="M874" s="4">
        <v>43195</v>
      </c>
      <c r="N874" s="4">
        <v>43195</v>
      </c>
      <c r="O874" s="3" t="s">
        <v>78</v>
      </c>
      <c r="P874" s="3">
        <v>84</v>
      </c>
      <c r="Q874" s="3" t="s">
        <v>1670</v>
      </c>
      <c r="R874" s="3" t="s">
        <v>43</v>
      </c>
      <c r="S874" s="3" t="s">
        <v>112</v>
      </c>
      <c r="T874" s="3" t="str">
        <f t="shared" si="54"/>
        <v>Full-Time</v>
      </c>
      <c r="U874" s="3" t="s">
        <v>153</v>
      </c>
      <c r="V874" s="3">
        <v>2</v>
      </c>
      <c r="X874" s="3">
        <v>6</v>
      </c>
      <c r="AA874" s="3" t="s">
        <v>33</v>
      </c>
      <c r="AB874" s="3" t="str" cm="1">
        <f t="array" ref="AB874">_xlfn.IFS(AA874="N","No",  AA874 = "Y", "Yes", TRUE, PROPER(TRIM(AA874)))</f>
        <v>Yes</v>
      </c>
      <c r="AC874" s="3">
        <v>4</v>
      </c>
      <c r="AD874" s="3" t="s">
        <v>34</v>
      </c>
      <c r="AE874">
        <f t="shared" si="55"/>
        <v>0</v>
      </c>
    </row>
    <row r="875" spans="1:31" ht="14.25" customHeight="1" x14ac:dyDescent="0.35">
      <c r="A875" s="3" t="s">
        <v>1671</v>
      </c>
      <c r="B875" s="3" t="s">
        <v>131</v>
      </c>
      <c r="C875" s="3" t="s">
        <v>465</v>
      </c>
      <c r="E875" s="3">
        <f t="shared" si="52"/>
        <v>31</v>
      </c>
      <c r="F875" s="3">
        <v>1993</v>
      </c>
      <c r="G875" s="3">
        <v>55000</v>
      </c>
      <c r="H875" s="12" cm="1">
        <f t="array" ref="H875">_xlfn.IFS(TRIM(G875)="SIXTY THOUSAND",60000,TRIM(G875)="NAN",AVERAGEIFS(G:G,J:J,J875,L:L,L875),TRUE,G875)</f>
        <v>55000</v>
      </c>
      <c r="I875" s="3" t="s">
        <v>38</v>
      </c>
      <c r="J875" s="3" t="s">
        <v>58</v>
      </c>
      <c r="K875" s="3" t="str">
        <f t="shared" si="53"/>
        <v>IT</v>
      </c>
      <c r="L875" s="3" t="s">
        <v>77</v>
      </c>
      <c r="M875" s="4">
        <v>43845</v>
      </c>
      <c r="N875" s="4">
        <v>43845</v>
      </c>
      <c r="O875" s="3" t="s">
        <v>41</v>
      </c>
      <c r="P875" s="3">
        <v>41</v>
      </c>
      <c r="Q875" s="3" t="s">
        <v>1672</v>
      </c>
      <c r="R875" s="3" t="s">
        <v>61</v>
      </c>
      <c r="S875" s="3" t="s">
        <v>100</v>
      </c>
      <c r="T875" s="3" t="str">
        <f t="shared" si="54"/>
        <v>Part-Time</v>
      </c>
      <c r="V875" s="3">
        <v>8</v>
      </c>
      <c r="X875" s="3">
        <v>0</v>
      </c>
      <c r="AA875" s="3" t="s">
        <v>33</v>
      </c>
      <c r="AB875" s="3" t="str" cm="1">
        <f t="array" ref="AB875">_xlfn.IFS(AA875="N","No",  AA875 = "Y", "Yes", TRUE, PROPER(TRIM(AA875)))</f>
        <v>Yes</v>
      </c>
      <c r="AC875" s="3">
        <v>3</v>
      </c>
      <c r="AD875" s="3" t="s">
        <v>34</v>
      </c>
      <c r="AE875">
        <f t="shared" si="55"/>
        <v>0</v>
      </c>
    </row>
    <row r="876" spans="1:31" ht="14.25" customHeight="1" x14ac:dyDescent="0.35">
      <c r="A876" s="3" t="s">
        <v>1673</v>
      </c>
      <c r="B876" s="3" t="s">
        <v>131</v>
      </c>
      <c r="C876" s="3" t="s">
        <v>237</v>
      </c>
      <c r="D876" s="3">
        <v>50</v>
      </c>
      <c r="E876" s="3">
        <f t="shared" si="52"/>
        <v>50</v>
      </c>
      <c r="F876" s="3">
        <v>1974</v>
      </c>
      <c r="G876" s="3">
        <v>70000</v>
      </c>
      <c r="H876" s="12" cm="1">
        <f t="array" ref="H876">_xlfn.IFS(TRIM(G876)="SIXTY THOUSAND",60000,TRIM(G876)="NAN",AVERAGEIFS(G:G,J:J,J876,L:L,L876),TRUE,G876)</f>
        <v>70000</v>
      </c>
      <c r="I876" s="3" t="s">
        <v>38</v>
      </c>
      <c r="J876" s="3" t="s">
        <v>28</v>
      </c>
      <c r="K876" s="3" t="str">
        <f t="shared" si="53"/>
        <v>HR</v>
      </c>
      <c r="L876" s="3" t="s">
        <v>77</v>
      </c>
      <c r="M876" s="4">
        <v>43549</v>
      </c>
      <c r="N876" s="4">
        <v>43549</v>
      </c>
      <c r="O876" s="3" t="s">
        <v>59</v>
      </c>
      <c r="P876" s="3">
        <v>93</v>
      </c>
      <c r="Q876" s="3" t="s">
        <v>1674</v>
      </c>
      <c r="S876" s="3" t="s">
        <v>100</v>
      </c>
      <c r="T876" s="3" t="str">
        <f t="shared" si="54"/>
        <v>Part-Time</v>
      </c>
      <c r="V876" s="3">
        <v>1</v>
      </c>
      <c r="Y876" s="4">
        <v>45516</v>
      </c>
      <c r="AA876" s="3" t="s">
        <v>34</v>
      </c>
      <c r="AB876" s="3" t="str" cm="1">
        <f t="array" ref="AB876">_xlfn.IFS(AA876="N","No",  AA876 = "Y", "Yes", TRUE, PROPER(TRIM(AA876)))</f>
        <v>No</v>
      </c>
      <c r="AC876" s="3">
        <v>1</v>
      </c>
      <c r="AD876" s="3" t="s">
        <v>34</v>
      </c>
      <c r="AE876">
        <f t="shared" si="55"/>
        <v>0</v>
      </c>
    </row>
    <row r="877" spans="1:31" ht="14.25" customHeight="1" x14ac:dyDescent="0.35">
      <c r="A877" s="3" t="s">
        <v>1675</v>
      </c>
      <c r="B877" s="3" t="s">
        <v>68</v>
      </c>
      <c r="C877" s="3" t="s">
        <v>250</v>
      </c>
      <c r="D877" s="3">
        <v>50</v>
      </c>
      <c r="E877" s="3">
        <f t="shared" si="52"/>
        <v>50</v>
      </c>
      <c r="F877" s="3">
        <v>1974</v>
      </c>
      <c r="G877" s="3" t="s">
        <v>50</v>
      </c>
      <c r="H877" s="12" cm="1">
        <f t="array" ref="H877">_xlfn.IFS(TRIM(G877)="SIXTY THOUSAND",60000,TRIM(G877)="NAN",AVERAGEIFS(G:G,J:J,J877,L:L,L877),TRUE,G877)</f>
        <v>60000</v>
      </c>
      <c r="I877" s="3" t="s">
        <v>27</v>
      </c>
      <c r="J877" s="3" t="s">
        <v>145</v>
      </c>
      <c r="K877" s="3" t="str">
        <f t="shared" si="53"/>
        <v>Sales</v>
      </c>
      <c r="L877" s="3" t="s">
        <v>89</v>
      </c>
      <c r="M877" s="4">
        <v>43881</v>
      </c>
      <c r="N877" s="4">
        <v>43881</v>
      </c>
      <c r="O877" s="3" t="s">
        <v>78</v>
      </c>
      <c r="P877" s="3">
        <v>80</v>
      </c>
      <c r="Q877" s="3" t="s">
        <v>251</v>
      </c>
      <c r="R877" s="3" t="s">
        <v>54</v>
      </c>
      <c r="S877" s="3" t="s">
        <v>32</v>
      </c>
      <c r="T877" s="3" t="str">
        <f t="shared" si="54"/>
        <v>Contract</v>
      </c>
      <c r="U877" s="3" t="s">
        <v>80</v>
      </c>
      <c r="V877" s="3">
        <v>1</v>
      </c>
      <c r="X877" s="3">
        <v>10</v>
      </c>
      <c r="AA877" s="3" t="s">
        <v>34</v>
      </c>
      <c r="AB877" s="3" t="str" cm="1">
        <f t="array" ref="AB877">_xlfn.IFS(AA877="N","No",  AA877 = "Y", "Yes", TRUE, PROPER(TRIM(AA877)))</f>
        <v>No</v>
      </c>
      <c r="AC877" s="3">
        <v>2</v>
      </c>
      <c r="AD877" s="3" t="s">
        <v>34</v>
      </c>
      <c r="AE877">
        <f t="shared" si="55"/>
        <v>0</v>
      </c>
    </row>
    <row r="878" spans="1:31" ht="14.25" customHeight="1" x14ac:dyDescent="0.35">
      <c r="A878" s="3" t="s">
        <v>1676</v>
      </c>
      <c r="B878" s="3" t="s">
        <v>107</v>
      </c>
      <c r="C878" s="3" t="s">
        <v>499</v>
      </c>
      <c r="D878" s="3" t="s">
        <v>88</v>
      </c>
      <c r="E878" s="3">
        <f t="shared" si="52"/>
        <v>30</v>
      </c>
      <c r="F878" s="3">
        <v>1994</v>
      </c>
      <c r="G878" s="3">
        <v>55000</v>
      </c>
      <c r="H878" s="12" cm="1">
        <f t="array" ref="H878">_xlfn.IFS(TRIM(G878)="SIXTY THOUSAND",60000,TRIM(G878)="NAN",AVERAGEIFS(G:G,J:J,J878,L:L,L878),TRUE,G878)</f>
        <v>55000</v>
      </c>
      <c r="I878" s="3" t="s">
        <v>27</v>
      </c>
      <c r="J878" s="3" t="s">
        <v>58</v>
      </c>
      <c r="K878" s="3" t="str">
        <f t="shared" si="53"/>
        <v>IT</v>
      </c>
      <c r="L878" s="3" t="s">
        <v>40</v>
      </c>
      <c r="M878" s="4">
        <v>43881</v>
      </c>
      <c r="N878" s="4">
        <v>43881</v>
      </c>
      <c r="O878" s="3" t="s">
        <v>59</v>
      </c>
      <c r="P878" s="3">
        <v>92</v>
      </c>
      <c r="Q878" s="3" t="s">
        <v>1677</v>
      </c>
      <c r="R878" s="3" t="s">
        <v>54</v>
      </c>
      <c r="S878" s="3" t="s">
        <v>44</v>
      </c>
      <c r="T878" s="3" t="str">
        <f t="shared" si="54"/>
        <v>Full-Time</v>
      </c>
      <c r="U878" s="3" t="s">
        <v>374</v>
      </c>
      <c r="V878" s="3">
        <v>8</v>
      </c>
      <c r="Y878" s="4">
        <v>44990</v>
      </c>
      <c r="AA878" s="3" t="s">
        <v>46</v>
      </c>
      <c r="AB878" s="3" t="str" cm="1">
        <f t="array" ref="AB878">_xlfn.IFS(AA878="N","No",  AA878 = "Y", "Yes", TRUE, PROPER(TRIM(AA878)))</f>
        <v>Yes</v>
      </c>
      <c r="AC878" s="3">
        <v>2</v>
      </c>
      <c r="AD878" s="3" t="s">
        <v>34</v>
      </c>
      <c r="AE878">
        <f t="shared" si="55"/>
        <v>0</v>
      </c>
    </row>
    <row r="879" spans="1:31" ht="14.25" customHeight="1" x14ac:dyDescent="0.35">
      <c r="A879" s="3" t="s">
        <v>1678</v>
      </c>
      <c r="B879" s="3" t="s">
        <v>56</v>
      </c>
      <c r="C879" s="3" t="s">
        <v>57</v>
      </c>
      <c r="D879" s="3">
        <v>40</v>
      </c>
      <c r="E879" s="3">
        <f t="shared" si="52"/>
        <v>40</v>
      </c>
      <c r="F879" s="3">
        <v>1984</v>
      </c>
      <c r="G879" s="3">
        <v>70000</v>
      </c>
      <c r="H879" s="12" cm="1">
        <f t="array" ref="H879">_xlfn.IFS(TRIM(G879)="SIXTY THOUSAND",60000,TRIM(G879)="NAN",AVERAGEIFS(G:G,J:J,J879,L:L,L879),TRUE,G879)</f>
        <v>70000</v>
      </c>
      <c r="I879" s="3" t="s">
        <v>38</v>
      </c>
      <c r="J879" s="3" t="s">
        <v>70</v>
      </c>
      <c r="K879" s="3" t="str">
        <f t="shared" si="53"/>
        <v>Marketing</v>
      </c>
      <c r="L879" s="3" t="s">
        <v>29</v>
      </c>
      <c r="M879" s="4">
        <v>43881</v>
      </c>
      <c r="N879" s="4">
        <v>43881</v>
      </c>
      <c r="O879" s="3" t="s">
        <v>59</v>
      </c>
      <c r="P879" s="3">
        <v>99</v>
      </c>
      <c r="Q879" s="3" t="s">
        <v>60</v>
      </c>
      <c r="R879" s="3" t="s">
        <v>43</v>
      </c>
      <c r="S879" s="3" t="s">
        <v>44</v>
      </c>
      <c r="T879" s="3" t="str">
        <f t="shared" si="54"/>
        <v>Full-Time</v>
      </c>
      <c r="V879" s="3">
        <v>6</v>
      </c>
      <c r="W879" s="3" t="s">
        <v>79</v>
      </c>
      <c r="X879" s="3">
        <v>0</v>
      </c>
      <c r="Z879" s="3">
        <v>64</v>
      </c>
      <c r="AA879" s="3" t="s">
        <v>73</v>
      </c>
      <c r="AB879" s="3" t="str" cm="1">
        <f t="array" ref="AB879">_xlfn.IFS(AA879="N","No",  AA879 = "Y", "Yes", TRUE, PROPER(TRIM(AA879)))</f>
        <v>No</v>
      </c>
      <c r="AC879" s="3">
        <v>4</v>
      </c>
      <c r="AD879" s="3" t="s">
        <v>34</v>
      </c>
      <c r="AE879">
        <f t="shared" si="55"/>
        <v>0</v>
      </c>
    </row>
    <row r="880" spans="1:31" ht="14.25" customHeight="1" x14ac:dyDescent="0.35">
      <c r="A880" s="3" t="s">
        <v>1679</v>
      </c>
      <c r="B880" s="3" t="s">
        <v>36</v>
      </c>
      <c r="C880" s="3" t="s">
        <v>132</v>
      </c>
      <c r="D880" s="3">
        <v>40</v>
      </c>
      <c r="E880" s="3">
        <f t="shared" si="52"/>
        <v>40</v>
      </c>
      <c r="F880" s="3">
        <v>1984</v>
      </c>
      <c r="G880" s="3">
        <v>50000</v>
      </c>
      <c r="H880" s="12" cm="1">
        <f t="array" ref="H880">_xlfn.IFS(TRIM(G880)="SIXTY THOUSAND",60000,TRIM(G880)="NAN",AVERAGEIFS(G:G,J:J,J880,L:L,L880),TRUE,G880)</f>
        <v>50000</v>
      </c>
      <c r="I880" s="3" t="s">
        <v>27</v>
      </c>
      <c r="J880" s="3" t="s">
        <v>58</v>
      </c>
      <c r="K880" s="3" t="str">
        <f t="shared" si="53"/>
        <v>IT</v>
      </c>
      <c r="L880" s="3" t="s">
        <v>94</v>
      </c>
      <c r="M880" s="4">
        <v>43195</v>
      </c>
      <c r="N880" s="4">
        <v>43195</v>
      </c>
      <c r="O880" s="3" t="s">
        <v>78</v>
      </c>
      <c r="P880" s="3">
        <v>85</v>
      </c>
      <c r="Q880" s="3" t="s">
        <v>1680</v>
      </c>
      <c r="R880" s="3" t="s">
        <v>61</v>
      </c>
      <c r="S880" s="3" t="s">
        <v>32</v>
      </c>
      <c r="T880" s="3" t="str">
        <f t="shared" si="54"/>
        <v>Contract</v>
      </c>
      <c r="V880" s="3">
        <v>6</v>
      </c>
      <c r="W880" s="3">
        <v>2</v>
      </c>
      <c r="X880" s="3">
        <v>11</v>
      </c>
      <c r="Y880" s="3" t="s">
        <v>79</v>
      </c>
      <c r="AA880" s="3" t="s">
        <v>34</v>
      </c>
      <c r="AB880" s="3" t="str" cm="1">
        <f t="array" ref="AB880">_xlfn.IFS(AA880="N","No",  AA880 = "Y", "Yes", TRUE, PROPER(TRIM(AA880)))</f>
        <v>No</v>
      </c>
      <c r="AC880" s="3">
        <v>1</v>
      </c>
      <c r="AD880" s="3" t="s">
        <v>46</v>
      </c>
      <c r="AE880">
        <f t="shared" si="55"/>
        <v>1</v>
      </c>
    </row>
    <row r="881" spans="1:31" ht="14.25" customHeight="1" x14ac:dyDescent="0.35">
      <c r="A881" s="3" t="s">
        <v>1681</v>
      </c>
      <c r="B881" s="3" t="s">
        <v>75</v>
      </c>
      <c r="C881" s="3" t="s">
        <v>819</v>
      </c>
      <c r="D881" s="3">
        <v>50</v>
      </c>
      <c r="E881" s="3">
        <f t="shared" si="52"/>
        <v>50</v>
      </c>
      <c r="F881" s="3">
        <v>1974</v>
      </c>
      <c r="G881" s="3" t="s">
        <v>50</v>
      </c>
      <c r="H881" s="12" cm="1">
        <f t="array" ref="H881">_xlfn.IFS(TRIM(G881)="SIXTY THOUSAND",60000,TRIM(G881)="NAN",AVERAGEIFS(G:G,J:J,J881,L:L,L881),TRUE,G881)</f>
        <v>60000</v>
      </c>
      <c r="I881" s="3" t="s">
        <v>38</v>
      </c>
      <c r="J881" s="3" t="s">
        <v>28</v>
      </c>
      <c r="K881" s="3" t="str">
        <f t="shared" si="53"/>
        <v>HR</v>
      </c>
      <c r="L881" s="3" t="s">
        <v>29</v>
      </c>
      <c r="M881" s="4">
        <v>43845</v>
      </c>
      <c r="N881" s="4">
        <v>43845</v>
      </c>
      <c r="O881" s="3" t="s">
        <v>59</v>
      </c>
      <c r="P881" s="3">
        <v>97</v>
      </c>
      <c r="Q881" s="3" t="s">
        <v>820</v>
      </c>
      <c r="R881" s="3" t="s">
        <v>104</v>
      </c>
      <c r="S881" s="3" t="s">
        <v>112</v>
      </c>
      <c r="T881" s="3" t="str">
        <f t="shared" si="54"/>
        <v>Full-Time</v>
      </c>
      <c r="U881" s="3" t="s">
        <v>188</v>
      </c>
      <c r="V881" s="3">
        <v>8</v>
      </c>
      <c r="W881" s="3">
        <v>4</v>
      </c>
      <c r="AA881" s="3" t="s">
        <v>46</v>
      </c>
      <c r="AB881" s="3" t="str" cm="1">
        <f t="array" ref="AB881">_xlfn.IFS(AA881="N","No",  AA881 = "Y", "Yes", TRUE, PROPER(TRIM(AA881)))</f>
        <v>Yes</v>
      </c>
      <c r="AC881" s="3">
        <v>1</v>
      </c>
      <c r="AD881" s="3" t="s">
        <v>46</v>
      </c>
      <c r="AE881">
        <f t="shared" si="55"/>
        <v>1</v>
      </c>
    </row>
    <row r="882" spans="1:31" ht="14.25" customHeight="1" x14ac:dyDescent="0.35">
      <c r="A882" s="3" t="s">
        <v>1682</v>
      </c>
      <c r="B882" s="3" t="s">
        <v>131</v>
      </c>
      <c r="C882" s="3" t="s">
        <v>285</v>
      </c>
      <c r="D882" s="3">
        <v>40</v>
      </c>
      <c r="E882" s="3">
        <f t="shared" si="52"/>
        <v>40</v>
      </c>
      <c r="F882" s="3">
        <v>1984</v>
      </c>
      <c r="G882" s="3" t="s">
        <v>50</v>
      </c>
      <c r="H882" s="12" cm="1">
        <f t="array" ref="H882">_xlfn.IFS(TRIM(G882)="SIXTY THOUSAND",60000,TRIM(G882)="NAN",AVERAGEIFS(G:G,J:J,J882,L:L,L882),TRUE,G882)</f>
        <v>60000</v>
      </c>
      <c r="I882" s="3" t="s">
        <v>38</v>
      </c>
      <c r="J882" s="3" t="s">
        <v>39</v>
      </c>
      <c r="K882" s="3" t="str">
        <f t="shared" si="53"/>
        <v>Finance</v>
      </c>
      <c r="L882" s="3" t="s">
        <v>89</v>
      </c>
      <c r="M882" s="4">
        <v>43800</v>
      </c>
      <c r="N882" s="4">
        <v>43800</v>
      </c>
      <c r="O882" s="3" t="s">
        <v>78</v>
      </c>
      <c r="P882" s="3">
        <v>81</v>
      </c>
      <c r="Q882" s="3" t="s">
        <v>286</v>
      </c>
      <c r="R882" s="3" t="s">
        <v>104</v>
      </c>
      <c r="S882" s="3" t="s">
        <v>72</v>
      </c>
      <c r="T882" s="3" t="str">
        <f t="shared" si="54"/>
        <v>Part-Time</v>
      </c>
      <c r="V882" s="3">
        <v>5</v>
      </c>
      <c r="Y882" s="4">
        <v>44470</v>
      </c>
      <c r="AA882" s="3" t="s">
        <v>46</v>
      </c>
      <c r="AB882" s="3" t="str" cm="1">
        <f t="array" ref="AB882">_xlfn.IFS(AA882="N","No",  AA882 = "Y", "Yes", TRUE, PROPER(TRIM(AA882)))</f>
        <v>Yes</v>
      </c>
      <c r="AC882" s="3">
        <v>4</v>
      </c>
      <c r="AD882" s="3" t="s">
        <v>34</v>
      </c>
      <c r="AE882">
        <f t="shared" si="55"/>
        <v>0</v>
      </c>
    </row>
    <row r="883" spans="1:31" ht="14.25" customHeight="1" x14ac:dyDescent="0.35">
      <c r="A883" s="3" t="s">
        <v>1683</v>
      </c>
      <c r="B883" s="3" t="s">
        <v>107</v>
      </c>
      <c r="C883" s="3" t="s">
        <v>367</v>
      </c>
      <c r="D883" s="3">
        <v>25</v>
      </c>
      <c r="E883" s="3">
        <f t="shared" si="52"/>
        <v>25</v>
      </c>
      <c r="F883" s="3">
        <v>1999</v>
      </c>
      <c r="G883" s="3">
        <v>50000</v>
      </c>
      <c r="H883" s="12" cm="1">
        <f t="array" ref="H883">_xlfn.IFS(TRIM(G883)="SIXTY THOUSAND",60000,TRIM(G883)="NAN",AVERAGEIFS(G:G,J:J,J883,L:L,L883),TRUE,G883)</f>
        <v>50000</v>
      </c>
      <c r="I883" s="3" t="s">
        <v>38</v>
      </c>
      <c r="J883" s="3" t="s">
        <v>39</v>
      </c>
      <c r="K883" s="3" t="str">
        <f t="shared" si="53"/>
        <v>Finance</v>
      </c>
      <c r="L883" s="3" t="s">
        <v>77</v>
      </c>
      <c r="M883" s="4">
        <v>43845</v>
      </c>
      <c r="N883" s="4">
        <v>43845</v>
      </c>
      <c r="O883" s="3" t="s">
        <v>78</v>
      </c>
      <c r="P883" s="3">
        <v>88</v>
      </c>
      <c r="Q883" s="3" t="s">
        <v>1684</v>
      </c>
      <c r="R883" s="3" t="s">
        <v>54</v>
      </c>
      <c r="S883" s="3" t="s">
        <v>174</v>
      </c>
      <c r="T883" s="3" t="str">
        <f t="shared" si="54"/>
        <v>Full-Time</v>
      </c>
      <c r="V883" s="3">
        <v>8</v>
      </c>
      <c r="Y883" s="4">
        <v>44941</v>
      </c>
      <c r="AA883" s="3" t="s">
        <v>169</v>
      </c>
      <c r="AB883" s="3" t="str" cm="1">
        <f t="array" ref="AB883">_xlfn.IFS(AA883="N","No",  AA883 = "Y", "Yes", TRUE, PROPER(TRIM(AA883)))</f>
        <v>Yes</v>
      </c>
      <c r="AC883" s="3">
        <v>1</v>
      </c>
      <c r="AD883" s="3" t="s">
        <v>46</v>
      </c>
      <c r="AE883">
        <f t="shared" si="55"/>
        <v>1</v>
      </c>
    </row>
    <row r="884" spans="1:31" ht="14.25" customHeight="1" x14ac:dyDescent="0.35">
      <c r="A884" s="3" t="s">
        <v>1685</v>
      </c>
      <c r="B884" s="3" t="s">
        <v>114</v>
      </c>
      <c r="C884" s="3" t="s">
        <v>710</v>
      </c>
      <c r="D884" s="3">
        <v>50</v>
      </c>
      <c r="E884" s="3">
        <f t="shared" si="52"/>
        <v>50</v>
      </c>
      <c r="F884" s="3">
        <v>1974</v>
      </c>
      <c r="G884" s="3">
        <v>70000</v>
      </c>
      <c r="H884" s="12" cm="1">
        <f t="array" ref="H884">_xlfn.IFS(TRIM(G884)="SIXTY THOUSAND",60000,TRIM(G884)="NAN",AVERAGEIFS(G:G,J:J,J884,L:L,L884),TRUE,G884)</f>
        <v>70000</v>
      </c>
      <c r="I884" s="3" t="s">
        <v>27</v>
      </c>
      <c r="J884" s="3" t="s">
        <v>93</v>
      </c>
      <c r="K884" s="3" t="str">
        <f t="shared" si="53"/>
        <v>Marketing</v>
      </c>
      <c r="L884" s="3" t="s">
        <v>94</v>
      </c>
      <c r="M884" s="4">
        <v>43195</v>
      </c>
      <c r="N884" s="4">
        <v>43195</v>
      </c>
      <c r="O884" s="3" t="s">
        <v>78</v>
      </c>
      <c r="P884" s="3">
        <v>81</v>
      </c>
      <c r="Q884" s="3" t="s">
        <v>711</v>
      </c>
      <c r="S884" s="3" t="s">
        <v>112</v>
      </c>
      <c r="T884" s="3" t="str">
        <f t="shared" si="54"/>
        <v>Full-Time</v>
      </c>
      <c r="V884" s="3">
        <v>3</v>
      </c>
      <c r="W884" s="3" t="s">
        <v>79</v>
      </c>
      <c r="X884" s="3">
        <v>0</v>
      </c>
      <c r="Z884" s="3">
        <v>49</v>
      </c>
      <c r="AA884" s="3" t="s">
        <v>46</v>
      </c>
      <c r="AB884" s="3" t="str" cm="1">
        <f t="array" ref="AB884">_xlfn.IFS(AA884="N","No",  AA884 = "Y", "Yes", TRUE, PROPER(TRIM(AA884)))</f>
        <v>Yes</v>
      </c>
      <c r="AC884" s="3">
        <v>2</v>
      </c>
      <c r="AD884" s="3" t="s">
        <v>34</v>
      </c>
      <c r="AE884">
        <f t="shared" si="55"/>
        <v>0</v>
      </c>
    </row>
    <row r="885" spans="1:31" ht="14.25" customHeight="1" x14ac:dyDescent="0.35">
      <c r="A885" s="3" t="s">
        <v>1686</v>
      </c>
      <c r="B885" s="3" t="s">
        <v>48</v>
      </c>
      <c r="C885" s="3" t="s">
        <v>534</v>
      </c>
      <c r="D885" s="3">
        <v>50</v>
      </c>
      <c r="E885" s="3">
        <f t="shared" si="52"/>
        <v>50</v>
      </c>
      <c r="F885" s="3">
        <v>1974</v>
      </c>
      <c r="G885" s="3">
        <v>65000</v>
      </c>
      <c r="H885" s="12" cm="1">
        <f t="array" ref="H885">_xlfn.IFS(TRIM(G885)="SIXTY THOUSAND",60000,TRIM(G885)="NAN",AVERAGEIFS(G:G,J:J,J885,L:L,L885),TRUE,G885)</f>
        <v>65000</v>
      </c>
      <c r="I885" s="3" t="s">
        <v>38</v>
      </c>
      <c r="J885" s="3" t="s">
        <v>70</v>
      </c>
      <c r="K885" s="3" t="str">
        <f t="shared" si="53"/>
        <v>Marketing</v>
      </c>
      <c r="L885" s="3" t="s">
        <v>89</v>
      </c>
      <c r="M885" s="4">
        <v>43881</v>
      </c>
      <c r="N885" s="4">
        <v>43881</v>
      </c>
      <c r="O885" s="3" t="s">
        <v>52</v>
      </c>
      <c r="P885" s="3">
        <v>74</v>
      </c>
      <c r="Q885" s="3" t="s">
        <v>535</v>
      </c>
      <c r="R885" s="3" t="s">
        <v>54</v>
      </c>
      <c r="S885" s="3" t="s">
        <v>72</v>
      </c>
      <c r="T885" s="3" t="str">
        <f t="shared" si="54"/>
        <v>Part-Time</v>
      </c>
      <c r="U885" s="3" t="s">
        <v>481</v>
      </c>
      <c r="V885" s="3">
        <v>5</v>
      </c>
      <c r="AA885" s="3" t="s">
        <v>34</v>
      </c>
      <c r="AB885" s="3" t="str" cm="1">
        <f t="array" ref="AB885">_xlfn.IFS(AA885="N","No",  AA885 = "Y", "Yes", TRUE, PROPER(TRIM(AA885)))</f>
        <v>No</v>
      </c>
      <c r="AC885" s="3">
        <v>3</v>
      </c>
      <c r="AD885" s="3" t="s">
        <v>34</v>
      </c>
      <c r="AE885">
        <f t="shared" si="55"/>
        <v>0</v>
      </c>
    </row>
    <row r="886" spans="1:31" ht="14.25" customHeight="1" x14ac:dyDescent="0.35">
      <c r="A886" s="3" t="s">
        <v>1687</v>
      </c>
      <c r="B886" s="3" t="s">
        <v>68</v>
      </c>
      <c r="C886" s="3" t="s">
        <v>256</v>
      </c>
      <c r="E886" s="3">
        <f t="shared" si="52"/>
        <v>41</v>
      </c>
      <c r="F886" s="3">
        <v>1983</v>
      </c>
      <c r="G886" s="3">
        <v>50000</v>
      </c>
      <c r="H886" s="12" cm="1">
        <f t="array" ref="H886">_xlfn.IFS(TRIM(G886)="SIXTY THOUSAND",60000,TRIM(G886)="NAN",AVERAGEIFS(G:G,J:J,J886,L:L,L886),TRUE,G886)</f>
        <v>50000</v>
      </c>
      <c r="I886" s="3" t="s">
        <v>27</v>
      </c>
      <c r="J886" s="3" t="s">
        <v>64</v>
      </c>
      <c r="K886" s="3" t="str">
        <f t="shared" si="53"/>
        <v>Finance</v>
      </c>
      <c r="L886" s="3" t="s">
        <v>89</v>
      </c>
      <c r="M886" s="4">
        <v>43549</v>
      </c>
      <c r="N886" s="4">
        <v>43549</v>
      </c>
      <c r="O886" s="3" t="s">
        <v>59</v>
      </c>
      <c r="P886" s="3">
        <v>100</v>
      </c>
      <c r="Q886" s="3" t="s">
        <v>257</v>
      </c>
      <c r="R886" s="3" t="s">
        <v>43</v>
      </c>
      <c r="S886" s="3" t="s">
        <v>44</v>
      </c>
      <c r="T886" s="3" t="str">
        <f t="shared" si="54"/>
        <v>Full-Time</v>
      </c>
      <c r="V886" s="3">
        <v>7</v>
      </c>
      <c r="AA886" s="3" t="s">
        <v>33</v>
      </c>
      <c r="AB886" s="3" t="str" cm="1">
        <f t="array" ref="AB886">_xlfn.IFS(AA886="N","No",  AA886 = "Y", "Yes", TRUE, PROPER(TRIM(AA886)))</f>
        <v>Yes</v>
      </c>
      <c r="AC886" s="3">
        <v>1</v>
      </c>
      <c r="AD886" s="3" t="s">
        <v>34</v>
      </c>
      <c r="AE886">
        <f t="shared" si="55"/>
        <v>0</v>
      </c>
    </row>
    <row r="887" spans="1:31" ht="14.25" customHeight="1" x14ac:dyDescent="0.35">
      <c r="A887" s="3" t="s">
        <v>1688</v>
      </c>
      <c r="B887" s="3" t="s">
        <v>56</v>
      </c>
      <c r="C887" s="3" t="s">
        <v>1332</v>
      </c>
      <c r="D887" s="3">
        <v>40</v>
      </c>
      <c r="E887" s="3">
        <f t="shared" si="52"/>
        <v>40</v>
      </c>
      <c r="F887" s="3">
        <v>1984</v>
      </c>
      <c r="G887" s="3">
        <v>70000</v>
      </c>
      <c r="H887" s="12" cm="1">
        <f t="array" ref="H887">_xlfn.IFS(TRIM(G887)="SIXTY THOUSAND",60000,TRIM(G887)="NAN",AVERAGEIFS(G:G,J:J,J887,L:L,L887),TRUE,G887)</f>
        <v>70000</v>
      </c>
      <c r="I887" s="3" t="s">
        <v>38</v>
      </c>
      <c r="J887" s="3" t="s">
        <v>70</v>
      </c>
      <c r="K887" s="3" t="str">
        <f t="shared" si="53"/>
        <v>Marketing</v>
      </c>
      <c r="L887" s="3" t="s">
        <v>89</v>
      </c>
      <c r="M887" s="4">
        <v>43881</v>
      </c>
      <c r="N887" s="4">
        <v>43881</v>
      </c>
      <c r="O887" s="3" t="s">
        <v>30</v>
      </c>
      <c r="P887" s="3">
        <v>66</v>
      </c>
      <c r="Q887" s="3" t="s">
        <v>1333</v>
      </c>
      <c r="S887" s="3" t="s">
        <v>66</v>
      </c>
      <c r="T887" s="3" t="str">
        <f t="shared" si="54"/>
        <v>Contract</v>
      </c>
      <c r="U887" s="3" t="s">
        <v>1689</v>
      </c>
      <c r="V887" s="3">
        <v>4</v>
      </c>
      <c r="AA887" s="3" t="s">
        <v>34</v>
      </c>
      <c r="AB887" s="3" t="str" cm="1">
        <f t="array" ref="AB887">_xlfn.IFS(AA887="N","No",  AA887 = "Y", "Yes", TRUE, PROPER(TRIM(AA887)))</f>
        <v>No</v>
      </c>
      <c r="AC887" s="3">
        <v>1</v>
      </c>
      <c r="AD887" s="3" t="s">
        <v>34</v>
      </c>
      <c r="AE887">
        <f t="shared" si="55"/>
        <v>0</v>
      </c>
    </row>
    <row r="888" spans="1:31" ht="14.25" customHeight="1" x14ac:dyDescent="0.35">
      <c r="A888" s="3" t="s">
        <v>1690</v>
      </c>
      <c r="B888" s="3" t="s">
        <v>25</v>
      </c>
      <c r="C888" s="3" t="s">
        <v>81</v>
      </c>
      <c r="D888" s="3">
        <v>50</v>
      </c>
      <c r="E888" s="3">
        <f t="shared" si="52"/>
        <v>50</v>
      </c>
      <c r="F888" s="3">
        <v>1974</v>
      </c>
      <c r="G888" s="3">
        <v>50000</v>
      </c>
      <c r="H888" s="12" cm="1">
        <f t="array" ref="H888">_xlfn.IFS(TRIM(G888)="SIXTY THOUSAND",60000,TRIM(G888)="NAN",AVERAGEIFS(G:G,J:J,J888,L:L,L888),TRUE,G888)</f>
        <v>50000</v>
      </c>
      <c r="I888" s="3" t="s">
        <v>38</v>
      </c>
      <c r="J888" s="3" t="s">
        <v>58</v>
      </c>
      <c r="K888" s="3" t="str">
        <f t="shared" si="53"/>
        <v>IT</v>
      </c>
      <c r="L888" s="3" t="s">
        <v>94</v>
      </c>
      <c r="M888" s="4">
        <v>43800</v>
      </c>
      <c r="N888" s="4">
        <v>43800</v>
      </c>
      <c r="O888" s="3" t="s">
        <v>78</v>
      </c>
      <c r="P888" s="3">
        <v>82</v>
      </c>
      <c r="Q888" s="3" t="s">
        <v>401</v>
      </c>
      <c r="R888" s="3" t="s">
        <v>104</v>
      </c>
      <c r="S888" s="3" t="s">
        <v>112</v>
      </c>
      <c r="T888" s="3" t="str">
        <f t="shared" si="54"/>
        <v>Full-Time</v>
      </c>
      <c r="V888" s="3">
        <v>3</v>
      </c>
      <c r="Z888" s="3">
        <v>50</v>
      </c>
      <c r="AA888" s="3" t="s">
        <v>34</v>
      </c>
      <c r="AB888" s="3" t="str" cm="1">
        <f t="array" ref="AB888">_xlfn.IFS(AA888="N","No",  AA888 = "Y", "Yes", TRUE, PROPER(TRIM(AA888)))</f>
        <v>No</v>
      </c>
      <c r="AC888" s="3">
        <v>3</v>
      </c>
      <c r="AD888" s="3" t="s">
        <v>34</v>
      </c>
      <c r="AE888">
        <f t="shared" si="55"/>
        <v>0</v>
      </c>
    </row>
    <row r="889" spans="1:31" ht="14.25" customHeight="1" x14ac:dyDescent="0.35">
      <c r="A889" s="3" t="s">
        <v>1691</v>
      </c>
      <c r="B889" s="3" t="s">
        <v>68</v>
      </c>
      <c r="C889" s="3" t="s">
        <v>1275</v>
      </c>
      <c r="D889" s="3">
        <v>25</v>
      </c>
      <c r="E889" s="3">
        <f t="shared" si="52"/>
        <v>25</v>
      </c>
      <c r="F889" s="3">
        <v>1999</v>
      </c>
      <c r="G889" s="3">
        <v>50000</v>
      </c>
      <c r="H889" s="12" cm="1">
        <f t="array" ref="H889">_xlfn.IFS(TRIM(G889)="SIXTY THOUSAND",60000,TRIM(G889)="NAN",AVERAGEIFS(G:G,J:J,J889,L:L,L889),TRUE,G889)</f>
        <v>50000</v>
      </c>
      <c r="I889" s="3" t="s">
        <v>27</v>
      </c>
      <c r="J889" s="3" t="s">
        <v>145</v>
      </c>
      <c r="K889" s="3" t="str">
        <f t="shared" si="53"/>
        <v>Sales</v>
      </c>
      <c r="L889" s="3" t="s">
        <v>94</v>
      </c>
      <c r="M889" s="4">
        <v>43549</v>
      </c>
      <c r="N889" s="4">
        <v>43549</v>
      </c>
      <c r="O889" s="3" t="s">
        <v>59</v>
      </c>
      <c r="P889" s="3">
        <v>94</v>
      </c>
      <c r="Q889" s="3" t="s">
        <v>1692</v>
      </c>
      <c r="R889" s="3" t="s">
        <v>61</v>
      </c>
      <c r="S889" s="3" t="s">
        <v>66</v>
      </c>
      <c r="T889" s="3" t="str">
        <f t="shared" si="54"/>
        <v>Contract</v>
      </c>
      <c r="V889" s="3">
        <v>1</v>
      </c>
      <c r="X889" s="3">
        <v>9</v>
      </c>
      <c r="AB889" s="3" t="str" cm="1">
        <f t="array" ref="AB889">_xlfn.IFS(AA889="N","No",  AA889 = "Y", "Yes", TRUE, PROPER(TRIM(AA889)))</f>
        <v/>
      </c>
      <c r="AC889" s="3">
        <v>1</v>
      </c>
      <c r="AD889" s="3" t="s">
        <v>46</v>
      </c>
      <c r="AE889">
        <f t="shared" si="55"/>
        <v>1</v>
      </c>
    </row>
    <row r="890" spans="1:31" ht="14.25" customHeight="1" x14ac:dyDescent="0.35">
      <c r="A890" s="3" t="s">
        <v>1693</v>
      </c>
      <c r="B890" s="3" t="s">
        <v>114</v>
      </c>
      <c r="C890" s="3" t="s">
        <v>176</v>
      </c>
      <c r="E890" s="3">
        <f t="shared" si="52"/>
        <v>47</v>
      </c>
      <c r="F890" s="3">
        <v>1977</v>
      </c>
      <c r="G890" s="3">
        <v>55000</v>
      </c>
      <c r="H890" s="12" cm="1">
        <f t="array" ref="H890">_xlfn.IFS(TRIM(G890)="SIXTY THOUSAND",60000,TRIM(G890)="NAN",AVERAGEIFS(G:G,J:J,J890,L:L,L890),TRUE,G890)</f>
        <v>55000</v>
      </c>
      <c r="I890" s="3" t="s">
        <v>38</v>
      </c>
      <c r="J890" s="3" t="s">
        <v>145</v>
      </c>
      <c r="K890" s="3" t="str">
        <f t="shared" si="53"/>
        <v>Sales</v>
      </c>
      <c r="L890" s="3" t="s">
        <v>40</v>
      </c>
      <c r="M890" s="4">
        <v>43881</v>
      </c>
      <c r="N890" s="4">
        <v>43881</v>
      </c>
      <c r="O890" s="3" t="s">
        <v>41</v>
      </c>
      <c r="P890" s="3">
        <v>21</v>
      </c>
      <c r="Q890" s="3" t="s">
        <v>1694</v>
      </c>
      <c r="R890" s="3" t="s">
        <v>61</v>
      </c>
      <c r="S890" s="3" t="s">
        <v>72</v>
      </c>
      <c r="T890" s="3" t="str">
        <f t="shared" si="54"/>
        <v>Part-Time</v>
      </c>
      <c r="U890" s="3" t="s">
        <v>62</v>
      </c>
      <c r="V890" s="3">
        <v>7</v>
      </c>
      <c r="X890" s="3">
        <v>13</v>
      </c>
      <c r="Y890" s="3" t="s">
        <v>79</v>
      </c>
      <c r="AA890" s="3" t="s">
        <v>33</v>
      </c>
      <c r="AB890" s="3" t="str" cm="1">
        <f t="array" ref="AB890">_xlfn.IFS(AA890="N","No",  AA890 = "Y", "Yes", TRUE, PROPER(TRIM(AA890)))</f>
        <v>Yes</v>
      </c>
      <c r="AC890" s="3">
        <v>1</v>
      </c>
      <c r="AD890" s="3" t="s">
        <v>46</v>
      </c>
      <c r="AE890">
        <f t="shared" si="55"/>
        <v>1</v>
      </c>
    </row>
    <row r="891" spans="1:31" ht="14.25" customHeight="1" x14ac:dyDescent="0.35">
      <c r="A891" s="3" t="s">
        <v>1695</v>
      </c>
      <c r="B891" s="3" t="s">
        <v>48</v>
      </c>
      <c r="C891" s="3" t="s">
        <v>167</v>
      </c>
      <c r="D891" s="3" t="s">
        <v>88</v>
      </c>
      <c r="E891" s="3">
        <f t="shared" si="52"/>
        <v>30</v>
      </c>
      <c r="F891" s="3">
        <v>1994</v>
      </c>
      <c r="G891" s="3">
        <v>70000</v>
      </c>
      <c r="H891" s="12" cm="1">
        <f t="array" ref="H891">_xlfn.IFS(TRIM(G891)="SIXTY THOUSAND",60000,TRIM(G891)="NAN",AVERAGEIFS(G:G,J:J,J891,L:L,L891),TRUE,G891)</f>
        <v>70000</v>
      </c>
      <c r="I891" s="3" t="s">
        <v>27</v>
      </c>
      <c r="J891" s="3" t="s">
        <v>122</v>
      </c>
      <c r="K891" s="3" t="str">
        <f t="shared" si="53"/>
        <v>IT</v>
      </c>
      <c r="L891" s="3" t="s">
        <v>40</v>
      </c>
      <c r="M891" s="4">
        <v>43549</v>
      </c>
      <c r="N891" s="4">
        <v>43549</v>
      </c>
      <c r="O891" s="3" t="s">
        <v>78</v>
      </c>
      <c r="P891" s="3">
        <v>88</v>
      </c>
      <c r="Q891" s="3" t="s">
        <v>1696</v>
      </c>
      <c r="R891" s="3" t="s">
        <v>43</v>
      </c>
      <c r="S891" s="3" t="s">
        <v>112</v>
      </c>
      <c r="T891" s="3" t="str">
        <f t="shared" si="54"/>
        <v>Full-Time</v>
      </c>
      <c r="V891" s="3">
        <v>8</v>
      </c>
      <c r="AA891" s="3" t="s">
        <v>34</v>
      </c>
      <c r="AB891" s="3" t="str" cm="1">
        <f t="array" ref="AB891">_xlfn.IFS(AA891="N","No",  AA891 = "Y", "Yes", TRUE, PROPER(TRIM(AA891)))</f>
        <v>No</v>
      </c>
      <c r="AC891" s="3">
        <v>5</v>
      </c>
      <c r="AD891" s="3" t="s">
        <v>46</v>
      </c>
      <c r="AE891">
        <f t="shared" si="55"/>
        <v>1</v>
      </c>
    </row>
    <row r="892" spans="1:31" ht="14.25" customHeight="1" x14ac:dyDescent="0.35">
      <c r="A892" s="3" t="s">
        <v>1697</v>
      </c>
      <c r="B892" s="3" t="s">
        <v>114</v>
      </c>
      <c r="C892" s="3" t="s">
        <v>115</v>
      </c>
      <c r="D892" s="3">
        <v>50</v>
      </c>
      <c r="E892" s="3">
        <f t="shared" si="52"/>
        <v>50</v>
      </c>
      <c r="F892" s="3">
        <v>1974</v>
      </c>
      <c r="G892" s="3">
        <v>65000</v>
      </c>
      <c r="H892" s="12" cm="1">
        <f t="array" ref="H892">_xlfn.IFS(TRIM(G892)="SIXTY THOUSAND",60000,TRIM(G892)="NAN",AVERAGEIFS(G:G,J:J,J892,L:L,L892),TRUE,G892)</f>
        <v>65000</v>
      </c>
      <c r="I892" s="3" t="s">
        <v>38</v>
      </c>
      <c r="J892" s="3" t="s">
        <v>145</v>
      </c>
      <c r="K892" s="3" t="str">
        <f t="shared" si="53"/>
        <v>Sales</v>
      </c>
      <c r="L892" s="3" t="s">
        <v>29</v>
      </c>
      <c r="M892" s="4">
        <v>43845</v>
      </c>
      <c r="N892" s="4">
        <v>43845</v>
      </c>
      <c r="O892" s="3" t="s">
        <v>78</v>
      </c>
      <c r="P892" s="3">
        <v>82</v>
      </c>
      <c r="Q892" s="3" t="s">
        <v>182</v>
      </c>
      <c r="R892" s="3" t="s">
        <v>54</v>
      </c>
      <c r="S892" s="3" t="s">
        <v>66</v>
      </c>
      <c r="T892" s="3" t="str">
        <f t="shared" si="54"/>
        <v>Contract</v>
      </c>
      <c r="V892" s="3">
        <v>1</v>
      </c>
      <c r="W892" s="3">
        <v>6</v>
      </c>
      <c r="X892" s="3">
        <v>8</v>
      </c>
      <c r="Y892" s="4">
        <v>44990</v>
      </c>
      <c r="AB892" s="3" t="str" cm="1">
        <f t="array" ref="AB892">_xlfn.IFS(AA892="N","No",  AA892 = "Y", "Yes", TRUE, PROPER(TRIM(AA892)))</f>
        <v/>
      </c>
      <c r="AC892" s="3">
        <v>1</v>
      </c>
      <c r="AD892" s="3" t="s">
        <v>46</v>
      </c>
      <c r="AE892">
        <f t="shared" si="55"/>
        <v>1</v>
      </c>
    </row>
    <row r="893" spans="1:31" ht="14.25" customHeight="1" x14ac:dyDescent="0.35">
      <c r="A893" s="3" t="s">
        <v>1698</v>
      </c>
      <c r="B893" s="3" t="s">
        <v>36</v>
      </c>
      <c r="C893" s="3" t="s">
        <v>299</v>
      </c>
      <c r="D893" s="3">
        <v>25</v>
      </c>
      <c r="E893" s="3">
        <f t="shared" si="52"/>
        <v>25</v>
      </c>
      <c r="F893" s="3">
        <v>1999</v>
      </c>
      <c r="G893" s="3">
        <v>55000</v>
      </c>
      <c r="H893" s="12" cm="1">
        <f t="array" ref="H893">_xlfn.IFS(TRIM(G893)="SIXTY THOUSAND",60000,TRIM(G893)="NAN",AVERAGEIFS(G:G,J:J,J893,L:L,L893),TRUE,G893)</f>
        <v>55000</v>
      </c>
      <c r="I893" s="3" t="s">
        <v>27</v>
      </c>
      <c r="J893" s="3" t="s">
        <v>28</v>
      </c>
      <c r="K893" s="3" t="str">
        <f t="shared" si="53"/>
        <v>HR</v>
      </c>
      <c r="L893" s="3" t="s">
        <v>94</v>
      </c>
      <c r="M893" s="4">
        <v>43195</v>
      </c>
      <c r="N893" s="4">
        <v>43195</v>
      </c>
      <c r="O893" s="3" t="s">
        <v>30</v>
      </c>
      <c r="P893" s="3">
        <v>64</v>
      </c>
      <c r="Q893" s="3" t="s">
        <v>1699</v>
      </c>
      <c r="R893" s="3" t="s">
        <v>43</v>
      </c>
      <c r="S893" s="3" t="s">
        <v>66</v>
      </c>
      <c r="T893" s="3" t="str">
        <f t="shared" si="54"/>
        <v>Contract</v>
      </c>
      <c r="V893" s="3">
        <v>6</v>
      </c>
      <c r="W893" s="3">
        <v>5</v>
      </c>
      <c r="Z893" s="3">
        <v>47</v>
      </c>
      <c r="AA893" s="3" t="s">
        <v>33</v>
      </c>
      <c r="AB893" s="3" t="str" cm="1">
        <f t="array" ref="AB893">_xlfn.IFS(AA893="N","No",  AA893 = "Y", "Yes", TRUE, PROPER(TRIM(AA893)))</f>
        <v>Yes</v>
      </c>
      <c r="AC893" s="3">
        <v>5</v>
      </c>
      <c r="AD893" s="3" t="s">
        <v>34</v>
      </c>
      <c r="AE893">
        <f t="shared" si="55"/>
        <v>0</v>
      </c>
    </row>
    <row r="894" spans="1:31" ht="14.25" customHeight="1" x14ac:dyDescent="0.35">
      <c r="A894" s="3" t="s">
        <v>1700</v>
      </c>
      <c r="B894" s="3" t="s">
        <v>131</v>
      </c>
      <c r="C894" s="3" t="s">
        <v>338</v>
      </c>
      <c r="D894" s="3">
        <v>35</v>
      </c>
      <c r="E894" s="3">
        <f t="shared" si="52"/>
        <v>35</v>
      </c>
      <c r="F894" s="3">
        <v>1989</v>
      </c>
      <c r="G894" s="3">
        <v>50000</v>
      </c>
      <c r="H894" s="12" cm="1">
        <f t="array" ref="H894">_xlfn.IFS(TRIM(G894)="SIXTY THOUSAND",60000,TRIM(G894)="NAN",AVERAGEIFS(G:G,J:J,J894,L:L,L894),TRUE,G894)</f>
        <v>50000</v>
      </c>
      <c r="I894" s="3" t="s">
        <v>27</v>
      </c>
      <c r="J894" s="3" t="s">
        <v>58</v>
      </c>
      <c r="K894" s="3" t="str">
        <f t="shared" si="53"/>
        <v>IT</v>
      </c>
      <c r="L894" s="3" t="s">
        <v>94</v>
      </c>
      <c r="M894" s="4">
        <v>43881</v>
      </c>
      <c r="N894" s="4">
        <v>43881</v>
      </c>
      <c r="O894" s="3" t="s">
        <v>52</v>
      </c>
      <c r="P894" s="3">
        <v>75</v>
      </c>
      <c r="Q894" s="3" t="s">
        <v>1701</v>
      </c>
      <c r="R894" s="3" t="s">
        <v>61</v>
      </c>
      <c r="S894" s="3" t="s">
        <v>174</v>
      </c>
      <c r="T894" s="3" t="str">
        <f t="shared" si="54"/>
        <v>Full-Time</v>
      </c>
      <c r="V894" s="3">
        <v>7</v>
      </c>
      <c r="Y894" s="4">
        <v>45516</v>
      </c>
      <c r="AA894" s="3" t="s">
        <v>73</v>
      </c>
      <c r="AB894" s="3" t="str" cm="1">
        <f t="array" ref="AB894">_xlfn.IFS(AA894="N","No",  AA894 = "Y", "Yes", TRUE, PROPER(TRIM(AA894)))</f>
        <v>No</v>
      </c>
      <c r="AC894" s="3">
        <v>4</v>
      </c>
      <c r="AD894" s="3" t="s">
        <v>34</v>
      </c>
      <c r="AE894">
        <f t="shared" si="55"/>
        <v>0</v>
      </c>
    </row>
    <row r="895" spans="1:31" ht="14.25" customHeight="1" x14ac:dyDescent="0.35">
      <c r="A895" s="3" t="s">
        <v>1702</v>
      </c>
      <c r="B895" s="3" t="s">
        <v>56</v>
      </c>
      <c r="C895" s="3" t="s">
        <v>676</v>
      </c>
      <c r="D895" s="3">
        <v>25</v>
      </c>
      <c r="E895" s="3">
        <f t="shared" si="52"/>
        <v>25</v>
      </c>
      <c r="F895" s="3">
        <v>1999</v>
      </c>
      <c r="G895" s="3">
        <v>60300</v>
      </c>
      <c r="H895" s="12" cm="1">
        <f t="array" ref="H895">_xlfn.IFS(TRIM(G895)="SIXTY THOUSAND",60000,TRIM(G895)="NAN",AVERAGEIFS(G:G,J:J,J895,L:L,L895),TRUE,G895)</f>
        <v>60300</v>
      </c>
      <c r="I895" s="3" t="s">
        <v>27</v>
      </c>
      <c r="J895" s="3" t="s">
        <v>70</v>
      </c>
      <c r="K895" s="3" t="str">
        <f t="shared" si="53"/>
        <v>Marketing</v>
      </c>
      <c r="L895" s="3" t="s">
        <v>94</v>
      </c>
      <c r="M895" s="4">
        <v>43800</v>
      </c>
      <c r="N895" s="4">
        <v>43800</v>
      </c>
      <c r="O895" s="3" t="s">
        <v>52</v>
      </c>
      <c r="P895" s="3">
        <v>74</v>
      </c>
      <c r="Q895" s="3" t="s">
        <v>677</v>
      </c>
      <c r="R895" s="3" t="s">
        <v>104</v>
      </c>
      <c r="S895" s="3" t="s">
        <v>112</v>
      </c>
      <c r="T895" s="3" t="str">
        <f t="shared" si="54"/>
        <v>Full-Time</v>
      </c>
      <c r="U895" s="3" t="s">
        <v>1703</v>
      </c>
      <c r="V895" s="3">
        <v>3</v>
      </c>
      <c r="Z895" s="3">
        <v>71</v>
      </c>
      <c r="AA895" s="3" t="s">
        <v>73</v>
      </c>
      <c r="AB895" s="3" t="str" cm="1">
        <f t="array" ref="AB895">_xlfn.IFS(AA895="N","No",  AA895 = "Y", "Yes", TRUE, PROPER(TRIM(AA895)))</f>
        <v>No</v>
      </c>
      <c r="AC895" s="3">
        <v>2</v>
      </c>
      <c r="AD895" s="3" t="s">
        <v>34</v>
      </c>
      <c r="AE895">
        <f t="shared" si="55"/>
        <v>0</v>
      </c>
    </row>
    <row r="896" spans="1:31" ht="14.25" customHeight="1" x14ac:dyDescent="0.35">
      <c r="A896" s="3" t="s">
        <v>1704</v>
      </c>
      <c r="B896" s="3" t="s">
        <v>140</v>
      </c>
      <c r="C896" s="3" t="s">
        <v>268</v>
      </c>
      <c r="D896" s="3">
        <v>25</v>
      </c>
      <c r="E896" s="3">
        <f t="shared" si="52"/>
        <v>25</v>
      </c>
      <c r="F896" s="3">
        <v>1999</v>
      </c>
      <c r="G896" s="3">
        <v>50000</v>
      </c>
      <c r="H896" s="12" cm="1">
        <f t="array" ref="H896">_xlfn.IFS(TRIM(G896)="SIXTY THOUSAND",60000,TRIM(G896)="NAN",AVERAGEIFS(G:G,J:J,J896,L:L,L896),TRUE,G896)</f>
        <v>50000</v>
      </c>
      <c r="I896" s="3" t="s">
        <v>27</v>
      </c>
      <c r="J896" s="3" t="s">
        <v>58</v>
      </c>
      <c r="K896" s="3" t="str">
        <f t="shared" si="53"/>
        <v>IT</v>
      </c>
      <c r="L896" s="3" t="s">
        <v>40</v>
      </c>
      <c r="M896" s="4">
        <v>43845</v>
      </c>
      <c r="N896" s="4">
        <v>43845</v>
      </c>
      <c r="O896" s="3" t="s">
        <v>78</v>
      </c>
      <c r="P896" s="3">
        <v>85</v>
      </c>
      <c r="Q896" s="3" t="s">
        <v>269</v>
      </c>
      <c r="R896" s="3" t="s">
        <v>61</v>
      </c>
      <c r="S896" s="3" t="s">
        <v>66</v>
      </c>
      <c r="T896" s="3" t="str">
        <f t="shared" si="54"/>
        <v>Contract</v>
      </c>
      <c r="U896" s="3" t="s">
        <v>1705</v>
      </c>
      <c r="V896" s="3">
        <v>8</v>
      </c>
      <c r="AA896" s="3" t="s">
        <v>34</v>
      </c>
      <c r="AB896" s="3" t="str" cm="1">
        <f t="array" ref="AB896">_xlfn.IFS(AA896="N","No",  AA896 = "Y", "Yes", TRUE, PROPER(TRIM(AA896)))</f>
        <v>No</v>
      </c>
      <c r="AC896" s="3">
        <v>1</v>
      </c>
      <c r="AD896" s="3" t="s">
        <v>34</v>
      </c>
      <c r="AE896">
        <f t="shared" si="55"/>
        <v>0</v>
      </c>
    </row>
    <row r="897" spans="1:31" ht="14.25" customHeight="1" x14ac:dyDescent="0.35">
      <c r="A897" s="3" t="s">
        <v>1706</v>
      </c>
      <c r="B897" s="3" t="s">
        <v>131</v>
      </c>
      <c r="C897" s="3" t="s">
        <v>783</v>
      </c>
      <c r="E897" s="3">
        <f t="shared" si="52"/>
        <v>38</v>
      </c>
      <c r="F897" s="3">
        <v>1986</v>
      </c>
      <c r="G897" s="3">
        <v>50000</v>
      </c>
      <c r="H897" s="12" cm="1">
        <f t="array" ref="H897">_xlfn.IFS(TRIM(G897)="SIXTY THOUSAND",60000,TRIM(G897)="NAN",AVERAGEIFS(G:G,J:J,J897,L:L,L897),TRUE,G897)</f>
        <v>50000</v>
      </c>
      <c r="I897" s="3" t="s">
        <v>38</v>
      </c>
      <c r="J897" s="3" t="s">
        <v>64</v>
      </c>
      <c r="K897" s="3" t="str">
        <f t="shared" si="53"/>
        <v>Finance</v>
      </c>
      <c r="L897" s="3" t="s">
        <v>89</v>
      </c>
      <c r="M897" s="4">
        <v>43881</v>
      </c>
      <c r="N897" s="4">
        <v>43881</v>
      </c>
      <c r="O897" s="3" t="s">
        <v>59</v>
      </c>
      <c r="P897" s="3">
        <v>97</v>
      </c>
      <c r="Q897" s="3" t="s">
        <v>1707</v>
      </c>
      <c r="S897" s="3" t="s">
        <v>174</v>
      </c>
      <c r="T897" s="3" t="str">
        <f t="shared" si="54"/>
        <v>Full-Time</v>
      </c>
      <c r="U897" s="3" t="s">
        <v>1708</v>
      </c>
      <c r="V897" s="3">
        <v>2</v>
      </c>
      <c r="W897" s="3" t="s">
        <v>79</v>
      </c>
      <c r="AB897" s="3" t="str" cm="1">
        <f t="array" ref="AB897">_xlfn.IFS(AA897="N","No",  AA897 = "Y", "Yes", TRUE, PROPER(TRIM(AA897)))</f>
        <v/>
      </c>
      <c r="AC897" s="3">
        <v>4</v>
      </c>
      <c r="AD897" s="3" t="s">
        <v>34</v>
      </c>
      <c r="AE897">
        <f t="shared" si="55"/>
        <v>0</v>
      </c>
    </row>
    <row r="898" spans="1:31" ht="14.25" customHeight="1" x14ac:dyDescent="0.35">
      <c r="A898" s="3" t="s">
        <v>1709</v>
      </c>
      <c r="B898" s="3" t="s">
        <v>140</v>
      </c>
      <c r="C898" s="3" t="s">
        <v>189</v>
      </c>
      <c r="D898" s="3" t="s">
        <v>88</v>
      </c>
      <c r="E898" s="3">
        <f t="shared" ref="E898:E961" si="56">2024-F898</f>
        <v>30</v>
      </c>
      <c r="F898" s="3">
        <v>1994</v>
      </c>
      <c r="G898" s="3">
        <v>70000</v>
      </c>
      <c r="H898" s="12" cm="1">
        <f t="array" ref="H898">_xlfn.IFS(TRIM(G898)="SIXTY THOUSAND",60000,TRIM(G898)="NAN",AVERAGEIFS(G:G,J:J,J898,L:L,L898),TRUE,G898)</f>
        <v>70000</v>
      </c>
      <c r="I898" s="3" t="s">
        <v>38</v>
      </c>
      <c r="J898" s="3" t="s">
        <v>70</v>
      </c>
      <c r="K898" s="3" t="str">
        <f t="shared" ref="K898:K961" si="57">IF(OR(J898="HR",J898="IT"),UPPER(J898),PROPER(J898))</f>
        <v>Marketing</v>
      </c>
      <c r="L898" s="3" t="s">
        <v>77</v>
      </c>
      <c r="M898" s="4">
        <v>43845</v>
      </c>
      <c r="N898" s="4">
        <v>43845</v>
      </c>
      <c r="O898" s="3" t="s">
        <v>41</v>
      </c>
      <c r="P898" s="3">
        <v>4</v>
      </c>
      <c r="Q898" s="3" t="s">
        <v>1710</v>
      </c>
      <c r="R898" s="3" t="s">
        <v>61</v>
      </c>
      <c r="S898" s="3" t="s">
        <v>174</v>
      </c>
      <c r="T898" s="3" t="str">
        <f t="shared" ref="T898:T961" si="58">PROPER(S898)</f>
        <v>Full-Time</v>
      </c>
      <c r="V898" s="3">
        <v>8</v>
      </c>
      <c r="X898" s="3">
        <v>12</v>
      </c>
      <c r="Z898" s="3">
        <v>70</v>
      </c>
      <c r="AB898" s="3" t="str" cm="1">
        <f t="array" ref="AB898">_xlfn.IFS(AA898="N","No",  AA898 = "Y", "Yes", TRUE, PROPER(TRIM(AA898)))</f>
        <v/>
      </c>
      <c r="AC898" s="3">
        <v>5</v>
      </c>
      <c r="AD898" s="3" t="s">
        <v>34</v>
      </c>
      <c r="AE898">
        <f t="shared" si="55"/>
        <v>0</v>
      </c>
    </row>
    <row r="899" spans="1:31" ht="14.25" customHeight="1" x14ac:dyDescent="0.35">
      <c r="A899" s="3" t="s">
        <v>1711</v>
      </c>
      <c r="B899" s="3" t="s">
        <v>48</v>
      </c>
      <c r="C899" s="3" t="s">
        <v>546</v>
      </c>
      <c r="D899" s="3">
        <v>35</v>
      </c>
      <c r="E899" s="3">
        <f t="shared" si="56"/>
        <v>35</v>
      </c>
      <c r="F899" s="3">
        <v>1989</v>
      </c>
      <c r="G899" s="3">
        <v>70000</v>
      </c>
      <c r="H899" s="12" cm="1">
        <f t="array" ref="H899">_xlfn.IFS(TRIM(G899)="SIXTY THOUSAND",60000,TRIM(G899)="NAN",AVERAGEIFS(G:G,J:J,J899,L:L,L899),TRUE,G899)</f>
        <v>70000</v>
      </c>
      <c r="I899" s="3" t="s">
        <v>38</v>
      </c>
      <c r="J899" s="3" t="s">
        <v>39</v>
      </c>
      <c r="K899" s="3" t="str">
        <f t="shared" si="57"/>
        <v>Finance</v>
      </c>
      <c r="L899" s="3" t="s">
        <v>40</v>
      </c>
      <c r="M899" s="4">
        <v>43800</v>
      </c>
      <c r="N899" s="4">
        <v>43800</v>
      </c>
      <c r="O899" s="3" t="s">
        <v>41</v>
      </c>
      <c r="P899" s="3">
        <v>55</v>
      </c>
      <c r="Q899" s="3" t="s">
        <v>1712</v>
      </c>
      <c r="R899" s="3" t="s">
        <v>61</v>
      </c>
      <c r="S899" s="3" t="s">
        <v>112</v>
      </c>
      <c r="T899" s="3" t="str">
        <f t="shared" si="58"/>
        <v>Full-Time</v>
      </c>
      <c r="V899" s="3">
        <v>6</v>
      </c>
      <c r="X899" s="3">
        <v>11</v>
      </c>
      <c r="AA899" s="3" t="s">
        <v>46</v>
      </c>
      <c r="AB899" s="3" t="str" cm="1">
        <f t="array" ref="AB899">_xlfn.IFS(AA899="N","No",  AA899 = "Y", "Yes", TRUE, PROPER(TRIM(AA899)))</f>
        <v>Yes</v>
      </c>
      <c r="AC899" s="3">
        <v>4</v>
      </c>
      <c r="AD899" s="3" t="s">
        <v>34</v>
      </c>
      <c r="AE899">
        <f t="shared" ref="AE899:AE962" si="59">IF(AD899="Yes",1,0)</f>
        <v>0</v>
      </c>
    </row>
    <row r="900" spans="1:31" ht="14.25" customHeight="1" x14ac:dyDescent="0.35">
      <c r="A900" s="3" t="s">
        <v>1713</v>
      </c>
      <c r="B900" s="3" t="s">
        <v>107</v>
      </c>
      <c r="C900" s="3" t="s">
        <v>179</v>
      </c>
      <c r="D900" s="3">
        <v>40</v>
      </c>
      <c r="E900" s="3">
        <f t="shared" si="56"/>
        <v>40</v>
      </c>
      <c r="F900" s="3">
        <v>1984</v>
      </c>
      <c r="G900" s="3">
        <v>55000</v>
      </c>
      <c r="H900" s="12" cm="1">
        <f t="array" ref="H900">_xlfn.IFS(TRIM(G900)="SIXTY THOUSAND",60000,TRIM(G900)="NAN",AVERAGEIFS(G:G,J:J,J900,L:L,L900),TRUE,G900)</f>
        <v>55000</v>
      </c>
      <c r="I900" s="3" t="s">
        <v>27</v>
      </c>
      <c r="J900" s="3" t="s">
        <v>70</v>
      </c>
      <c r="K900" s="3" t="str">
        <f t="shared" si="57"/>
        <v>Marketing</v>
      </c>
      <c r="L900" s="3" t="s">
        <v>94</v>
      </c>
      <c r="M900" s="4">
        <v>43881</v>
      </c>
      <c r="N900" s="4">
        <v>43881</v>
      </c>
      <c r="O900" s="3" t="s">
        <v>59</v>
      </c>
      <c r="P900" s="3">
        <v>100</v>
      </c>
      <c r="Q900" s="3" t="s">
        <v>1714</v>
      </c>
      <c r="S900" s="3" t="s">
        <v>66</v>
      </c>
      <c r="T900" s="3" t="str">
        <f t="shared" si="58"/>
        <v>Contract</v>
      </c>
      <c r="V900" s="3">
        <v>1</v>
      </c>
      <c r="Y900" s="4">
        <v>44941</v>
      </c>
      <c r="Z900" s="3">
        <v>47</v>
      </c>
      <c r="AA900" s="3" t="s">
        <v>46</v>
      </c>
      <c r="AB900" s="3" t="str" cm="1">
        <f t="array" ref="AB900">_xlfn.IFS(AA900="N","No",  AA900 = "Y", "Yes", TRUE, PROPER(TRIM(AA900)))</f>
        <v>Yes</v>
      </c>
      <c r="AC900" s="3">
        <v>2</v>
      </c>
      <c r="AD900" s="3" t="s">
        <v>46</v>
      </c>
      <c r="AE900">
        <f t="shared" si="59"/>
        <v>1</v>
      </c>
    </row>
    <row r="901" spans="1:31" ht="14.25" customHeight="1" x14ac:dyDescent="0.35">
      <c r="A901" s="3" t="s">
        <v>1715</v>
      </c>
      <c r="B901" s="3" t="s">
        <v>25</v>
      </c>
      <c r="C901" s="3" t="s">
        <v>328</v>
      </c>
      <c r="D901" s="3">
        <v>40</v>
      </c>
      <c r="E901" s="3">
        <f t="shared" si="56"/>
        <v>40</v>
      </c>
      <c r="F901" s="3">
        <v>1984</v>
      </c>
      <c r="G901" s="3">
        <v>65000</v>
      </c>
      <c r="H901" s="12" cm="1">
        <f t="array" ref="H901">_xlfn.IFS(TRIM(G901)="SIXTY THOUSAND",60000,TRIM(G901)="NAN",AVERAGEIFS(G:G,J:J,J901,L:L,L901),TRUE,G901)</f>
        <v>65000</v>
      </c>
      <c r="I901" s="3" t="s">
        <v>38</v>
      </c>
      <c r="J901" s="3" t="s">
        <v>145</v>
      </c>
      <c r="K901" s="3" t="str">
        <f t="shared" si="57"/>
        <v>Sales</v>
      </c>
      <c r="L901" s="3" t="s">
        <v>40</v>
      </c>
      <c r="M901" s="4">
        <v>43800</v>
      </c>
      <c r="N901" s="4">
        <v>43800</v>
      </c>
      <c r="O901" s="3" t="s">
        <v>78</v>
      </c>
      <c r="P901" s="3">
        <v>82</v>
      </c>
      <c r="Q901" s="3" t="s">
        <v>329</v>
      </c>
      <c r="R901" s="3" t="s">
        <v>54</v>
      </c>
      <c r="S901" s="3" t="s">
        <v>174</v>
      </c>
      <c r="T901" s="3" t="str">
        <f t="shared" si="58"/>
        <v>Full-Time</v>
      </c>
      <c r="V901" s="3">
        <v>1</v>
      </c>
      <c r="AA901" s="3" t="s">
        <v>169</v>
      </c>
      <c r="AB901" s="3" t="str" cm="1">
        <f t="array" ref="AB901">_xlfn.IFS(AA901="N","No",  AA901 = "Y", "Yes", TRUE, PROPER(TRIM(AA901)))</f>
        <v>Yes</v>
      </c>
      <c r="AC901" s="3">
        <v>4</v>
      </c>
      <c r="AD901" s="3" t="s">
        <v>46</v>
      </c>
      <c r="AE901">
        <f t="shared" si="59"/>
        <v>1</v>
      </c>
    </row>
    <row r="902" spans="1:31" ht="14.25" customHeight="1" x14ac:dyDescent="0.35">
      <c r="A902" s="3" t="s">
        <v>1716</v>
      </c>
      <c r="B902" s="3" t="s">
        <v>75</v>
      </c>
      <c r="C902" s="3" t="s">
        <v>343</v>
      </c>
      <c r="D902" s="3">
        <v>25</v>
      </c>
      <c r="E902" s="3">
        <f t="shared" si="56"/>
        <v>25</v>
      </c>
      <c r="F902" s="3">
        <v>1999</v>
      </c>
      <c r="G902" s="3">
        <v>55000</v>
      </c>
      <c r="H902" s="12" cm="1">
        <f t="array" ref="H902">_xlfn.IFS(TRIM(G902)="SIXTY THOUSAND",60000,TRIM(G902)="NAN",AVERAGEIFS(G:G,J:J,J902,L:L,L902),TRUE,G902)</f>
        <v>55000</v>
      </c>
      <c r="I902" s="3" t="s">
        <v>27</v>
      </c>
      <c r="J902" s="3" t="s">
        <v>122</v>
      </c>
      <c r="K902" s="3" t="str">
        <f t="shared" si="57"/>
        <v>IT</v>
      </c>
      <c r="L902" s="3" t="s">
        <v>29</v>
      </c>
      <c r="M902" s="4">
        <v>43549</v>
      </c>
      <c r="N902" s="4">
        <v>43549</v>
      </c>
      <c r="O902" s="3" t="s">
        <v>41</v>
      </c>
      <c r="P902" s="3">
        <v>20</v>
      </c>
      <c r="Q902" s="3" t="s">
        <v>1717</v>
      </c>
      <c r="R902" s="3" t="s">
        <v>61</v>
      </c>
      <c r="S902" s="3" t="s">
        <v>44</v>
      </c>
      <c r="T902" s="3" t="str">
        <f t="shared" si="58"/>
        <v>Full-Time</v>
      </c>
      <c r="V902" s="3">
        <v>4</v>
      </c>
      <c r="Y902" s="3" t="s">
        <v>79</v>
      </c>
      <c r="AA902" s="3" t="s">
        <v>34</v>
      </c>
      <c r="AB902" s="3" t="str" cm="1">
        <f t="array" ref="AB902">_xlfn.IFS(AA902="N","No",  AA902 = "Y", "Yes", TRUE, PROPER(TRIM(AA902)))</f>
        <v>No</v>
      </c>
      <c r="AC902" s="3">
        <v>5</v>
      </c>
      <c r="AD902" s="3" t="s">
        <v>34</v>
      </c>
      <c r="AE902">
        <f t="shared" si="59"/>
        <v>0</v>
      </c>
    </row>
    <row r="903" spans="1:31" ht="14.25" customHeight="1" x14ac:dyDescent="0.35">
      <c r="A903" s="3" t="s">
        <v>1718</v>
      </c>
      <c r="B903" s="3" t="s">
        <v>131</v>
      </c>
      <c r="C903" s="3" t="s">
        <v>216</v>
      </c>
      <c r="E903" s="3">
        <f t="shared" si="56"/>
        <v>35</v>
      </c>
      <c r="F903" s="3">
        <v>1989</v>
      </c>
      <c r="G903" s="3" t="s">
        <v>50</v>
      </c>
      <c r="H903" s="12" cm="1">
        <f t="array" ref="H903">_xlfn.IFS(TRIM(G903)="SIXTY THOUSAND",60000,TRIM(G903)="NAN",AVERAGEIFS(G:G,J:J,J903,L:L,L903),TRUE,G903)</f>
        <v>60000</v>
      </c>
      <c r="I903" s="3" t="s">
        <v>27</v>
      </c>
      <c r="J903" s="3" t="s">
        <v>82</v>
      </c>
      <c r="K903" s="3" t="str">
        <f t="shared" si="57"/>
        <v>HR</v>
      </c>
      <c r="L903" s="3" t="s">
        <v>94</v>
      </c>
      <c r="M903" s="4">
        <v>43800</v>
      </c>
      <c r="N903" s="4">
        <v>43800</v>
      </c>
      <c r="O903" s="3" t="s">
        <v>52</v>
      </c>
      <c r="P903" s="3">
        <v>77</v>
      </c>
      <c r="Q903" s="3" t="s">
        <v>217</v>
      </c>
      <c r="R903" s="3" t="s">
        <v>43</v>
      </c>
      <c r="S903" s="3" t="s">
        <v>112</v>
      </c>
      <c r="T903" s="3" t="str">
        <f t="shared" si="58"/>
        <v>Full-Time</v>
      </c>
      <c r="V903" s="3">
        <v>7</v>
      </c>
      <c r="Y903" s="3" t="s">
        <v>79</v>
      </c>
      <c r="Z903" s="3">
        <v>40</v>
      </c>
      <c r="AA903" s="3" t="s">
        <v>73</v>
      </c>
      <c r="AB903" s="3" t="str" cm="1">
        <f t="array" ref="AB903">_xlfn.IFS(AA903="N","No",  AA903 = "Y", "Yes", TRUE, PROPER(TRIM(AA903)))</f>
        <v>No</v>
      </c>
      <c r="AC903" s="3">
        <v>4</v>
      </c>
      <c r="AD903" s="3" t="s">
        <v>34</v>
      </c>
      <c r="AE903">
        <f t="shared" si="59"/>
        <v>0</v>
      </c>
    </row>
    <row r="904" spans="1:31" ht="14.25" customHeight="1" x14ac:dyDescent="0.35">
      <c r="A904" s="3" t="s">
        <v>1719</v>
      </c>
      <c r="B904" s="3" t="s">
        <v>56</v>
      </c>
      <c r="C904" s="3" t="s">
        <v>676</v>
      </c>
      <c r="E904" s="3">
        <f t="shared" si="56"/>
        <v>43</v>
      </c>
      <c r="F904" s="3">
        <v>1981</v>
      </c>
      <c r="G904" s="3">
        <v>50000</v>
      </c>
      <c r="H904" s="12" cm="1">
        <f t="array" ref="H904">_xlfn.IFS(TRIM(G904)="SIXTY THOUSAND",60000,TRIM(G904)="NAN",AVERAGEIFS(G:G,J:J,J904,L:L,L904),TRUE,G904)</f>
        <v>50000</v>
      </c>
      <c r="I904" s="3" t="s">
        <v>27</v>
      </c>
      <c r="J904" s="3" t="s">
        <v>70</v>
      </c>
      <c r="K904" s="3" t="str">
        <f t="shared" si="57"/>
        <v>Marketing</v>
      </c>
      <c r="L904" s="3" t="s">
        <v>29</v>
      </c>
      <c r="M904" s="4">
        <v>43549</v>
      </c>
      <c r="N904" s="4">
        <v>43549</v>
      </c>
      <c r="O904" s="3" t="s">
        <v>59</v>
      </c>
      <c r="P904" s="3">
        <v>92</v>
      </c>
      <c r="Q904" s="3" t="s">
        <v>677</v>
      </c>
      <c r="R904" s="3" t="s">
        <v>61</v>
      </c>
      <c r="S904" s="3" t="s">
        <v>44</v>
      </c>
      <c r="T904" s="3" t="str">
        <f t="shared" si="58"/>
        <v>Full-Time</v>
      </c>
      <c r="U904" s="3" t="s">
        <v>1720</v>
      </c>
      <c r="V904" s="3">
        <v>2</v>
      </c>
      <c r="Y904" s="4">
        <v>44470</v>
      </c>
      <c r="Z904" s="3">
        <v>10</v>
      </c>
      <c r="AA904" s="3" t="s">
        <v>169</v>
      </c>
      <c r="AB904" s="3" t="str" cm="1">
        <f t="array" ref="AB904">_xlfn.IFS(AA904="N","No",  AA904 = "Y", "Yes", TRUE, PROPER(TRIM(AA904)))</f>
        <v>Yes</v>
      </c>
      <c r="AC904" s="3">
        <v>2</v>
      </c>
      <c r="AD904" s="3" t="s">
        <v>34</v>
      </c>
      <c r="AE904">
        <f t="shared" si="59"/>
        <v>0</v>
      </c>
    </row>
    <row r="905" spans="1:31" ht="14.25" customHeight="1" x14ac:dyDescent="0.35">
      <c r="A905" s="3" t="s">
        <v>1721</v>
      </c>
      <c r="B905" s="3" t="s">
        <v>114</v>
      </c>
      <c r="C905" s="3" t="s">
        <v>710</v>
      </c>
      <c r="D905" s="3">
        <v>40</v>
      </c>
      <c r="E905" s="3">
        <f t="shared" si="56"/>
        <v>40</v>
      </c>
      <c r="F905" s="3">
        <v>1984</v>
      </c>
      <c r="G905" s="3">
        <v>60300</v>
      </c>
      <c r="H905" s="12" cm="1">
        <f t="array" ref="H905">_xlfn.IFS(TRIM(G905)="SIXTY THOUSAND",60000,TRIM(G905)="NAN",AVERAGEIFS(G:G,J:J,J905,L:L,L905),TRUE,G905)</f>
        <v>60300</v>
      </c>
      <c r="I905" s="3" t="s">
        <v>27</v>
      </c>
      <c r="J905" s="3" t="s">
        <v>70</v>
      </c>
      <c r="K905" s="3" t="str">
        <f t="shared" si="57"/>
        <v>Marketing</v>
      </c>
      <c r="L905" s="3" t="s">
        <v>94</v>
      </c>
      <c r="M905" s="4">
        <v>43881</v>
      </c>
      <c r="N905" s="4">
        <v>43881</v>
      </c>
      <c r="O905" s="3" t="s">
        <v>30</v>
      </c>
      <c r="P905" s="3">
        <v>69</v>
      </c>
      <c r="Q905" s="3" t="s">
        <v>711</v>
      </c>
      <c r="R905" s="3" t="s">
        <v>43</v>
      </c>
      <c r="S905" s="3" t="s">
        <v>32</v>
      </c>
      <c r="T905" s="3" t="str">
        <f t="shared" si="58"/>
        <v>Contract</v>
      </c>
      <c r="V905" s="3">
        <v>6</v>
      </c>
      <c r="AA905" s="3" t="s">
        <v>169</v>
      </c>
      <c r="AB905" s="3" t="str" cm="1">
        <f t="array" ref="AB905">_xlfn.IFS(AA905="N","No",  AA905 = "Y", "Yes", TRUE, PROPER(TRIM(AA905)))</f>
        <v>Yes</v>
      </c>
      <c r="AC905" s="3">
        <v>4</v>
      </c>
      <c r="AD905" s="3" t="s">
        <v>34</v>
      </c>
      <c r="AE905">
        <f t="shared" si="59"/>
        <v>0</v>
      </c>
    </row>
    <row r="906" spans="1:31" ht="14.25" customHeight="1" x14ac:dyDescent="0.35">
      <c r="A906" s="3" t="s">
        <v>1722</v>
      </c>
      <c r="B906" s="3" t="s">
        <v>56</v>
      </c>
      <c r="C906" s="3" t="s">
        <v>783</v>
      </c>
      <c r="D906" s="3">
        <v>35</v>
      </c>
      <c r="E906" s="3">
        <f t="shared" si="56"/>
        <v>35</v>
      </c>
      <c r="F906" s="3">
        <v>1989</v>
      </c>
      <c r="G906" s="3">
        <v>50000</v>
      </c>
      <c r="H906" s="12" cm="1">
        <f t="array" ref="H906">_xlfn.IFS(TRIM(G906)="SIXTY THOUSAND",60000,TRIM(G906)="NAN",AVERAGEIFS(G:G,J:J,J906,L:L,L906),TRUE,G906)</f>
        <v>50000</v>
      </c>
      <c r="I906" s="3" t="s">
        <v>38</v>
      </c>
      <c r="J906" s="3" t="s">
        <v>39</v>
      </c>
      <c r="K906" s="3" t="str">
        <f t="shared" si="57"/>
        <v>Finance</v>
      </c>
      <c r="L906" s="3" t="s">
        <v>40</v>
      </c>
      <c r="M906" s="4">
        <v>43549</v>
      </c>
      <c r="N906" s="4">
        <v>43549</v>
      </c>
      <c r="O906" s="3" t="s">
        <v>78</v>
      </c>
      <c r="P906" s="3">
        <v>87</v>
      </c>
      <c r="Q906" s="3" t="s">
        <v>1723</v>
      </c>
      <c r="S906" s="3" t="s">
        <v>100</v>
      </c>
      <c r="T906" s="3" t="str">
        <f t="shared" si="58"/>
        <v>Part-Time</v>
      </c>
      <c r="V906" s="3">
        <v>6</v>
      </c>
      <c r="Y906" s="4">
        <v>44941</v>
      </c>
      <c r="Z906" s="3">
        <v>29</v>
      </c>
      <c r="AA906" s="3" t="s">
        <v>73</v>
      </c>
      <c r="AB906" s="3" t="str" cm="1">
        <f t="array" ref="AB906">_xlfn.IFS(AA906="N","No",  AA906 = "Y", "Yes", TRUE, PROPER(TRIM(AA906)))</f>
        <v>No</v>
      </c>
      <c r="AC906" s="3">
        <v>2</v>
      </c>
      <c r="AD906" s="3" t="s">
        <v>34</v>
      </c>
      <c r="AE906">
        <f t="shared" si="59"/>
        <v>0</v>
      </c>
    </row>
    <row r="907" spans="1:31" ht="14.25" customHeight="1" x14ac:dyDescent="0.35">
      <c r="A907" s="3" t="s">
        <v>1724</v>
      </c>
      <c r="B907" s="3" t="s">
        <v>48</v>
      </c>
      <c r="C907" s="3" t="s">
        <v>524</v>
      </c>
      <c r="D907" s="3" t="s">
        <v>88</v>
      </c>
      <c r="E907" s="3">
        <f t="shared" si="56"/>
        <v>30</v>
      </c>
      <c r="F907" s="3">
        <v>1994</v>
      </c>
      <c r="G907" s="3">
        <v>50000</v>
      </c>
      <c r="H907" s="12" cm="1">
        <f t="array" ref="H907">_xlfn.IFS(TRIM(G907)="SIXTY THOUSAND",60000,TRIM(G907)="NAN",AVERAGEIFS(G:G,J:J,J907,L:L,L907),TRUE,G907)</f>
        <v>50000</v>
      </c>
      <c r="I907" s="3" t="s">
        <v>38</v>
      </c>
      <c r="J907" s="3" t="s">
        <v>145</v>
      </c>
      <c r="K907" s="3" t="str">
        <f t="shared" si="57"/>
        <v>Sales</v>
      </c>
      <c r="L907" s="3" t="s">
        <v>89</v>
      </c>
      <c r="M907" s="4">
        <v>43881</v>
      </c>
      <c r="N907" s="4">
        <v>43881</v>
      </c>
      <c r="O907" s="3" t="s">
        <v>59</v>
      </c>
      <c r="P907" s="3">
        <v>96</v>
      </c>
      <c r="Q907" s="3" t="s">
        <v>1725</v>
      </c>
      <c r="R907" s="3" t="s">
        <v>61</v>
      </c>
      <c r="S907" s="3" t="s">
        <v>44</v>
      </c>
      <c r="T907" s="3" t="str">
        <f t="shared" si="58"/>
        <v>Full-Time</v>
      </c>
      <c r="V907" s="3">
        <v>5</v>
      </c>
      <c r="W907" s="3">
        <v>14</v>
      </c>
      <c r="AB907" s="3" t="str" cm="1">
        <f t="array" ref="AB907">_xlfn.IFS(AA907="N","No",  AA907 = "Y", "Yes", TRUE, PROPER(TRIM(AA907)))</f>
        <v/>
      </c>
      <c r="AC907" s="3">
        <v>2</v>
      </c>
      <c r="AD907" s="3" t="s">
        <v>34</v>
      </c>
      <c r="AE907">
        <f t="shared" si="59"/>
        <v>0</v>
      </c>
    </row>
    <row r="908" spans="1:31" ht="14.25" customHeight="1" x14ac:dyDescent="0.35">
      <c r="A908" s="3" t="s">
        <v>1726</v>
      </c>
      <c r="B908" s="3" t="s">
        <v>140</v>
      </c>
      <c r="C908" s="3" t="s">
        <v>84</v>
      </c>
      <c r="D908" s="3">
        <v>35</v>
      </c>
      <c r="E908" s="3">
        <f t="shared" si="56"/>
        <v>35</v>
      </c>
      <c r="F908" s="3">
        <v>1989</v>
      </c>
      <c r="G908" s="3">
        <v>55000</v>
      </c>
      <c r="H908" s="12" cm="1">
        <f t="array" ref="H908">_xlfn.IFS(TRIM(G908)="SIXTY THOUSAND",60000,TRIM(G908)="NAN",AVERAGEIFS(G:G,J:J,J908,L:L,L908),TRUE,G908)</f>
        <v>55000</v>
      </c>
      <c r="I908" s="3" t="s">
        <v>27</v>
      </c>
      <c r="J908" s="3" t="s">
        <v>64</v>
      </c>
      <c r="K908" s="3" t="str">
        <f t="shared" si="57"/>
        <v>Finance</v>
      </c>
      <c r="L908" s="3" t="s">
        <v>77</v>
      </c>
      <c r="M908" s="4">
        <v>43881</v>
      </c>
      <c r="N908" s="4">
        <v>43881</v>
      </c>
      <c r="O908" s="3" t="s">
        <v>41</v>
      </c>
      <c r="P908" s="3">
        <v>12</v>
      </c>
      <c r="Q908" s="3" t="s">
        <v>1727</v>
      </c>
      <c r="S908" s="3" t="s">
        <v>66</v>
      </c>
      <c r="T908" s="3" t="str">
        <f t="shared" si="58"/>
        <v>Contract</v>
      </c>
      <c r="V908" s="3">
        <v>3</v>
      </c>
      <c r="Y908" s="4">
        <v>44732</v>
      </c>
      <c r="AA908" s="3" t="s">
        <v>169</v>
      </c>
      <c r="AB908" s="3" t="str" cm="1">
        <f t="array" ref="AB908">_xlfn.IFS(AA908="N","No",  AA908 = "Y", "Yes", TRUE, PROPER(TRIM(AA908)))</f>
        <v>Yes</v>
      </c>
      <c r="AC908" s="3">
        <v>3</v>
      </c>
      <c r="AD908" s="3" t="s">
        <v>46</v>
      </c>
      <c r="AE908">
        <f t="shared" si="59"/>
        <v>1</v>
      </c>
    </row>
    <row r="909" spans="1:31" ht="14.25" customHeight="1" x14ac:dyDescent="0.35">
      <c r="A909" s="3" t="s">
        <v>1728</v>
      </c>
      <c r="B909" s="3" t="s">
        <v>114</v>
      </c>
      <c r="C909" s="3" t="s">
        <v>167</v>
      </c>
      <c r="D909" s="3">
        <v>50</v>
      </c>
      <c r="E909" s="3">
        <f t="shared" si="56"/>
        <v>50</v>
      </c>
      <c r="F909" s="3">
        <v>1974</v>
      </c>
      <c r="G909" s="3">
        <v>59500</v>
      </c>
      <c r="H909" s="12" cm="1">
        <f t="array" ref="H909">_xlfn.IFS(TRIM(G909)="SIXTY THOUSAND",60000,TRIM(G909)="NAN",AVERAGEIFS(G:G,J:J,J909,L:L,L909),TRUE,G909)</f>
        <v>59500</v>
      </c>
      <c r="I909" s="3" t="s">
        <v>27</v>
      </c>
      <c r="J909" s="3" t="s">
        <v>64</v>
      </c>
      <c r="K909" s="3" t="str">
        <f t="shared" si="57"/>
        <v>Finance</v>
      </c>
      <c r="L909" s="3" t="s">
        <v>29</v>
      </c>
      <c r="M909" s="4">
        <v>43195</v>
      </c>
      <c r="N909" s="4">
        <v>43195</v>
      </c>
      <c r="O909" s="3" t="s">
        <v>78</v>
      </c>
      <c r="P909" s="3">
        <v>80</v>
      </c>
      <c r="Q909" s="3" t="s">
        <v>1729</v>
      </c>
      <c r="S909" s="3" t="s">
        <v>72</v>
      </c>
      <c r="T909" s="3" t="str">
        <f t="shared" si="58"/>
        <v>Part-Time</v>
      </c>
      <c r="V909" s="3">
        <v>5</v>
      </c>
      <c r="AA909" s="3" t="s">
        <v>34</v>
      </c>
      <c r="AB909" s="3" t="str" cm="1">
        <f t="array" ref="AB909">_xlfn.IFS(AA909="N","No",  AA909 = "Y", "Yes", TRUE, PROPER(TRIM(AA909)))</f>
        <v>No</v>
      </c>
      <c r="AC909" s="3">
        <v>2</v>
      </c>
      <c r="AD909" s="3" t="s">
        <v>46</v>
      </c>
      <c r="AE909">
        <f t="shared" si="59"/>
        <v>1</v>
      </c>
    </row>
    <row r="910" spans="1:31" ht="14.25" customHeight="1" x14ac:dyDescent="0.35">
      <c r="A910" s="3" t="s">
        <v>1730</v>
      </c>
      <c r="B910" s="3" t="s">
        <v>75</v>
      </c>
      <c r="C910" s="3" t="s">
        <v>362</v>
      </c>
      <c r="D910" s="3">
        <v>50</v>
      </c>
      <c r="E910" s="3">
        <f t="shared" si="56"/>
        <v>50</v>
      </c>
      <c r="F910" s="3">
        <v>1974</v>
      </c>
      <c r="G910" s="3">
        <v>63000</v>
      </c>
      <c r="H910" s="12" cm="1">
        <f t="array" ref="H910">_xlfn.IFS(TRIM(G910)="SIXTY THOUSAND",60000,TRIM(G910)="NAN",AVERAGEIFS(G:G,J:J,J910,L:L,L910),TRUE,G910)</f>
        <v>63000</v>
      </c>
      <c r="I910" s="3" t="s">
        <v>27</v>
      </c>
      <c r="J910" s="3" t="s">
        <v>51</v>
      </c>
      <c r="K910" s="3" t="str">
        <f t="shared" si="57"/>
        <v>Sales</v>
      </c>
      <c r="L910" s="3" t="s">
        <v>40</v>
      </c>
      <c r="M910" s="4">
        <v>43881</v>
      </c>
      <c r="N910" s="4">
        <v>43881</v>
      </c>
      <c r="O910" s="3" t="s">
        <v>52</v>
      </c>
      <c r="P910" s="3">
        <v>73</v>
      </c>
      <c r="Q910" s="3" t="s">
        <v>363</v>
      </c>
      <c r="R910" s="3" t="s">
        <v>54</v>
      </c>
      <c r="S910" s="3" t="s">
        <v>32</v>
      </c>
      <c r="T910" s="3" t="str">
        <f t="shared" si="58"/>
        <v>Contract</v>
      </c>
      <c r="U910" s="3" t="s">
        <v>297</v>
      </c>
      <c r="V910" s="3">
        <v>4</v>
      </c>
      <c r="W910" s="3" t="s">
        <v>79</v>
      </c>
      <c r="X910" s="3">
        <v>18</v>
      </c>
      <c r="Z910" s="3">
        <v>13</v>
      </c>
      <c r="AA910" s="3" t="s">
        <v>73</v>
      </c>
      <c r="AB910" s="3" t="str" cm="1">
        <f t="array" ref="AB910">_xlfn.IFS(AA910="N","No",  AA910 = "Y", "Yes", TRUE, PROPER(TRIM(AA910)))</f>
        <v>No</v>
      </c>
      <c r="AC910" s="3">
        <v>5</v>
      </c>
      <c r="AD910" s="3" t="s">
        <v>34</v>
      </c>
      <c r="AE910">
        <f t="shared" si="59"/>
        <v>0</v>
      </c>
    </row>
    <row r="911" spans="1:31" ht="14.25" customHeight="1" x14ac:dyDescent="0.35">
      <c r="A911" s="3" t="s">
        <v>1731</v>
      </c>
      <c r="B911" s="3" t="s">
        <v>75</v>
      </c>
      <c r="C911" s="3" t="s">
        <v>819</v>
      </c>
      <c r="D911" s="3" t="s">
        <v>88</v>
      </c>
      <c r="E911" s="3">
        <f t="shared" si="56"/>
        <v>30</v>
      </c>
      <c r="F911" s="3">
        <v>1994</v>
      </c>
      <c r="G911" s="3">
        <v>61500</v>
      </c>
      <c r="H911" s="12" cm="1">
        <f t="array" ref="H911">_xlfn.IFS(TRIM(G911)="SIXTY THOUSAND",60000,TRIM(G911)="NAN",AVERAGEIFS(G:G,J:J,J911,L:L,L911),TRUE,G911)</f>
        <v>61500</v>
      </c>
      <c r="I911" s="3" t="s">
        <v>27</v>
      </c>
      <c r="J911" s="3" t="s">
        <v>28</v>
      </c>
      <c r="K911" s="3" t="str">
        <f t="shared" si="57"/>
        <v>HR</v>
      </c>
      <c r="L911" s="3" t="s">
        <v>89</v>
      </c>
      <c r="M911" s="4">
        <v>43549</v>
      </c>
      <c r="N911" s="4">
        <v>43549</v>
      </c>
      <c r="O911" s="3" t="s">
        <v>78</v>
      </c>
      <c r="P911" s="3">
        <v>84</v>
      </c>
      <c r="Q911" s="3" t="s">
        <v>820</v>
      </c>
      <c r="R911" s="3" t="s">
        <v>61</v>
      </c>
      <c r="S911" s="3" t="s">
        <v>44</v>
      </c>
      <c r="T911" s="3" t="str">
        <f t="shared" si="58"/>
        <v>Full-Time</v>
      </c>
      <c r="U911" s="3" t="s">
        <v>1732</v>
      </c>
      <c r="V911" s="3">
        <v>5</v>
      </c>
      <c r="AB911" s="3" t="str" cm="1">
        <f t="array" ref="AB911">_xlfn.IFS(AA911="N","No",  AA911 = "Y", "Yes", TRUE, PROPER(TRIM(AA911)))</f>
        <v/>
      </c>
      <c r="AC911" s="3">
        <v>5</v>
      </c>
      <c r="AD911" s="3" t="s">
        <v>34</v>
      </c>
      <c r="AE911">
        <f t="shared" si="59"/>
        <v>0</v>
      </c>
    </row>
    <row r="912" spans="1:31" ht="14.25" customHeight="1" x14ac:dyDescent="0.35">
      <c r="A912" s="3" t="s">
        <v>1733</v>
      </c>
      <c r="B912" s="3" t="s">
        <v>131</v>
      </c>
      <c r="C912" s="3" t="s">
        <v>472</v>
      </c>
      <c r="D912" s="3">
        <v>40</v>
      </c>
      <c r="E912" s="3">
        <f t="shared" si="56"/>
        <v>40</v>
      </c>
      <c r="F912" s="3">
        <v>1984</v>
      </c>
      <c r="G912" s="3">
        <v>55000</v>
      </c>
      <c r="H912" s="12" cm="1">
        <f t="array" ref="H912">_xlfn.IFS(TRIM(G912)="SIXTY THOUSAND",60000,TRIM(G912)="NAN",AVERAGEIFS(G:G,J:J,J912,L:L,L912),TRUE,G912)</f>
        <v>55000</v>
      </c>
      <c r="I912" s="3" t="s">
        <v>27</v>
      </c>
      <c r="J912" s="3" t="s">
        <v>64</v>
      </c>
      <c r="K912" s="3" t="str">
        <f t="shared" si="57"/>
        <v>Finance</v>
      </c>
      <c r="L912" s="3" t="s">
        <v>40</v>
      </c>
      <c r="M912" s="4">
        <v>43195</v>
      </c>
      <c r="N912" s="4">
        <v>43195</v>
      </c>
      <c r="O912" s="3" t="s">
        <v>78</v>
      </c>
      <c r="P912" s="3">
        <v>89</v>
      </c>
      <c r="Q912" s="3" t="s">
        <v>473</v>
      </c>
      <c r="R912" s="3" t="s">
        <v>43</v>
      </c>
      <c r="S912" s="3" t="s">
        <v>174</v>
      </c>
      <c r="T912" s="3" t="str">
        <f t="shared" si="58"/>
        <v>Full-Time</v>
      </c>
      <c r="V912" s="3">
        <v>8</v>
      </c>
      <c r="X912" s="3">
        <v>15</v>
      </c>
      <c r="Z912" s="3">
        <v>26</v>
      </c>
      <c r="AA912" s="3" t="s">
        <v>33</v>
      </c>
      <c r="AB912" s="3" t="str" cm="1">
        <f t="array" ref="AB912">_xlfn.IFS(AA912="N","No",  AA912 = "Y", "Yes", TRUE, PROPER(TRIM(AA912)))</f>
        <v>Yes</v>
      </c>
      <c r="AC912" s="3">
        <v>1</v>
      </c>
      <c r="AD912" s="3" t="s">
        <v>46</v>
      </c>
      <c r="AE912">
        <f t="shared" si="59"/>
        <v>1</v>
      </c>
    </row>
    <row r="913" spans="1:31" ht="14.25" customHeight="1" x14ac:dyDescent="0.35">
      <c r="A913" s="3" t="s">
        <v>1734</v>
      </c>
      <c r="B913" s="3" t="s">
        <v>48</v>
      </c>
      <c r="C913" s="3" t="s">
        <v>262</v>
      </c>
      <c r="D913" s="3" t="s">
        <v>88</v>
      </c>
      <c r="E913" s="3">
        <f t="shared" si="56"/>
        <v>30</v>
      </c>
      <c r="F913" s="3">
        <v>1994</v>
      </c>
      <c r="G913" s="3">
        <v>50000</v>
      </c>
      <c r="H913" s="12" cm="1">
        <f t="array" ref="H913">_xlfn.IFS(TRIM(G913)="SIXTY THOUSAND",60000,TRIM(G913)="NAN",AVERAGEIFS(G:G,J:J,J913,L:L,L913),TRUE,G913)</f>
        <v>50000</v>
      </c>
      <c r="I913" s="3" t="s">
        <v>27</v>
      </c>
      <c r="J913" s="3" t="s">
        <v>64</v>
      </c>
      <c r="K913" s="3" t="str">
        <f t="shared" si="57"/>
        <v>Finance</v>
      </c>
      <c r="L913" s="3" t="s">
        <v>29</v>
      </c>
      <c r="M913" s="4">
        <v>43195</v>
      </c>
      <c r="N913" s="4">
        <v>43195</v>
      </c>
      <c r="O913" s="3" t="s">
        <v>52</v>
      </c>
      <c r="P913" s="3">
        <v>74</v>
      </c>
      <c r="Q913" s="3" t="s">
        <v>263</v>
      </c>
      <c r="R913" s="3" t="s">
        <v>43</v>
      </c>
      <c r="S913" s="3" t="s">
        <v>32</v>
      </c>
      <c r="T913" s="3" t="str">
        <f t="shared" si="58"/>
        <v>Contract</v>
      </c>
      <c r="V913" s="3">
        <v>6</v>
      </c>
      <c r="W913" s="3">
        <v>3</v>
      </c>
      <c r="X913" s="3">
        <v>8</v>
      </c>
      <c r="Y913" s="3" t="s">
        <v>79</v>
      </c>
      <c r="AA913" s="3" t="s">
        <v>46</v>
      </c>
      <c r="AB913" s="3" t="str" cm="1">
        <f t="array" ref="AB913">_xlfn.IFS(AA913="N","No",  AA913 = "Y", "Yes", TRUE, PROPER(TRIM(AA913)))</f>
        <v>Yes</v>
      </c>
      <c r="AC913" s="3">
        <v>2</v>
      </c>
      <c r="AD913" s="3" t="s">
        <v>46</v>
      </c>
      <c r="AE913">
        <f t="shared" si="59"/>
        <v>1</v>
      </c>
    </row>
    <row r="914" spans="1:31" ht="14.25" customHeight="1" x14ac:dyDescent="0.35">
      <c r="A914" s="3" t="s">
        <v>1735</v>
      </c>
      <c r="B914" s="3" t="s">
        <v>107</v>
      </c>
      <c r="C914" s="3" t="s">
        <v>244</v>
      </c>
      <c r="E914" s="3">
        <f t="shared" si="56"/>
        <v>33</v>
      </c>
      <c r="F914" s="3">
        <v>1991</v>
      </c>
      <c r="G914" s="3">
        <v>55000</v>
      </c>
      <c r="H914" s="12" cm="1">
        <f t="array" ref="H914">_xlfn.IFS(TRIM(G914)="SIXTY THOUSAND",60000,TRIM(G914)="NAN",AVERAGEIFS(G:G,J:J,J914,L:L,L914),TRUE,G914)</f>
        <v>55000</v>
      </c>
      <c r="I914" s="3" t="s">
        <v>38</v>
      </c>
      <c r="J914" s="3" t="s">
        <v>93</v>
      </c>
      <c r="K914" s="3" t="str">
        <f t="shared" si="57"/>
        <v>Marketing</v>
      </c>
      <c r="L914" s="3" t="s">
        <v>77</v>
      </c>
      <c r="M914" s="4">
        <v>43881</v>
      </c>
      <c r="N914" s="4">
        <v>43881</v>
      </c>
      <c r="O914" s="3" t="s">
        <v>52</v>
      </c>
      <c r="P914" s="3">
        <v>78</v>
      </c>
      <c r="Q914" s="3" t="s">
        <v>245</v>
      </c>
      <c r="R914" s="3" t="s">
        <v>61</v>
      </c>
      <c r="S914" s="3" t="s">
        <v>44</v>
      </c>
      <c r="T914" s="3" t="str">
        <f t="shared" si="58"/>
        <v>Full-Time</v>
      </c>
      <c r="U914" s="3" t="s">
        <v>181</v>
      </c>
      <c r="V914" s="3">
        <v>6</v>
      </c>
      <c r="W914" s="3" t="s">
        <v>79</v>
      </c>
      <c r="Y914" s="4">
        <v>44470</v>
      </c>
      <c r="AA914" s="3" t="s">
        <v>46</v>
      </c>
      <c r="AB914" s="3" t="str" cm="1">
        <f t="array" ref="AB914">_xlfn.IFS(AA914="N","No",  AA914 = "Y", "Yes", TRUE, PROPER(TRIM(AA914)))</f>
        <v>Yes</v>
      </c>
      <c r="AC914" s="3">
        <v>5</v>
      </c>
      <c r="AD914" s="3" t="s">
        <v>46</v>
      </c>
      <c r="AE914">
        <f t="shared" si="59"/>
        <v>1</v>
      </c>
    </row>
    <row r="915" spans="1:31" ht="14.25" customHeight="1" x14ac:dyDescent="0.35">
      <c r="A915" s="3" t="s">
        <v>1736</v>
      </c>
      <c r="B915" s="3" t="s">
        <v>48</v>
      </c>
      <c r="C915" s="3" t="s">
        <v>26</v>
      </c>
      <c r="D915" s="3">
        <v>50</v>
      </c>
      <c r="E915" s="3">
        <f t="shared" si="56"/>
        <v>50</v>
      </c>
      <c r="F915" s="3">
        <v>1974</v>
      </c>
      <c r="G915" s="3">
        <v>70000</v>
      </c>
      <c r="H915" s="12" cm="1">
        <f t="array" ref="H915">_xlfn.IFS(TRIM(G915)="SIXTY THOUSAND",60000,TRIM(G915)="NAN",AVERAGEIFS(G:G,J:J,J915,L:L,L915),TRUE,G915)</f>
        <v>70000</v>
      </c>
      <c r="I915" s="3" t="s">
        <v>38</v>
      </c>
      <c r="J915" s="3" t="s">
        <v>145</v>
      </c>
      <c r="K915" s="3" t="str">
        <f t="shared" si="57"/>
        <v>Sales</v>
      </c>
      <c r="L915" s="3" t="s">
        <v>40</v>
      </c>
      <c r="M915" s="4">
        <v>43800</v>
      </c>
      <c r="N915" s="4">
        <v>43800</v>
      </c>
      <c r="O915" s="3" t="s">
        <v>78</v>
      </c>
      <c r="P915" s="3">
        <v>82</v>
      </c>
      <c r="Q915" s="3" t="s">
        <v>1737</v>
      </c>
      <c r="R915" s="3" t="s">
        <v>54</v>
      </c>
      <c r="S915" s="3" t="s">
        <v>174</v>
      </c>
      <c r="T915" s="3" t="str">
        <f t="shared" si="58"/>
        <v>Full-Time</v>
      </c>
      <c r="V915" s="3">
        <v>3</v>
      </c>
      <c r="X915" s="3">
        <v>7</v>
      </c>
      <c r="AA915" s="3" t="s">
        <v>34</v>
      </c>
      <c r="AB915" s="3" t="str" cm="1">
        <f t="array" ref="AB915">_xlfn.IFS(AA915="N","No",  AA915 = "Y", "Yes", TRUE, PROPER(TRIM(AA915)))</f>
        <v>No</v>
      </c>
      <c r="AC915" s="3">
        <v>5</v>
      </c>
      <c r="AD915" s="3" t="s">
        <v>34</v>
      </c>
      <c r="AE915">
        <f t="shared" si="59"/>
        <v>0</v>
      </c>
    </row>
    <row r="916" spans="1:31" ht="14.25" customHeight="1" x14ac:dyDescent="0.35">
      <c r="A916" s="3" t="s">
        <v>1738</v>
      </c>
      <c r="B916" s="3" t="s">
        <v>140</v>
      </c>
      <c r="C916" s="3" t="s">
        <v>588</v>
      </c>
      <c r="D916" s="3">
        <v>25</v>
      </c>
      <c r="E916" s="3">
        <f t="shared" si="56"/>
        <v>25</v>
      </c>
      <c r="F916" s="3">
        <v>1999</v>
      </c>
      <c r="G916" s="3">
        <v>70000</v>
      </c>
      <c r="H916" s="12" cm="1">
        <f t="array" ref="H916">_xlfn.IFS(TRIM(G916)="SIXTY THOUSAND",60000,TRIM(G916)="NAN",AVERAGEIFS(G:G,J:J,J916,L:L,L916),TRUE,G916)</f>
        <v>70000</v>
      </c>
      <c r="I916" s="3" t="s">
        <v>38</v>
      </c>
      <c r="J916" s="3" t="s">
        <v>122</v>
      </c>
      <c r="K916" s="3" t="str">
        <f t="shared" si="57"/>
        <v>IT</v>
      </c>
      <c r="L916" s="3" t="s">
        <v>94</v>
      </c>
      <c r="M916" s="4">
        <v>43800</v>
      </c>
      <c r="N916" s="4">
        <v>43800</v>
      </c>
      <c r="O916" s="3" t="s">
        <v>52</v>
      </c>
      <c r="P916" s="3">
        <v>76</v>
      </c>
      <c r="Q916" s="3" t="s">
        <v>589</v>
      </c>
      <c r="R916" s="3" t="s">
        <v>54</v>
      </c>
      <c r="S916" s="3" t="s">
        <v>44</v>
      </c>
      <c r="T916" s="3" t="str">
        <f t="shared" si="58"/>
        <v>Full-Time</v>
      </c>
      <c r="V916" s="3">
        <v>8</v>
      </c>
      <c r="W916" s="3">
        <v>3</v>
      </c>
      <c r="X916" s="3">
        <v>20</v>
      </c>
      <c r="AA916" s="3" t="s">
        <v>34</v>
      </c>
      <c r="AB916" s="3" t="str" cm="1">
        <f t="array" ref="AB916">_xlfn.IFS(AA916="N","No",  AA916 = "Y", "Yes", TRUE, PROPER(TRIM(AA916)))</f>
        <v>No</v>
      </c>
      <c r="AC916" s="3">
        <v>5</v>
      </c>
      <c r="AD916" s="3" t="s">
        <v>34</v>
      </c>
      <c r="AE916">
        <f t="shared" si="59"/>
        <v>0</v>
      </c>
    </row>
    <row r="917" spans="1:31" ht="14.25" customHeight="1" x14ac:dyDescent="0.35">
      <c r="A917" s="3" t="s">
        <v>1739</v>
      </c>
      <c r="B917" s="3" t="s">
        <v>56</v>
      </c>
      <c r="C917" s="3" t="s">
        <v>840</v>
      </c>
      <c r="D917" s="3">
        <v>25</v>
      </c>
      <c r="E917" s="3">
        <f t="shared" si="56"/>
        <v>25</v>
      </c>
      <c r="F917" s="3">
        <v>1999</v>
      </c>
      <c r="G917" s="3">
        <v>55000</v>
      </c>
      <c r="H917" s="12" cm="1">
        <f t="array" ref="H917">_xlfn.IFS(TRIM(G917)="SIXTY THOUSAND",60000,TRIM(G917)="NAN",AVERAGEIFS(G:G,J:J,J917,L:L,L917),TRUE,G917)</f>
        <v>55000</v>
      </c>
      <c r="I917" s="3" t="s">
        <v>27</v>
      </c>
      <c r="J917" s="3" t="s">
        <v>28</v>
      </c>
      <c r="K917" s="3" t="str">
        <f t="shared" si="57"/>
        <v>HR</v>
      </c>
      <c r="L917" s="3" t="s">
        <v>89</v>
      </c>
      <c r="M917" s="4">
        <v>43195</v>
      </c>
      <c r="N917" s="4">
        <v>43195</v>
      </c>
      <c r="O917" s="3" t="s">
        <v>59</v>
      </c>
      <c r="P917" s="3">
        <v>93</v>
      </c>
      <c r="Q917" s="3" t="s">
        <v>1740</v>
      </c>
      <c r="R917" s="3" t="s">
        <v>54</v>
      </c>
      <c r="S917" s="3" t="s">
        <v>72</v>
      </c>
      <c r="T917" s="3" t="str">
        <f t="shared" si="58"/>
        <v>Part-Time</v>
      </c>
      <c r="V917" s="3">
        <v>7</v>
      </c>
      <c r="AA917" s="3" t="s">
        <v>34</v>
      </c>
      <c r="AB917" s="3" t="str" cm="1">
        <f t="array" ref="AB917">_xlfn.IFS(AA917="N","No",  AA917 = "Y", "Yes", TRUE, PROPER(TRIM(AA917)))</f>
        <v>No</v>
      </c>
      <c r="AC917" s="3">
        <v>1</v>
      </c>
      <c r="AD917" s="3" t="s">
        <v>34</v>
      </c>
      <c r="AE917">
        <f t="shared" si="59"/>
        <v>0</v>
      </c>
    </row>
    <row r="918" spans="1:31" ht="14.25" customHeight="1" x14ac:dyDescent="0.35">
      <c r="A918" s="3" t="s">
        <v>1741</v>
      </c>
      <c r="B918" s="3" t="s">
        <v>75</v>
      </c>
      <c r="C918" s="3" t="s">
        <v>229</v>
      </c>
      <c r="D918" s="3">
        <v>40</v>
      </c>
      <c r="E918" s="3">
        <f t="shared" si="56"/>
        <v>40</v>
      </c>
      <c r="F918" s="3">
        <v>1984</v>
      </c>
      <c r="G918" s="3">
        <v>60900</v>
      </c>
      <c r="H918" s="12" cm="1">
        <f t="array" ref="H918">_xlfn.IFS(TRIM(G918)="SIXTY THOUSAND",60000,TRIM(G918)="NAN",AVERAGEIFS(G:G,J:J,J918,L:L,L918),TRUE,G918)</f>
        <v>60900</v>
      </c>
      <c r="I918" s="3" t="s">
        <v>27</v>
      </c>
      <c r="J918" s="3" t="s">
        <v>28</v>
      </c>
      <c r="K918" s="3" t="str">
        <f t="shared" si="57"/>
        <v>HR</v>
      </c>
      <c r="L918" s="3" t="s">
        <v>40</v>
      </c>
      <c r="M918" s="4">
        <v>43881</v>
      </c>
      <c r="N918" s="4">
        <v>43881</v>
      </c>
      <c r="O918" s="3" t="s">
        <v>52</v>
      </c>
      <c r="P918" s="3">
        <v>71</v>
      </c>
      <c r="Q918" s="3" t="s">
        <v>1742</v>
      </c>
      <c r="R918" s="3" t="s">
        <v>43</v>
      </c>
      <c r="S918" s="3" t="s">
        <v>72</v>
      </c>
      <c r="T918" s="3" t="str">
        <f t="shared" si="58"/>
        <v>Part-Time</v>
      </c>
      <c r="U918" s="3" t="s">
        <v>1743</v>
      </c>
      <c r="V918" s="3">
        <v>4</v>
      </c>
      <c r="X918" s="3">
        <v>12</v>
      </c>
      <c r="Y918" s="4">
        <v>45516</v>
      </c>
      <c r="AA918" s="3" t="s">
        <v>33</v>
      </c>
      <c r="AB918" s="3" t="str" cm="1">
        <f t="array" ref="AB918">_xlfn.IFS(AA918="N","No",  AA918 = "Y", "Yes", TRUE, PROPER(TRIM(AA918)))</f>
        <v>Yes</v>
      </c>
      <c r="AC918" s="3">
        <v>3</v>
      </c>
      <c r="AD918" s="3" t="s">
        <v>34</v>
      </c>
      <c r="AE918">
        <f t="shared" si="59"/>
        <v>0</v>
      </c>
    </row>
    <row r="919" spans="1:31" ht="14.25" customHeight="1" x14ac:dyDescent="0.35">
      <c r="A919" s="3" t="s">
        <v>1744</v>
      </c>
      <c r="B919" s="3" t="s">
        <v>56</v>
      </c>
      <c r="C919" s="3" t="s">
        <v>179</v>
      </c>
      <c r="E919" s="3">
        <f t="shared" si="56"/>
        <v>30</v>
      </c>
      <c r="F919" s="3">
        <v>1994</v>
      </c>
      <c r="G919" s="3">
        <v>50000</v>
      </c>
      <c r="H919" s="12" cm="1">
        <f t="array" ref="H919">_xlfn.IFS(TRIM(G919)="SIXTY THOUSAND",60000,TRIM(G919)="NAN",AVERAGEIFS(G:G,J:J,J919,L:L,L919),TRUE,G919)</f>
        <v>50000</v>
      </c>
      <c r="I919" s="3" t="s">
        <v>27</v>
      </c>
      <c r="J919" s="3" t="s">
        <v>145</v>
      </c>
      <c r="K919" s="3" t="str">
        <f t="shared" si="57"/>
        <v>Sales</v>
      </c>
      <c r="L919" s="3" t="s">
        <v>89</v>
      </c>
      <c r="M919" s="4">
        <v>43800</v>
      </c>
      <c r="N919" s="4">
        <v>43800</v>
      </c>
      <c r="O919" s="3" t="s">
        <v>52</v>
      </c>
      <c r="P919" s="3">
        <v>76</v>
      </c>
      <c r="Q919" t="str">
        <f>LOWER(_xlfn.CONCAT(B919,".",C919,"@saltcorp.com"))</f>
        <v>eve.schmidt@saltcorp.com</v>
      </c>
      <c r="S919" s="3" t="s">
        <v>174</v>
      </c>
      <c r="T919" s="3" t="str">
        <f t="shared" si="58"/>
        <v>Full-Time</v>
      </c>
      <c r="V919" s="3">
        <v>7</v>
      </c>
      <c r="W919" s="3">
        <v>1</v>
      </c>
      <c r="X919" s="3">
        <v>2</v>
      </c>
      <c r="Y919" s="3" t="s">
        <v>79</v>
      </c>
      <c r="AA919" s="3" t="s">
        <v>46</v>
      </c>
      <c r="AB919" s="3" t="str" cm="1">
        <f t="array" ref="AB919">_xlfn.IFS(AA919="N","No",  AA919 = "Y", "Yes", TRUE, PROPER(TRIM(AA919)))</f>
        <v>Yes</v>
      </c>
      <c r="AC919" s="3">
        <v>1</v>
      </c>
      <c r="AD919" s="3" t="s">
        <v>46</v>
      </c>
      <c r="AE919">
        <f t="shared" si="59"/>
        <v>1</v>
      </c>
    </row>
    <row r="920" spans="1:31" ht="14.25" customHeight="1" x14ac:dyDescent="0.35">
      <c r="A920" s="3" t="s">
        <v>1745</v>
      </c>
      <c r="B920" s="3" t="s">
        <v>56</v>
      </c>
      <c r="C920" s="3" t="s">
        <v>499</v>
      </c>
      <c r="D920" s="3">
        <v>35</v>
      </c>
      <c r="E920" s="3">
        <f t="shared" si="56"/>
        <v>35</v>
      </c>
      <c r="F920" s="3">
        <v>1989</v>
      </c>
      <c r="G920" s="3">
        <v>55000</v>
      </c>
      <c r="H920" s="12" cm="1">
        <f t="array" ref="H920">_xlfn.IFS(TRIM(G920)="SIXTY THOUSAND",60000,TRIM(G920)="NAN",AVERAGEIFS(G:G,J:J,J920,L:L,L920),TRUE,G920)</f>
        <v>55000</v>
      </c>
      <c r="I920" s="3" t="s">
        <v>38</v>
      </c>
      <c r="J920" s="3" t="s">
        <v>70</v>
      </c>
      <c r="K920" s="3" t="str">
        <f t="shared" si="57"/>
        <v>Marketing</v>
      </c>
      <c r="L920" s="3" t="s">
        <v>94</v>
      </c>
      <c r="M920" s="4">
        <v>43881</v>
      </c>
      <c r="N920" s="4">
        <v>43881</v>
      </c>
      <c r="O920" s="3" t="s">
        <v>78</v>
      </c>
      <c r="P920" s="3">
        <v>89</v>
      </c>
      <c r="Q920" s="3" t="s">
        <v>1746</v>
      </c>
      <c r="R920" s="3" t="s">
        <v>54</v>
      </c>
      <c r="S920" s="3" t="s">
        <v>44</v>
      </c>
      <c r="T920" s="3" t="str">
        <f t="shared" si="58"/>
        <v>Full-Time</v>
      </c>
      <c r="V920" s="3">
        <v>6</v>
      </c>
      <c r="AA920" s="3" t="s">
        <v>33</v>
      </c>
      <c r="AB920" s="3" t="str" cm="1">
        <f t="array" ref="AB920">_xlfn.IFS(AA920="N","No",  AA920 = "Y", "Yes", TRUE, PROPER(TRIM(AA920)))</f>
        <v>Yes</v>
      </c>
      <c r="AC920" s="3">
        <v>1</v>
      </c>
      <c r="AD920" s="3" t="s">
        <v>34</v>
      </c>
      <c r="AE920">
        <f t="shared" si="59"/>
        <v>0</v>
      </c>
    </row>
    <row r="921" spans="1:31" ht="14.25" customHeight="1" x14ac:dyDescent="0.35">
      <c r="A921" s="3" t="s">
        <v>1747</v>
      </c>
      <c r="B921" s="3" t="s">
        <v>56</v>
      </c>
      <c r="C921" s="3" t="s">
        <v>413</v>
      </c>
      <c r="E921" s="3">
        <f t="shared" si="56"/>
        <v>32</v>
      </c>
      <c r="F921" s="3">
        <v>1992</v>
      </c>
      <c r="G921" s="3">
        <v>55000</v>
      </c>
      <c r="H921" s="12" cm="1">
        <f t="array" ref="H921">_xlfn.IFS(TRIM(G921)="SIXTY THOUSAND",60000,TRIM(G921)="NAN",AVERAGEIFS(G:G,J:J,J921,L:L,L921),TRUE,G921)</f>
        <v>55000</v>
      </c>
      <c r="I921" s="3" t="s">
        <v>38</v>
      </c>
      <c r="J921" s="3" t="s">
        <v>70</v>
      </c>
      <c r="K921" s="3" t="str">
        <f t="shared" si="57"/>
        <v>Marketing</v>
      </c>
      <c r="L921" s="3" t="s">
        <v>77</v>
      </c>
      <c r="M921" s="4">
        <v>43881</v>
      </c>
      <c r="N921" s="4">
        <v>43881</v>
      </c>
      <c r="O921" s="3" t="s">
        <v>59</v>
      </c>
      <c r="P921" s="3">
        <v>100</v>
      </c>
      <c r="Q921" s="3" t="s">
        <v>414</v>
      </c>
      <c r="R921" s="3" t="s">
        <v>43</v>
      </c>
      <c r="S921" s="3" t="s">
        <v>100</v>
      </c>
      <c r="T921" s="3" t="str">
        <f t="shared" si="58"/>
        <v>Part-Time</v>
      </c>
      <c r="V921" s="3">
        <v>6</v>
      </c>
      <c r="X921" s="3">
        <v>11</v>
      </c>
      <c r="Y921" s="4">
        <v>44470</v>
      </c>
      <c r="AA921" s="3" t="s">
        <v>169</v>
      </c>
      <c r="AB921" s="3" t="str" cm="1">
        <f t="array" ref="AB921">_xlfn.IFS(AA921="N","No",  AA921 = "Y", "Yes", TRUE, PROPER(TRIM(AA921)))</f>
        <v>Yes</v>
      </c>
      <c r="AC921" s="3">
        <v>3</v>
      </c>
      <c r="AD921" s="3" t="s">
        <v>34</v>
      </c>
      <c r="AE921">
        <f t="shared" si="59"/>
        <v>0</v>
      </c>
    </row>
    <row r="922" spans="1:31" ht="14.25" customHeight="1" x14ac:dyDescent="0.35">
      <c r="A922" s="3" t="s">
        <v>1748</v>
      </c>
      <c r="B922" s="3" t="s">
        <v>75</v>
      </c>
      <c r="C922" s="3" t="s">
        <v>625</v>
      </c>
      <c r="D922" s="3">
        <v>25</v>
      </c>
      <c r="E922" s="3">
        <f t="shared" si="56"/>
        <v>25</v>
      </c>
      <c r="F922" s="3">
        <v>1999</v>
      </c>
      <c r="G922" s="3">
        <v>55000</v>
      </c>
      <c r="H922" s="12" cm="1">
        <f t="array" ref="H922">_xlfn.IFS(TRIM(G922)="SIXTY THOUSAND",60000,TRIM(G922)="NAN",AVERAGEIFS(G:G,J:J,J922,L:L,L922),TRUE,G922)</f>
        <v>55000</v>
      </c>
      <c r="I922" s="3" t="s">
        <v>27</v>
      </c>
      <c r="J922" s="3" t="s">
        <v>145</v>
      </c>
      <c r="K922" s="3" t="str">
        <f t="shared" si="57"/>
        <v>Sales</v>
      </c>
      <c r="L922" s="3" t="s">
        <v>77</v>
      </c>
      <c r="M922" s="4">
        <v>43195</v>
      </c>
      <c r="N922" s="4">
        <v>43195</v>
      </c>
      <c r="O922" s="3" t="s">
        <v>30</v>
      </c>
      <c r="P922" s="3">
        <v>66</v>
      </c>
      <c r="Q922" t="str">
        <f>LOWER(_xlfn.CONCAT(B922,".",C922,"@saltcorp.com"))</f>
        <v>charlie.taylor@saltcorp.com</v>
      </c>
      <c r="R922" s="3" t="s">
        <v>43</v>
      </c>
      <c r="S922" s="3" t="s">
        <v>72</v>
      </c>
      <c r="T922" s="3" t="str">
        <f t="shared" si="58"/>
        <v>Part-Time</v>
      </c>
      <c r="U922" s="3" t="s">
        <v>1528</v>
      </c>
      <c r="V922" s="3">
        <v>7</v>
      </c>
      <c r="W922" s="3">
        <v>4</v>
      </c>
      <c r="X922" s="3">
        <v>10</v>
      </c>
      <c r="Y922" s="4">
        <v>44732</v>
      </c>
      <c r="AB922" s="3" t="str" cm="1">
        <f t="array" ref="AB922">_xlfn.IFS(AA922="N","No",  AA922 = "Y", "Yes", TRUE, PROPER(TRIM(AA922)))</f>
        <v/>
      </c>
      <c r="AC922" s="3">
        <v>2</v>
      </c>
      <c r="AD922" s="3" t="s">
        <v>46</v>
      </c>
      <c r="AE922">
        <f t="shared" si="59"/>
        <v>1</v>
      </c>
    </row>
    <row r="923" spans="1:31" ht="14.25" customHeight="1" x14ac:dyDescent="0.35">
      <c r="A923" s="3" t="s">
        <v>1749</v>
      </c>
      <c r="B923" s="3" t="s">
        <v>68</v>
      </c>
      <c r="C923" s="3" t="s">
        <v>315</v>
      </c>
      <c r="D923" s="3">
        <v>25</v>
      </c>
      <c r="E923" s="3">
        <f t="shared" si="56"/>
        <v>25</v>
      </c>
      <c r="F923" s="3">
        <v>1999</v>
      </c>
      <c r="G923" s="3" t="s">
        <v>50</v>
      </c>
      <c r="H923" s="12" cm="1">
        <f t="array" ref="H923">_xlfn.IFS(TRIM(G923)="SIXTY THOUSAND",60000,TRIM(G923)="NAN",AVERAGEIFS(G:G,J:J,J923,L:L,L923),TRUE,G923)</f>
        <v>60000</v>
      </c>
      <c r="I923" s="3" t="s">
        <v>27</v>
      </c>
      <c r="J923" s="3" t="s">
        <v>70</v>
      </c>
      <c r="K923" s="3" t="str">
        <f t="shared" si="57"/>
        <v>Marketing</v>
      </c>
      <c r="L923" s="3" t="s">
        <v>94</v>
      </c>
      <c r="M923" s="4">
        <v>43195</v>
      </c>
      <c r="N923" s="4">
        <v>43195</v>
      </c>
      <c r="O923" s="3" t="s">
        <v>30</v>
      </c>
      <c r="P923" s="3">
        <v>62</v>
      </c>
      <c r="Q923" t="str">
        <f>LOWER(_xlfn.CONCAT(B923,".",C923,"@saltcorp.com"))</f>
        <v>jack.gutierrez@saltcorp.com</v>
      </c>
      <c r="S923" s="3" t="s">
        <v>72</v>
      </c>
      <c r="T923" s="3" t="str">
        <f t="shared" si="58"/>
        <v>Part-Time</v>
      </c>
      <c r="V923" s="3">
        <v>5</v>
      </c>
      <c r="X923" s="3">
        <v>14</v>
      </c>
      <c r="Y923" s="4">
        <v>44990</v>
      </c>
      <c r="AB923" s="3" t="str" cm="1">
        <f t="array" ref="AB923">_xlfn.IFS(AA923="N","No",  AA923 = "Y", "Yes", TRUE, PROPER(TRIM(AA923)))</f>
        <v/>
      </c>
      <c r="AC923" s="3">
        <v>3</v>
      </c>
      <c r="AD923" s="3" t="s">
        <v>46</v>
      </c>
      <c r="AE923">
        <f t="shared" si="59"/>
        <v>1</v>
      </c>
    </row>
    <row r="924" spans="1:31" ht="14.25" customHeight="1" x14ac:dyDescent="0.35">
      <c r="A924" s="3" t="s">
        <v>1750</v>
      </c>
      <c r="B924" s="3" t="s">
        <v>36</v>
      </c>
      <c r="C924" s="3" t="s">
        <v>240</v>
      </c>
      <c r="D924" s="3">
        <v>50</v>
      </c>
      <c r="E924" s="3">
        <f t="shared" si="56"/>
        <v>50</v>
      </c>
      <c r="F924" s="3">
        <v>1974</v>
      </c>
      <c r="G924" s="3">
        <v>70000</v>
      </c>
      <c r="H924" s="12" cm="1">
        <f t="array" ref="H924">_xlfn.IFS(TRIM(G924)="SIXTY THOUSAND",60000,TRIM(G924)="NAN",AVERAGEIFS(G:G,J:J,J924,L:L,L924),TRUE,G924)</f>
        <v>70000</v>
      </c>
      <c r="I924" s="3" t="s">
        <v>27</v>
      </c>
      <c r="J924" s="3" t="s">
        <v>28</v>
      </c>
      <c r="K924" s="3" t="str">
        <f t="shared" si="57"/>
        <v>HR</v>
      </c>
      <c r="L924" s="3" t="s">
        <v>89</v>
      </c>
      <c r="M924" s="4">
        <v>43845</v>
      </c>
      <c r="N924" s="4">
        <v>43845</v>
      </c>
      <c r="O924" s="3" t="s">
        <v>41</v>
      </c>
      <c r="P924" s="3">
        <v>42</v>
      </c>
      <c r="Q924" s="3" t="s">
        <v>241</v>
      </c>
      <c r="R924" s="3" t="s">
        <v>61</v>
      </c>
      <c r="S924" s="3" t="s">
        <v>72</v>
      </c>
      <c r="T924" s="3" t="str">
        <f t="shared" si="58"/>
        <v>Part-Time</v>
      </c>
      <c r="V924" s="3">
        <v>8</v>
      </c>
      <c r="W924" s="3" t="s">
        <v>79</v>
      </c>
      <c r="Y924" s="4">
        <v>44732</v>
      </c>
      <c r="AA924" s="3" t="s">
        <v>34</v>
      </c>
      <c r="AB924" s="3" t="str" cm="1">
        <f t="array" ref="AB924">_xlfn.IFS(AA924="N","No",  AA924 = "Y", "Yes", TRUE, PROPER(TRIM(AA924)))</f>
        <v>No</v>
      </c>
      <c r="AC924" s="3">
        <v>3</v>
      </c>
      <c r="AD924" s="3" t="s">
        <v>46</v>
      </c>
      <c r="AE924">
        <f t="shared" si="59"/>
        <v>1</v>
      </c>
    </row>
    <row r="925" spans="1:31" ht="14.25" customHeight="1" x14ac:dyDescent="0.35">
      <c r="A925" s="3" t="s">
        <v>1751</v>
      </c>
      <c r="B925" s="3" t="s">
        <v>140</v>
      </c>
      <c r="C925" s="3" t="s">
        <v>196</v>
      </c>
      <c r="E925" s="3">
        <f t="shared" si="56"/>
        <v>56</v>
      </c>
      <c r="F925" s="3">
        <v>1968</v>
      </c>
      <c r="G925" s="3">
        <v>60900</v>
      </c>
      <c r="H925" s="12" cm="1">
        <f t="array" ref="H925">_xlfn.IFS(TRIM(G925)="SIXTY THOUSAND",60000,TRIM(G925)="NAN",AVERAGEIFS(G:G,J:J,J925,L:L,L925),TRUE,G925)</f>
        <v>60900</v>
      </c>
      <c r="I925" s="3" t="s">
        <v>38</v>
      </c>
      <c r="J925" s="3" t="s">
        <v>28</v>
      </c>
      <c r="K925" s="3" t="str">
        <f t="shared" si="57"/>
        <v>HR</v>
      </c>
      <c r="L925" s="3" t="s">
        <v>40</v>
      </c>
      <c r="M925" s="4">
        <v>43800</v>
      </c>
      <c r="N925" s="4">
        <v>43800</v>
      </c>
      <c r="O925" s="3" t="s">
        <v>52</v>
      </c>
      <c r="P925" s="3">
        <v>74</v>
      </c>
      <c r="Q925" s="3" t="s">
        <v>197</v>
      </c>
      <c r="R925" s="3" t="s">
        <v>61</v>
      </c>
      <c r="S925" s="3" t="s">
        <v>112</v>
      </c>
      <c r="T925" s="3" t="str">
        <f t="shared" si="58"/>
        <v>Full-Time</v>
      </c>
      <c r="V925" s="3">
        <v>3</v>
      </c>
      <c r="W925" s="3" t="s">
        <v>79</v>
      </c>
      <c r="Y925" s="4">
        <v>44470</v>
      </c>
      <c r="AA925" s="3" t="s">
        <v>46</v>
      </c>
      <c r="AB925" s="3" t="str" cm="1">
        <f t="array" ref="AB925">_xlfn.IFS(AA925="N","No",  AA925 = "Y", "Yes", TRUE, PROPER(TRIM(AA925)))</f>
        <v>Yes</v>
      </c>
      <c r="AC925" s="3">
        <v>4</v>
      </c>
      <c r="AD925" s="3" t="s">
        <v>34</v>
      </c>
      <c r="AE925">
        <f t="shared" si="59"/>
        <v>0</v>
      </c>
    </row>
    <row r="926" spans="1:31" ht="14.25" customHeight="1" x14ac:dyDescent="0.35">
      <c r="A926" s="3" t="s">
        <v>1752</v>
      </c>
      <c r="B926" s="3" t="s">
        <v>68</v>
      </c>
      <c r="C926" s="3" t="s">
        <v>179</v>
      </c>
      <c r="E926" s="3">
        <f t="shared" si="56"/>
        <v>27</v>
      </c>
      <c r="F926" s="3">
        <v>1997</v>
      </c>
      <c r="G926" s="3">
        <v>65000</v>
      </c>
      <c r="H926" s="12" cm="1">
        <f t="array" ref="H926">_xlfn.IFS(TRIM(G926)="SIXTY THOUSAND",60000,TRIM(G926)="NAN",AVERAGEIFS(G:G,J:J,J926,L:L,L926),TRUE,G926)</f>
        <v>65000</v>
      </c>
      <c r="I926" s="3" t="s">
        <v>38</v>
      </c>
      <c r="J926" s="3" t="s">
        <v>122</v>
      </c>
      <c r="K926" s="3" t="str">
        <f t="shared" si="57"/>
        <v>IT</v>
      </c>
      <c r="L926" s="3" t="s">
        <v>94</v>
      </c>
      <c r="M926" s="4">
        <v>43800</v>
      </c>
      <c r="N926" s="4">
        <v>43800</v>
      </c>
      <c r="O926" s="3" t="s">
        <v>52</v>
      </c>
      <c r="P926" s="3">
        <v>71</v>
      </c>
      <c r="Q926" s="3" t="s">
        <v>1753</v>
      </c>
      <c r="R926" s="3" t="s">
        <v>54</v>
      </c>
      <c r="S926" s="3" t="s">
        <v>32</v>
      </c>
      <c r="T926" s="3" t="str">
        <f t="shared" si="58"/>
        <v>Contract</v>
      </c>
      <c r="V926" s="3">
        <v>3</v>
      </c>
      <c r="X926" s="3">
        <v>7</v>
      </c>
      <c r="AA926" s="3" t="s">
        <v>46</v>
      </c>
      <c r="AB926" s="3" t="str" cm="1">
        <f t="array" ref="AB926">_xlfn.IFS(AA926="N","No",  AA926 = "Y", "Yes", TRUE, PROPER(TRIM(AA926)))</f>
        <v>Yes</v>
      </c>
      <c r="AC926" s="3">
        <v>5</v>
      </c>
      <c r="AD926" s="3" t="s">
        <v>34</v>
      </c>
      <c r="AE926">
        <f t="shared" si="59"/>
        <v>0</v>
      </c>
    </row>
    <row r="927" spans="1:31" ht="14.25" customHeight="1" x14ac:dyDescent="0.35">
      <c r="A927" s="3" t="s">
        <v>1754</v>
      </c>
      <c r="B927" s="3" t="s">
        <v>140</v>
      </c>
      <c r="C927" s="3" t="s">
        <v>496</v>
      </c>
      <c r="D927" s="3">
        <v>25</v>
      </c>
      <c r="E927" s="3">
        <f t="shared" si="56"/>
        <v>25</v>
      </c>
      <c r="F927" s="3">
        <v>1999</v>
      </c>
      <c r="G927" s="3">
        <v>61500</v>
      </c>
      <c r="H927" s="12" cm="1">
        <f t="array" ref="H927">_xlfn.IFS(TRIM(G927)="SIXTY THOUSAND",60000,TRIM(G927)="NAN",AVERAGEIFS(G:G,J:J,J927,L:L,L927),TRUE,G927)</f>
        <v>61500</v>
      </c>
      <c r="I927" s="3" t="s">
        <v>27</v>
      </c>
      <c r="J927" s="3" t="s">
        <v>145</v>
      </c>
      <c r="K927" s="3" t="str">
        <f t="shared" si="57"/>
        <v>Sales</v>
      </c>
      <c r="L927" s="3" t="s">
        <v>29</v>
      </c>
      <c r="M927" s="4">
        <v>43800</v>
      </c>
      <c r="N927" s="4">
        <v>43800</v>
      </c>
      <c r="O927" s="3" t="s">
        <v>59</v>
      </c>
      <c r="P927" s="3">
        <v>99</v>
      </c>
      <c r="Q927" s="3" t="s">
        <v>1755</v>
      </c>
      <c r="R927" s="3" t="s">
        <v>54</v>
      </c>
      <c r="S927" s="3" t="s">
        <v>44</v>
      </c>
      <c r="T927" s="3" t="str">
        <f t="shared" si="58"/>
        <v>Full-Time</v>
      </c>
      <c r="V927" s="3">
        <v>4</v>
      </c>
      <c r="W927" s="3" t="s">
        <v>79</v>
      </c>
      <c r="AA927" s="3" t="s">
        <v>46</v>
      </c>
      <c r="AB927" s="3" t="str" cm="1">
        <f t="array" ref="AB927">_xlfn.IFS(AA927="N","No",  AA927 = "Y", "Yes", TRUE, PROPER(TRIM(AA927)))</f>
        <v>Yes</v>
      </c>
      <c r="AC927" s="3">
        <v>2</v>
      </c>
      <c r="AD927" s="3" t="s">
        <v>34</v>
      </c>
      <c r="AE927">
        <f t="shared" si="59"/>
        <v>0</v>
      </c>
    </row>
    <row r="928" spans="1:31" ht="14.25" customHeight="1" x14ac:dyDescent="0.35">
      <c r="A928" s="3" t="s">
        <v>1756</v>
      </c>
      <c r="B928" s="3" t="s">
        <v>114</v>
      </c>
      <c r="C928" s="3" t="s">
        <v>26</v>
      </c>
      <c r="D928" s="3">
        <v>35</v>
      </c>
      <c r="E928" s="3">
        <f t="shared" si="56"/>
        <v>35</v>
      </c>
      <c r="F928" s="3">
        <v>1989</v>
      </c>
      <c r="G928" s="3">
        <v>65000</v>
      </c>
      <c r="H928" s="12" cm="1">
        <f t="array" ref="H928">_xlfn.IFS(TRIM(G928)="SIXTY THOUSAND",60000,TRIM(G928)="NAN",AVERAGEIFS(G:G,J:J,J928,L:L,L928),TRUE,G928)</f>
        <v>65000</v>
      </c>
      <c r="I928" s="3" t="s">
        <v>27</v>
      </c>
      <c r="J928" s="3" t="s">
        <v>64</v>
      </c>
      <c r="K928" s="3" t="str">
        <f t="shared" si="57"/>
        <v>Finance</v>
      </c>
      <c r="L928" s="3" t="s">
        <v>89</v>
      </c>
      <c r="M928" s="4">
        <v>43549</v>
      </c>
      <c r="N928" s="4">
        <v>43549</v>
      </c>
      <c r="O928" s="3" t="s">
        <v>30</v>
      </c>
      <c r="P928" s="3">
        <v>69</v>
      </c>
      <c r="Q928" t="str">
        <f>LOWER(_xlfn.CONCAT(B928,".",C928,"@saltcorp.com"))</f>
        <v>bob.hansen@saltcorp.com</v>
      </c>
      <c r="S928" s="3" t="s">
        <v>100</v>
      </c>
      <c r="T928" s="3" t="str">
        <f t="shared" si="58"/>
        <v>Part-Time</v>
      </c>
      <c r="V928" s="3">
        <v>2</v>
      </c>
      <c r="X928" s="3">
        <v>6</v>
      </c>
      <c r="AA928" s="3" t="s">
        <v>46</v>
      </c>
      <c r="AB928" s="3" t="str" cm="1">
        <f t="array" ref="AB928">_xlfn.IFS(AA928="N","No",  AA928 = "Y", "Yes", TRUE, PROPER(TRIM(AA928)))</f>
        <v>Yes</v>
      </c>
      <c r="AC928" s="3">
        <v>4</v>
      </c>
      <c r="AD928" s="3" t="s">
        <v>46</v>
      </c>
      <c r="AE928">
        <f t="shared" si="59"/>
        <v>1</v>
      </c>
    </row>
    <row r="929" spans="1:31" ht="14.25" customHeight="1" x14ac:dyDescent="0.35">
      <c r="A929" s="3" t="s">
        <v>1757</v>
      </c>
      <c r="B929" s="3" t="s">
        <v>48</v>
      </c>
      <c r="C929" s="3" t="s">
        <v>132</v>
      </c>
      <c r="D929" s="3">
        <v>40</v>
      </c>
      <c r="E929" s="3">
        <f t="shared" si="56"/>
        <v>40</v>
      </c>
      <c r="F929" s="3">
        <v>1984</v>
      </c>
      <c r="G929" s="3" t="s">
        <v>50</v>
      </c>
      <c r="H929" s="12" cm="1">
        <f t="array" ref="H929">_xlfn.IFS(TRIM(G929)="SIXTY THOUSAND",60000,TRIM(G929)="NAN",AVERAGEIFS(G:G,J:J,J929,L:L,L929),TRUE,G929)</f>
        <v>60000</v>
      </c>
      <c r="I929" s="3" t="s">
        <v>27</v>
      </c>
      <c r="J929" s="3" t="s">
        <v>64</v>
      </c>
      <c r="K929" s="3" t="str">
        <f t="shared" si="57"/>
        <v>Finance</v>
      </c>
      <c r="L929" s="3" t="s">
        <v>77</v>
      </c>
      <c r="M929" s="4">
        <v>43881</v>
      </c>
      <c r="N929" s="4">
        <v>43881</v>
      </c>
      <c r="O929" s="3" t="s">
        <v>41</v>
      </c>
      <c r="P929" s="3">
        <v>45</v>
      </c>
      <c r="Q929" t="str">
        <f>LOWER(_xlfn.CONCAT(B929,".",C929,"@saltcorp.com"))</f>
        <v>hannah.dixon@saltcorp.com</v>
      </c>
      <c r="R929" s="3" t="s">
        <v>54</v>
      </c>
      <c r="S929" s="3" t="s">
        <v>72</v>
      </c>
      <c r="T929" s="3" t="str">
        <f t="shared" si="58"/>
        <v>Part-Time</v>
      </c>
      <c r="V929" s="3">
        <v>5</v>
      </c>
      <c r="AA929" s="3" t="s">
        <v>73</v>
      </c>
      <c r="AB929" s="3" t="str" cm="1">
        <f t="array" ref="AB929">_xlfn.IFS(AA929="N","No",  AA929 = "Y", "Yes", TRUE, PROPER(TRIM(AA929)))</f>
        <v>No</v>
      </c>
      <c r="AC929" s="3">
        <v>5</v>
      </c>
      <c r="AD929" s="3" t="s">
        <v>34</v>
      </c>
      <c r="AE929">
        <f t="shared" si="59"/>
        <v>0</v>
      </c>
    </row>
    <row r="930" spans="1:31" ht="14.25" customHeight="1" x14ac:dyDescent="0.35">
      <c r="A930" s="3" t="s">
        <v>1758</v>
      </c>
      <c r="B930" s="3" t="s">
        <v>48</v>
      </c>
      <c r="C930" s="3" t="s">
        <v>338</v>
      </c>
      <c r="D930" s="3">
        <v>40</v>
      </c>
      <c r="E930" s="3">
        <f t="shared" si="56"/>
        <v>40</v>
      </c>
      <c r="F930" s="3">
        <v>1984</v>
      </c>
      <c r="G930" s="3">
        <v>55000</v>
      </c>
      <c r="H930" s="12" cm="1">
        <f t="array" ref="H930">_xlfn.IFS(TRIM(G930)="SIXTY THOUSAND",60000,TRIM(G930)="NAN",AVERAGEIFS(G:G,J:J,J930,L:L,L930),TRUE,G930)</f>
        <v>55000</v>
      </c>
      <c r="I930" s="3" t="s">
        <v>38</v>
      </c>
      <c r="J930" s="3" t="s">
        <v>122</v>
      </c>
      <c r="K930" s="3" t="str">
        <f t="shared" si="57"/>
        <v>IT</v>
      </c>
      <c r="L930" s="3" t="s">
        <v>94</v>
      </c>
      <c r="M930" s="4">
        <v>43195</v>
      </c>
      <c r="N930" s="4">
        <v>43195</v>
      </c>
      <c r="O930" s="3" t="s">
        <v>59</v>
      </c>
      <c r="P930" s="3">
        <v>96</v>
      </c>
      <c r="Q930" t="str">
        <f>LOWER(_xlfn.CONCAT(B930,".",C930,"@saltcorp.com"))</f>
        <v>hannah.aguilar@saltcorp.com</v>
      </c>
      <c r="S930" s="3" t="s">
        <v>112</v>
      </c>
      <c r="T930" s="3" t="str">
        <f t="shared" si="58"/>
        <v>Full-Time</v>
      </c>
      <c r="V930" s="3">
        <v>4</v>
      </c>
      <c r="Z930" s="3">
        <v>56</v>
      </c>
      <c r="AB930" s="3" t="str" cm="1">
        <f t="array" ref="AB930">_xlfn.IFS(AA930="N","No",  AA930 = "Y", "Yes", TRUE, PROPER(TRIM(AA930)))</f>
        <v/>
      </c>
      <c r="AC930" s="3">
        <v>1</v>
      </c>
      <c r="AD930" s="3" t="s">
        <v>46</v>
      </c>
      <c r="AE930">
        <f t="shared" si="59"/>
        <v>1</v>
      </c>
    </row>
    <row r="931" spans="1:31" ht="14.25" customHeight="1" x14ac:dyDescent="0.35">
      <c r="A931" s="3" t="s">
        <v>1759</v>
      </c>
      <c r="B931" s="3" t="s">
        <v>25</v>
      </c>
      <c r="C931" s="3" t="s">
        <v>496</v>
      </c>
      <c r="E931" s="3">
        <f t="shared" si="56"/>
        <v>28</v>
      </c>
      <c r="F931" s="3">
        <v>1996</v>
      </c>
      <c r="G931" s="3" t="s">
        <v>50</v>
      </c>
      <c r="H931" s="12" cm="1">
        <f t="array" ref="H931">_xlfn.IFS(TRIM(G931)="SIXTY THOUSAND",60000,TRIM(G931)="NAN",AVERAGEIFS(G:G,J:J,J931,L:L,L931),TRUE,G931)</f>
        <v>60000</v>
      </c>
      <c r="I931" s="3" t="s">
        <v>38</v>
      </c>
      <c r="J931" s="3" t="s">
        <v>58</v>
      </c>
      <c r="K931" s="3" t="str">
        <f t="shared" si="57"/>
        <v>IT</v>
      </c>
      <c r="L931" s="3" t="s">
        <v>77</v>
      </c>
      <c r="M931" s="4">
        <v>43800</v>
      </c>
      <c r="N931" s="4">
        <v>43800</v>
      </c>
      <c r="O931" s="3" t="s">
        <v>52</v>
      </c>
      <c r="P931" s="3">
        <v>77</v>
      </c>
      <c r="Q931" t="str">
        <f>LOWER(_xlfn.CONCAT(B931,".",C931,"@saltcorp.com"))</f>
        <v>grace.ward@saltcorp.com</v>
      </c>
      <c r="R931" s="3" t="s">
        <v>43</v>
      </c>
      <c r="S931" s="3" t="s">
        <v>32</v>
      </c>
      <c r="T931" s="3" t="str">
        <f t="shared" si="58"/>
        <v>Contract</v>
      </c>
      <c r="V931" s="3">
        <v>7</v>
      </c>
      <c r="W931" s="3">
        <v>5</v>
      </c>
      <c r="X931" s="3">
        <v>1</v>
      </c>
      <c r="AA931" s="3" t="s">
        <v>34</v>
      </c>
      <c r="AB931" s="3" t="str" cm="1">
        <f t="array" ref="AB931">_xlfn.IFS(AA931="N","No",  AA931 = "Y", "Yes", TRUE, PROPER(TRIM(AA931)))</f>
        <v>No</v>
      </c>
      <c r="AC931" s="3">
        <v>2</v>
      </c>
      <c r="AD931" s="3" t="s">
        <v>34</v>
      </c>
      <c r="AE931">
        <f t="shared" si="59"/>
        <v>0</v>
      </c>
    </row>
    <row r="932" spans="1:31" ht="14.25" customHeight="1" x14ac:dyDescent="0.35">
      <c r="A932" s="3" t="s">
        <v>1760</v>
      </c>
      <c r="B932" s="3" t="s">
        <v>48</v>
      </c>
      <c r="C932" s="3" t="s">
        <v>154</v>
      </c>
      <c r="D932" s="3">
        <v>40</v>
      </c>
      <c r="E932" s="3">
        <f t="shared" si="56"/>
        <v>40</v>
      </c>
      <c r="F932" s="3">
        <v>1984</v>
      </c>
      <c r="G932" s="3" t="s">
        <v>50</v>
      </c>
      <c r="H932" s="12" cm="1">
        <f t="array" ref="H932">_xlfn.IFS(TRIM(G932)="SIXTY THOUSAND",60000,TRIM(G932)="NAN",AVERAGEIFS(G:G,J:J,J932,L:L,L932),TRUE,G932)</f>
        <v>60000</v>
      </c>
      <c r="I932" s="3" t="s">
        <v>38</v>
      </c>
      <c r="J932" s="3" t="s">
        <v>93</v>
      </c>
      <c r="K932" s="3" t="str">
        <f t="shared" si="57"/>
        <v>Marketing</v>
      </c>
      <c r="L932" s="3" t="s">
        <v>89</v>
      </c>
      <c r="M932" s="4">
        <v>43845</v>
      </c>
      <c r="N932" s="4">
        <v>43845</v>
      </c>
      <c r="O932" s="3" t="s">
        <v>30</v>
      </c>
      <c r="P932" s="3">
        <v>61</v>
      </c>
      <c r="Q932" s="3" t="s">
        <v>1761</v>
      </c>
      <c r="R932" s="3" t="s">
        <v>54</v>
      </c>
      <c r="S932" s="3" t="s">
        <v>66</v>
      </c>
      <c r="T932" s="3" t="str">
        <f t="shared" si="58"/>
        <v>Contract</v>
      </c>
      <c r="V932" s="3">
        <v>7</v>
      </c>
      <c r="Y932" s="4">
        <v>45516</v>
      </c>
      <c r="AA932" s="3" t="s">
        <v>34</v>
      </c>
      <c r="AB932" s="3" t="str" cm="1">
        <f t="array" ref="AB932">_xlfn.IFS(AA932="N","No",  AA932 = "Y", "Yes", TRUE, PROPER(TRIM(AA932)))</f>
        <v>No</v>
      </c>
      <c r="AC932" s="3">
        <v>4</v>
      </c>
      <c r="AD932" s="3" t="s">
        <v>34</v>
      </c>
      <c r="AE932">
        <f t="shared" si="59"/>
        <v>0</v>
      </c>
    </row>
    <row r="933" spans="1:31" ht="14.25" customHeight="1" x14ac:dyDescent="0.35">
      <c r="A933" s="3" t="s">
        <v>1762</v>
      </c>
      <c r="B933" s="3" t="s">
        <v>75</v>
      </c>
      <c r="C933" s="3" t="s">
        <v>819</v>
      </c>
      <c r="D933" s="3">
        <v>25</v>
      </c>
      <c r="E933" s="3">
        <f t="shared" si="56"/>
        <v>25</v>
      </c>
      <c r="F933" s="3">
        <v>1999</v>
      </c>
      <c r="G933" s="3">
        <v>50000</v>
      </c>
      <c r="H933" s="12" cm="1">
        <f t="array" ref="H933">_xlfn.IFS(TRIM(G933)="SIXTY THOUSAND",60000,TRIM(G933)="NAN",AVERAGEIFS(G:G,J:J,J933,L:L,L933),TRUE,G933)</f>
        <v>50000</v>
      </c>
      <c r="I933" s="3" t="s">
        <v>38</v>
      </c>
      <c r="J933" s="3" t="s">
        <v>122</v>
      </c>
      <c r="K933" s="3" t="str">
        <f t="shared" si="57"/>
        <v>IT</v>
      </c>
      <c r="L933" s="3" t="s">
        <v>77</v>
      </c>
      <c r="M933" s="4">
        <v>43800</v>
      </c>
      <c r="N933" s="4">
        <v>43800</v>
      </c>
      <c r="O933" s="3" t="s">
        <v>41</v>
      </c>
      <c r="P933" s="3">
        <v>49</v>
      </c>
      <c r="Q933" t="str">
        <f>LOWER(_xlfn.CONCAT(B933,".",C933,"@saltcorp.com"))</f>
        <v>charlie.white@saltcorp.com</v>
      </c>
      <c r="R933" s="3" t="s">
        <v>43</v>
      </c>
      <c r="S933" s="3" t="s">
        <v>174</v>
      </c>
      <c r="T933" s="3" t="str">
        <f t="shared" si="58"/>
        <v>Full-Time</v>
      </c>
      <c r="V933" s="3">
        <v>4</v>
      </c>
      <c r="X933" s="3">
        <v>19</v>
      </c>
      <c r="AA933" s="3" t="s">
        <v>34</v>
      </c>
      <c r="AB933" s="3" t="str" cm="1">
        <f t="array" ref="AB933">_xlfn.IFS(AA933="N","No",  AA933 = "Y", "Yes", TRUE, PROPER(TRIM(AA933)))</f>
        <v>No</v>
      </c>
      <c r="AC933" s="3">
        <v>2</v>
      </c>
      <c r="AD933" s="3" t="s">
        <v>34</v>
      </c>
      <c r="AE933">
        <f t="shared" si="59"/>
        <v>0</v>
      </c>
    </row>
    <row r="934" spans="1:31" ht="14.25" customHeight="1" x14ac:dyDescent="0.35">
      <c r="A934" s="3" t="s">
        <v>1763</v>
      </c>
      <c r="B934" s="3" t="s">
        <v>107</v>
      </c>
      <c r="C934" s="3" t="s">
        <v>777</v>
      </c>
      <c r="D934" s="3">
        <v>25</v>
      </c>
      <c r="E934" s="3">
        <f t="shared" si="56"/>
        <v>25</v>
      </c>
      <c r="F934" s="3">
        <v>1999</v>
      </c>
      <c r="G934" s="3">
        <v>70000</v>
      </c>
      <c r="H934" s="12" cm="1">
        <f t="array" ref="H934">_xlfn.IFS(TRIM(G934)="SIXTY THOUSAND",60000,TRIM(G934)="NAN",AVERAGEIFS(G:G,J:J,J934,L:L,L934),TRUE,G934)</f>
        <v>70000</v>
      </c>
      <c r="I934" s="3" t="s">
        <v>27</v>
      </c>
      <c r="J934" s="3" t="s">
        <v>58</v>
      </c>
      <c r="K934" s="3" t="str">
        <f t="shared" si="57"/>
        <v>IT</v>
      </c>
      <c r="L934" s="3" t="s">
        <v>94</v>
      </c>
      <c r="M934" s="4">
        <v>43881</v>
      </c>
      <c r="N934" s="4">
        <v>43881</v>
      </c>
      <c r="O934" s="3" t="s">
        <v>78</v>
      </c>
      <c r="P934" s="3">
        <v>81</v>
      </c>
      <c r="Q934" s="3" t="s">
        <v>778</v>
      </c>
      <c r="R934" s="3" t="s">
        <v>104</v>
      </c>
      <c r="S934" s="3" t="s">
        <v>66</v>
      </c>
      <c r="T934" s="3" t="str">
        <f t="shared" si="58"/>
        <v>Contract</v>
      </c>
      <c r="V934" s="3">
        <v>3</v>
      </c>
      <c r="X934" s="3">
        <v>4</v>
      </c>
      <c r="AA934" s="3" t="s">
        <v>46</v>
      </c>
      <c r="AB934" s="3" t="str" cm="1">
        <f t="array" ref="AB934">_xlfn.IFS(AA934="N","No",  AA934 = "Y", "Yes", TRUE, PROPER(TRIM(AA934)))</f>
        <v>Yes</v>
      </c>
      <c r="AC934" s="3">
        <v>3</v>
      </c>
      <c r="AD934" s="3" t="s">
        <v>34</v>
      </c>
      <c r="AE934">
        <f t="shared" si="59"/>
        <v>0</v>
      </c>
    </row>
    <row r="935" spans="1:31" ht="14.25" customHeight="1" x14ac:dyDescent="0.35">
      <c r="A935" s="3" t="s">
        <v>1764</v>
      </c>
      <c r="B935" s="3" t="s">
        <v>131</v>
      </c>
      <c r="C935" s="3" t="s">
        <v>203</v>
      </c>
      <c r="E935" s="3">
        <f t="shared" si="56"/>
        <v>32</v>
      </c>
      <c r="F935" s="3">
        <v>1992</v>
      </c>
      <c r="G935" s="3">
        <v>65000</v>
      </c>
      <c r="H935" s="12" cm="1">
        <f t="array" ref="H935">_xlfn.IFS(TRIM(G935)="SIXTY THOUSAND",60000,TRIM(G935)="NAN",AVERAGEIFS(G:G,J:J,J935,L:L,L935),TRUE,G935)</f>
        <v>65000</v>
      </c>
      <c r="I935" s="3" t="s">
        <v>27</v>
      </c>
      <c r="J935" s="3" t="s">
        <v>39</v>
      </c>
      <c r="K935" s="3" t="str">
        <f t="shared" si="57"/>
        <v>Finance</v>
      </c>
      <c r="L935" s="3" t="s">
        <v>89</v>
      </c>
      <c r="M935" s="4">
        <v>43881</v>
      </c>
      <c r="N935" s="4">
        <v>43881</v>
      </c>
      <c r="O935" s="3" t="s">
        <v>30</v>
      </c>
      <c r="P935" s="3">
        <v>64</v>
      </c>
      <c r="Q935" t="str">
        <f>LOWER(_xlfn.CONCAT(B935,".",C935,"@saltcorp.com"))</f>
        <v>alice.le@saltcorp.com</v>
      </c>
      <c r="S935" s="3" t="s">
        <v>72</v>
      </c>
      <c r="T935" s="3" t="str">
        <f t="shared" si="58"/>
        <v>Part-Time</v>
      </c>
      <c r="V935" s="3">
        <v>3</v>
      </c>
      <c r="W935" s="3">
        <v>14</v>
      </c>
      <c r="X935" s="3">
        <v>4</v>
      </c>
      <c r="AB935" s="3" t="str" cm="1">
        <f t="array" ref="AB935">_xlfn.IFS(AA935="N","No",  AA935 = "Y", "Yes", TRUE, PROPER(TRIM(AA935)))</f>
        <v/>
      </c>
      <c r="AC935" s="3">
        <v>4</v>
      </c>
      <c r="AD935" s="3" t="s">
        <v>46</v>
      </c>
      <c r="AE935">
        <f t="shared" si="59"/>
        <v>1</v>
      </c>
    </row>
    <row r="936" spans="1:31" ht="14.25" customHeight="1" x14ac:dyDescent="0.35">
      <c r="A936" s="3" t="s">
        <v>1765</v>
      </c>
      <c r="B936" s="3" t="s">
        <v>25</v>
      </c>
      <c r="C936" s="3" t="s">
        <v>289</v>
      </c>
      <c r="E936" s="3">
        <f t="shared" si="56"/>
        <v>51</v>
      </c>
      <c r="F936" s="3">
        <v>1973</v>
      </c>
      <c r="G936" s="3">
        <v>55000</v>
      </c>
      <c r="H936" s="12" cm="1">
        <f t="array" ref="H936">_xlfn.IFS(TRIM(G936)="SIXTY THOUSAND",60000,TRIM(G936)="NAN",AVERAGEIFS(G:G,J:J,J936,L:L,L936),TRUE,G936)</f>
        <v>55000</v>
      </c>
      <c r="I936" s="3" t="s">
        <v>38</v>
      </c>
      <c r="J936" s="3" t="s">
        <v>70</v>
      </c>
      <c r="K936" s="3" t="str">
        <f t="shared" si="57"/>
        <v>Marketing</v>
      </c>
      <c r="L936" s="3" t="s">
        <v>29</v>
      </c>
      <c r="M936" s="4">
        <v>43195</v>
      </c>
      <c r="N936" s="4">
        <v>43195</v>
      </c>
      <c r="O936" s="3" t="s">
        <v>41</v>
      </c>
      <c r="P936" s="3">
        <v>54</v>
      </c>
      <c r="Q936" s="3" t="s">
        <v>290</v>
      </c>
      <c r="R936" s="3" t="s">
        <v>104</v>
      </c>
      <c r="S936" s="3" t="s">
        <v>100</v>
      </c>
      <c r="T936" s="3" t="str">
        <f t="shared" si="58"/>
        <v>Part-Time</v>
      </c>
      <c r="U936" s="3" t="s">
        <v>415</v>
      </c>
      <c r="V936" s="3">
        <v>8</v>
      </c>
      <c r="Z936" s="3">
        <v>67</v>
      </c>
      <c r="AA936" s="3" t="s">
        <v>34</v>
      </c>
      <c r="AB936" s="3" t="str" cm="1">
        <f t="array" ref="AB936">_xlfn.IFS(AA936="N","No",  AA936 = "Y", "Yes", TRUE, PROPER(TRIM(AA936)))</f>
        <v>No</v>
      </c>
      <c r="AC936" s="3">
        <v>3</v>
      </c>
      <c r="AD936" s="3" t="s">
        <v>34</v>
      </c>
      <c r="AE936">
        <f t="shared" si="59"/>
        <v>0</v>
      </c>
    </row>
    <row r="937" spans="1:31" ht="14.25" customHeight="1" x14ac:dyDescent="0.35">
      <c r="A937" s="3" t="s">
        <v>1766</v>
      </c>
      <c r="B937" s="3" t="s">
        <v>131</v>
      </c>
      <c r="C937" s="3" t="s">
        <v>367</v>
      </c>
      <c r="D937" s="3">
        <v>50</v>
      </c>
      <c r="E937" s="3">
        <f t="shared" si="56"/>
        <v>50</v>
      </c>
      <c r="F937" s="3">
        <v>1974</v>
      </c>
      <c r="G937" s="3">
        <v>65000</v>
      </c>
      <c r="H937" s="12" cm="1">
        <f t="array" ref="H937">_xlfn.IFS(TRIM(G937)="SIXTY THOUSAND",60000,TRIM(G937)="NAN",AVERAGEIFS(G:G,J:J,J937,L:L,L937),TRUE,G937)</f>
        <v>65000</v>
      </c>
      <c r="I937" s="3" t="s">
        <v>38</v>
      </c>
      <c r="J937" s="3" t="s">
        <v>122</v>
      </c>
      <c r="K937" s="3" t="str">
        <f t="shared" si="57"/>
        <v>IT</v>
      </c>
      <c r="L937" s="3" t="s">
        <v>94</v>
      </c>
      <c r="M937" s="4">
        <v>43549</v>
      </c>
      <c r="N937" s="4">
        <v>43549</v>
      </c>
      <c r="O937" s="3" t="s">
        <v>59</v>
      </c>
      <c r="P937" s="3">
        <v>94</v>
      </c>
      <c r="Q937" s="3" t="s">
        <v>1767</v>
      </c>
      <c r="R937" s="3" t="s">
        <v>54</v>
      </c>
      <c r="S937" s="3" t="s">
        <v>100</v>
      </c>
      <c r="T937" s="3" t="str">
        <f t="shared" si="58"/>
        <v>Part-Time</v>
      </c>
      <c r="V937" s="3">
        <v>1</v>
      </c>
      <c r="AA937" s="3" t="s">
        <v>34</v>
      </c>
      <c r="AB937" s="3" t="str" cm="1">
        <f t="array" ref="AB937">_xlfn.IFS(AA937="N","No",  AA937 = "Y", "Yes", TRUE, PROPER(TRIM(AA937)))</f>
        <v>No</v>
      </c>
      <c r="AC937" s="3">
        <v>2</v>
      </c>
      <c r="AD937" s="3" t="s">
        <v>34</v>
      </c>
      <c r="AE937">
        <f t="shared" si="59"/>
        <v>0</v>
      </c>
    </row>
    <row r="938" spans="1:31" ht="14.25" customHeight="1" x14ac:dyDescent="0.35">
      <c r="A938" s="3" t="s">
        <v>1768</v>
      </c>
      <c r="B938" s="3" t="s">
        <v>140</v>
      </c>
      <c r="C938" s="3" t="s">
        <v>137</v>
      </c>
      <c r="E938" s="3">
        <f t="shared" si="56"/>
        <v>44</v>
      </c>
      <c r="F938" s="3">
        <v>1980</v>
      </c>
      <c r="G938" s="3">
        <v>60100</v>
      </c>
      <c r="H938" s="12" cm="1">
        <f t="array" ref="H938">_xlfn.IFS(TRIM(G938)="SIXTY THOUSAND",60000,TRIM(G938)="NAN",AVERAGEIFS(G:G,J:J,J938,L:L,L938),TRUE,G938)</f>
        <v>60100</v>
      </c>
      <c r="I938" s="3" t="s">
        <v>38</v>
      </c>
      <c r="J938" s="3" t="s">
        <v>122</v>
      </c>
      <c r="K938" s="3" t="str">
        <f t="shared" si="57"/>
        <v>IT</v>
      </c>
      <c r="L938" s="3" t="s">
        <v>40</v>
      </c>
      <c r="M938" s="4">
        <v>43195</v>
      </c>
      <c r="N938" s="4">
        <v>43195</v>
      </c>
      <c r="O938" s="3" t="s">
        <v>78</v>
      </c>
      <c r="P938" s="3">
        <v>81</v>
      </c>
      <c r="Q938" s="3" t="s">
        <v>1769</v>
      </c>
      <c r="R938" s="3" t="s">
        <v>43</v>
      </c>
      <c r="S938" s="3" t="s">
        <v>32</v>
      </c>
      <c r="T938" s="3" t="str">
        <f t="shared" si="58"/>
        <v>Contract</v>
      </c>
      <c r="V938" s="3">
        <v>3</v>
      </c>
      <c r="W938" s="3" t="s">
        <v>79</v>
      </c>
      <c r="Z938" s="3">
        <v>56</v>
      </c>
      <c r="AA938" s="3" t="s">
        <v>169</v>
      </c>
      <c r="AB938" s="3" t="str" cm="1">
        <f t="array" ref="AB938">_xlfn.IFS(AA938="N","No",  AA938 = "Y", "Yes", TRUE, PROPER(TRIM(AA938)))</f>
        <v>Yes</v>
      </c>
      <c r="AC938" s="3">
        <v>1</v>
      </c>
      <c r="AD938" s="3" t="s">
        <v>46</v>
      </c>
      <c r="AE938">
        <f t="shared" si="59"/>
        <v>1</v>
      </c>
    </row>
    <row r="939" spans="1:31" ht="14.25" customHeight="1" x14ac:dyDescent="0.35">
      <c r="A939" s="3" t="s">
        <v>1770</v>
      </c>
      <c r="B939" s="3" t="s">
        <v>131</v>
      </c>
      <c r="C939" s="3" t="s">
        <v>219</v>
      </c>
      <c r="D939" s="3">
        <v>35</v>
      </c>
      <c r="E939" s="3">
        <f t="shared" si="56"/>
        <v>35</v>
      </c>
      <c r="F939" s="3">
        <v>1989</v>
      </c>
      <c r="G939" s="3">
        <v>65000</v>
      </c>
      <c r="H939" s="12" cm="1">
        <f t="array" ref="H939">_xlfn.IFS(TRIM(G939)="SIXTY THOUSAND",60000,TRIM(G939)="NAN",AVERAGEIFS(G:G,J:J,J939,L:L,L939),TRUE,G939)</f>
        <v>65000</v>
      </c>
      <c r="I939" s="3" t="s">
        <v>38</v>
      </c>
      <c r="J939" s="3" t="s">
        <v>70</v>
      </c>
      <c r="K939" s="3" t="str">
        <f t="shared" si="57"/>
        <v>Marketing</v>
      </c>
      <c r="L939" s="3" t="s">
        <v>94</v>
      </c>
      <c r="M939" s="4">
        <v>43800</v>
      </c>
      <c r="N939" s="4">
        <v>43800</v>
      </c>
      <c r="O939" s="3" t="s">
        <v>41</v>
      </c>
      <c r="P939" s="3">
        <v>57</v>
      </c>
      <c r="Q939" s="3" t="s">
        <v>1771</v>
      </c>
      <c r="R939" s="3" t="s">
        <v>54</v>
      </c>
      <c r="S939" s="3" t="s">
        <v>32</v>
      </c>
      <c r="T939" s="3" t="str">
        <f t="shared" si="58"/>
        <v>Contract</v>
      </c>
      <c r="U939" s="3" t="s">
        <v>603</v>
      </c>
      <c r="V939" s="3">
        <v>7</v>
      </c>
      <c r="W939" s="3">
        <v>15</v>
      </c>
      <c r="AA939" s="3" t="s">
        <v>34</v>
      </c>
      <c r="AB939" s="3" t="str" cm="1">
        <f t="array" ref="AB939">_xlfn.IFS(AA939="N","No",  AA939 = "Y", "Yes", TRUE, PROPER(TRIM(AA939)))</f>
        <v>No</v>
      </c>
      <c r="AC939" s="3">
        <v>4</v>
      </c>
      <c r="AD939" s="3" t="s">
        <v>34</v>
      </c>
      <c r="AE939">
        <f t="shared" si="59"/>
        <v>0</v>
      </c>
    </row>
    <row r="940" spans="1:31" ht="14.25" customHeight="1" x14ac:dyDescent="0.35">
      <c r="A940" s="3" t="s">
        <v>1772</v>
      </c>
      <c r="B940" s="3" t="s">
        <v>131</v>
      </c>
      <c r="C940" s="3" t="s">
        <v>285</v>
      </c>
      <c r="D940" s="3">
        <v>40</v>
      </c>
      <c r="E940" s="3">
        <f t="shared" si="56"/>
        <v>40</v>
      </c>
      <c r="F940" s="3">
        <v>1984</v>
      </c>
      <c r="G940" s="3">
        <v>58300</v>
      </c>
      <c r="H940" s="12" cm="1">
        <f t="array" ref="H940">_xlfn.IFS(TRIM(G940)="SIXTY THOUSAND",60000,TRIM(G940)="NAN",AVERAGEIFS(G:G,J:J,J940,L:L,L940),TRUE,G940)</f>
        <v>58300</v>
      </c>
      <c r="I940" s="3" t="s">
        <v>27</v>
      </c>
      <c r="J940" s="3" t="s">
        <v>145</v>
      </c>
      <c r="K940" s="3" t="str">
        <f t="shared" si="57"/>
        <v>Sales</v>
      </c>
      <c r="L940" s="3" t="s">
        <v>89</v>
      </c>
      <c r="M940" s="4">
        <v>43845</v>
      </c>
      <c r="N940" s="4">
        <v>43845</v>
      </c>
      <c r="O940" s="3" t="s">
        <v>41</v>
      </c>
      <c r="P940" s="3">
        <v>23</v>
      </c>
      <c r="Q940" s="3" t="s">
        <v>286</v>
      </c>
      <c r="R940" s="3" t="s">
        <v>104</v>
      </c>
      <c r="S940" s="3" t="s">
        <v>44</v>
      </c>
      <c r="T940" s="3" t="str">
        <f t="shared" si="58"/>
        <v>Full-Time</v>
      </c>
      <c r="V940" s="3">
        <v>8</v>
      </c>
      <c r="W940" s="3" t="s">
        <v>79</v>
      </c>
      <c r="AA940" s="3" t="s">
        <v>46</v>
      </c>
      <c r="AB940" s="3" t="str" cm="1">
        <f t="array" ref="AB940">_xlfn.IFS(AA940="N","No",  AA940 = "Y", "Yes", TRUE, PROPER(TRIM(AA940)))</f>
        <v>Yes</v>
      </c>
      <c r="AC940" s="3">
        <v>2</v>
      </c>
      <c r="AD940" s="3" t="s">
        <v>46</v>
      </c>
      <c r="AE940">
        <f t="shared" si="59"/>
        <v>1</v>
      </c>
    </row>
    <row r="941" spans="1:31" ht="14.25" customHeight="1" x14ac:dyDescent="0.35">
      <c r="A941" s="3" t="s">
        <v>1773</v>
      </c>
      <c r="B941" s="3" t="s">
        <v>25</v>
      </c>
      <c r="C941" s="3" t="s">
        <v>253</v>
      </c>
      <c r="E941" s="3">
        <f t="shared" si="56"/>
        <v>32</v>
      </c>
      <c r="F941" s="3">
        <v>1992</v>
      </c>
      <c r="G941" s="3">
        <v>70000</v>
      </c>
      <c r="H941" s="12" cm="1">
        <f t="array" ref="H941">_xlfn.IFS(TRIM(G941)="SIXTY THOUSAND",60000,TRIM(G941)="NAN",AVERAGEIFS(G:G,J:J,J941,L:L,L941),TRUE,G941)</f>
        <v>70000</v>
      </c>
      <c r="I941" s="3" t="s">
        <v>38</v>
      </c>
      <c r="J941" s="3" t="s">
        <v>93</v>
      </c>
      <c r="K941" s="3" t="str">
        <f t="shared" si="57"/>
        <v>Marketing</v>
      </c>
      <c r="L941" s="3" t="s">
        <v>94</v>
      </c>
      <c r="M941" s="4">
        <v>43195</v>
      </c>
      <c r="N941" s="4">
        <v>43195</v>
      </c>
      <c r="O941" s="3" t="s">
        <v>52</v>
      </c>
      <c r="P941" s="3">
        <v>71</v>
      </c>
      <c r="Q941" s="3" t="s">
        <v>1774</v>
      </c>
      <c r="R941" s="3" t="s">
        <v>54</v>
      </c>
      <c r="S941" s="3" t="s">
        <v>174</v>
      </c>
      <c r="T941" s="3" t="str">
        <f t="shared" si="58"/>
        <v>Full-Time</v>
      </c>
      <c r="V941" s="3">
        <v>3</v>
      </c>
      <c r="W941" s="3">
        <v>4</v>
      </c>
      <c r="X941" s="3">
        <v>6</v>
      </c>
      <c r="Y941" s="3" t="s">
        <v>79</v>
      </c>
      <c r="Z941" s="3">
        <v>80</v>
      </c>
      <c r="AA941" s="3" t="s">
        <v>46</v>
      </c>
      <c r="AB941" s="3" t="str" cm="1">
        <f t="array" ref="AB941">_xlfn.IFS(AA941="N","No",  AA941 = "Y", "Yes", TRUE, PROPER(TRIM(AA941)))</f>
        <v>Yes</v>
      </c>
      <c r="AC941" s="3">
        <v>4</v>
      </c>
      <c r="AD941" s="3" t="s">
        <v>34</v>
      </c>
      <c r="AE941">
        <f t="shared" si="59"/>
        <v>0</v>
      </c>
    </row>
    <row r="942" spans="1:31" ht="14.25" customHeight="1" x14ac:dyDescent="0.35">
      <c r="A942" s="3" t="s">
        <v>1775</v>
      </c>
      <c r="B942" s="3" t="s">
        <v>114</v>
      </c>
      <c r="C942" s="3" t="s">
        <v>343</v>
      </c>
      <c r="D942" s="3" t="s">
        <v>88</v>
      </c>
      <c r="E942" s="3">
        <f t="shared" si="56"/>
        <v>30</v>
      </c>
      <c r="F942" s="3">
        <v>1994</v>
      </c>
      <c r="G942" s="3">
        <v>59500</v>
      </c>
      <c r="H942" s="12" cm="1">
        <f t="array" ref="H942">_xlfn.IFS(TRIM(G942)="SIXTY THOUSAND",60000,TRIM(G942)="NAN",AVERAGEIFS(G:G,J:J,J942,L:L,L942),TRUE,G942)</f>
        <v>59500</v>
      </c>
      <c r="I942" s="3" t="s">
        <v>27</v>
      </c>
      <c r="J942" s="3" t="s">
        <v>64</v>
      </c>
      <c r="K942" s="3" t="str">
        <f t="shared" si="57"/>
        <v>Finance</v>
      </c>
      <c r="L942" s="3" t="s">
        <v>29</v>
      </c>
      <c r="M942" s="4">
        <v>43549</v>
      </c>
      <c r="N942" s="4">
        <v>43549</v>
      </c>
      <c r="O942" s="3" t="s">
        <v>30</v>
      </c>
      <c r="P942" s="3">
        <v>67</v>
      </c>
      <c r="Q942" t="str">
        <f>LOWER(_xlfn.CONCAT(B942,".",C942,"@saltcorp.com"))</f>
        <v>bob.walker@saltcorp.com</v>
      </c>
      <c r="R942" s="3" t="s">
        <v>61</v>
      </c>
      <c r="S942" s="3" t="s">
        <v>174</v>
      </c>
      <c r="T942" s="3" t="str">
        <f t="shared" si="58"/>
        <v>Full-Time</v>
      </c>
      <c r="V942" s="3">
        <v>6</v>
      </c>
      <c r="Y942" s="3" t="s">
        <v>79</v>
      </c>
      <c r="AA942" s="3" t="s">
        <v>73</v>
      </c>
      <c r="AB942" s="3" t="str" cm="1">
        <f t="array" ref="AB942">_xlfn.IFS(AA942="N","No",  AA942 = "Y", "Yes", TRUE, PROPER(TRIM(AA942)))</f>
        <v>No</v>
      </c>
      <c r="AC942" s="3">
        <v>4</v>
      </c>
      <c r="AD942" s="3" t="s">
        <v>34</v>
      </c>
      <c r="AE942">
        <f t="shared" si="59"/>
        <v>0</v>
      </c>
    </row>
    <row r="943" spans="1:31" ht="14.25" customHeight="1" x14ac:dyDescent="0.35">
      <c r="A943" s="3" t="s">
        <v>1776</v>
      </c>
      <c r="B943" s="3" t="s">
        <v>56</v>
      </c>
      <c r="C943" s="3" t="s">
        <v>524</v>
      </c>
      <c r="D943" s="3">
        <v>50</v>
      </c>
      <c r="E943" s="3">
        <f t="shared" si="56"/>
        <v>50</v>
      </c>
      <c r="F943" s="3">
        <v>1974</v>
      </c>
      <c r="G943" s="3">
        <v>65000</v>
      </c>
      <c r="H943" s="12" cm="1">
        <f t="array" ref="H943">_xlfn.IFS(TRIM(G943)="SIXTY THOUSAND",60000,TRIM(G943)="NAN",AVERAGEIFS(G:G,J:J,J943,L:L,L943),TRUE,G943)</f>
        <v>65000</v>
      </c>
      <c r="I943" s="3" t="s">
        <v>38</v>
      </c>
      <c r="J943" s="3" t="s">
        <v>145</v>
      </c>
      <c r="K943" s="3" t="str">
        <f t="shared" si="57"/>
        <v>Sales</v>
      </c>
      <c r="L943" s="3" t="s">
        <v>29</v>
      </c>
      <c r="M943" s="4">
        <v>43195</v>
      </c>
      <c r="N943" s="4">
        <v>43195</v>
      </c>
      <c r="O943" s="3" t="s">
        <v>52</v>
      </c>
      <c r="P943" s="3">
        <v>71</v>
      </c>
      <c r="Q943" s="3" t="s">
        <v>1777</v>
      </c>
      <c r="R943" s="3" t="s">
        <v>104</v>
      </c>
      <c r="S943" s="3" t="s">
        <v>72</v>
      </c>
      <c r="T943" s="3" t="str">
        <f t="shared" si="58"/>
        <v>Part-Time</v>
      </c>
      <c r="V943" s="3">
        <v>8</v>
      </c>
      <c r="W943" s="3">
        <v>1</v>
      </c>
      <c r="X943" s="3">
        <v>6</v>
      </c>
      <c r="Y943" s="4">
        <v>44470</v>
      </c>
      <c r="AA943" s="3" t="s">
        <v>46</v>
      </c>
      <c r="AB943" s="3" t="str" cm="1">
        <f t="array" ref="AB943">_xlfn.IFS(AA943="N","No",  AA943 = "Y", "Yes", TRUE, PROPER(TRIM(AA943)))</f>
        <v>Yes</v>
      </c>
      <c r="AC943" s="3">
        <v>2</v>
      </c>
      <c r="AD943" s="3" t="s">
        <v>46</v>
      </c>
      <c r="AE943">
        <f t="shared" si="59"/>
        <v>1</v>
      </c>
    </row>
    <row r="944" spans="1:31" ht="14.25" customHeight="1" x14ac:dyDescent="0.35">
      <c r="A944" s="3" t="s">
        <v>1778</v>
      </c>
      <c r="B944" s="3" t="s">
        <v>48</v>
      </c>
      <c r="C944" s="3" t="s">
        <v>247</v>
      </c>
      <c r="D944" s="3" t="s">
        <v>88</v>
      </c>
      <c r="E944" s="3">
        <f t="shared" si="56"/>
        <v>30</v>
      </c>
      <c r="F944" s="3">
        <v>1994</v>
      </c>
      <c r="G944" s="3">
        <v>65000</v>
      </c>
      <c r="H944" s="12" cm="1">
        <f t="array" ref="H944">_xlfn.IFS(TRIM(G944)="SIXTY THOUSAND",60000,TRIM(G944)="NAN",AVERAGEIFS(G:G,J:J,J944,L:L,L944),TRUE,G944)</f>
        <v>65000</v>
      </c>
      <c r="I944" s="3" t="s">
        <v>38</v>
      </c>
      <c r="J944" s="3" t="s">
        <v>28</v>
      </c>
      <c r="K944" s="3" t="str">
        <f t="shared" si="57"/>
        <v>HR</v>
      </c>
      <c r="L944" s="3" t="s">
        <v>40</v>
      </c>
      <c r="M944" s="4">
        <v>43881</v>
      </c>
      <c r="N944" s="4">
        <v>43881</v>
      </c>
      <c r="O944" s="3" t="s">
        <v>78</v>
      </c>
      <c r="P944" s="3">
        <v>82</v>
      </c>
      <c r="Q944" s="3" t="s">
        <v>1779</v>
      </c>
      <c r="R944" s="3" t="s">
        <v>54</v>
      </c>
      <c r="S944" s="3" t="s">
        <v>66</v>
      </c>
      <c r="T944" s="3" t="str">
        <f t="shared" si="58"/>
        <v>Contract</v>
      </c>
      <c r="V944" s="3">
        <v>5</v>
      </c>
      <c r="W944" s="3">
        <v>6</v>
      </c>
      <c r="Y944" s="4">
        <v>44941</v>
      </c>
      <c r="AB944" s="3" t="str" cm="1">
        <f t="array" ref="AB944">_xlfn.IFS(AA944="N","No",  AA944 = "Y", "Yes", TRUE, PROPER(TRIM(AA944)))</f>
        <v/>
      </c>
      <c r="AC944" s="3">
        <v>1</v>
      </c>
      <c r="AD944" s="3" t="s">
        <v>34</v>
      </c>
      <c r="AE944">
        <f t="shared" si="59"/>
        <v>0</v>
      </c>
    </row>
    <row r="945" spans="1:31" ht="14.25" customHeight="1" x14ac:dyDescent="0.35">
      <c r="A945" s="3" t="s">
        <v>1780</v>
      </c>
      <c r="B945" s="3" t="s">
        <v>48</v>
      </c>
      <c r="C945" s="3" t="s">
        <v>262</v>
      </c>
      <c r="D945" s="3">
        <v>25</v>
      </c>
      <c r="E945" s="3">
        <f t="shared" si="56"/>
        <v>25</v>
      </c>
      <c r="F945" s="3">
        <v>1999</v>
      </c>
      <c r="G945" s="3">
        <v>58600</v>
      </c>
      <c r="H945" s="12" cm="1">
        <f t="array" ref="H945">_xlfn.IFS(TRIM(G945)="SIXTY THOUSAND",60000,TRIM(G945)="NAN",AVERAGEIFS(G:G,J:J,J945,L:L,L945),TRUE,G945)</f>
        <v>58600</v>
      </c>
      <c r="I945" s="3" t="s">
        <v>27</v>
      </c>
      <c r="J945" s="3" t="s">
        <v>70</v>
      </c>
      <c r="K945" s="3" t="str">
        <f t="shared" si="57"/>
        <v>Marketing</v>
      </c>
      <c r="L945" s="3" t="s">
        <v>77</v>
      </c>
      <c r="M945" s="4">
        <v>43800</v>
      </c>
      <c r="N945" s="4">
        <v>43800</v>
      </c>
      <c r="O945" s="3" t="s">
        <v>41</v>
      </c>
      <c r="P945" s="3">
        <v>11</v>
      </c>
      <c r="Q945" t="str">
        <f>LOWER(_xlfn.CONCAT(B945,".",C945,"@saltcorp.com"))</f>
        <v>hannah.powell@saltcorp.com</v>
      </c>
      <c r="R945" s="3" t="s">
        <v>43</v>
      </c>
      <c r="S945" s="3" t="s">
        <v>44</v>
      </c>
      <c r="T945" s="3" t="str">
        <f t="shared" si="58"/>
        <v>Full-Time</v>
      </c>
      <c r="V945" s="3">
        <v>5</v>
      </c>
      <c r="W945" s="3" t="s">
        <v>79</v>
      </c>
      <c r="AA945" s="3" t="s">
        <v>73</v>
      </c>
      <c r="AB945" s="3" t="str" cm="1">
        <f t="array" ref="AB945">_xlfn.IFS(AA945="N","No",  AA945 = "Y", "Yes", TRUE, PROPER(TRIM(AA945)))</f>
        <v>No</v>
      </c>
      <c r="AC945" s="3">
        <v>5</v>
      </c>
      <c r="AD945" s="3" t="s">
        <v>46</v>
      </c>
      <c r="AE945">
        <f t="shared" si="59"/>
        <v>1</v>
      </c>
    </row>
    <row r="946" spans="1:31" ht="14.25" customHeight="1" x14ac:dyDescent="0.35">
      <c r="A946" s="3" t="s">
        <v>1781</v>
      </c>
      <c r="B946" s="3" t="s">
        <v>75</v>
      </c>
      <c r="C946" s="3" t="s">
        <v>76</v>
      </c>
      <c r="D946" s="3">
        <v>40</v>
      </c>
      <c r="E946" s="3">
        <f t="shared" si="56"/>
        <v>40</v>
      </c>
      <c r="F946" s="3">
        <v>1984</v>
      </c>
      <c r="G946" s="3" t="s">
        <v>50</v>
      </c>
      <c r="H946" s="12" cm="1">
        <f t="array" ref="H946">_xlfn.IFS(TRIM(G946)="SIXTY THOUSAND",60000,TRIM(G946)="NAN",AVERAGEIFS(G:G,J:J,J946,L:L,L946),TRUE,G946)</f>
        <v>60000</v>
      </c>
      <c r="I946" s="3" t="s">
        <v>27</v>
      </c>
      <c r="J946" s="3" t="s">
        <v>64</v>
      </c>
      <c r="K946" s="3" t="str">
        <f t="shared" si="57"/>
        <v>Finance</v>
      </c>
      <c r="L946" s="3" t="s">
        <v>89</v>
      </c>
      <c r="M946" s="4">
        <v>43800</v>
      </c>
      <c r="N946" s="4">
        <v>43800</v>
      </c>
      <c r="O946" s="3" t="s">
        <v>52</v>
      </c>
      <c r="P946" s="3">
        <v>75</v>
      </c>
      <c r="Q946" s="3" t="s">
        <v>653</v>
      </c>
      <c r="R946" s="3" t="s">
        <v>54</v>
      </c>
      <c r="S946" s="3" t="s">
        <v>100</v>
      </c>
      <c r="T946" s="3" t="str">
        <f t="shared" si="58"/>
        <v>Part-Time</v>
      </c>
      <c r="V946" s="3">
        <v>1</v>
      </c>
      <c r="Z946" s="3">
        <v>51</v>
      </c>
      <c r="AA946" s="3" t="s">
        <v>46</v>
      </c>
      <c r="AB946" s="3" t="str" cm="1">
        <f t="array" ref="AB946">_xlfn.IFS(AA946="N","No",  AA946 = "Y", "Yes", TRUE, PROPER(TRIM(AA946)))</f>
        <v>Yes</v>
      </c>
      <c r="AC946" s="3">
        <v>3</v>
      </c>
      <c r="AD946" s="3" t="s">
        <v>34</v>
      </c>
      <c r="AE946">
        <f t="shared" si="59"/>
        <v>0</v>
      </c>
    </row>
    <row r="947" spans="1:31" ht="14.25" customHeight="1" x14ac:dyDescent="0.35">
      <c r="A947" s="3" t="s">
        <v>1782</v>
      </c>
      <c r="B947" s="3" t="s">
        <v>25</v>
      </c>
      <c r="C947" s="3" t="s">
        <v>328</v>
      </c>
      <c r="E947" s="3">
        <f t="shared" si="56"/>
        <v>33</v>
      </c>
      <c r="F947" s="3">
        <v>1991</v>
      </c>
      <c r="G947" s="3">
        <v>70000</v>
      </c>
      <c r="H947" s="12" cm="1">
        <f t="array" ref="H947">_xlfn.IFS(TRIM(G947)="SIXTY THOUSAND",60000,TRIM(G947)="NAN",AVERAGEIFS(G:G,J:J,J947,L:L,L947),TRUE,G947)</f>
        <v>70000</v>
      </c>
      <c r="I947" s="3" t="s">
        <v>38</v>
      </c>
      <c r="J947" s="3" t="s">
        <v>51</v>
      </c>
      <c r="K947" s="3" t="str">
        <f t="shared" si="57"/>
        <v>Sales</v>
      </c>
      <c r="L947" s="3" t="s">
        <v>89</v>
      </c>
      <c r="M947" s="4">
        <v>43800</v>
      </c>
      <c r="N947" s="4">
        <v>43800</v>
      </c>
      <c r="O947" s="3" t="s">
        <v>30</v>
      </c>
      <c r="P947" s="3">
        <v>67</v>
      </c>
      <c r="Q947" s="3" t="s">
        <v>329</v>
      </c>
      <c r="R947" s="3" t="s">
        <v>43</v>
      </c>
      <c r="S947" s="3" t="s">
        <v>44</v>
      </c>
      <c r="T947" s="3" t="str">
        <f t="shared" si="58"/>
        <v>Full-Time</v>
      </c>
      <c r="V947" s="3">
        <v>7</v>
      </c>
      <c r="W947" s="3">
        <v>15</v>
      </c>
      <c r="Z947" s="3">
        <v>44</v>
      </c>
      <c r="AA947" s="3" t="s">
        <v>34</v>
      </c>
      <c r="AB947" s="3" t="str" cm="1">
        <f t="array" ref="AB947">_xlfn.IFS(AA947="N","No",  AA947 = "Y", "Yes", TRUE, PROPER(TRIM(AA947)))</f>
        <v>No</v>
      </c>
      <c r="AC947" s="3">
        <v>2</v>
      </c>
      <c r="AD947" s="3" t="s">
        <v>34</v>
      </c>
      <c r="AE947">
        <f t="shared" si="59"/>
        <v>0</v>
      </c>
    </row>
    <row r="948" spans="1:31" ht="14.25" customHeight="1" x14ac:dyDescent="0.35">
      <c r="A948" s="3" t="s">
        <v>1783</v>
      </c>
      <c r="B948" s="3" t="s">
        <v>75</v>
      </c>
      <c r="C948" s="3" t="s">
        <v>625</v>
      </c>
      <c r="D948" s="3" t="s">
        <v>88</v>
      </c>
      <c r="E948" s="3">
        <f t="shared" si="56"/>
        <v>30</v>
      </c>
      <c r="F948" s="3">
        <v>1994</v>
      </c>
      <c r="G948" s="3">
        <v>50000</v>
      </c>
      <c r="H948" s="12" cm="1">
        <f t="array" ref="H948">_xlfn.IFS(TRIM(G948)="SIXTY THOUSAND",60000,TRIM(G948)="NAN",AVERAGEIFS(G:G,J:J,J948,L:L,L948),TRUE,G948)</f>
        <v>50000</v>
      </c>
      <c r="I948" s="3" t="s">
        <v>27</v>
      </c>
      <c r="J948" s="3" t="s">
        <v>70</v>
      </c>
      <c r="K948" s="3" t="str">
        <f t="shared" si="57"/>
        <v>Marketing</v>
      </c>
      <c r="L948" s="3" t="s">
        <v>77</v>
      </c>
      <c r="M948" s="4">
        <v>43800</v>
      </c>
      <c r="N948" s="4">
        <v>43800</v>
      </c>
      <c r="O948" s="3" t="s">
        <v>78</v>
      </c>
      <c r="P948" s="3">
        <v>87</v>
      </c>
      <c r="Q948" s="3" t="s">
        <v>626</v>
      </c>
      <c r="R948" s="3" t="s">
        <v>61</v>
      </c>
      <c r="S948" s="3" t="s">
        <v>66</v>
      </c>
      <c r="T948" s="3" t="str">
        <f t="shared" si="58"/>
        <v>Contract</v>
      </c>
      <c r="V948" s="3">
        <v>2</v>
      </c>
      <c r="X948" s="3">
        <v>9</v>
      </c>
      <c r="Z948" s="3">
        <v>79</v>
      </c>
      <c r="AA948" s="3" t="s">
        <v>34</v>
      </c>
      <c r="AB948" s="3" t="str" cm="1">
        <f t="array" ref="AB948">_xlfn.IFS(AA948="N","No",  AA948 = "Y", "Yes", TRUE, PROPER(TRIM(AA948)))</f>
        <v>No</v>
      </c>
      <c r="AC948" s="3">
        <v>4</v>
      </c>
      <c r="AD948" s="3" t="s">
        <v>34</v>
      </c>
      <c r="AE948">
        <f t="shared" si="59"/>
        <v>0</v>
      </c>
    </row>
    <row r="949" spans="1:31" ht="14.25" customHeight="1" x14ac:dyDescent="0.35">
      <c r="A949" s="3" t="s">
        <v>1784</v>
      </c>
      <c r="B949" s="3" t="s">
        <v>107</v>
      </c>
      <c r="C949" s="3" t="s">
        <v>355</v>
      </c>
      <c r="D949" s="3">
        <v>40</v>
      </c>
      <c r="E949" s="3">
        <f t="shared" si="56"/>
        <v>40</v>
      </c>
      <c r="F949" s="3">
        <v>1984</v>
      </c>
      <c r="G949" s="3">
        <v>55000</v>
      </c>
      <c r="H949" s="12" cm="1">
        <f t="array" ref="H949">_xlfn.IFS(TRIM(G949)="SIXTY THOUSAND",60000,TRIM(G949)="NAN",AVERAGEIFS(G:G,J:J,J949,L:L,L949),TRUE,G949)</f>
        <v>55000</v>
      </c>
      <c r="I949" s="3" t="s">
        <v>27</v>
      </c>
      <c r="J949" s="3" t="s">
        <v>58</v>
      </c>
      <c r="K949" s="3" t="str">
        <f t="shared" si="57"/>
        <v>IT</v>
      </c>
      <c r="L949" s="3" t="s">
        <v>29</v>
      </c>
      <c r="M949" s="4">
        <v>43800</v>
      </c>
      <c r="N949" s="4">
        <v>43800</v>
      </c>
      <c r="O949" s="3" t="s">
        <v>59</v>
      </c>
      <c r="P949" s="3">
        <v>100</v>
      </c>
      <c r="Q949" t="str">
        <f>LOWER(_xlfn.CONCAT(B949,".",C949,"@saltcorp.com"))</f>
        <v>frank.sanchez@saltcorp.com</v>
      </c>
      <c r="R949" s="3" t="s">
        <v>54</v>
      </c>
      <c r="S949" s="3" t="s">
        <v>100</v>
      </c>
      <c r="T949" s="3" t="str">
        <f t="shared" si="58"/>
        <v>Part-Time</v>
      </c>
      <c r="V949" s="3">
        <v>3</v>
      </c>
      <c r="W949" s="3" t="s">
        <v>79</v>
      </c>
      <c r="Z949" s="3">
        <v>26</v>
      </c>
      <c r="AA949" s="3" t="s">
        <v>34</v>
      </c>
      <c r="AB949" s="3" t="str" cm="1">
        <f t="array" ref="AB949">_xlfn.IFS(AA949="N","No",  AA949 = "Y", "Yes", TRUE, PROPER(TRIM(AA949)))</f>
        <v>No</v>
      </c>
      <c r="AC949" s="3">
        <v>2</v>
      </c>
      <c r="AD949" s="3" t="s">
        <v>34</v>
      </c>
      <c r="AE949">
        <f t="shared" si="59"/>
        <v>0</v>
      </c>
    </row>
    <row r="950" spans="1:31" ht="14.25" customHeight="1" x14ac:dyDescent="0.35">
      <c r="A950" s="3" t="s">
        <v>1785</v>
      </c>
      <c r="B950" s="3" t="s">
        <v>107</v>
      </c>
      <c r="C950" s="3" t="s">
        <v>543</v>
      </c>
      <c r="D950" s="3">
        <v>25</v>
      </c>
      <c r="E950" s="3">
        <f t="shared" si="56"/>
        <v>25</v>
      </c>
      <c r="F950" s="3">
        <v>1999</v>
      </c>
      <c r="G950" s="3">
        <v>65000</v>
      </c>
      <c r="H950" s="12" cm="1">
        <f t="array" ref="H950">_xlfn.IFS(TRIM(G950)="SIXTY THOUSAND",60000,TRIM(G950)="NAN",AVERAGEIFS(G:G,J:J,J950,L:L,L950),TRUE,G950)</f>
        <v>65000</v>
      </c>
      <c r="I950" s="3" t="s">
        <v>27</v>
      </c>
      <c r="J950" s="3" t="s">
        <v>70</v>
      </c>
      <c r="K950" s="3" t="str">
        <f t="shared" si="57"/>
        <v>Marketing</v>
      </c>
      <c r="L950" s="3" t="s">
        <v>29</v>
      </c>
      <c r="M950" s="4">
        <v>43800</v>
      </c>
      <c r="N950" s="4">
        <v>43800</v>
      </c>
      <c r="O950" s="3" t="s">
        <v>52</v>
      </c>
      <c r="P950" s="3">
        <v>73</v>
      </c>
      <c r="Q950" s="3" t="s">
        <v>544</v>
      </c>
      <c r="R950" s="3" t="s">
        <v>61</v>
      </c>
      <c r="S950" s="3" t="s">
        <v>32</v>
      </c>
      <c r="T950" s="3" t="str">
        <f t="shared" si="58"/>
        <v>Contract</v>
      </c>
      <c r="V950" s="3">
        <v>1</v>
      </c>
      <c r="X950" s="3">
        <v>12</v>
      </c>
      <c r="AA950" s="3" t="s">
        <v>46</v>
      </c>
      <c r="AB950" s="3" t="str" cm="1">
        <f t="array" ref="AB950">_xlfn.IFS(AA950="N","No",  AA950 = "Y", "Yes", TRUE, PROPER(TRIM(AA950)))</f>
        <v>Yes</v>
      </c>
      <c r="AC950" s="3">
        <v>3</v>
      </c>
      <c r="AD950" s="3" t="s">
        <v>34</v>
      </c>
      <c r="AE950">
        <f t="shared" si="59"/>
        <v>0</v>
      </c>
    </row>
    <row r="951" spans="1:31" ht="14.25" customHeight="1" x14ac:dyDescent="0.35">
      <c r="A951" s="3" t="s">
        <v>1786</v>
      </c>
      <c r="B951" s="3" t="s">
        <v>75</v>
      </c>
      <c r="C951" s="3" t="s">
        <v>1275</v>
      </c>
      <c r="D951" s="3">
        <v>35</v>
      </c>
      <c r="E951" s="3">
        <f t="shared" si="56"/>
        <v>35</v>
      </c>
      <c r="F951" s="3">
        <v>1989</v>
      </c>
      <c r="G951" s="3">
        <v>55000</v>
      </c>
      <c r="H951" s="12" cm="1">
        <f t="array" ref="H951">_xlfn.IFS(TRIM(G951)="SIXTY THOUSAND",60000,TRIM(G951)="NAN",AVERAGEIFS(G:G,J:J,J951,L:L,L951),TRUE,G951)</f>
        <v>55000</v>
      </c>
      <c r="I951" s="3" t="s">
        <v>27</v>
      </c>
      <c r="J951" s="3" t="s">
        <v>28</v>
      </c>
      <c r="K951" s="3" t="str">
        <f t="shared" si="57"/>
        <v>HR</v>
      </c>
      <c r="L951" s="3" t="s">
        <v>94</v>
      </c>
      <c r="M951" s="4">
        <v>43845</v>
      </c>
      <c r="N951" s="4">
        <v>43845</v>
      </c>
      <c r="O951" s="3" t="s">
        <v>78</v>
      </c>
      <c r="P951" s="3">
        <v>89</v>
      </c>
      <c r="Q951" s="3" t="s">
        <v>1787</v>
      </c>
      <c r="R951" s="3" t="s">
        <v>104</v>
      </c>
      <c r="S951" s="3" t="s">
        <v>112</v>
      </c>
      <c r="T951" s="3" t="str">
        <f t="shared" si="58"/>
        <v>Full-Time</v>
      </c>
      <c r="V951" s="3">
        <v>4</v>
      </c>
      <c r="W951" s="3" t="s">
        <v>79</v>
      </c>
      <c r="Y951" s="4">
        <v>44941</v>
      </c>
      <c r="AA951" s="3" t="s">
        <v>34</v>
      </c>
      <c r="AB951" s="3" t="str" cm="1">
        <f t="array" ref="AB951">_xlfn.IFS(AA951="N","No",  AA951 = "Y", "Yes", TRUE, PROPER(TRIM(AA951)))</f>
        <v>No</v>
      </c>
      <c r="AC951" s="3">
        <v>4</v>
      </c>
      <c r="AD951" s="3" t="s">
        <v>34</v>
      </c>
      <c r="AE951">
        <f t="shared" si="59"/>
        <v>0</v>
      </c>
    </row>
    <row r="952" spans="1:31" ht="14.25" customHeight="1" x14ac:dyDescent="0.35">
      <c r="A952" s="3" t="s">
        <v>1788</v>
      </c>
      <c r="B952" s="3" t="s">
        <v>25</v>
      </c>
      <c r="C952" s="3" t="s">
        <v>914</v>
      </c>
      <c r="D952" s="3">
        <v>50</v>
      </c>
      <c r="E952" s="3">
        <f t="shared" si="56"/>
        <v>50</v>
      </c>
      <c r="F952" s="3">
        <v>1974</v>
      </c>
      <c r="G952" s="3">
        <v>50000</v>
      </c>
      <c r="H952" s="12" cm="1">
        <f t="array" ref="H952">_xlfn.IFS(TRIM(G952)="SIXTY THOUSAND",60000,TRIM(G952)="NAN",AVERAGEIFS(G:G,J:J,J952,L:L,L952),TRUE,G952)</f>
        <v>50000</v>
      </c>
      <c r="I952" s="3" t="s">
        <v>38</v>
      </c>
      <c r="J952" s="3" t="s">
        <v>70</v>
      </c>
      <c r="K952" s="3" t="str">
        <f t="shared" si="57"/>
        <v>Marketing</v>
      </c>
      <c r="L952" s="3" t="s">
        <v>40</v>
      </c>
      <c r="M952" s="4">
        <v>43549</v>
      </c>
      <c r="N952" s="4">
        <v>43549</v>
      </c>
      <c r="O952" s="3" t="s">
        <v>59</v>
      </c>
      <c r="P952" s="3">
        <v>93</v>
      </c>
      <c r="Q952" s="3" t="s">
        <v>915</v>
      </c>
      <c r="R952" s="3" t="s">
        <v>43</v>
      </c>
      <c r="S952" s="3" t="s">
        <v>112</v>
      </c>
      <c r="T952" s="3" t="str">
        <f t="shared" si="58"/>
        <v>Full-Time</v>
      </c>
      <c r="V952" s="3">
        <v>5</v>
      </c>
      <c r="X952" s="3">
        <v>12</v>
      </c>
      <c r="AA952" s="3" t="s">
        <v>169</v>
      </c>
      <c r="AB952" s="3" t="str" cm="1">
        <f t="array" ref="AB952">_xlfn.IFS(AA952="N","No",  AA952 = "Y", "Yes", TRUE, PROPER(TRIM(AA952)))</f>
        <v>Yes</v>
      </c>
      <c r="AC952" s="3">
        <v>2</v>
      </c>
      <c r="AD952" s="3" t="s">
        <v>46</v>
      </c>
      <c r="AE952">
        <f t="shared" si="59"/>
        <v>1</v>
      </c>
    </row>
    <row r="953" spans="1:31" ht="14.25" customHeight="1" x14ac:dyDescent="0.35">
      <c r="A953" s="3" t="s">
        <v>1789</v>
      </c>
      <c r="B953" s="3" t="s">
        <v>75</v>
      </c>
      <c r="C953" s="3" t="s">
        <v>819</v>
      </c>
      <c r="D953" s="3">
        <v>40</v>
      </c>
      <c r="E953" s="3">
        <f t="shared" si="56"/>
        <v>40</v>
      </c>
      <c r="F953" s="3">
        <v>1984</v>
      </c>
      <c r="G953" s="3">
        <v>55000</v>
      </c>
      <c r="H953" s="12" cm="1">
        <f t="array" ref="H953">_xlfn.IFS(TRIM(G953)="SIXTY THOUSAND",60000,TRIM(G953)="NAN",AVERAGEIFS(G:G,J:J,J953,L:L,L953),TRUE,G953)</f>
        <v>55000</v>
      </c>
      <c r="I953" s="3" t="s">
        <v>27</v>
      </c>
      <c r="J953" s="3" t="s">
        <v>145</v>
      </c>
      <c r="K953" s="3" t="str">
        <f t="shared" si="57"/>
        <v>Sales</v>
      </c>
      <c r="L953" s="3" t="s">
        <v>40</v>
      </c>
      <c r="M953" s="4">
        <v>43800</v>
      </c>
      <c r="N953" s="4">
        <v>43800</v>
      </c>
      <c r="O953" s="3" t="s">
        <v>52</v>
      </c>
      <c r="P953" s="3">
        <v>70</v>
      </c>
      <c r="Q953" s="3" t="s">
        <v>820</v>
      </c>
      <c r="R953" s="3" t="s">
        <v>104</v>
      </c>
      <c r="S953" s="3" t="s">
        <v>32</v>
      </c>
      <c r="T953" s="3" t="str">
        <f t="shared" si="58"/>
        <v>Contract</v>
      </c>
      <c r="V953" s="3">
        <v>8</v>
      </c>
      <c r="X953" s="3">
        <v>5</v>
      </c>
      <c r="Y953" s="4">
        <v>44732</v>
      </c>
      <c r="AB953" s="3" t="str" cm="1">
        <f t="array" ref="AB953">_xlfn.IFS(AA953="N","No",  AA953 = "Y", "Yes", TRUE, PROPER(TRIM(AA953)))</f>
        <v/>
      </c>
      <c r="AC953" s="3">
        <v>1</v>
      </c>
      <c r="AD953" s="3" t="s">
        <v>46</v>
      </c>
      <c r="AE953">
        <f t="shared" si="59"/>
        <v>1</v>
      </c>
    </row>
    <row r="954" spans="1:31" ht="14.25" customHeight="1" x14ac:dyDescent="0.35">
      <c r="A954" s="3" t="s">
        <v>1790</v>
      </c>
      <c r="B954" s="3" t="s">
        <v>48</v>
      </c>
      <c r="C954" s="3" t="s">
        <v>334</v>
      </c>
      <c r="D954" s="3">
        <v>40</v>
      </c>
      <c r="E954" s="3">
        <f t="shared" si="56"/>
        <v>40</v>
      </c>
      <c r="F954" s="3">
        <v>1984</v>
      </c>
      <c r="G954" s="3">
        <v>50000</v>
      </c>
      <c r="H954" s="12" cm="1">
        <f t="array" ref="H954">_xlfn.IFS(TRIM(G954)="SIXTY THOUSAND",60000,TRIM(G954)="NAN",AVERAGEIFS(G:G,J:J,J954,L:L,L954),TRUE,G954)</f>
        <v>50000</v>
      </c>
      <c r="I954" s="3" t="s">
        <v>27</v>
      </c>
      <c r="J954" s="3" t="s">
        <v>145</v>
      </c>
      <c r="K954" s="3" t="str">
        <f t="shared" si="57"/>
        <v>Sales</v>
      </c>
      <c r="L954" s="3" t="s">
        <v>40</v>
      </c>
      <c r="M954" s="4">
        <v>43549</v>
      </c>
      <c r="N954" s="4">
        <v>43549</v>
      </c>
      <c r="O954" s="3" t="s">
        <v>78</v>
      </c>
      <c r="P954" s="3">
        <v>88</v>
      </c>
      <c r="Q954" s="3" t="s">
        <v>335</v>
      </c>
      <c r="R954" s="3" t="s">
        <v>43</v>
      </c>
      <c r="S954" s="3" t="s">
        <v>72</v>
      </c>
      <c r="T954" s="3" t="str">
        <f t="shared" si="58"/>
        <v>Part-Time</v>
      </c>
      <c r="V954" s="3">
        <v>2</v>
      </c>
      <c r="Z954" s="3">
        <v>17</v>
      </c>
      <c r="AA954" s="3" t="s">
        <v>34</v>
      </c>
      <c r="AB954" s="3" t="str" cm="1">
        <f t="array" ref="AB954">_xlfn.IFS(AA954="N","No",  AA954 = "Y", "Yes", TRUE, PROPER(TRIM(AA954)))</f>
        <v>No</v>
      </c>
      <c r="AC954" s="3">
        <v>5</v>
      </c>
      <c r="AD954" s="3" t="s">
        <v>46</v>
      </c>
      <c r="AE954">
        <f t="shared" si="59"/>
        <v>1</v>
      </c>
    </row>
    <row r="955" spans="1:31" ht="14.25" customHeight="1" x14ac:dyDescent="0.35">
      <c r="A955" s="3" t="s">
        <v>1791</v>
      </c>
      <c r="B955" s="3" t="s">
        <v>68</v>
      </c>
      <c r="C955" s="3" t="s">
        <v>479</v>
      </c>
      <c r="D955" s="3">
        <v>35</v>
      </c>
      <c r="E955" s="3">
        <f t="shared" si="56"/>
        <v>35</v>
      </c>
      <c r="F955" s="3">
        <v>1989</v>
      </c>
      <c r="G955" s="3">
        <v>60300</v>
      </c>
      <c r="H955" s="12" cm="1">
        <f t="array" ref="H955">_xlfn.IFS(TRIM(G955)="SIXTY THOUSAND",60000,TRIM(G955)="NAN",AVERAGEIFS(G:G,J:J,J955,L:L,L955),TRUE,G955)</f>
        <v>60300</v>
      </c>
      <c r="I955" s="3" t="s">
        <v>27</v>
      </c>
      <c r="J955" s="3" t="s">
        <v>70</v>
      </c>
      <c r="K955" s="3" t="str">
        <f t="shared" si="57"/>
        <v>Marketing</v>
      </c>
      <c r="L955" s="3" t="s">
        <v>94</v>
      </c>
      <c r="M955" s="4">
        <v>43800</v>
      </c>
      <c r="N955" s="4">
        <v>43800</v>
      </c>
      <c r="O955" s="3" t="s">
        <v>78</v>
      </c>
      <c r="P955" s="3">
        <v>81</v>
      </c>
      <c r="Q955" s="3" t="s">
        <v>768</v>
      </c>
      <c r="R955" s="3" t="s">
        <v>61</v>
      </c>
      <c r="S955" s="3" t="s">
        <v>44</v>
      </c>
      <c r="T955" s="3" t="str">
        <f t="shared" si="58"/>
        <v>Full-Time</v>
      </c>
      <c r="V955" s="3">
        <v>8</v>
      </c>
      <c r="Z955" s="3">
        <v>9</v>
      </c>
      <c r="AA955" s="3" t="s">
        <v>46</v>
      </c>
      <c r="AB955" s="3" t="str" cm="1">
        <f t="array" ref="AB955">_xlfn.IFS(AA955="N","No",  AA955 = "Y", "Yes", TRUE, PROPER(TRIM(AA955)))</f>
        <v>Yes</v>
      </c>
      <c r="AC955" s="3">
        <v>2</v>
      </c>
      <c r="AD955" s="3" t="s">
        <v>34</v>
      </c>
      <c r="AE955">
        <f t="shared" si="59"/>
        <v>0</v>
      </c>
    </row>
    <row r="956" spans="1:31" ht="14.25" customHeight="1" x14ac:dyDescent="0.35">
      <c r="A956" s="3" t="s">
        <v>1792</v>
      </c>
      <c r="B956" s="3" t="s">
        <v>36</v>
      </c>
      <c r="C956" s="3" t="s">
        <v>156</v>
      </c>
      <c r="D956" s="3">
        <v>40</v>
      </c>
      <c r="E956" s="3">
        <f t="shared" si="56"/>
        <v>40</v>
      </c>
      <c r="F956" s="3">
        <v>1984</v>
      </c>
      <c r="G956" s="3" t="s">
        <v>50</v>
      </c>
      <c r="H956" s="12" cm="1">
        <f t="array" ref="H956">_xlfn.IFS(TRIM(G956)="SIXTY THOUSAND",60000,TRIM(G956)="NAN",AVERAGEIFS(G:G,J:J,J956,L:L,L956),TRUE,G956)</f>
        <v>60000</v>
      </c>
      <c r="I956" s="3" t="s">
        <v>27</v>
      </c>
      <c r="J956" s="3" t="s">
        <v>145</v>
      </c>
      <c r="K956" s="3" t="str">
        <f t="shared" si="57"/>
        <v>Sales</v>
      </c>
      <c r="L956" s="3" t="s">
        <v>40</v>
      </c>
      <c r="M956" s="4">
        <v>43195</v>
      </c>
      <c r="N956" s="4">
        <v>43195</v>
      </c>
      <c r="O956" s="3" t="s">
        <v>52</v>
      </c>
      <c r="P956" s="3">
        <v>70</v>
      </c>
      <c r="Q956" s="3" t="s">
        <v>184</v>
      </c>
      <c r="S956" s="3" t="s">
        <v>100</v>
      </c>
      <c r="T956" s="3" t="str">
        <f t="shared" si="58"/>
        <v>Part-Time</v>
      </c>
      <c r="V956" s="3">
        <v>6</v>
      </c>
      <c r="W956" s="3">
        <v>3</v>
      </c>
      <c r="Y956" s="4">
        <v>44990</v>
      </c>
      <c r="AA956" s="3" t="s">
        <v>73</v>
      </c>
      <c r="AB956" s="3" t="str" cm="1">
        <f t="array" ref="AB956">_xlfn.IFS(AA956="N","No",  AA956 = "Y", "Yes", TRUE, PROPER(TRIM(AA956)))</f>
        <v>No</v>
      </c>
      <c r="AC956" s="3">
        <v>1</v>
      </c>
      <c r="AD956" s="3" t="s">
        <v>46</v>
      </c>
      <c r="AE956">
        <f t="shared" si="59"/>
        <v>1</v>
      </c>
    </row>
    <row r="957" spans="1:31" ht="14.25" customHeight="1" x14ac:dyDescent="0.35">
      <c r="A957" s="3" t="s">
        <v>1793</v>
      </c>
      <c r="B957" s="3" t="s">
        <v>131</v>
      </c>
      <c r="C957" s="3" t="s">
        <v>472</v>
      </c>
      <c r="D957" s="3">
        <v>25</v>
      </c>
      <c r="E957" s="3">
        <f t="shared" si="56"/>
        <v>25</v>
      </c>
      <c r="F957" s="3">
        <v>1999</v>
      </c>
      <c r="G957" s="3">
        <v>65000</v>
      </c>
      <c r="H957" s="12" cm="1">
        <f t="array" ref="H957">_xlfn.IFS(TRIM(G957)="SIXTY THOUSAND",60000,TRIM(G957)="NAN",AVERAGEIFS(G:G,J:J,J957,L:L,L957),TRUE,G957)</f>
        <v>65000</v>
      </c>
      <c r="I957" s="3" t="s">
        <v>38</v>
      </c>
      <c r="J957" s="3" t="s">
        <v>122</v>
      </c>
      <c r="K957" s="3" t="str">
        <f t="shared" si="57"/>
        <v>IT</v>
      </c>
      <c r="L957" s="3" t="s">
        <v>77</v>
      </c>
      <c r="M957" s="4">
        <v>43800</v>
      </c>
      <c r="N957" s="4">
        <v>43800</v>
      </c>
      <c r="O957" s="3" t="s">
        <v>78</v>
      </c>
      <c r="P957" s="3">
        <v>86</v>
      </c>
      <c r="Q957" s="3" t="s">
        <v>473</v>
      </c>
      <c r="R957" s="3" t="s">
        <v>54</v>
      </c>
      <c r="S957" s="3" t="s">
        <v>32</v>
      </c>
      <c r="T957" s="3" t="str">
        <f t="shared" si="58"/>
        <v>Contract</v>
      </c>
      <c r="V957" s="3">
        <v>5</v>
      </c>
      <c r="Y957" s="3" t="s">
        <v>79</v>
      </c>
      <c r="AA957" s="3" t="s">
        <v>34</v>
      </c>
      <c r="AB957" s="3" t="str" cm="1">
        <f t="array" ref="AB957">_xlfn.IFS(AA957="N","No",  AA957 = "Y", "Yes", TRUE, PROPER(TRIM(AA957)))</f>
        <v>No</v>
      </c>
      <c r="AC957" s="3">
        <v>4</v>
      </c>
      <c r="AD957" s="3" t="s">
        <v>34</v>
      </c>
      <c r="AE957">
        <f t="shared" si="59"/>
        <v>0</v>
      </c>
    </row>
    <row r="958" spans="1:31" ht="14.25" customHeight="1" x14ac:dyDescent="0.35">
      <c r="A958" s="3" t="s">
        <v>1794</v>
      </c>
      <c r="B958" s="3" t="s">
        <v>36</v>
      </c>
      <c r="C958" s="3" t="s">
        <v>219</v>
      </c>
      <c r="D958" s="3">
        <v>25</v>
      </c>
      <c r="E958" s="3">
        <f t="shared" si="56"/>
        <v>25</v>
      </c>
      <c r="F958" s="3">
        <v>1999</v>
      </c>
      <c r="G958" s="3">
        <v>50000</v>
      </c>
      <c r="H958" s="12" cm="1">
        <f t="array" ref="H958">_xlfn.IFS(TRIM(G958)="SIXTY THOUSAND",60000,TRIM(G958)="NAN",AVERAGEIFS(G:G,J:J,J958,L:L,L958),TRUE,G958)</f>
        <v>50000</v>
      </c>
      <c r="I958" s="3" t="s">
        <v>38</v>
      </c>
      <c r="J958" s="3" t="s">
        <v>93</v>
      </c>
      <c r="K958" s="3" t="str">
        <f t="shared" si="57"/>
        <v>Marketing</v>
      </c>
      <c r="L958" s="3" t="s">
        <v>94</v>
      </c>
      <c r="M958" s="4">
        <v>43881</v>
      </c>
      <c r="N958" s="4">
        <v>43881</v>
      </c>
      <c r="O958" s="3" t="s">
        <v>41</v>
      </c>
      <c r="P958" s="3">
        <v>5</v>
      </c>
      <c r="Q958" s="3" t="s">
        <v>220</v>
      </c>
      <c r="R958" s="3" t="s">
        <v>61</v>
      </c>
      <c r="S958" s="3" t="s">
        <v>174</v>
      </c>
      <c r="T958" s="3" t="str">
        <f t="shared" si="58"/>
        <v>Full-Time</v>
      </c>
      <c r="V958" s="3">
        <v>6</v>
      </c>
      <c r="X958" s="3">
        <v>12</v>
      </c>
      <c r="AA958" s="3" t="s">
        <v>169</v>
      </c>
      <c r="AB958" s="3" t="str" cm="1">
        <f t="array" ref="AB958">_xlfn.IFS(AA958="N","No",  AA958 = "Y", "Yes", TRUE, PROPER(TRIM(AA958)))</f>
        <v>Yes</v>
      </c>
      <c r="AC958" s="3">
        <v>1</v>
      </c>
      <c r="AD958" s="3" t="s">
        <v>34</v>
      </c>
      <c r="AE958">
        <f t="shared" si="59"/>
        <v>0</v>
      </c>
    </row>
    <row r="959" spans="1:31" ht="14.25" customHeight="1" x14ac:dyDescent="0.35">
      <c r="A959" s="3" t="s">
        <v>1795</v>
      </c>
      <c r="B959" s="3" t="s">
        <v>25</v>
      </c>
      <c r="C959" s="3" t="s">
        <v>265</v>
      </c>
      <c r="D959" s="3">
        <v>35</v>
      </c>
      <c r="E959" s="3">
        <f t="shared" si="56"/>
        <v>35</v>
      </c>
      <c r="F959" s="3">
        <v>1989</v>
      </c>
      <c r="G959" s="3">
        <v>55000</v>
      </c>
      <c r="H959" s="12" cm="1">
        <f t="array" ref="H959">_xlfn.IFS(TRIM(G959)="SIXTY THOUSAND",60000,TRIM(G959)="NAN",AVERAGEIFS(G:G,J:J,J959,L:L,L959),TRUE,G959)</f>
        <v>55000</v>
      </c>
      <c r="I959" s="3" t="s">
        <v>27</v>
      </c>
      <c r="J959" s="3" t="s">
        <v>122</v>
      </c>
      <c r="K959" s="3" t="str">
        <f t="shared" si="57"/>
        <v>IT</v>
      </c>
      <c r="L959" s="3" t="s">
        <v>77</v>
      </c>
      <c r="M959" s="4">
        <v>43845</v>
      </c>
      <c r="N959" s="4">
        <v>43845</v>
      </c>
      <c r="O959" s="3" t="s">
        <v>52</v>
      </c>
      <c r="P959" s="3">
        <v>75</v>
      </c>
      <c r="Q959" s="3" t="s">
        <v>266</v>
      </c>
      <c r="R959" s="3" t="s">
        <v>43</v>
      </c>
      <c r="S959" s="3" t="s">
        <v>32</v>
      </c>
      <c r="T959" s="3" t="str">
        <f t="shared" si="58"/>
        <v>Contract</v>
      </c>
      <c r="V959" s="3">
        <v>6</v>
      </c>
      <c r="AA959" s="3" t="s">
        <v>73</v>
      </c>
      <c r="AB959" s="3" t="str" cm="1">
        <f t="array" ref="AB959">_xlfn.IFS(AA959="N","No",  AA959 = "Y", "Yes", TRUE, PROPER(TRIM(AA959)))</f>
        <v>No</v>
      </c>
      <c r="AC959" s="3">
        <v>4</v>
      </c>
      <c r="AD959" s="3" t="s">
        <v>34</v>
      </c>
      <c r="AE959">
        <f t="shared" si="59"/>
        <v>0</v>
      </c>
    </row>
    <row r="960" spans="1:31" ht="14.25" customHeight="1" x14ac:dyDescent="0.35">
      <c r="A960" s="3" t="s">
        <v>1796</v>
      </c>
      <c r="B960" s="3" t="s">
        <v>36</v>
      </c>
      <c r="C960" s="3" t="s">
        <v>256</v>
      </c>
      <c r="D960" s="3">
        <v>50</v>
      </c>
      <c r="E960" s="3">
        <f t="shared" si="56"/>
        <v>50</v>
      </c>
      <c r="F960" s="3">
        <v>1974</v>
      </c>
      <c r="G960" s="3">
        <v>65000</v>
      </c>
      <c r="H960" s="12" cm="1">
        <f t="array" ref="H960">_xlfn.IFS(TRIM(G960)="SIXTY THOUSAND",60000,TRIM(G960)="NAN",AVERAGEIFS(G:G,J:J,J960,L:L,L960),TRUE,G960)</f>
        <v>65000</v>
      </c>
      <c r="I960" s="3" t="s">
        <v>27</v>
      </c>
      <c r="J960" s="3" t="s">
        <v>122</v>
      </c>
      <c r="K960" s="3" t="str">
        <f t="shared" si="57"/>
        <v>IT</v>
      </c>
      <c r="L960" s="3" t="s">
        <v>94</v>
      </c>
      <c r="M960" s="4">
        <v>43195</v>
      </c>
      <c r="N960" s="4">
        <v>43195</v>
      </c>
      <c r="O960" s="3" t="s">
        <v>78</v>
      </c>
      <c r="P960" s="3">
        <v>80</v>
      </c>
      <c r="Q960" s="3" t="s">
        <v>669</v>
      </c>
      <c r="R960" s="3" t="s">
        <v>43</v>
      </c>
      <c r="S960" s="3" t="s">
        <v>72</v>
      </c>
      <c r="T960" s="3" t="str">
        <f t="shared" si="58"/>
        <v>Part-Time</v>
      </c>
      <c r="V960" s="3">
        <v>5</v>
      </c>
      <c r="X960" s="3">
        <v>20</v>
      </c>
      <c r="AA960" s="3" t="s">
        <v>33</v>
      </c>
      <c r="AB960" s="3" t="str" cm="1">
        <f t="array" ref="AB960">_xlfn.IFS(AA960="N","No",  AA960 = "Y", "Yes", TRUE, PROPER(TRIM(AA960)))</f>
        <v>Yes</v>
      </c>
      <c r="AC960" s="3">
        <v>1</v>
      </c>
      <c r="AD960" s="3" t="s">
        <v>46</v>
      </c>
      <c r="AE960">
        <f t="shared" si="59"/>
        <v>1</v>
      </c>
    </row>
    <row r="961" spans="1:31" ht="14.25" customHeight="1" x14ac:dyDescent="0.35">
      <c r="A961" s="3" t="s">
        <v>1797</v>
      </c>
      <c r="B961" s="3" t="s">
        <v>107</v>
      </c>
      <c r="C961" s="3" t="s">
        <v>154</v>
      </c>
      <c r="E961" s="3">
        <f t="shared" si="56"/>
        <v>58</v>
      </c>
      <c r="F961" s="3">
        <v>1966</v>
      </c>
      <c r="G961" s="3" t="s">
        <v>50</v>
      </c>
      <c r="H961" s="12" cm="1">
        <f t="array" ref="H961">_xlfn.IFS(TRIM(G961)="SIXTY THOUSAND",60000,TRIM(G961)="NAN",AVERAGEIFS(G:G,J:J,J961,L:L,L961),TRUE,G961)</f>
        <v>60000</v>
      </c>
      <c r="I961" s="3" t="s">
        <v>27</v>
      </c>
      <c r="J961" s="3" t="s">
        <v>64</v>
      </c>
      <c r="K961" s="3" t="str">
        <f t="shared" si="57"/>
        <v>Finance</v>
      </c>
      <c r="L961" s="3" t="s">
        <v>40</v>
      </c>
      <c r="M961" s="4">
        <v>43195</v>
      </c>
      <c r="N961" s="4">
        <v>43195</v>
      </c>
      <c r="O961" s="3" t="s">
        <v>59</v>
      </c>
      <c r="P961" s="3">
        <v>90</v>
      </c>
      <c r="Q961" s="3" t="s">
        <v>1798</v>
      </c>
      <c r="R961" s="3" t="s">
        <v>43</v>
      </c>
      <c r="S961" s="3" t="s">
        <v>44</v>
      </c>
      <c r="T961" s="3" t="str">
        <f t="shared" si="58"/>
        <v>Full-Time</v>
      </c>
      <c r="U961" s="3" t="s">
        <v>1799</v>
      </c>
      <c r="V961" s="3">
        <v>6</v>
      </c>
      <c r="Y961" s="4">
        <v>44990</v>
      </c>
      <c r="AA961" s="3" t="s">
        <v>46</v>
      </c>
      <c r="AB961" s="3" t="str" cm="1">
        <f t="array" ref="AB961">_xlfn.IFS(AA961="N","No",  AA961 = "Y", "Yes", TRUE, PROPER(TRIM(AA961)))</f>
        <v>Yes</v>
      </c>
      <c r="AC961" s="3">
        <v>5</v>
      </c>
      <c r="AD961" s="3" t="s">
        <v>34</v>
      </c>
      <c r="AE961">
        <f t="shared" si="59"/>
        <v>0</v>
      </c>
    </row>
    <row r="962" spans="1:31" ht="14.25" customHeight="1" x14ac:dyDescent="0.35">
      <c r="A962" s="3" t="s">
        <v>1800</v>
      </c>
      <c r="B962" s="3" t="s">
        <v>140</v>
      </c>
      <c r="C962" s="3" t="s">
        <v>271</v>
      </c>
      <c r="D962" s="3" t="s">
        <v>88</v>
      </c>
      <c r="E962" s="3">
        <f t="shared" ref="E962:E1001" si="60">2024-F962</f>
        <v>30</v>
      </c>
      <c r="F962" s="3">
        <v>1994</v>
      </c>
      <c r="G962" s="3">
        <v>58600</v>
      </c>
      <c r="H962" s="12" cm="1">
        <f t="array" ref="H962">_xlfn.IFS(TRIM(G962)="SIXTY THOUSAND",60000,TRIM(G962)="NAN",AVERAGEIFS(G:G,J:J,J962,L:L,L962),TRUE,G962)</f>
        <v>58600</v>
      </c>
      <c r="I962" s="3" t="s">
        <v>27</v>
      </c>
      <c r="J962" s="3" t="s">
        <v>70</v>
      </c>
      <c r="K962" s="3" t="str">
        <f t="shared" ref="K962:K1001" si="61">IF(OR(J962="HR",J962="IT"),UPPER(J962),PROPER(J962))</f>
        <v>Marketing</v>
      </c>
      <c r="L962" s="3" t="s">
        <v>77</v>
      </c>
      <c r="M962" s="4">
        <v>43881</v>
      </c>
      <c r="N962" s="4">
        <v>43881</v>
      </c>
      <c r="O962" s="3" t="s">
        <v>59</v>
      </c>
      <c r="P962" s="3">
        <v>91</v>
      </c>
      <c r="Q962" s="3" t="s">
        <v>1801</v>
      </c>
      <c r="R962" s="3" t="s">
        <v>43</v>
      </c>
      <c r="S962" s="3" t="s">
        <v>32</v>
      </c>
      <c r="T962" s="3" t="str">
        <f t="shared" ref="T962:T1001" si="62">PROPER(S962)</f>
        <v>Contract</v>
      </c>
      <c r="V962" s="3">
        <v>1</v>
      </c>
      <c r="W962" s="3">
        <v>1</v>
      </c>
      <c r="AA962" s="3" t="s">
        <v>46</v>
      </c>
      <c r="AB962" s="3" t="str" cm="1">
        <f t="array" ref="AB962">_xlfn.IFS(AA962="N","No",  AA962 = "Y", "Yes", TRUE, PROPER(TRIM(AA962)))</f>
        <v>Yes</v>
      </c>
      <c r="AC962" s="3">
        <v>5</v>
      </c>
      <c r="AD962" s="3" t="s">
        <v>34</v>
      </c>
      <c r="AE962">
        <f t="shared" si="59"/>
        <v>0</v>
      </c>
    </row>
    <row r="963" spans="1:31" ht="14.25" customHeight="1" x14ac:dyDescent="0.35">
      <c r="A963" s="3" t="s">
        <v>1802</v>
      </c>
      <c r="B963" s="3" t="s">
        <v>131</v>
      </c>
      <c r="C963" s="3" t="s">
        <v>117</v>
      </c>
      <c r="E963" s="3">
        <f t="shared" si="60"/>
        <v>28</v>
      </c>
      <c r="F963" s="3">
        <v>1996</v>
      </c>
      <c r="G963" s="3">
        <v>65000</v>
      </c>
      <c r="H963" s="12" cm="1">
        <f t="array" ref="H963">_xlfn.IFS(TRIM(G963)="SIXTY THOUSAND",60000,TRIM(G963)="NAN",AVERAGEIFS(G:G,J:J,J963,L:L,L963),TRUE,G963)</f>
        <v>65000</v>
      </c>
      <c r="I963" s="3" t="s">
        <v>38</v>
      </c>
      <c r="J963" s="3" t="s">
        <v>145</v>
      </c>
      <c r="K963" s="3" t="str">
        <f t="shared" si="61"/>
        <v>Sales</v>
      </c>
      <c r="L963" s="3" t="s">
        <v>77</v>
      </c>
      <c r="M963" s="4">
        <v>43800</v>
      </c>
      <c r="N963" s="4">
        <v>43800</v>
      </c>
      <c r="O963" s="3" t="s">
        <v>41</v>
      </c>
      <c r="P963" s="3">
        <v>21</v>
      </c>
      <c r="Q963" s="3" t="s">
        <v>1803</v>
      </c>
      <c r="R963" s="3" t="s">
        <v>54</v>
      </c>
      <c r="S963" s="3" t="s">
        <v>174</v>
      </c>
      <c r="T963" s="3" t="str">
        <f t="shared" si="62"/>
        <v>Full-Time</v>
      </c>
      <c r="V963" s="3">
        <v>7</v>
      </c>
      <c r="W963" s="3">
        <v>12</v>
      </c>
      <c r="X963" s="3">
        <v>16</v>
      </c>
      <c r="AA963" s="3" t="s">
        <v>46</v>
      </c>
      <c r="AB963" s="3" t="str" cm="1">
        <f t="array" ref="AB963">_xlfn.IFS(AA963="N","No",  AA963 = "Y", "Yes", TRUE, PROPER(TRIM(AA963)))</f>
        <v>Yes</v>
      </c>
      <c r="AC963" s="3">
        <v>3</v>
      </c>
      <c r="AD963" s="3" t="s">
        <v>34</v>
      </c>
      <c r="AE963">
        <f t="shared" ref="AE963:AE1001" si="63">IF(AD963="Yes",1,0)</f>
        <v>0</v>
      </c>
    </row>
    <row r="964" spans="1:31" ht="14.25" customHeight="1" x14ac:dyDescent="0.35">
      <c r="A964" s="3" t="s">
        <v>1804</v>
      </c>
      <c r="B964" s="3" t="s">
        <v>56</v>
      </c>
      <c r="C964" s="3" t="s">
        <v>167</v>
      </c>
      <c r="D964" s="3">
        <v>40</v>
      </c>
      <c r="E964" s="3">
        <f t="shared" si="60"/>
        <v>40</v>
      </c>
      <c r="F964" s="3">
        <v>1984</v>
      </c>
      <c r="G964" s="3">
        <v>50000</v>
      </c>
      <c r="H964" s="12" cm="1">
        <f t="array" ref="H964">_xlfn.IFS(TRIM(G964)="SIXTY THOUSAND",60000,TRIM(G964)="NAN",AVERAGEIFS(G:G,J:J,J964,L:L,L964),TRUE,G964)</f>
        <v>50000</v>
      </c>
      <c r="I964" s="3" t="s">
        <v>38</v>
      </c>
      <c r="J964" s="3" t="s">
        <v>122</v>
      </c>
      <c r="K964" s="3" t="str">
        <f t="shared" si="61"/>
        <v>IT</v>
      </c>
      <c r="L964" s="3" t="s">
        <v>77</v>
      </c>
      <c r="M964" s="4">
        <v>43845</v>
      </c>
      <c r="N964" s="4">
        <v>43845</v>
      </c>
      <c r="O964" s="3" t="s">
        <v>52</v>
      </c>
      <c r="P964" s="3">
        <v>73</v>
      </c>
      <c r="Q964" t="str">
        <f>LOWER(_xlfn.CONCAT(B964,".",C964,"@saltcorp.com"))</f>
        <v>eve.hanson@saltcorp.com</v>
      </c>
      <c r="R964" s="3" t="s">
        <v>104</v>
      </c>
      <c r="S964" s="3" t="s">
        <v>66</v>
      </c>
      <c r="T964" s="3" t="str">
        <f t="shared" si="62"/>
        <v>Contract</v>
      </c>
      <c r="V964" s="3">
        <v>2</v>
      </c>
      <c r="AA964" s="3" t="s">
        <v>34</v>
      </c>
      <c r="AB964" s="3" t="str" cm="1">
        <f t="array" ref="AB964">_xlfn.IFS(AA964="N","No",  AA964 = "Y", "Yes", TRUE, PROPER(TRIM(AA964)))</f>
        <v>No</v>
      </c>
      <c r="AC964" s="3">
        <v>2</v>
      </c>
      <c r="AD964" s="3" t="s">
        <v>34</v>
      </c>
      <c r="AE964">
        <f t="shared" si="63"/>
        <v>0</v>
      </c>
    </row>
    <row r="965" spans="1:31" ht="14.25" customHeight="1" x14ac:dyDescent="0.35">
      <c r="A965" s="3" t="s">
        <v>1805</v>
      </c>
      <c r="B965" s="3" t="s">
        <v>25</v>
      </c>
      <c r="C965" s="3" t="s">
        <v>328</v>
      </c>
      <c r="D965" s="3" t="s">
        <v>88</v>
      </c>
      <c r="E965" s="3">
        <f t="shared" si="60"/>
        <v>30</v>
      </c>
      <c r="F965" s="3">
        <v>1994</v>
      </c>
      <c r="G965" s="3" t="s">
        <v>50</v>
      </c>
      <c r="H965" s="12" cm="1">
        <f t="array" ref="H965">_xlfn.IFS(TRIM(G965)="SIXTY THOUSAND",60000,TRIM(G965)="NAN",AVERAGEIFS(G:G,J:J,J965,L:L,L965),TRUE,G965)</f>
        <v>60000</v>
      </c>
      <c r="I965" s="3" t="s">
        <v>38</v>
      </c>
      <c r="J965" s="3" t="s">
        <v>64</v>
      </c>
      <c r="K965" s="3" t="str">
        <f t="shared" si="61"/>
        <v>Finance</v>
      </c>
      <c r="L965" s="3" t="s">
        <v>94</v>
      </c>
      <c r="M965" s="4">
        <v>43195</v>
      </c>
      <c r="N965" s="4">
        <v>43195</v>
      </c>
      <c r="O965" s="3" t="s">
        <v>78</v>
      </c>
      <c r="P965" s="3">
        <v>89</v>
      </c>
      <c r="Q965" s="3" t="s">
        <v>329</v>
      </c>
      <c r="S965" s="3" t="s">
        <v>174</v>
      </c>
      <c r="T965" s="3" t="str">
        <f t="shared" si="62"/>
        <v>Full-Time</v>
      </c>
      <c r="U965" s="3" t="s">
        <v>1806</v>
      </c>
      <c r="V965" s="3">
        <v>6</v>
      </c>
      <c r="Y965" s="3" t="s">
        <v>79</v>
      </c>
      <c r="Z965" s="3">
        <v>12</v>
      </c>
      <c r="AB965" s="3" t="str" cm="1">
        <f t="array" ref="AB965">_xlfn.IFS(AA965="N","No",  AA965 = "Y", "Yes", TRUE, PROPER(TRIM(AA965)))</f>
        <v/>
      </c>
      <c r="AC965" s="3">
        <v>3</v>
      </c>
      <c r="AD965" s="3" t="s">
        <v>34</v>
      </c>
      <c r="AE965">
        <f t="shared" si="63"/>
        <v>0</v>
      </c>
    </row>
    <row r="966" spans="1:31" ht="14.25" customHeight="1" x14ac:dyDescent="0.35">
      <c r="A966" s="3" t="s">
        <v>1807</v>
      </c>
      <c r="B966" s="3" t="s">
        <v>131</v>
      </c>
      <c r="C966" s="3" t="s">
        <v>692</v>
      </c>
      <c r="D966" s="3">
        <v>35</v>
      </c>
      <c r="E966" s="3">
        <f t="shared" si="60"/>
        <v>35</v>
      </c>
      <c r="F966" s="3">
        <v>1989</v>
      </c>
      <c r="G966" s="3">
        <v>55000</v>
      </c>
      <c r="H966" s="12" cm="1">
        <f t="array" ref="H966">_xlfn.IFS(TRIM(G966)="SIXTY THOUSAND",60000,TRIM(G966)="NAN",AVERAGEIFS(G:G,J:J,J966,L:L,L966),TRUE,G966)</f>
        <v>55000</v>
      </c>
      <c r="I966" s="3" t="s">
        <v>27</v>
      </c>
      <c r="J966" s="3" t="s">
        <v>93</v>
      </c>
      <c r="K966" s="3" t="str">
        <f t="shared" si="61"/>
        <v>Marketing</v>
      </c>
      <c r="L966" s="3" t="s">
        <v>89</v>
      </c>
      <c r="M966" s="4">
        <v>43845</v>
      </c>
      <c r="N966" s="4">
        <v>43845</v>
      </c>
      <c r="O966" s="3" t="s">
        <v>78</v>
      </c>
      <c r="P966" s="3">
        <v>85</v>
      </c>
      <c r="Q966" s="3" t="s">
        <v>693</v>
      </c>
      <c r="R966" s="3" t="s">
        <v>54</v>
      </c>
      <c r="S966" s="3" t="s">
        <v>32</v>
      </c>
      <c r="T966" s="3" t="str">
        <f t="shared" si="62"/>
        <v>Contract</v>
      </c>
      <c r="V966" s="3">
        <v>4</v>
      </c>
      <c r="AB966" s="3" t="str" cm="1">
        <f t="array" ref="AB966">_xlfn.IFS(AA966="N","No",  AA966 = "Y", "Yes", TRUE, PROPER(TRIM(AA966)))</f>
        <v/>
      </c>
      <c r="AC966" s="3">
        <v>3</v>
      </c>
      <c r="AD966" s="3" t="s">
        <v>34</v>
      </c>
      <c r="AE966">
        <f t="shared" si="63"/>
        <v>0</v>
      </c>
    </row>
    <row r="967" spans="1:31" ht="14.25" customHeight="1" x14ac:dyDescent="0.35">
      <c r="A967" s="3" t="s">
        <v>1808</v>
      </c>
      <c r="B967" s="3" t="s">
        <v>36</v>
      </c>
      <c r="C967" s="3" t="s">
        <v>271</v>
      </c>
      <c r="D967" s="3">
        <v>35</v>
      </c>
      <c r="E967" s="3">
        <f t="shared" si="60"/>
        <v>35</v>
      </c>
      <c r="F967" s="3">
        <v>1989</v>
      </c>
      <c r="G967" s="3" t="s">
        <v>50</v>
      </c>
      <c r="H967" s="12" cm="1">
        <f t="array" ref="H967">_xlfn.IFS(TRIM(G967)="SIXTY THOUSAND",60000,TRIM(G967)="NAN",AVERAGEIFS(G:G,J:J,J967,L:L,L967),TRUE,G967)</f>
        <v>60000</v>
      </c>
      <c r="I967" s="3" t="s">
        <v>38</v>
      </c>
      <c r="J967" s="3" t="s">
        <v>93</v>
      </c>
      <c r="K967" s="3" t="str">
        <f t="shared" si="61"/>
        <v>Marketing</v>
      </c>
      <c r="L967" s="3" t="s">
        <v>40</v>
      </c>
      <c r="M967" s="4">
        <v>43195</v>
      </c>
      <c r="N967" s="4">
        <v>43195</v>
      </c>
      <c r="O967" s="3" t="s">
        <v>59</v>
      </c>
      <c r="P967" s="3">
        <v>100</v>
      </c>
      <c r="Q967" s="3" t="s">
        <v>1809</v>
      </c>
      <c r="R967" s="3" t="s">
        <v>43</v>
      </c>
      <c r="S967" s="3" t="s">
        <v>100</v>
      </c>
      <c r="T967" s="3" t="str">
        <f t="shared" si="62"/>
        <v>Part-Time</v>
      </c>
      <c r="V967" s="3">
        <v>3</v>
      </c>
      <c r="W967" s="3">
        <v>2</v>
      </c>
      <c r="AA967" s="3" t="s">
        <v>169</v>
      </c>
      <c r="AB967" s="3" t="str" cm="1">
        <f t="array" ref="AB967">_xlfn.IFS(AA967="N","No",  AA967 = "Y", "Yes", TRUE, PROPER(TRIM(AA967)))</f>
        <v>Yes</v>
      </c>
      <c r="AC967" s="3">
        <v>3</v>
      </c>
      <c r="AD967" s="3" t="s">
        <v>34</v>
      </c>
      <c r="AE967">
        <f t="shared" si="63"/>
        <v>0</v>
      </c>
    </row>
    <row r="968" spans="1:31" ht="14.25" customHeight="1" x14ac:dyDescent="0.35">
      <c r="A968" s="3" t="s">
        <v>1810</v>
      </c>
      <c r="B968" s="3" t="s">
        <v>107</v>
      </c>
      <c r="C968" s="3" t="s">
        <v>135</v>
      </c>
      <c r="D968" s="3">
        <v>50</v>
      </c>
      <c r="E968" s="3">
        <f t="shared" si="60"/>
        <v>50</v>
      </c>
      <c r="F968" s="3">
        <v>1974</v>
      </c>
      <c r="G968" s="3" t="s">
        <v>50</v>
      </c>
      <c r="H968" s="12" cm="1">
        <f t="array" ref="H968">_xlfn.IFS(TRIM(G968)="SIXTY THOUSAND",60000,TRIM(G968)="NAN",AVERAGEIFS(G:G,J:J,J968,L:L,L968),TRUE,G968)</f>
        <v>60000</v>
      </c>
      <c r="I968" s="3" t="s">
        <v>27</v>
      </c>
      <c r="J968" s="3" t="s">
        <v>82</v>
      </c>
      <c r="K968" s="3" t="str">
        <f t="shared" si="61"/>
        <v>HR</v>
      </c>
      <c r="L968" s="3" t="s">
        <v>77</v>
      </c>
      <c r="M968" s="4">
        <v>43800</v>
      </c>
      <c r="N968" s="4">
        <v>43800</v>
      </c>
      <c r="O968" s="3" t="s">
        <v>41</v>
      </c>
      <c r="P968" s="3">
        <v>23</v>
      </c>
      <c r="Q968" s="3" t="s">
        <v>1811</v>
      </c>
      <c r="R968" s="3" t="s">
        <v>54</v>
      </c>
      <c r="S968" s="3" t="s">
        <v>174</v>
      </c>
      <c r="T968" s="3" t="str">
        <f t="shared" si="62"/>
        <v>Full-Time</v>
      </c>
      <c r="V968" s="3">
        <v>5</v>
      </c>
      <c r="X968" s="3">
        <v>12</v>
      </c>
      <c r="Y968" s="4">
        <v>45516</v>
      </c>
      <c r="AA968" s="3" t="s">
        <v>34</v>
      </c>
      <c r="AB968" s="3" t="str" cm="1">
        <f t="array" ref="AB968">_xlfn.IFS(AA968="N","No",  AA968 = "Y", "Yes", TRUE, PROPER(TRIM(AA968)))</f>
        <v>No</v>
      </c>
      <c r="AC968" s="3">
        <v>3</v>
      </c>
      <c r="AD968" s="3" t="s">
        <v>46</v>
      </c>
      <c r="AE968">
        <f t="shared" si="63"/>
        <v>1</v>
      </c>
    </row>
    <row r="969" spans="1:31" ht="14.25" customHeight="1" x14ac:dyDescent="0.35">
      <c r="A969" s="3" t="s">
        <v>1812</v>
      </c>
      <c r="B969" s="3" t="s">
        <v>114</v>
      </c>
      <c r="C969" s="3" t="s">
        <v>710</v>
      </c>
      <c r="D969" s="3" t="s">
        <v>88</v>
      </c>
      <c r="E969" s="3">
        <f t="shared" si="60"/>
        <v>30</v>
      </c>
      <c r="F969" s="3">
        <v>1994</v>
      </c>
      <c r="G969" s="3">
        <v>70000</v>
      </c>
      <c r="H969" s="12" cm="1">
        <f t="array" ref="H969">_xlfn.IFS(TRIM(G969)="SIXTY THOUSAND",60000,TRIM(G969)="NAN",AVERAGEIFS(G:G,J:J,J969,L:L,L969),TRUE,G969)</f>
        <v>70000</v>
      </c>
      <c r="I969" s="3" t="s">
        <v>27</v>
      </c>
      <c r="J969" s="3" t="s">
        <v>28</v>
      </c>
      <c r="K969" s="3" t="str">
        <f t="shared" si="61"/>
        <v>HR</v>
      </c>
      <c r="L969" s="3" t="s">
        <v>89</v>
      </c>
      <c r="M969" s="4">
        <v>43195</v>
      </c>
      <c r="N969" s="4">
        <v>43195</v>
      </c>
      <c r="O969" s="3" t="s">
        <v>59</v>
      </c>
      <c r="P969" s="3">
        <v>91</v>
      </c>
      <c r="Q969" s="3" t="s">
        <v>711</v>
      </c>
      <c r="R969" s="3" t="s">
        <v>61</v>
      </c>
      <c r="S969" s="3" t="s">
        <v>44</v>
      </c>
      <c r="T969" s="3" t="str">
        <f t="shared" si="62"/>
        <v>Full-Time</v>
      </c>
      <c r="V969" s="3">
        <v>6</v>
      </c>
      <c r="W969" s="3">
        <v>4</v>
      </c>
      <c r="X969" s="3">
        <v>8</v>
      </c>
      <c r="Y969" s="4">
        <v>44941</v>
      </c>
      <c r="AA969" s="3" t="s">
        <v>34</v>
      </c>
      <c r="AB969" s="3" t="str" cm="1">
        <f t="array" ref="AB969">_xlfn.IFS(AA969="N","No",  AA969 = "Y", "Yes", TRUE, PROPER(TRIM(AA969)))</f>
        <v>No</v>
      </c>
      <c r="AC969" s="3">
        <v>3</v>
      </c>
      <c r="AD969" s="3" t="s">
        <v>34</v>
      </c>
      <c r="AE969">
        <f t="shared" si="63"/>
        <v>0</v>
      </c>
    </row>
    <row r="970" spans="1:31" ht="14.25" customHeight="1" x14ac:dyDescent="0.35">
      <c r="A970" s="3" t="s">
        <v>1813</v>
      </c>
      <c r="B970" s="3" t="s">
        <v>68</v>
      </c>
      <c r="C970" s="3" t="s">
        <v>299</v>
      </c>
      <c r="D970" s="3">
        <v>25</v>
      </c>
      <c r="E970" s="3">
        <f t="shared" si="60"/>
        <v>25</v>
      </c>
      <c r="F970" s="3">
        <v>1999</v>
      </c>
      <c r="G970" s="3" t="s">
        <v>50</v>
      </c>
      <c r="H970" s="12" cm="1">
        <f t="array" ref="H970">_xlfn.IFS(TRIM(G970)="SIXTY THOUSAND",60000,TRIM(G970)="NAN",AVERAGEIFS(G:G,J:J,J970,L:L,L970),TRUE,G970)</f>
        <v>60000</v>
      </c>
      <c r="I970" s="3" t="s">
        <v>27</v>
      </c>
      <c r="J970" s="3" t="s">
        <v>122</v>
      </c>
      <c r="K970" s="3" t="str">
        <f t="shared" si="61"/>
        <v>IT</v>
      </c>
      <c r="L970" s="3" t="s">
        <v>40</v>
      </c>
      <c r="M970" s="4">
        <v>43195</v>
      </c>
      <c r="N970" s="4">
        <v>43195</v>
      </c>
      <c r="O970" s="3" t="s">
        <v>59</v>
      </c>
      <c r="P970" s="3">
        <v>96</v>
      </c>
      <c r="Q970" s="3" t="s">
        <v>1814</v>
      </c>
      <c r="R970" s="3" t="s">
        <v>43</v>
      </c>
      <c r="S970" s="3" t="s">
        <v>174</v>
      </c>
      <c r="T970" s="3" t="str">
        <f t="shared" si="62"/>
        <v>Full-Time</v>
      </c>
      <c r="V970" s="3">
        <v>6</v>
      </c>
      <c r="Y970" s="3" t="s">
        <v>79</v>
      </c>
      <c r="AB970" s="3" t="str" cm="1">
        <f t="array" ref="AB970">_xlfn.IFS(AA970="N","No",  AA970 = "Y", "Yes", TRUE, PROPER(TRIM(AA970)))</f>
        <v/>
      </c>
      <c r="AC970" s="3">
        <v>1</v>
      </c>
      <c r="AD970" s="3" t="s">
        <v>46</v>
      </c>
      <c r="AE970">
        <f t="shared" si="63"/>
        <v>1</v>
      </c>
    </row>
    <row r="971" spans="1:31" ht="14.25" customHeight="1" x14ac:dyDescent="0.35">
      <c r="A971" s="3" t="s">
        <v>1815</v>
      </c>
      <c r="B971" s="3" t="s">
        <v>56</v>
      </c>
      <c r="C971" s="3" t="s">
        <v>229</v>
      </c>
      <c r="D971" s="3" t="s">
        <v>88</v>
      </c>
      <c r="E971" s="3">
        <f t="shared" si="60"/>
        <v>30</v>
      </c>
      <c r="F971" s="3">
        <v>1994</v>
      </c>
      <c r="G971" s="3" t="s">
        <v>50</v>
      </c>
      <c r="H971" s="12" cm="1">
        <f t="array" ref="H971">_xlfn.IFS(TRIM(G971)="SIXTY THOUSAND",60000,TRIM(G971)="NAN",AVERAGEIFS(G:G,J:J,J971,L:L,L971),TRUE,G971)</f>
        <v>60000</v>
      </c>
      <c r="I971" s="3" t="s">
        <v>38</v>
      </c>
      <c r="J971" s="3" t="s">
        <v>28</v>
      </c>
      <c r="K971" s="3" t="str">
        <f t="shared" si="61"/>
        <v>HR</v>
      </c>
      <c r="L971" s="3" t="s">
        <v>40</v>
      </c>
      <c r="M971" s="4">
        <v>43549</v>
      </c>
      <c r="N971" s="4">
        <v>43549</v>
      </c>
      <c r="O971" s="3" t="s">
        <v>41</v>
      </c>
      <c r="P971" s="3">
        <v>29</v>
      </c>
      <c r="Q971" s="3" t="s">
        <v>1816</v>
      </c>
      <c r="S971" s="3" t="s">
        <v>100</v>
      </c>
      <c r="T971" s="3" t="str">
        <f t="shared" si="62"/>
        <v>Part-Time</v>
      </c>
      <c r="U971" s="3" t="s">
        <v>1817</v>
      </c>
      <c r="V971" s="3">
        <v>8</v>
      </c>
      <c r="X971" s="3">
        <v>9</v>
      </c>
      <c r="Y971" s="3" t="s">
        <v>79</v>
      </c>
      <c r="AB971" s="3" t="str" cm="1">
        <f t="array" ref="AB971">_xlfn.IFS(AA971="N","No",  AA971 = "Y", "Yes", TRUE, PROPER(TRIM(AA971)))</f>
        <v/>
      </c>
      <c r="AC971" s="3">
        <v>4</v>
      </c>
      <c r="AD971" s="3" t="s">
        <v>34</v>
      </c>
      <c r="AE971">
        <f t="shared" si="63"/>
        <v>0</v>
      </c>
    </row>
    <row r="972" spans="1:31" ht="14.25" customHeight="1" x14ac:dyDescent="0.35">
      <c r="A972" s="3" t="s">
        <v>1818</v>
      </c>
      <c r="B972" s="3" t="s">
        <v>68</v>
      </c>
      <c r="C972" s="3" t="s">
        <v>732</v>
      </c>
      <c r="D972" s="3">
        <v>40</v>
      </c>
      <c r="E972" s="3">
        <f t="shared" si="60"/>
        <v>40</v>
      </c>
      <c r="F972" s="3">
        <v>1984</v>
      </c>
      <c r="G972" s="3">
        <v>65000</v>
      </c>
      <c r="H972" s="12" cm="1">
        <f t="array" ref="H972">_xlfn.IFS(TRIM(G972)="SIXTY THOUSAND",60000,TRIM(G972)="NAN",AVERAGEIFS(G:G,J:J,J972,L:L,L972),TRUE,G972)</f>
        <v>65000</v>
      </c>
      <c r="I972" s="3" t="s">
        <v>27</v>
      </c>
      <c r="J972" s="3" t="s">
        <v>58</v>
      </c>
      <c r="K972" s="3" t="str">
        <f t="shared" si="61"/>
        <v>IT</v>
      </c>
      <c r="L972" s="3" t="s">
        <v>77</v>
      </c>
      <c r="M972" s="4">
        <v>43800</v>
      </c>
      <c r="N972" s="4">
        <v>43800</v>
      </c>
      <c r="O972" s="3" t="s">
        <v>52</v>
      </c>
      <c r="P972" s="3">
        <v>71</v>
      </c>
      <c r="Q972" s="3" t="s">
        <v>1819</v>
      </c>
      <c r="R972" s="3" t="s">
        <v>43</v>
      </c>
      <c r="S972" s="3" t="s">
        <v>174</v>
      </c>
      <c r="T972" s="3" t="str">
        <f t="shared" si="62"/>
        <v>Full-Time</v>
      </c>
      <c r="V972" s="3">
        <v>8</v>
      </c>
      <c r="W972" s="3">
        <v>11</v>
      </c>
      <c r="AA972" s="3" t="s">
        <v>34</v>
      </c>
      <c r="AB972" s="3" t="str" cm="1">
        <f t="array" ref="AB972">_xlfn.IFS(AA972="N","No",  AA972 = "Y", "Yes", TRUE, PROPER(TRIM(AA972)))</f>
        <v>No</v>
      </c>
      <c r="AC972" s="3">
        <v>4</v>
      </c>
      <c r="AD972" s="3" t="s">
        <v>34</v>
      </c>
      <c r="AE972">
        <f t="shared" si="63"/>
        <v>0</v>
      </c>
    </row>
    <row r="973" spans="1:31" ht="14.25" customHeight="1" x14ac:dyDescent="0.35">
      <c r="A973" s="3" t="s">
        <v>1820</v>
      </c>
      <c r="B973" s="3" t="s">
        <v>131</v>
      </c>
      <c r="C973" s="3" t="s">
        <v>247</v>
      </c>
      <c r="D973" s="3">
        <v>25</v>
      </c>
      <c r="E973" s="3">
        <f t="shared" si="60"/>
        <v>25</v>
      </c>
      <c r="F973" s="3">
        <v>1999</v>
      </c>
      <c r="G973" s="3">
        <v>55000</v>
      </c>
      <c r="H973" s="12" cm="1">
        <f t="array" ref="H973">_xlfn.IFS(TRIM(G973)="SIXTY THOUSAND",60000,TRIM(G973)="NAN",AVERAGEIFS(G:G,J:J,J973,L:L,L973),TRUE,G973)</f>
        <v>55000</v>
      </c>
      <c r="I973" s="3" t="s">
        <v>38</v>
      </c>
      <c r="J973" s="3" t="s">
        <v>51</v>
      </c>
      <c r="K973" s="3" t="str">
        <f t="shared" si="61"/>
        <v>Sales</v>
      </c>
      <c r="L973" s="3" t="s">
        <v>77</v>
      </c>
      <c r="M973" s="4">
        <v>43881</v>
      </c>
      <c r="N973" s="4">
        <v>43881</v>
      </c>
      <c r="O973" s="3" t="s">
        <v>78</v>
      </c>
      <c r="P973" s="3">
        <v>89</v>
      </c>
      <c r="Q973" s="3" t="s">
        <v>1821</v>
      </c>
      <c r="S973" s="3" t="s">
        <v>44</v>
      </c>
      <c r="T973" s="3" t="str">
        <f t="shared" si="62"/>
        <v>Full-Time</v>
      </c>
      <c r="V973" s="3">
        <v>2</v>
      </c>
      <c r="Z973" s="3">
        <v>29</v>
      </c>
      <c r="AB973" s="3" t="str" cm="1">
        <f t="array" ref="AB973">_xlfn.IFS(AA973="N","No",  AA973 = "Y", "Yes", TRUE, PROPER(TRIM(AA973)))</f>
        <v/>
      </c>
      <c r="AC973" s="3">
        <v>3</v>
      </c>
      <c r="AD973" s="3" t="s">
        <v>46</v>
      </c>
      <c r="AE973">
        <f t="shared" si="63"/>
        <v>1</v>
      </c>
    </row>
    <row r="974" spans="1:31" ht="14.25" customHeight="1" x14ac:dyDescent="0.35">
      <c r="A974" s="3" t="s">
        <v>1822</v>
      </c>
      <c r="B974" s="3" t="s">
        <v>107</v>
      </c>
      <c r="C974" s="3" t="s">
        <v>244</v>
      </c>
      <c r="D974" s="3">
        <v>35</v>
      </c>
      <c r="E974" s="3">
        <f t="shared" si="60"/>
        <v>35</v>
      </c>
      <c r="F974" s="3">
        <v>1989</v>
      </c>
      <c r="G974" s="3">
        <v>65000</v>
      </c>
      <c r="H974" s="12" cm="1">
        <f t="array" ref="H974">_xlfn.IFS(TRIM(G974)="SIXTY THOUSAND",60000,TRIM(G974)="NAN",AVERAGEIFS(G:G,J:J,J974,L:L,L974),TRUE,G974)</f>
        <v>65000</v>
      </c>
      <c r="I974" s="3" t="s">
        <v>38</v>
      </c>
      <c r="J974" s="3" t="s">
        <v>122</v>
      </c>
      <c r="K974" s="3" t="str">
        <f t="shared" si="61"/>
        <v>IT</v>
      </c>
      <c r="L974" s="3" t="s">
        <v>94</v>
      </c>
      <c r="M974" s="4">
        <v>43881</v>
      </c>
      <c r="N974" s="4">
        <v>43881</v>
      </c>
      <c r="O974" s="3" t="s">
        <v>52</v>
      </c>
      <c r="P974" s="3">
        <v>78</v>
      </c>
      <c r="Q974" s="3" t="s">
        <v>245</v>
      </c>
      <c r="S974" s="3" t="s">
        <v>66</v>
      </c>
      <c r="T974" s="3" t="str">
        <f t="shared" si="62"/>
        <v>Contract</v>
      </c>
      <c r="V974" s="3">
        <v>7</v>
      </c>
      <c r="W974" s="3" t="s">
        <v>79</v>
      </c>
      <c r="X974" s="3">
        <v>5</v>
      </c>
      <c r="AA974" s="3" t="s">
        <v>169</v>
      </c>
      <c r="AB974" s="3" t="str" cm="1">
        <f t="array" ref="AB974">_xlfn.IFS(AA974="N","No",  AA974 = "Y", "Yes", TRUE, PROPER(TRIM(AA974)))</f>
        <v>Yes</v>
      </c>
      <c r="AC974" s="3">
        <v>4</v>
      </c>
      <c r="AD974" s="3" t="s">
        <v>46</v>
      </c>
      <c r="AE974">
        <f t="shared" si="63"/>
        <v>1</v>
      </c>
    </row>
    <row r="975" spans="1:31" ht="14.25" customHeight="1" x14ac:dyDescent="0.35">
      <c r="A975" s="3" t="s">
        <v>1823</v>
      </c>
      <c r="B975" s="3" t="s">
        <v>107</v>
      </c>
      <c r="C975" s="3" t="s">
        <v>777</v>
      </c>
      <c r="D975" s="3" t="s">
        <v>88</v>
      </c>
      <c r="E975" s="3">
        <f t="shared" si="60"/>
        <v>30</v>
      </c>
      <c r="F975" s="3">
        <v>1994</v>
      </c>
      <c r="G975" s="3">
        <v>65000</v>
      </c>
      <c r="H975" s="12" cm="1">
        <f t="array" ref="H975">_xlfn.IFS(TRIM(G975)="SIXTY THOUSAND",60000,TRIM(G975)="NAN",AVERAGEIFS(G:G,J:J,J975,L:L,L975),TRUE,G975)</f>
        <v>65000</v>
      </c>
      <c r="I975" s="3" t="s">
        <v>27</v>
      </c>
      <c r="J975" s="3" t="s">
        <v>28</v>
      </c>
      <c r="K975" s="3" t="str">
        <f t="shared" si="61"/>
        <v>HR</v>
      </c>
      <c r="L975" s="3" t="s">
        <v>89</v>
      </c>
      <c r="M975" s="4">
        <v>43800</v>
      </c>
      <c r="N975" s="4">
        <v>43800</v>
      </c>
      <c r="O975" s="3" t="s">
        <v>30</v>
      </c>
      <c r="P975" s="3">
        <v>68</v>
      </c>
      <c r="Q975" t="str">
        <f>LOWER(_xlfn.CONCAT(B975,".",C975,"@saltcorp.com"))</f>
        <v>frank.gonzalez@saltcorp.com</v>
      </c>
      <c r="R975" s="3" t="s">
        <v>104</v>
      </c>
      <c r="S975" s="3" t="s">
        <v>100</v>
      </c>
      <c r="T975" s="3" t="str">
        <f t="shared" si="62"/>
        <v>Part-Time</v>
      </c>
      <c r="V975" s="3">
        <v>5</v>
      </c>
      <c r="Y975" s="4">
        <v>44732</v>
      </c>
      <c r="AA975" s="3" t="s">
        <v>73</v>
      </c>
      <c r="AB975" s="3" t="str" cm="1">
        <f t="array" ref="AB975">_xlfn.IFS(AA975="N","No",  AA975 = "Y", "Yes", TRUE, PROPER(TRIM(AA975)))</f>
        <v>No</v>
      </c>
      <c r="AC975" s="3">
        <v>2</v>
      </c>
      <c r="AD975" s="3" t="s">
        <v>34</v>
      </c>
      <c r="AE975">
        <f t="shared" si="63"/>
        <v>0</v>
      </c>
    </row>
    <row r="976" spans="1:31" ht="14.25" customHeight="1" x14ac:dyDescent="0.35">
      <c r="A976" s="3" t="s">
        <v>1824</v>
      </c>
      <c r="B976" s="3" t="s">
        <v>36</v>
      </c>
      <c r="C976" s="3" t="s">
        <v>137</v>
      </c>
      <c r="E976" s="3">
        <f t="shared" si="60"/>
        <v>31</v>
      </c>
      <c r="F976" s="3">
        <v>1993</v>
      </c>
      <c r="G976" s="3">
        <v>50000</v>
      </c>
      <c r="H976" s="12" cm="1">
        <f t="array" ref="H976">_xlfn.IFS(TRIM(G976)="SIXTY THOUSAND",60000,TRIM(G976)="NAN",AVERAGEIFS(G:G,J:J,J976,L:L,L976),TRUE,G976)</f>
        <v>50000</v>
      </c>
      <c r="I976" s="3" t="s">
        <v>38</v>
      </c>
      <c r="J976" s="3" t="s">
        <v>145</v>
      </c>
      <c r="K976" s="3" t="str">
        <f t="shared" si="61"/>
        <v>Sales</v>
      </c>
      <c r="L976" s="3" t="s">
        <v>89</v>
      </c>
      <c r="M976" s="4">
        <v>43881</v>
      </c>
      <c r="N976" s="4">
        <v>43881</v>
      </c>
      <c r="O976" s="3" t="s">
        <v>30</v>
      </c>
      <c r="P976" s="3">
        <v>68</v>
      </c>
      <c r="Q976" s="3" t="s">
        <v>1825</v>
      </c>
      <c r="R976" s="3" t="s">
        <v>104</v>
      </c>
      <c r="S976" s="3" t="s">
        <v>112</v>
      </c>
      <c r="T976" s="3" t="str">
        <f t="shared" si="62"/>
        <v>Full-Time</v>
      </c>
      <c r="V976" s="3">
        <v>8</v>
      </c>
      <c r="W976" s="3">
        <v>13</v>
      </c>
      <c r="Z976" s="3">
        <v>46</v>
      </c>
      <c r="AB976" s="3" t="str" cm="1">
        <f t="array" ref="AB976">_xlfn.IFS(AA976="N","No",  AA976 = "Y", "Yes", TRUE, PROPER(TRIM(AA976)))</f>
        <v/>
      </c>
      <c r="AC976" s="3">
        <v>5</v>
      </c>
      <c r="AD976" s="3" t="s">
        <v>34</v>
      </c>
      <c r="AE976">
        <f t="shared" si="63"/>
        <v>0</v>
      </c>
    </row>
    <row r="977" spans="1:31" ht="14.25" customHeight="1" x14ac:dyDescent="0.35">
      <c r="A977" s="3" t="s">
        <v>1826</v>
      </c>
      <c r="B977" s="3" t="s">
        <v>48</v>
      </c>
      <c r="C977" s="3" t="s">
        <v>380</v>
      </c>
      <c r="D977" s="3">
        <v>50</v>
      </c>
      <c r="E977" s="3">
        <f t="shared" si="60"/>
        <v>50</v>
      </c>
      <c r="F977" s="3">
        <v>1974</v>
      </c>
      <c r="G977" s="3">
        <v>65000</v>
      </c>
      <c r="H977" s="12" cm="1">
        <f t="array" ref="H977">_xlfn.IFS(TRIM(G977)="SIXTY THOUSAND",60000,TRIM(G977)="NAN",AVERAGEIFS(G:G,J:J,J977,L:L,L977),TRUE,G977)</f>
        <v>65000</v>
      </c>
      <c r="I977" s="3" t="s">
        <v>38</v>
      </c>
      <c r="J977" s="3" t="s">
        <v>28</v>
      </c>
      <c r="K977" s="3" t="str">
        <f t="shared" si="61"/>
        <v>HR</v>
      </c>
      <c r="L977" s="3" t="s">
        <v>77</v>
      </c>
      <c r="M977" s="4">
        <v>43800</v>
      </c>
      <c r="N977" s="4">
        <v>43800</v>
      </c>
      <c r="O977" s="3" t="s">
        <v>30</v>
      </c>
      <c r="P977" s="3">
        <v>62</v>
      </c>
      <c r="Q977" s="3" t="s">
        <v>1827</v>
      </c>
      <c r="R977" s="3" t="s">
        <v>54</v>
      </c>
      <c r="S977" s="3" t="s">
        <v>32</v>
      </c>
      <c r="T977" s="3" t="str">
        <f t="shared" si="62"/>
        <v>Contract</v>
      </c>
      <c r="V977" s="3">
        <v>3</v>
      </c>
      <c r="X977" s="3">
        <v>13</v>
      </c>
      <c r="AA977" s="3" t="s">
        <v>33</v>
      </c>
      <c r="AB977" s="3" t="str" cm="1">
        <f t="array" ref="AB977">_xlfn.IFS(AA977="N","No",  AA977 = "Y", "Yes", TRUE, PROPER(TRIM(AA977)))</f>
        <v>Yes</v>
      </c>
      <c r="AC977" s="3">
        <v>4</v>
      </c>
      <c r="AD977" s="3" t="s">
        <v>34</v>
      </c>
      <c r="AE977">
        <f t="shared" si="63"/>
        <v>0</v>
      </c>
    </row>
    <row r="978" spans="1:31" ht="14.25" customHeight="1" x14ac:dyDescent="0.35">
      <c r="A978" s="3" t="s">
        <v>1828</v>
      </c>
      <c r="B978" s="3" t="s">
        <v>36</v>
      </c>
      <c r="C978" s="3" t="s">
        <v>256</v>
      </c>
      <c r="E978" s="3">
        <f t="shared" si="60"/>
        <v>55</v>
      </c>
      <c r="F978" s="3">
        <v>1969</v>
      </c>
      <c r="G978" s="3">
        <v>70000</v>
      </c>
      <c r="H978" s="12" cm="1">
        <f t="array" ref="H978">_xlfn.IFS(TRIM(G978)="SIXTY THOUSAND",60000,TRIM(G978)="NAN",AVERAGEIFS(G:G,J:J,J978,L:L,L978),TRUE,G978)</f>
        <v>70000</v>
      </c>
      <c r="I978" s="3" t="s">
        <v>27</v>
      </c>
      <c r="J978" s="3" t="s">
        <v>58</v>
      </c>
      <c r="K978" s="3" t="str">
        <f t="shared" si="61"/>
        <v>IT</v>
      </c>
      <c r="L978" s="3" t="s">
        <v>40</v>
      </c>
      <c r="M978" s="4">
        <v>43881</v>
      </c>
      <c r="N978" s="4">
        <v>43881</v>
      </c>
      <c r="O978" s="3" t="s">
        <v>41</v>
      </c>
      <c r="P978" s="3">
        <v>32</v>
      </c>
      <c r="Q978" s="3" t="s">
        <v>669</v>
      </c>
      <c r="R978" s="3" t="s">
        <v>54</v>
      </c>
      <c r="S978" s="3" t="s">
        <v>66</v>
      </c>
      <c r="T978" s="3" t="str">
        <f t="shared" si="62"/>
        <v>Contract</v>
      </c>
      <c r="U978" s="3" t="s">
        <v>1829</v>
      </c>
      <c r="V978" s="3">
        <v>3</v>
      </c>
      <c r="AA978" s="3" t="s">
        <v>33</v>
      </c>
      <c r="AB978" s="3" t="str" cm="1">
        <f t="array" ref="AB978">_xlfn.IFS(AA978="N","No",  AA978 = "Y", "Yes", TRUE, PROPER(TRIM(AA978)))</f>
        <v>Yes</v>
      </c>
      <c r="AC978" s="3">
        <v>3</v>
      </c>
      <c r="AD978" s="3" t="s">
        <v>34</v>
      </c>
      <c r="AE978">
        <f t="shared" si="63"/>
        <v>0</v>
      </c>
    </row>
    <row r="979" spans="1:31" ht="14.25" customHeight="1" x14ac:dyDescent="0.35">
      <c r="A979" s="3" t="s">
        <v>1830</v>
      </c>
      <c r="B979" s="3" t="s">
        <v>48</v>
      </c>
      <c r="C979" s="3" t="s">
        <v>334</v>
      </c>
      <c r="D979" s="3">
        <v>50</v>
      </c>
      <c r="E979" s="3">
        <f t="shared" si="60"/>
        <v>50</v>
      </c>
      <c r="F979" s="3">
        <v>1974</v>
      </c>
      <c r="G979" s="3">
        <v>70000</v>
      </c>
      <c r="H979" s="12" cm="1">
        <f t="array" ref="H979">_xlfn.IFS(TRIM(G979)="SIXTY THOUSAND",60000,TRIM(G979)="NAN",AVERAGEIFS(G:G,J:J,J979,L:L,L979),TRUE,G979)</f>
        <v>70000</v>
      </c>
      <c r="I979" s="3" t="s">
        <v>38</v>
      </c>
      <c r="J979" s="3" t="s">
        <v>64</v>
      </c>
      <c r="K979" s="3" t="str">
        <f t="shared" si="61"/>
        <v>Finance</v>
      </c>
      <c r="L979" s="3" t="s">
        <v>77</v>
      </c>
      <c r="M979" s="4">
        <v>43549</v>
      </c>
      <c r="N979" s="4">
        <v>43549</v>
      </c>
      <c r="O979" s="3" t="s">
        <v>59</v>
      </c>
      <c r="P979" s="3">
        <v>96</v>
      </c>
      <c r="Q979" s="3" t="s">
        <v>335</v>
      </c>
      <c r="S979" s="3" t="s">
        <v>44</v>
      </c>
      <c r="T979" s="3" t="str">
        <f t="shared" si="62"/>
        <v>Full-Time</v>
      </c>
      <c r="U979" s="3" t="s">
        <v>842</v>
      </c>
      <c r="V979" s="3">
        <v>6</v>
      </c>
      <c r="W979" s="3" t="s">
        <v>79</v>
      </c>
      <c r="AA979" s="3" t="s">
        <v>46</v>
      </c>
      <c r="AB979" s="3" t="str" cm="1">
        <f t="array" ref="AB979">_xlfn.IFS(AA979="N","No",  AA979 = "Y", "Yes", TRUE, PROPER(TRIM(AA979)))</f>
        <v>Yes</v>
      </c>
      <c r="AC979" s="3">
        <v>3</v>
      </c>
      <c r="AD979" s="3" t="s">
        <v>34</v>
      </c>
      <c r="AE979">
        <f t="shared" si="63"/>
        <v>0</v>
      </c>
    </row>
    <row r="980" spans="1:31" ht="14.25" customHeight="1" x14ac:dyDescent="0.35">
      <c r="A980" s="3" t="s">
        <v>1831</v>
      </c>
      <c r="B980" s="3" t="s">
        <v>48</v>
      </c>
      <c r="C980" s="3" t="s">
        <v>395</v>
      </c>
      <c r="D980" s="3">
        <v>40</v>
      </c>
      <c r="E980" s="3">
        <f t="shared" si="60"/>
        <v>40</v>
      </c>
      <c r="F980" s="3">
        <v>1984</v>
      </c>
      <c r="G980" s="3">
        <v>50000</v>
      </c>
      <c r="H980" s="12" cm="1">
        <f t="array" ref="H980">_xlfn.IFS(TRIM(G980)="SIXTY THOUSAND",60000,TRIM(G980)="NAN",AVERAGEIFS(G:G,J:J,J980,L:L,L980),TRUE,G980)</f>
        <v>50000</v>
      </c>
      <c r="I980" s="3" t="s">
        <v>27</v>
      </c>
      <c r="J980" s="3" t="s">
        <v>70</v>
      </c>
      <c r="K980" s="3" t="str">
        <f t="shared" si="61"/>
        <v>Marketing</v>
      </c>
      <c r="L980" s="3" t="s">
        <v>40</v>
      </c>
      <c r="M980" s="4">
        <v>43881</v>
      </c>
      <c r="N980" s="4">
        <v>43881</v>
      </c>
      <c r="O980" s="3" t="s">
        <v>52</v>
      </c>
      <c r="P980" s="3">
        <v>74</v>
      </c>
      <c r="Q980" s="3" t="s">
        <v>1832</v>
      </c>
      <c r="R980" s="3" t="s">
        <v>43</v>
      </c>
      <c r="S980" s="3" t="s">
        <v>100</v>
      </c>
      <c r="T980" s="3" t="str">
        <f t="shared" si="62"/>
        <v>Part-Time</v>
      </c>
      <c r="V980" s="3">
        <v>7</v>
      </c>
      <c r="W980" s="3" t="s">
        <v>79</v>
      </c>
      <c r="Y980" s="4">
        <v>44732</v>
      </c>
      <c r="AA980" s="3" t="s">
        <v>34</v>
      </c>
      <c r="AB980" s="3" t="str" cm="1">
        <f t="array" ref="AB980">_xlfn.IFS(AA980="N","No",  AA980 = "Y", "Yes", TRUE, PROPER(TRIM(AA980)))</f>
        <v>No</v>
      </c>
      <c r="AC980" s="3">
        <v>2</v>
      </c>
      <c r="AD980" s="3" t="s">
        <v>46</v>
      </c>
      <c r="AE980">
        <f t="shared" si="63"/>
        <v>1</v>
      </c>
    </row>
    <row r="981" spans="1:31" ht="14.25" customHeight="1" x14ac:dyDescent="0.35">
      <c r="A981" s="3" t="s">
        <v>1833</v>
      </c>
      <c r="B981" s="3" t="s">
        <v>56</v>
      </c>
      <c r="C981" s="3" t="s">
        <v>1043</v>
      </c>
      <c r="E981" s="3">
        <f t="shared" si="60"/>
        <v>41</v>
      </c>
      <c r="F981" s="3">
        <v>1983</v>
      </c>
      <c r="G981" s="3">
        <v>60900</v>
      </c>
      <c r="H981" s="12" cm="1">
        <f t="array" ref="H981">_xlfn.IFS(TRIM(G981)="SIXTY THOUSAND",60000,TRIM(G981)="NAN",AVERAGEIFS(G:G,J:J,J981,L:L,L981),TRUE,G981)</f>
        <v>60900</v>
      </c>
      <c r="I981" s="3" t="s">
        <v>38</v>
      </c>
      <c r="J981" s="3" t="s">
        <v>28</v>
      </c>
      <c r="K981" s="3" t="str">
        <f t="shared" si="61"/>
        <v>HR</v>
      </c>
      <c r="L981" s="3" t="s">
        <v>40</v>
      </c>
      <c r="M981" s="4">
        <v>43195</v>
      </c>
      <c r="N981" s="4">
        <v>43195</v>
      </c>
      <c r="O981" s="3" t="s">
        <v>78</v>
      </c>
      <c r="P981" s="3">
        <v>82</v>
      </c>
      <c r="Q981" s="3" t="s">
        <v>1044</v>
      </c>
      <c r="R981" s="3" t="s">
        <v>61</v>
      </c>
      <c r="S981" s="3" t="s">
        <v>32</v>
      </c>
      <c r="T981" s="3" t="str">
        <f t="shared" si="62"/>
        <v>Contract</v>
      </c>
      <c r="V981" s="3">
        <v>7</v>
      </c>
      <c r="W981" s="3" t="s">
        <v>79</v>
      </c>
      <c r="X981" s="3">
        <v>7</v>
      </c>
      <c r="Y981" s="4">
        <v>44941</v>
      </c>
      <c r="Z981" s="3">
        <v>37</v>
      </c>
      <c r="AA981" s="3" t="s">
        <v>73</v>
      </c>
      <c r="AB981" s="3" t="str" cm="1">
        <f t="array" ref="AB981">_xlfn.IFS(AA981="N","No",  AA981 = "Y", "Yes", TRUE, PROPER(TRIM(AA981)))</f>
        <v>No</v>
      </c>
      <c r="AC981" s="3">
        <v>4</v>
      </c>
      <c r="AD981" s="3" t="s">
        <v>46</v>
      </c>
      <c r="AE981">
        <f t="shared" si="63"/>
        <v>1</v>
      </c>
    </row>
    <row r="982" spans="1:31" ht="14.25" customHeight="1" x14ac:dyDescent="0.35">
      <c r="A982" s="3" t="s">
        <v>1834</v>
      </c>
      <c r="B982" s="3" t="s">
        <v>36</v>
      </c>
      <c r="C982" s="3" t="s">
        <v>413</v>
      </c>
      <c r="D982" s="3" t="s">
        <v>88</v>
      </c>
      <c r="E982" s="3">
        <f t="shared" si="60"/>
        <v>30</v>
      </c>
      <c r="F982" s="3">
        <v>1994</v>
      </c>
      <c r="G982" s="3">
        <v>55000</v>
      </c>
      <c r="H982" s="12" cm="1">
        <f t="array" ref="H982">_xlfn.IFS(TRIM(G982)="SIXTY THOUSAND",60000,TRIM(G982)="NAN",AVERAGEIFS(G:G,J:J,J982,L:L,L982),TRUE,G982)</f>
        <v>55000</v>
      </c>
      <c r="I982" s="3" t="s">
        <v>27</v>
      </c>
      <c r="J982" s="3" t="s">
        <v>58</v>
      </c>
      <c r="K982" s="3" t="str">
        <f t="shared" si="61"/>
        <v>IT</v>
      </c>
      <c r="L982" s="3" t="s">
        <v>77</v>
      </c>
      <c r="M982" s="4">
        <v>43800</v>
      </c>
      <c r="N982" s="4">
        <v>43800</v>
      </c>
      <c r="O982" s="3" t="s">
        <v>30</v>
      </c>
      <c r="P982" s="3">
        <v>65</v>
      </c>
      <c r="Q982" t="str">
        <f>LOWER(_xlfn.CONCAT(B982,".",C982,"@saltcorp.com"))</f>
        <v>david.bell@saltcorp.com</v>
      </c>
      <c r="R982" s="3" t="s">
        <v>61</v>
      </c>
      <c r="S982" s="3" t="s">
        <v>66</v>
      </c>
      <c r="T982" s="3" t="str">
        <f t="shared" si="62"/>
        <v>Contract</v>
      </c>
      <c r="V982" s="3">
        <v>2</v>
      </c>
      <c r="W982" s="3">
        <v>3</v>
      </c>
      <c r="Z982" s="3">
        <v>47</v>
      </c>
      <c r="AA982" s="3" t="s">
        <v>33</v>
      </c>
      <c r="AB982" s="3" t="str" cm="1">
        <f t="array" ref="AB982">_xlfn.IFS(AA982="N","No",  AA982 = "Y", "Yes", TRUE, PROPER(TRIM(AA982)))</f>
        <v>Yes</v>
      </c>
      <c r="AC982" s="3">
        <v>4</v>
      </c>
      <c r="AD982" s="3" t="s">
        <v>34</v>
      </c>
      <c r="AE982">
        <f t="shared" si="63"/>
        <v>0</v>
      </c>
    </row>
    <row r="983" spans="1:31" ht="14.25" customHeight="1" x14ac:dyDescent="0.35">
      <c r="A983" s="3" t="s">
        <v>1835</v>
      </c>
      <c r="B983" s="3" t="s">
        <v>114</v>
      </c>
      <c r="C983" s="3" t="s">
        <v>158</v>
      </c>
      <c r="D983" s="3" t="s">
        <v>88</v>
      </c>
      <c r="E983" s="3">
        <f t="shared" si="60"/>
        <v>30</v>
      </c>
      <c r="F983" s="3">
        <v>1994</v>
      </c>
      <c r="G983" s="3">
        <v>55000</v>
      </c>
      <c r="H983" s="12" cm="1">
        <f t="array" ref="H983">_xlfn.IFS(TRIM(G983)="SIXTY THOUSAND",60000,TRIM(G983)="NAN",AVERAGEIFS(G:G,J:J,J983,L:L,L983),TRUE,G983)</f>
        <v>55000</v>
      </c>
      <c r="I983" s="3" t="s">
        <v>38</v>
      </c>
      <c r="J983" s="3" t="s">
        <v>145</v>
      </c>
      <c r="K983" s="3" t="str">
        <f t="shared" si="61"/>
        <v>Sales</v>
      </c>
      <c r="L983" s="3" t="s">
        <v>29</v>
      </c>
      <c r="M983" s="4">
        <v>43845</v>
      </c>
      <c r="N983" s="4">
        <v>43845</v>
      </c>
      <c r="O983" s="3" t="s">
        <v>52</v>
      </c>
      <c r="P983" s="3">
        <v>73</v>
      </c>
      <c r="Q983" s="3" t="s">
        <v>1836</v>
      </c>
      <c r="R983" s="3" t="s">
        <v>43</v>
      </c>
      <c r="S983" s="3" t="s">
        <v>44</v>
      </c>
      <c r="T983" s="3" t="str">
        <f t="shared" si="62"/>
        <v>Full-Time</v>
      </c>
      <c r="U983" s="3" t="s">
        <v>656</v>
      </c>
      <c r="V983" s="3">
        <v>2</v>
      </c>
      <c r="W983" s="3" t="s">
        <v>79</v>
      </c>
      <c r="Y983" s="3" t="s">
        <v>79</v>
      </c>
      <c r="AB983" s="3" t="str" cm="1">
        <f t="array" ref="AB983">_xlfn.IFS(AA983="N","No",  AA983 = "Y", "Yes", TRUE, PROPER(TRIM(AA983)))</f>
        <v/>
      </c>
      <c r="AC983" s="3">
        <v>5</v>
      </c>
      <c r="AD983" s="3" t="s">
        <v>34</v>
      </c>
      <c r="AE983">
        <f t="shared" si="63"/>
        <v>0</v>
      </c>
    </row>
    <row r="984" spans="1:31" ht="14.25" customHeight="1" x14ac:dyDescent="0.35">
      <c r="A984" s="3" t="s">
        <v>1837</v>
      </c>
      <c r="B984" s="3" t="s">
        <v>75</v>
      </c>
      <c r="C984" s="3" t="s">
        <v>154</v>
      </c>
      <c r="E984" s="3">
        <f t="shared" si="60"/>
        <v>33</v>
      </c>
      <c r="F984" s="3">
        <v>1991</v>
      </c>
      <c r="G984" s="3">
        <v>65000</v>
      </c>
      <c r="H984" s="12" cm="1">
        <f t="array" ref="H984">_xlfn.IFS(TRIM(G984)="SIXTY THOUSAND",60000,TRIM(G984)="NAN",AVERAGEIFS(G:G,J:J,J984,L:L,L984),TRUE,G984)</f>
        <v>65000</v>
      </c>
      <c r="I984" s="3" t="s">
        <v>38</v>
      </c>
      <c r="J984" s="3" t="s">
        <v>82</v>
      </c>
      <c r="K984" s="3" t="str">
        <f t="shared" si="61"/>
        <v>HR</v>
      </c>
      <c r="L984" s="3" t="s">
        <v>89</v>
      </c>
      <c r="M984" s="4">
        <v>43845</v>
      </c>
      <c r="N984" s="4">
        <v>43845</v>
      </c>
      <c r="O984" s="3" t="s">
        <v>30</v>
      </c>
      <c r="P984" s="3">
        <v>62</v>
      </c>
      <c r="Q984" s="3" t="s">
        <v>1838</v>
      </c>
      <c r="R984" s="3" t="s">
        <v>43</v>
      </c>
      <c r="S984" s="3" t="s">
        <v>174</v>
      </c>
      <c r="T984" s="3" t="str">
        <f t="shared" si="62"/>
        <v>Full-Time</v>
      </c>
      <c r="V984" s="3">
        <v>3</v>
      </c>
      <c r="X984" s="3">
        <v>5</v>
      </c>
      <c r="AA984" s="3" t="s">
        <v>46</v>
      </c>
      <c r="AB984" s="3" t="str" cm="1">
        <f t="array" ref="AB984">_xlfn.IFS(AA984="N","No",  AA984 = "Y", "Yes", TRUE, PROPER(TRIM(AA984)))</f>
        <v>Yes</v>
      </c>
      <c r="AC984" s="3">
        <v>3</v>
      </c>
      <c r="AD984" s="3" t="s">
        <v>34</v>
      </c>
      <c r="AE984">
        <f t="shared" si="63"/>
        <v>0</v>
      </c>
    </row>
    <row r="985" spans="1:31" ht="14.25" customHeight="1" x14ac:dyDescent="0.35">
      <c r="A985" s="3" t="s">
        <v>1839</v>
      </c>
      <c r="B985" s="3" t="s">
        <v>75</v>
      </c>
      <c r="C985" s="3" t="s">
        <v>819</v>
      </c>
      <c r="D985" s="3" t="s">
        <v>88</v>
      </c>
      <c r="E985" s="3">
        <f t="shared" si="60"/>
        <v>30</v>
      </c>
      <c r="F985" s="3">
        <v>1994</v>
      </c>
      <c r="G985" s="3">
        <v>65000</v>
      </c>
      <c r="H985" s="12" cm="1">
        <f t="array" ref="H985">_xlfn.IFS(TRIM(G985)="SIXTY THOUSAND",60000,TRIM(G985)="NAN",AVERAGEIFS(G:G,J:J,J985,L:L,L985),TRUE,G985)</f>
        <v>65000</v>
      </c>
      <c r="I985" s="3" t="s">
        <v>38</v>
      </c>
      <c r="J985" s="3" t="s">
        <v>28</v>
      </c>
      <c r="K985" s="3" t="str">
        <f t="shared" si="61"/>
        <v>HR</v>
      </c>
      <c r="L985" s="3" t="s">
        <v>40</v>
      </c>
      <c r="M985" s="4">
        <v>43800</v>
      </c>
      <c r="N985" s="4">
        <v>43800</v>
      </c>
      <c r="O985" s="3" t="s">
        <v>30</v>
      </c>
      <c r="P985" s="3">
        <v>65</v>
      </c>
      <c r="Q985" s="3" t="s">
        <v>820</v>
      </c>
      <c r="R985" s="3" t="s">
        <v>104</v>
      </c>
      <c r="S985" s="3" t="s">
        <v>112</v>
      </c>
      <c r="T985" s="3" t="str">
        <f t="shared" si="62"/>
        <v>Full-Time</v>
      </c>
      <c r="V985" s="3">
        <v>6</v>
      </c>
      <c r="X985" s="3">
        <v>14</v>
      </c>
      <c r="AB985" s="3" t="str" cm="1">
        <f t="array" ref="AB985">_xlfn.IFS(AA985="N","No",  AA985 = "Y", "Yes", TRUE, PROPER(TRIM(AA985)))</f>
        <v/>
      </c>
      <c r="AC985" s="3">
        <v>3</v>
      </c>
      <c r="AD985" s="3" t="s">
        <v>46</v>
      </c>
      <c r="AE985">
        <f t="shared" si="63"/>
        <v>1</v>
      </c>
    </row>
    <row r="986" spans="1:31" ht="14.25" customHeight="1" x14ac:dyDescent="0.35">
      <c r="A986" s="3" t="s">
        <v>1840</v>
      </c>
      <c r="B986" s="3" t="s">
        <v>36</v>
      </c>
      <c r="C986" s="3" t="s">
        <v>277</v>
      </c>
      <c r="D986" s="3">
        <v>40</v>
      </c>
      <c r="E986" s="3">
        <f t="shared" si="60"/>
        <v>40</v>
      </c>
      <c r="F986" s="3">
        <v>1984</v>
      </c>
      <c r="G986" s="3">
        <v>60500</v>
      </c>
      <c r="H986" s="12" cm="1">
        <f t="array" ref="H986">_xlfn.IFS(TRIM(G986)="SIXTY THOUSAND",60000,TRIM(G986)="NAN",AVERAGEIFS(G:G,J:J,J986,L:L,L986),TRUE,G986)</f>
        <v>60500</v>
      </c>
      <c r="I986" s="3" t="s">
        <v>38</v>
      </c>
      <c r="J986" s="3" t="s">
        <v>70</v>
      </c>
      <c r="K986" s="3" t="str">
        <f t="shared" si="61"/>
        <v>Marketing</v>
      </c>
      <c r="L986" s="3" t="s">
        <v>40</v>
      </c>
      <c r="M986" s="4">
        <v>43549</v>
      </c>
      <c r="N986" s="4">
        <v>43549</v>
      </c>
      <c r="O986" s="3" t="s">
        <v>78</v>
      </c>
      <c r="P986" s="3">
        <v>89</v>
      </c>
      <c r="Q986" s="3" t="s">
        <v>1841</v>
      </c>
      <c r="R986" s="3" t="s">
        <v>61</v>
      </c>
      <c r="S986" s="3" t="s">
        <v>174</v>
      </c>
      <c r="T986" s="3" t="str">
        <f t="shared" si="62"/>
        <v>Full-Time</v>
      </c>
      <c r="V986" s="3">
        <v>4</v>
      </c>
      <c r="W986" s="3">
        <v>9</v>
      </c>
      <c r="X986" s="3">
        <v>8</v>
      </c>
      <c r="AB986" s="3" t="str" cm="1">
        <f t="array" ref="AB986">_xlfn.IFS(AA986="N","No",  AA986 = "Y", "Yes", TRUE, PROPER(TRIM(AA986)))</f>
        <v/>
      </c>
      <c r="AC986" s="3">
        <v>2</v>
      </c>
      <c r="AD986" s="3" t="s">
        <v>34</v>
      </c>
      <c r="AE986">
        <f t="shared" si="63"/>
        <v>0</v>
      </c>
    </row>
    <row r="987" spans="1:31" ht="14.25" customHeight="1" x14ac:dyDescent="0.35">
      <c r="A987" s="3" t="s">
        <v>1842</v>
      </c>
      <c r="B987" s="3" t="s">
        <v>36</v>
      </c>
      <c r="C987" s="3" t="s">
        <v>338</v>
      </c>
      <c r="D987" s="3">
        <v>25</v>
      </c>
      <c r="E987" s="3">
        <f t="shared" si="60"/>
        <v>25</v>
      </c>
      <c r="F987" s="3">
        <v>1999</v>
      </c>
      <c r="G987" s="3">
        <v>65000</v>
      </c>
      <c r="H987" s="12" cm="1">
        <f t="array" ref="H987">_xlfn.IFS(TRIM(G987)="SIXTY THOUSAND",60000,TRIM(G987)="NAN",AVERAGEIFS(G:G,J:J,J987,L:L,L987),TRUE,G987)</f>
        <v>65000</v>
      </c>
      <c r="I987" s="3" t="s">
        <v>38</v>
      </c>
      <c r="J987" s="3" t="s">
        <v>122</v>
      </c>
      <c r="K987" s="3" t="str">
        <f t="shared" si="61"/>
        <v>IT</v>
      </c>
      <c r="L987" s="3" t="s">
        <v>29</v>
      </c>
      <c r="M987" s="4">
        <v>43881</v>
      </c>
      <c r="N987" s="4">
        <v>43881</v>
      </c>
      <c r="O987" s="3" t="s">
        <v>41</v>
      </c>
      <c r="P987" s="3">
        <v>33</v>
      </c>
      <c r="Q987" s="3" t="s">
        <v>1843</v>
      </c>
      <c r="S987" s="3" t="s">
        <v>112</v>
      </c>
      <c r="T987" s="3" t="str">
        <f t="shared" si="62"/>
        <v>Full-Time</v>
      </c>
      <c r="V987" s="3">
        <v>6</v>
      </c>
      <c r="W987" s="3">
        <v>1</v>
      </c>
      <c r="AA987" s="3" t="s">
        <v>73</v>
      </c>
      <c r="AB987" s="3" t="str" cm="1">
        <f t="array" ref="AB987">_xlfn.IFS(AA987="N","No",  AA987 = "Y", "Yes", TRUE, PROPER(TRIM(AA987)))</f>
        <v>No</v>
      </c>
      <c r="AC987" s="3">
        <v>3</v>
      </c>
      <c r="AD987" s="3" t="s">
        <v>34</v>
      </c>
      <c r="AE987">
        <f t="shared" si="63"/>
        <v>0</v>
      </c>
    </row>
    <row r="988" spans="1:31" ht="14.25" customHeight="1" x14ac:dyDescent="0.35">
      <c r="A988" s="3" t="s">
        <v>1844</v>
      </c>
      <c r="B988" s="3" t="s">
        <v>68</v>
      </c>
      <c r="C988" s="3" t="s">
        <v>110</v>
      </c>
      <c r="D988" s="3">
        <v>40</v>
      </c>
      <c r="E988" s="3">
        <f t="shared" si="60"/>
        <v>40</v>
      </c>
      <c r="F988" s="3">
        <v>1984</v>
      </c>
      <c r="G988" s="3">
        <v>55000</v>
      </c>
      <c r="H988" s="12" cm="1">
        <f t="array" ref="H988">_xlfn.IFS(TRIM(G988)="SIXTY THOUSAND",60000,TRIM(G988)="NAN",AVERAGEIFS(G:G,J:J,J988,L:L,L988),TRUE,G988)</f>
        <v>55000</v>
      </c>
      <c r="I988" s="3" t="s">
        <v>38</v>
      </c>
      <c r="J988" s="3" t="s">
        <v>64</v>
      </c>
      <c r="K988" s="3" t="str">
        <f t="shared" si="61"/>
        <v>Finance</v>
      </c>
      <c r="L988" s="3" t="s">
        <v>94</v>
      </c>
      <c r="M988" s="4">
        <v>43549</v>
      </c>
      <c r="N988" s="4">
        <v>43549</v>
      </c>
      <c r="O988" s="3" t="s">
        <v>59</v>
      </c>
      <c r="P988" s="3">
        <v>91</v>
      </c>
      <c r="Q988" s="3" t="s">
        <v>1845</v>
      </c>
      <c r="R988" s="3" t="s">
        <v>54</v>
      </c>
      <c r="S988" s="3" t="s">
        <v>44</v>
      </c>
      <c r="T988" s="3" t="str">
        <f t="shared" si="62"/>
        <v>Full-Time</v>
      </c>
      <c r="V988" s="3">
        <v>6</v>
      </c>
      <c r="W988" s="3">
        <v>13</v>
      </c>
      <c r="X988" s="3">
        <v>16</v>
      </c>
      <c r="Y988" s="4">
        <v>44941</v>
      </c>
      <c r="Z988" s="3">
        <v>18</v>
      </c>
      <c r="AA988" s="3" t="s">
        <v>46</v>
      </c>
      <c r="AB988" s="3" t="str" cm="1">
        <f t="array" ref="AB988">_xlfn.IFS(AA988="N","No",  AA988 = "Y", "Yes", TRUE, PROPER(TRIM(AA988)))</f>
        <v>Yes</v>
      </c>
      <c r="AC988" s="3">
        <v>4</v>
      </c>
      <c r="AD988" s="3" t="s">
        <v>34</v>
      </c>
      <c r="AE988">
        <f t="shared" si="63"/>
        <v>0</v>
      </c>
    </row>
    <row r="989" spans="1:31" ht="14.25" customHeight="1" x14ac:dyDescent="0.35">
      <c r="A989" s="3" t="s">
        <v>1846</v>
      </c>
      <c r="B989" s="3" t="s">
        <v>56</v>
      </c>
      <c r="C989" s="3" t="s">
        <v>413</v>
      </c>
      <c r="D989" s="3">
        <v>50</v>
      </c>
      <c r="E989" s="3">
        <f t="shared" si="60"/>
        <v>50</v>
      </c>
      <c r="F989" s="3">
        <v>1974</v>
      </c>
      <c r="G989" s="3" t="s">
        <v>50</v>
      </c>
      <c r="H989" s="12" cm="1">
        <f t="array" ref="H989">_xlfn.IFS(TRIM(G989)="SIXTY THOUSAND",60000,TRIM(G989)="NAN",AVERAGEIFS(G:G,J:J,J989,L:L,L989),TRUE,G989)</f>
        <v>60000</v>
      </c>
      <c r="I989" s="3" t="s">
        <v>38</v>
      </c>
      <c r="J989" s="3" t="s">
        <v>145</v>
      </c>
      <c r="K989" s="3" t="str">
        <f t="shared" si="61"/>
        <v>Sales</v>
      </c>
      <c r="L989" s="3" t="s">
        <v>29</v>
      </c>
      <c r="M989" s="4">
        <v>43845</v>
      </c>
      <c r="N989" s="4">
        <v>43845</v>
      </c>
      <c r="O989" s="3" t="s">
        <v>41</v>
      </c>
      <c r="P989" s="3">
        <v>48</v>
      </c>
      <c r="Q989" s="3" t="s">
        <v>414</v>
      </c>
      <c r="R989" s="3" t="s">
        <v>104</v>
      </c>
      <c r="S989" s="3" t="s">
        <v>112</v>
      </c>
      <c r="T989" s="3" t="str">
        <f t="shared" si="62"/>
        <v>Full-Time</v>
      </c>
      <c r="V989" s="3">
        <v>5</v>
      </c>
      <c r="X989" s="3">
        <v>16</v>
      </c>
      <c r="Y989" s="4">
        <v>44941</v>
      </c>
      <c r="AA989" s="3" t="s">
        <v>33</v>
      </c>
      <c r="AB989" s="3" t="str" cm="1">
        <f t="array" ref="AB989">_xlfn.IFS(AA989="N","No",  AA989 = "Y", "Yes", TRUE, PROPER(TRIM(AA989)))</f>
        <v>Yes</v>
      </c>
      <c r="AC989" s="3">
        <v>2</v>
      </c>
      <c r="AD989" s="3" t="s">
        <v>34</v>
      </c>
      <c r="AE989">
        <f t="shared" si="63"/>
        <v>0</v>
      </c>
    </row>
    <row r="990" spans="1:31" ht="14.25" customHeight="1" x14ac:dyDescent="0.35">
      <c r="A990" s="3" t="s">
        <v>1847</v>
      </c>
      <c r="B990" s="3" t="s">
        <v>36</v>
      </c>
      <c r="C990" s="3" t="s">
        <v>219</v>
      </c>
      <c r="D990" s="3">
        <v>40</v>
      </c>
      <c r="E990" s="3">
        <f t="shared" si="60"/>
        <v>40</v>
      </c>
      <c r="F990" s="3">
        <v>1984</v>
      </c>
      <c r="G990" s="3">
        <v>70000</v>
      </c>
      <c r="H990" s="12" cm="1">
        <f t="array" ref="H990">_xlfn.IFS(TRIM(G990)="SIXTY THOUSAND",60000,TRIM(G990)="NAN",AVERAGEIFS(G:G,J:J,J990,L:L,L990),TRUE,G990)</f>
        <v>70000</v>
      </c>
      <c r="I990" s="3" t="s">
        <v>38</v>
      </c>
      <c r="J990" s="3" t="s">
        <v>122</v>
      </c>
      <c r="K990" s="3" t="str">
        <f t="shared" si="61"/>
        <v>IT</v>
      </c>
      <c r="L990" s="3" t="s">
        <v>29</v>
      </c>
      <c r="M990" s="4">
        <v>43800</v>
      </c>
      <c r="N990" s="4">
        <v>43800</v>
      </c>
      <c r="O990" s="3" t="s">
        <v>52</v>
      </c>
      <c r="P990" s="3">
        <v>74</v>
      </c>
      <c r="Q990" s="3" t="s">
        <v>220</v>
      </c>
      <c r="R990" s="3" t="s">
        <v>61</v>
      </c>
      <c r="S990" s="3" t="s">
        <v>66</v>
      </c>
      <c r="T990" s="3" t="str">
        <f t="shared" si="62"/>
        <v>Contract</v>
      </c>
      <c r="V990" s="3">
        <v>5</v>
      </c>
      <c r="W990" s="3">
        <v>2</v>
      </c>
      <c r="AA990" s="3" t="s">
        <v>73</v>
      </c>
      <c r="AB990" s="3" t="str" cm="1">
        <f t="array" ref="AB990">_xlfn.IFS(AA990="N","No",  AA990 = "Y", "Yes", TRUE, PROPER(TRIM(AA990)))</f>
        <v>No</v>
      </c>
      <c r="AC990" s="3">
        <v>1</v>
      </c>
      <c r="AD990" s="3" t="s">
        <v>34</v>
      </c>
      <c r="AE990">
        <f t="shared" si="63"/>
        <v>0</v>
      </c>
    </row>
    <row r="991" spans="1:31" ht="14.25" customHeight="1" x14ac:dyDescent="0.35">
      <c r="A991" s="3" t="s">
        <v>1848</v>
      </c>
      <c r="B991" s="3" t="s">
        <v>68</v>
      </c>
      <c r="C991" s="3" t="s">
        <v>84</v>
      </c>
      <c r="D991" s="3">
        <v>50</v>
      </c>
      <c r="E991" s="3">
        <f t="shared" si="60"/>
        <v>50</v>
      </c>
      <c r="F991" s="3">
        <v>1974</v>
      </c>
      <c r="G991" s="3" t="s">
        <v>50</v>
      </c>
      <c r="H991" s="12" cm="1">
        <f t="array" ref="H991">_xlfn.IFS(TRIM(G991)="SIXTY THOUSAND",60000,TRIM(G991)="NAN",AVERAGEIFS(G:G,J:J,J991,L:L,L991),TRUE,G991)</f>
        <v>60000</v>
      </c>
      <c r="I991" s="3" t="s">
        <v>38</v>
      </c>
      <c r="J991" s="3" t="s">
        <v>51</v>
      </c>
      <c r="K991" s="3" t="str">
        <f t="shared" si="61"/>
        <v>Sales</v>
      </c>
      <c r="L991" s="3" t="s">
        <v>40</v>
      </c>
      <c r="M991" s="4">
        <v>43800</v>
      </c>
      <c r="N991" s="4">
        <v>43800</v>
      </c>
      <c r="O991" s="3" t="s">
        <v>41</v>
      </c>
      <c r="P991" s="3">
        <v>2</v>
      </c>
      <c r="Q991" s="3" t="s">
        <v>1849</v>
      </c>
      <c r="R991" s="3" t="s">
        <v>43</v>
      </c>
      <c r="S991" s="3" t="s">
        <v>32</v>
      </c>
      <c r="T991" s="3" t="str">
        <f t="shared" si="62"/>
        <v>Contract</v>
      </c>
      <c r="U991" s="3" t="s">
        <v>1850</v>
      </c>
      <c r="V991" s="3">
        <v>7</v>
      </c>
      <c r="X991" s="3">
        <v>7</v>
      </c>
      <c r="AB991" s="3" t="str" cm="1">
        <f t="array" ref="AB991">_xlfn.IFS(AA991="N","No",  AA991 = "Y", "Yes", TRUE, PROPER(TRIM(AA991)))</f>
        <v/>
      </c>
      <c r="AC991" s="3">
        <v>5</v>
      </c>
      <c r="AD991" s="3" t="s">
        <v>46</v>
      </c>
      <c r="AE991">
        <f t="shared" si="63"/>
        <v>1</v>
      </c>
    </row>
    <row r="992" spans="1:31" ht="14.25" customHeight="1" x14ac:dyDescent="0.35">
      <c r="A992" s="3" t="s">
        <v>1851</v>
      </c>
      <c r="B992" s="3" t="s">
        <v>48</v>
      </c>
      <c r="C992" s="3" t="s">
        <v>262</v>
      </c>
      <c r="D992" s="3" t="s">
        <v>88</v>
      </c>
      <c r="E992" s="3">
        <f t="shared" si="60"/>
        <v>30</v>
      </c>
      <c r="F992" s="3">
        <v>1994</v>
      </c>
      <c r="G992" s="3" t="s">
        <v>50</v>
      </c>
      <c r="H992" s="12" cm="1">
        <f t="array" ref="H992">_xlfn.IFS(TRIM(G992)="SIXTY THOUSAND",60000,TRIM(G992)="NAN",AVERAGEIFS(G:G,J:J,J992,L:L,L992),TRUE,G992)</f>
        <v>60000</v>
      </c>
      <c r="I992" s="3" t="s">
        <v>27</v>
      </c>
      <c r="J992" s="3" t="s">
        <v>28</v>
      </c>
      <c r="K992" s="3" t="str">
        <f t="shared" si="61"/>
        <v>HR</v>
      </c>
      <c r="L992" s="3" t="s">
        <v>89</v>
      </c>
      <c r="M992" s="4">
        <v>43549</v>
      </c>
      <c r="N992" s="4">
        <v>43549</v>
      </c>
      <c r="O992" s="3" t="s">
        <v>52</v>
      </c>
      <c r="P992" s="3">
        <v>71</v>
      </c>
      <c r="Q992" s="3" t="s">
        <v>263</v>
      </c>
      <c r="R992" s="3" t="s">
        <v>61</v>
      </c>
      <c r="S992" s="3" t="s">
        <v>174</v>
      </c>
      <c r="T992" s="3" t="str">
        <f t="shared" si="62"/>
        <v>Full-Time</v>
      </c>
      <c r="V992" s="3">
        <v>5</v>
      </c>
      <c r="W992" s="3">
        <v>5</v>
      </c>
      <c r="X992" s="3">
        <v>6</v>
      </c>
      <c r="AB992" s="3" t="str" cm="1">
        <f t="array" ref="AB992">_xlfn.IFS(AA992="N","No",  AA992 = "Y", "Yes", TRUE, PROPER(TRIM(AA992)))</f>
        <v/>
      </c>
      <c r="AC992" s="3">
        <v>2</v>
      </c>
      <c r="AD992" s="3" t="s">
        <v>34</v>
      </c>
      <c r="AE992">
        <f t="shared" si="63"/>
        <v>0</v>
      </c>
    </row>
    <row r="993" spans="1:31" ht="14.25" customHeight="1" x14ac:dyDescent="0.35">
      <c r="A993" s="3" t="s">
        <v>1852</v>
      </c>
      <c r="B993" s="3" t="s">
        <v>107</v>
      </c>
      <c r="C993" s="3" t="s">
        <v>543</v>
      </c>
      <c r="D993" s="3">
        <v>25</v>
      </c>
      <c r="E993" s="3">
        <f t="shared" si="60"/>
        <v>25</v>
      </c>
      <c r="F993" s="3">
        <v>1999</v>
      </c>
      <c r="G993" s="3">
        <v>55000</v>
      </c>
      <c r="H993" s="12" cm="1">
        <f t="array" ref="H993">_xlfn.IFS(TRIM(G993)="SIXTY THOUSAND",60000,TRIM(G993)="NAN",AVERAGEIFS(G:G,J:J,J993,L:L,L993),TRUE,G993)</f>
        <v>55000</v>
      </c>
      <c r="I993" s="3" t="s">
        <v>27</v>
      </c>
      <c r="J993" s="3" t="s">
        <v>93</v>
      </c>
      <c r="K993" s="3" t="str">
        <f t="shared" si="61"/>
        <v>Marketing</v>
      </c>
      <c r="L993" s="3" t="s">
        <v>29</v>
      </c>
      <c r="M993" s="4">
        <v>43549</v>
      </c>
      <c r="N993" s="4">
        <v>43549</v>
      </c>
      <c r="O993" s="3" t="s">
        <v>52</v>
      </c>
      <c r="P993" s="3">
        <v>73</v>
      </c>
      <c r="Q993" s="3" t="s">
        <v>544</v>
      </c>
      <c r="S993" s="3" t="s">
        <v>112</v>
      </c>
      <c r="T993" s="3" t="str">
        <f t="shared" si="62"/>
        <v>Full-Time</v>
      </c>
      <c r="V993" s="3">
        <v>8</v>
      </c>
      <c r="X993" s="3">
        <v>20</v>
      </c>
      <c r="AB993" s="3" t="str" cm="1">
        <f t="array" ref="AB993">_xlfn.IFS(AA993="N","No",  AA993 = "Y", "Yes", TRUE, PROPER(TRIM(AA993)))</f>
        <v/>
      </c>
      <c r="AC993" s="3">
        <v>2</v>
      </c>
      <c r="AD993" s="3" t="s">
        <v>46</v>
      </c>
      <c r="AE993">
        <f t="shared" si="63"/>
        <v>1</v>
      </c>
    </row>
    <row r="994" spans="1:31" ht="14.25" customHeight="1" x14ac:dyDescent="0.35">
      <c r="A994" s="3" t="s">
        <v>1853</v>
      </c>
      <c r="B994" s="3" t="s">
        <v>107</v>
      </c>
      <c r="C994" s="3" t="s">
        <v>446</v>
      </c>
      <c r="D994" s="3" t="s">
        <v>88</v>
      </c>
      <c r="E994" s="3">
        <f t="shared" si="60"/>
        <v>30</v>
      </c>
      <c r="F994" s="3">
        <v>1994</v>
      </c>
      <c r="G994" s="3" t="s">
        <v>50</v>
      </c>
      <c r="H994" s="12" cm="1">
        <f t="array" ref="H994">_xlfn.IFS(TRIM(G994)="SIXTY THOUSAND",60000,TRIM(G994)="NAN",AVERAGEIFS(G:G,J:J,J994,L:L,L994),TRUE,G994)</f>
        <v>60000</v>
      </c>
      <c r="I994" s="3" t="s">
        <v>38</v>
      </c>
      <c r="J994" s="3" t="s">
        <v>70</v>
      </c>
      <c r="K994" s="3" t="str">
        <f t="shared" si="61"/>
        <v>Marketing</v>
      </c>
      <c r="L994" s="3" t="s">
        <v>94</v>
      </c>
      <c r="M994" s="4">
        <v>43881</v>
      </c>
      <c r="N994" s="4">
        <v>43881</v>
      </c>
      <c r="O994" s="3" t="s">
        <v>59</v>
      </c>
      <c r="P994" s="3">
        <v>93</v>
      </c>
      <c r="Q994" s="3" t="s">
        <v>447</v>
      </c>
      <c r="R994" s="3" t="s">
        <v>104</v>
      </c>
      <c r="S994" s="3" t="s">
        <v>32</v>
      </c>
      <c r="T994" s="3" t="str">
        <f t="shared" si="62"/>
        <v>Contract</v>
      </c>
      <c r="V994" s="3">
        <v>6</v>
      </c>
      <c r="AA994" s="3" t="s">
        <v>169</v>
      </c>
      <c r="AB994" s="3" t="str" cm="1">
        <f t="array" ref="AB994">_xlfn.IFS(AA994="N","No",  AA994 = "Y", "Yes", TRUE, PROPER(TRIM(AA994)))</f>
        <v>Yes</v>
      </c>
      <c r="AC994" s="3">
        <v>2</v>
      </c>
      <c r="AD994" s="3" t="s">
        <v>34</v>
      </c>
      <c r="AE994">
        <f t="shared" si="63"/>
        <v>0</v>
      </c>
    </row>
    <row r="995" spans="1:31" ht="14.25" customHeight="1" x14ac:dyDescent="0.35">
      <c r="A995" s="3" t="s">
        <v>1854</v>
      </c>
      <c r="B995" s="3" t="s">
        <v>48</v>
      </c>
      <c r="C995" s="3" t="s">
        <v>367</v>
      </c>
      <c r="D995" s="3">
        <v>35</v>
      </c>
      <c r="E995" s="3">
        <f t="shared" si="60"/>
        <v>35</v>
      </c>
      <c r="F995" s="3">
        <v>1989</v>
      </c>
      <c r="G995" s="3">
        <v>61300</v>
      </c>
      <c r="H995" s="12" cm="1">
        <f t="array" ref="H995">_xlfn.IFS(TRIM(G995)="SIXTY THOUSAND",60000,TRIM(G995)="NAN",AVERAGEIFS(G:G,J:J,J995,L:L,L995),TRUE,G995)</f>
        <v>61300</v>
      </c>
      <c r="I995" s="3" t="s">
        <v>38</v>
      </c>
      <c r="J995" s="3" t="s">
        <v>64</v>
      </c>
      <c r="K995" s="3" t="str">
        <f t="shared" si="61"/>
        <v>Finance</v>
      </c>
      <c r="L995" s="3" t="s">
        <v>77</v>
      </c>
      <c r="M995" s="4">
        <v>43195</v>
      </c>
      <c r="N995" s="4">
        <v>43195</v>
      </c>
      <c r="O995" s="3" t="s">
        <v>78</v>
      </c>
      <c r="P995" s="3">
        <v>86</v>
      </c>
      <c r="Q995" s="3" t="s">
        <v>1855</v>
      </c>
      <c r="R995" s="3" t="s">
        <v>43</v>
      </c>
      <c r="S995" s="3" t="s">
        <v>72</v>
      </c>
      <c r="T995" s="3" t="str">
        <f t="shared" si="62"/>
        <v>Part-Time</v>
      </c>
      <c r="U995" s="3" t="s">
        <v>1566</v>
      </c>
      <c r="V995" s="3">
        <v>8</v>
      </c>
      <c r="W995" s="3" t="s">
        <v>79</v>
      </c>
      <c r="Y995" s="3" t="s">
        <v>79</v>
      </c>
      <c r="Z995" s="3">
        <v>57</v>
      </c>
      <c r="AA995" s="3" t="s">
        <v>34</v>
      </c>
      <c r="AB995" s="3" t="str" cm="1">
        <f t="array" ref="AB995">_xlfn.IFS(AA995="N","No",  AA995 = "Y", "Yes", TRUE, PROPER(TRIM(AA995)))</f>
        <v>No</v>
      </c>
      <c r="AC995" s="3">
        <v>2</v>
      </c>
      <c r="AD995" s="3" t="s">
        <v>34</v>
      </c>
      <c r="AE995">
        <f t="shared" si="63"/>
        <v>0</v>
      </c>
    </row>
    <row r="996" spans="1:31" ht="14.25" customHeight="1" x14ac:dyDescent="0.35">
      <c r="A996" s="3" t="s">
        <v>1856</v>
      </c>
      <c r="B996" s="3" t="s">
        <v>25</v>
      </c>
      <c r="C996" s="3" t="s">
        <v>265</v>
      </c>
      <c r="D996" s="3" t="s">
        <v>88</v>
      </c>
      <c r="E996" s="3">
        <f t="shared" si="60"/>
        <v>30</v>
      </c>
      <c r="F996" s="3">
        <v>1994</v>
      </c>
      <c r="G996" s="3">
        <v>50000</v>
      </c>
      <c r="H996" s="12" cm="1">
        <f t="array" ref="H996">_xlfn.IFS(TRIM(G996)="SIXTY THOUSAND",60000,TRIM(G996)="NAN",AVERAGEIFS(G:G,J:J,J996,L:L,L996),TRUE,G996)</f>
        <v>50000</v>
      </c>
      <c r="I996" s="3" t="s">
        <v>38</v>
      </c>
      <c r="J996" s="3" t="s">
        <v>70</v>
      </c>
      <c r="K996" s="3" t="str">
        <f t="shared" si="61"/>
        <v>Marketing</v>
      </c>
      <c r="L996" s="3" t="s">
        <v>29</v>
      </c>
      <c r="M996" s="4">
        <v>43195</v>
      </c>
      <c r="N996" s="4">
        <v>43195</v>
      </c>
      <c r="O996" s="3" t="s">
        <v>59</v>
      </c>
      <c r="P996" s="3">
        <v>90</v>
      </c>
      <c r="Q996" t="str">
        <f>LOWER(_xlfn.CONCAT(B996,".",C996,"@saltcorp.com"))</f>
        <v>grace.zhang@saltcorp.com</v>
      </c>
      <c r="S996" s="3" t="s">
        <v>112</v>
      </c>
      <c r="T996" s="3" t="str">
        <f t="shared" si="62"/>
        <v>Full-Time</v>
      </c>
      <c r="V996" s="3">
        <v>7</v>
      </c>
      <c r="X996" s="3">
        <v>10</v>
      </c>
      <c r="Y996" s="4">
        <v>44732</v>
      </c>
      <c r="AA996" s="3" t="s">
        <v>46</v>
      </c>
      <c r="AB996" s="3" t="str" cm="1">
        <f t="array" ref="AB996">_xlfn.IFS(AA996="N","No",  AA996 = "Y", "Yes", TRUE, PROPER(TRIM(AA996)))</f>
        <v>Yes</v>
      </c>
      <c r="AC996" s="3">
        <v>5</v>
      </c>
      <c r="AD996" s="3" t="s">
        <v>34</v>
      </c>
      <c r="AE996">
        <f t="shared" si="63"/>
        <v>0</v>
      </c>
    </row>
    <row r="997" spans="1:31" ht="14.25" customHeight="1" x14ac:dyDescent="0.35">
      <c r="A997" s="3" t="s">
        <v>1857</v>
      </c>
      <c r="B997" s="3" t="s">
        <v>68</v>
      </c>
      <c r="C997" s="3" t="s">
        <v>92</v>
      </c>
      <c r="D997" s="3">
        <v>50</v>
      </c>
      <c r="E997" s="3">
        <f t="shared" si="60"/>
        <v>50</v>
      </c>
      <c r="F997" s="3">
        <v>1974</v>
      </c>
      <c r="G997" s="3">
        <v>65000</v>
      </c>
      <c r="H997" s="12" cm="1">
        <f t="array" ref="H997">_xlfn.IFS(TRIM(G997)="SIXTY THOUSAND",60000,TRIM(G997)="NAN",AVERAGEIFS(G:G,J:J,J997,L:L,L997),TRUE,G997)</f>
        <v>65000</v>
      </c>
      <c r="I997" s="3" t="s">
        <v>38</v>
      </c>
      <c r="J997" s="3" t="s">
        <v>82</v>
      </c>
      <c r="K997" s="3" t="str">
        <f t="shared" si="61"/>
        <v>HR</v>
      </c>
      <c r="L997" s="3" t="s">
        <v>29</v>
      </c>
      <c r="M997" s="4">
        <v>43881</v>
      </c>
      <c r="N997" s="4">
        <v>43881</v>
      </c>
      <c r="O997" s="3" t="s">
        <v>41</v>
      </c>
      <c r="P997" s="3">
        <v>34</v>
      </c>
      <c r="Q997" s="3" t="s">
        <v>1858</v>
      </c>
      <c r="R997" s="3" t="s">
        <v>54</v>
      </c>
      <c r="S997" s="3" t="s">
        <v>72</v>
      </c>
      <c r="T997" s="3" t="str">
        <f t="shared" si="62"/>
        <v>Part-Time</v>
      </c>
      <c r="V997" s="3">
        <v>3</v>
      </c>
      <c r="Y997" s="4">
        <v>45516</v>
      </c>
      <c r="AA997" s="3" t="s">
        <v>73</v>
      </c>
      <c r="AB997" s="3" t="str" cm="1">
        <f t="array" ref="AB997">_xlfn.IFS(AA997="N","No",  AA997 = "Y", "Yes", TRUE, PROPER(TRIM(AA997)))</f>
        <v>No</v>
      </c>
      <c r="AC997" s="3">
        <v>1</v>
      </c>
      <c r="AD997" s="3" t="s">
        <v>34</v>
      </c>
      <c r="AE997">
        <f t="shared" si="63"/>
        <v>0</v>
      </c>
    </row>
    <row r="998" spans="1:31" ht="14.25" customHeight="1" x14ac:dyDescent="0.35">
      <c r="A998" s="3" t="s">
        <v>1859</v>
      </c>
      <c r="B998" s="3" t="s">
        <v>68</v>
      </c>
      <c r="C998" s="3" t="s">
        <v>26</v>
      </c>
      <c r="D998" s="3" t="s">
        <v>88</v>
      </c>
      <c r="E998" s="3">
        <f t="shared" si="60"/>
        <v>30</v>
      </c>
      <c r="F998" s="3">
        <v>1994</v>
      </c>
      <c r="G998" s="3">
        <v>50000</v>
      </c>
      <c r="H998" s="12" cm="1">
        <f t="array" ref="H998">_xlfn.IFS(TRIM(G998)="SIXTY THOUSAND",60000,TRIM(G998)="NAN",AVERAGEIFS(G:G,J:J,J998,L:L,L998),TRUE,G998)</f>
        <v>50000</v>
      </c>
      <c r="I998" s="3" t="s">
        <v>27</v>
      </c>
      <c r="J998" s="3" t="s">
        <v>64</v>
      </c>
      <c r="K998" s="3" t="str">
        <f t="shared" si="61"/>
        <v>Finance</v>
      </c>
      <c r="L998" s="3" t="s">
        <v>94</v>
      </c>
      <c r="M998" s="4">
        <v>43195</v>
      </c>
      <c r="N998" s="4">
        <v>43195</v>
      </c>
      <c r="O998" s="3" t="s">
        <v>52</v>
      </c>
      <c r="P998" s="3">
        <v>73</v>
      </c>
      <c r="Q998" s="3" t="s">
        <v>1860</v>
      </c>
      <c r="R998" s="3" t="s">
        <v>104</v>
      </c>
      <c r="S998" s="3" t="s">
        <v>32</v>
      </c>
      <c r="T998" s="3" t="str">
        <f t="shared" si="62"/>
        <v>Contract</v>
      </c>
      <c r="U998" s="3" t="s">
        <v>1708</v>
      </c>
      <c r="V998" s="3">
        <v>3</v>
      </c>
      <c r="X998" s="3">
        <v>16</v>
      </c>
      <c r="AA998" s="3" t="s">
        <v>73</v>
      </c>
      <c r="AB998" s="3" t="str" cm="1">
        <f t="array" ref="AB998">_xlfn.IFS(AA998="N","No",  AA998 = "Y", "Yes", TRUE, PROPER(TRIM(AA998)))</f>
        <v>No</v>
      </c>
      <c r="AC998" s="3">
        <v>3</v>
      </c>
      <c r="AD998" s="3" t="s">
        <v>46</v>
      </c>
      <c r="AE998">
        <f t="shared" si="63"/>
        <v>1</v>
      </c>
    </row>
    <row r="999" spans="1:31" ht="14.25" customHeight="1" x14ac:dyDescent="0.35">
      <c r="A999" s="3" t="s">
        <v>1861</v>
      </c>
      <c r="B999" s="3" t="s">
        <v>48</v>
      </c>
      <c r="C999" s="3" t="s">
        <v>459</v>
      </c>
      <c r="D999" s="3" t="s">
        <v>88</v>
      </c>
      <c r="E999" s="3">
        <f t="shared" si="60"/>
        <v>30</v>
      </c>
      <c r="F999" s="3">
        <v>1994</v>
      </c>
      <c r="G999" s="3">
        <v>70000</v>
      </c>
      <c r="H999" s="12" cm="1">
        <f t="array" ref="H999">_xlfn.IFS(TRIM(G999)="SIXTY THOUSAND",60000,TRIM(G999)="NAN",AVERAGEIFS(G:G,J:J,J999,L:L,L999),TRUE,G999)</f>
        <v>70000</v>
      </c>
      <c r="I999" s="3" t="s">
        <v>27</v>
      </c>
      <c r="J999" s="3" t="s">
        <v>122</v>
      </c>
      <c r="K999" s="3" t="str">
        <f t="shared" si="61"/>
        <v>IT</v>
      </c>
      <c r="L999" s="3" t="s">
        <v>89</v>
      </c>
      <c r="M999" s="4">
        <v>43845</v>
      </c>
      <c r="N999" s="4">
        <v>43845</v>
      </c>
      <c r="O999" s="3" t="s">
        <v>30</v>
      </c>
      <c r="P999" s="3">
        <v>62</v>
      </c>
      <c r="Q999" s="3" t="s">
        <v>460</v>
      </c>
      <c r="S999" s="3" t="s">
        <v>100</v>
      </c>
      <c r="T999" s="3" t="str">
        <f t="shared" si="62"/>
        <v>Part-Time</v>
      </c>
      <c r="V999" s="3">
        <v>1</v>
      </c>
      <c r="W999" s="3">
        <v>5</v>
      </c>
      <c r="Y999" s="4">
        <v>44732</v>
      </c>
      <c r="Z999" s="3">
        <v>38</v>
      </c>
      <c r="AA999" s="3" t="s">
        <v>46</v>
      </c>
      <c r="AB999" s="3" t="str" cm="1">
        <f t="array" ref="AB999">_xlfn.IFS(AA999="N","No",  AA999 = "Y", "Yes", TRUE, PROPER(TRIM(AA999)))</f>
        <v>Yes</v>
      </c>
      <c r="AC999" s="3">
        <v>4</v>
      </c>
      <c r="AD999" s="3" t="s">
        <v>34</v>
      </c>
      <c r="AE999">
        <f t="shared" si="63"/>
        <v>0</v>
      </c>
    </row>
    <row r="1000" spans="1:31" ht="14.25" customHeight="1" x14ac:dyDescent="0.35">
      <c r="A1000" s="3" t="s">
        <v>1862</v>
      </c>
      <c r="B1000" s="3" t="s">
        <v>114</v>
      </c>
      <c r="C1000" s="3" t="s">
        <v>608</v>
      </c>
      <c r="D1000" s="3">
        <v>25</v>
      </c>
      <c r="E1000" s="3">
        <f t="shared" si="60"/>
        <v>25</v>
      </c>
      <c r="F1000" s="3">
        <v>1999</v>
      </c>
      <c r="G1000" s="3">
        <v>65000</v>
      </c>
      <c r="H1000" s="12" cm="1">
        <f t="array" ref="H1000">_xlfn.IFS(TRIM(G1000)="SIXTY THOUSAND",60000,TRIM(G1000)="NAN",AVERAGEIFS(G:G,J:J,J1000,L:L,L1000),TRUE,G1000)</f>
        <v>65000</v>
      </c>
      <c r="I1000" s="3" t="s">
        <v>27</v>
      </c>
      <c r="J1000" s="3" t="s">
        <v>70</v>
      </c>
      <c r="K1000" s="3" t="str">
        <f t="shared" si="61"/>
        <v>Marketing</v>
      </c>
      <c r="L1000" s="3" t="s">
        <v>29</v>
      </c>
      <c r="M1000" s="4">
        <v>43195</v>
      </c>
      <c r="N1000" s="4">
        <v>43195</v>
      </c>
      <c r="O1000" s="3" t="s">
        <v>30</v>
      </c>
      <c r="P1000" s="3">
        <v>60</v>
      </c>
      <c r="Q1000" s="3" t="s">
        <v>609</v>
      </c>
      <c r="S1000" s="3" t="s">
        <v>32</v>
      </c>
      <c r="T1000" s="3" t="str">
        <f t="shared" si="62"/>
        <v>Contract</v>
      </c>
      <c r="V1000" s="3">
        <v>3</v>
      </c>
      <c r="AA1000" s="3" t="s">
        <v>34</v>
      </c>
      <c r="AB1000" s="3" t="str" cm="1">
        <f t="array" ref="AB1000">_xlfn.IFS(AA1000="N","No",  AA1000 = "Y", "Yes", TRUE, PROPER(TRIM(AA1000)))</f>
        <v>No</v>
      </c>
      <c r="AC1000" s="3">
        <v>1</v>
      </c>
      <c r="AD1000" s="3" t="s">
        <v>46</v>
      </c>
      <c r="AE1000">
        <f t="shared" si="63"/>
        <v>1</v>
      </c>
    </row>
    <row r="1001" spans="1:31" ht="14.25" customHeight="1" x14ac:dyDescent="0.35">
      <c r="A1001" s="3" t="s">
        <v>1863</v>
      </c>
      <c r="B1001" s="3" t="s">
        <v>140</v>
      </c>
      <c r="C1001" s="3" t="s">
        <v>259</v>
      </c>
      <c r="D1001" s="3" t="s">
        <v>88</v>
      </c>
      <c r="E1001" s="3">
        <f t="shared" si="60"/>
        <v>30</v>
      </c>
      <c r="F1001" s="3">
        <v>1994</v>
      </c>
      <c r="G1001" s="3" t="s">
        <v>50</v>
      </c>
      <c r="H1001" s="12" cm="1">
        <f t="array" ref="H1001">_xlfn.IFS(TRIM(G1001)="SIXTY THOUSAND",60000,TRIM(G1001)="NAN",AVERAGEIFS(G:G,J:J,J1001,L:L,L1001),TRUE,G1001)</f>
        <v>60000</v>
      </c>
      <c r="I1001" s="3" t="s">
        <v>27</v>
      </c>
      <c r="J1001" s="3" t="s">
        <v>64</v>
      </c>
      <c r="K1001" s="3" t="str">
        <f t="shared" si="61"/>
        <v>Finance</v>
      </c>
      <c r="L1001" s="3" t="s">
        <v>29</v>
      </c>
      <c r="M1001" s="4">
        <v>43881</v>
      </c>
      <c r="N1001" s="4">
        <v>43881</v>
      </c>
      <c r="O1001" s="3" t="s">
        <v>52</v>
      </c>
      <c r="P1001" s="3">
        <v>74</v>
      </c>
      <c r="Q1001" s="3" t="s">
        <v>1864</v>
      </c>
      <c r="R1001" s="3" t="s">
        <v>43</v>
      </c>
      <c r="S1001" s="3" t="s">
        <v>66</v>
      </c>
      <c r="T1001" s="3" t="str">
        <f t="shared" si="62"/>
        <v>Contract</v>
      </c>
      <c r="V1001" s="3">
        <v>4</v>
      </c>
      <c r="W1001" s="3" t="s">
        <v>79</v>
      </c>
      <c r="AA1001" s="3" t="s">
        <v>46</v>
      </c>
      <c r="AB1001" s="3" t="str" cm="1">
        <f t="array" ref="AB1001">_xlfn.IFS(AA1001="N","No",  AA1001 = "Y", "Yes", TRUE, PROPER(TRIM(AA1001)))</f>
        <v>Yes</v>
      </c>
      <c r="AC1001" s="3">
        <v>4</v>
      </c>
      <c r="AD1001" s="3" t="s">
        <v>34</v>
      </c>
      <c r="AE1001">
        <f t="shared" si="63"/>
        <v>0</v>
      </c>
    </row>
  </sheetData>
  <autoFilter ref="A1:AF1001" xr:uid="{00000000-0001-0000-0000-000000000000}"/>
  <sortState xmlns:xlrd2="http://schemas.microsoft.com/office/spreadsheetml/2017/richdata2" ref="A1:AF1001">
    <sortCondition sortBy="cellColor" ref="A1:A1001" dxfId="5"/>
  </sortState>
  <conditionalFormatting sqref="A1:A1048576">
    <cfRule type="duplicateValues" dxfId="1" priority="1"/>
    <cfRule type="duplicateValues" dxfId="0" priority="2"/>
  </conditionalFormatting>
  <hyperlinks>
    <hyperlink ref="Q5" r:id="rId1" xr:uid="{0ECE42D4-3A03-4EF1-AC9A-DAC08EE70EDE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ECEB-B32C-4EE3-BB13-902B978B1A94}">
  <dimension ref="A2:B51"/>
  <sheetViews>
    <sheetView topLeftCell="A10" zoomScale="90" zoomScaleNormal="90" workbookViewId="0">
      <selection activeCell="B29" sqref="B29"/>
    </sheetView>
  </sheetViews>
  <sheetFormatPr defaultRowHeight="14.5" x14ac:dyDescent="0.35"/>
  <cols>
    <col min="1" max="1" width="20.453125" customWidth="1"/>
    <col min="2" max="2" width="23.54296875" bestFit="1" customWidth="1"/>
  </cols>
  <sheetData>
    <row r="2" spans="1:2" ht="19" thickBot="1" x14ac:dyDescent="0.5">
      <c r="A2" s="40" t="s">
        <v>1962</v>
      </c>
      <c r="B2" s="40"/>
    </row>
    <row r="4" spans="1:2" ht="15" thickBot="1" x14ac:dyDescent="0.4">
      <c r="A4" s="27" t="s">
        <v>1954</v>
      </c>
      <c r="B4" s="27" t="s">
        <v>1955</v>
      </c>
    </row>
    <row r="5" spans="1:2" x14ac:dyDescent="0.35">
      <c r="A5" s="1" t="s">
        <v>1944</v>
      </c>
      <c r="B5" s="30">
        <v>1000</v>
      </c>
    </row>
    <row r="6" spans="1:2" x14ac:dyDescent="0.35">
      <c r="A6" s="1" t="s">
        <v>1952</v>
      </c>
      <c r="B6" s="31">
        <v>60209</v>
      </c>
    </row>
    <row r="7" spans="1:2" x14ac:dyDescent="0.35">
      <c r="A7" s="1"/>
      <c r="B7" s="31"/>
    </row>
    <row r="9" spans="1:2" ht="16" thickBot="1" x14ac:dyDescent="0.4">
      <c r="A9" s="39" t="s">
        <v>1925</v>
      </c>
      <c r="B9" s="39"/>
    </row>
    <row r="10" spans="1:2" ht="15.5" x14ac:dyDescent="0.35">
      <c r="A10" s="35"/>
      <c r="B10" s="35"/>
    </row>
    <row r="11" spans="1:2" x14ac:dyDescent="0.35">
      <c r="A11" s="17" t="s">
        <v>6</v>
      </c>
      <c r="B11" t="s">
        <v>1925</v>
      </c>
    </row>
    <row r="12" spans="1:2" x14ac:dyDescent="0.35">
      <c r="A12" s="18" t="s">
        <v>38</v>
      </c>
      <c r="B12" s="19">
        <v>0.49299999999999999</v>
      </c>
    </row>
    <row r="13" spans="1:2" x14ac:dyDescent="0.35">
      <c r="A13" s="18" t="s">
        <v>27</v>
      </c>
      <c r="B13" s="19">
        <v>0.50700000000000001</v>
      </c>
    </row>
    <row r="14" spans="1:2" x14ac:dyDescent="0.35">
      <c r="A14" s="18" t="s">
        <v>1924</v>
      </c>
      <c r="B14" s="19">
        <v>1</v>
      </c>
    </row>
    <row r="21" spans="1:2" ht="16" thickBot="1" x14ac:dyDescent="0.4">
      <c r="A21" s="34" t="s">
        <v>1928</v>
      </c>
      <c r="B21" s="34"/>
    </row>
    <row r="23" spans="1:2" x14ac:dyDescent="0.35">
      <c r="A23" s="17" t="s">
        <v>7</v>
      </c>
      <c r="B23" t="s">
        <v>1928</v>
      </c>
    </row>
    <row r="24" spans="1:2" x14ac:dyDescent="0.35">
      <c r="A24" s="18" t="s">
        <v>145</v>
      </c>
      <c r="B24" s="20">
        <v>60992.793111357467</v>
      </c>
    </row>
    <row r="25" spans="1:2" x14ac:dyDescent="0.35">
      <c r="A25" s="18" t="s">
        <v>28</v>
      </c>
      <c r="B25" s="20">
        <v>60236.40625</v>
      </c>
    </row>
    <row r="26" spans="1:2" x14ac:dyDescent="0.35">
      <c r="A26" s="18" t="s">
        <v>70</v>
      </c>
      <c r="B26" s="20">
        <v>60107.486631016043</v>
      </c>
    </row>
    <row r="27" spans="1:2" x14ac:dyDescent="0.35">
      <c r="A27" s="18" t="s">
        <v>64</v>
      </c>
      <c r="B27" s="20">
        <v>59983.944954128441</v>
      </c>
    </row>
    <row r="28" spans="1:2" x14ac:dyDescent="0.35">
      <c r="A28" s="18" t="s">
        <v>122</v>
      </c>
      <c r="B28" s="20">
        <v>59712.716506291632</v>
      </c>
    </row>
    <row r="29" spans="1:2" x14ac:dyDescent="0.35">
      <c r="A29" s="18" t="s">
        <v>1924</v>
      </c>
      <c r="B29" s="20">
        <v>60208.979744208489</v>
      </c>
    </row>
    <row r="36" spans="1:2" ht="16" thickBot="1" x14ac:dyDescent="0.4">
      <c r="A36" s="34" t="s">
        <v>1934</v>
      </c>
      <c r="B36" s="34"/>
    </row>
    <row r="38" spans="1:2" x14ac:dyDescent="0.35">
      <c r="A38" s="17" t="s">
        <v>7</v>
      </c>
      <c r="B38" t="s">
        <v>1927</v>
      </c>
    </row>
    <row r="39" spans="1:2" x14ac:dyDescent="0.35">
      <c r="A39" s="18" t="s">
        <v>64</v>
      </c>
      <c r="B39">
        <v>218</v>
      </c>
    </row>
    <row r="40" spans="1:2" x14ac:dyDescent="0.35">
      <c r="A40" s="18" t="s">
        <v>145</v>
      </c>
      <c r="B40">
        <v>202</v>
      </c>
    </row>
    <row r="41" spans="1:2" x14ac:dyDescent="0.35">
      <c r="A41" s="18" t="s">
        <v>28</v>
      </c>
      <c r="B41">
        <v>200</v>
      </c>
    </row>
    <row r="42" spans="1:2" x14ac:dyDescent="0.35">
      <c r="A42" s="18" t="s">
        <v>122</v>
      </c>
      <c r="B42">
        <v>193</v>
      </c>
    </row>
    <row r="43" spans="1:2" x14ac:dyDescent="0.35">
      <c r="A43" s="18" t="s">
        <v>70</v>
      </c>
      <c r="B43">
        <v>187</v>
      </c>
    </row>
    <row r="44" spans="1:2" x14ac:dyDescent="0.35">
      <c r="A44" s="18" t="s">
        <v>1924</v>
      </c>
      <c r="B44">
        <v>1000</v>
      </c>
    </row>
    <row r="48" spans="1:2" x14ac:dyDescent="0.35">
      <c r="A48" s="17" t="s">
        <v>6</v>
      </c>
      <c r="B48" t="s">
        <v>1951</v>
      </c>
    </row>
    <row r="49" spans="1:2" x14ac:dyDescent="0.35">
      <c r="A49" s="18" t="s">
        <v>38</v>
      </c>
      <c r="B49" s="20">
        <v>60612.019185586629</v>
      </c>
    </row>
    <row r="50" spans="1:2" x14ac:dyDescent="0.35">
      <c r="A50" s="18" t="s">
        <v>27</v>
      </c>
      <c r="B50" s="20">
        <v>59817.069597069596</v>
      </c>
    </row>
    <row r="51" spans="1:2" x14ac:dyDescent="0.35">
      <c r="A51" s="18" t="s">
        <v>1924</v>
      </c>
      <c r="B51" s="20">
        <v>60208.979744208489</v>
      </c>
    </row>
  </sheetData>
  <mergeCells count="2">
    <mergeCell ref="A2:B2"/>
    <mergeCell ref="A9:B9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E547-914D-4FD0-9CBA-9EA5A7DBB803}">
  <dimension ref="A2:D25"/>
  <sheetViews>
    <sheetView topLeftCell="A7" workbookViewId="0">
      <selection activeCell="A19" sqref="A19:B19"/>
      <pivotSelection pane="bottomRight" showHeader="1" extendable="1" axis="axisRow" start="1" max="4" activeRow="18" previousRow="18" click="1" r:id="rId1">
        <pivotArea dataOnly="0" fieldPosition="0">
          <references count="1">
            <reference field="21" count="1">
              <x v="2"/>
            </reference>
          </references>
        </pivotArea>
      </pivotSelection>
    </sheetView>
  </sheetViews>
  <sheetFormatPr defaultRowHeight="14.5" x14ac:dyDescent="0.35"/>
  <cols>
    <col min="1" max="1" width="16.6328125" customWidth="1"/>
    <col min="2" max="2" width="11.6328125" customWidth="1"/>
    <col min="3" max="3" width="13.54296875" bestFit="1" customWidth="1"/>
    <col min="4" max="4" width="15.54296875" bestFit="1" customWidth="1"/>
    <col min="5" max="5" width="10.7265625" bestFit="1" customWidth="1"/>
  </cols>
  <sheetData>
    <row r="2" spans="1:4" ht="19" thickBot="1" x14ac:dyDescent="0.5">
      <c r="A2" s="40" t="s">
        <v>1961</v>
      </c>
      <c r="B2" s="40"/>
      <c r="C2" s="40"/>
    </row>
    <row r="4" spans="1:4" ht="16" thickBot="1" x14ac:dyDescent="0.4">
      <c r="A4" s="39" t="s">
        <v>1957</v>
      </c>
      <c r="B4" s="39"/>
      <c r="C4" s="39"/>
    </row>
    <row r="5" spans="1:4" ht="18.5" x14ac:dyDescent="0.45">
      <c r="A5" s="32"/>
      <c r="B5" s="32"/>
    </row>
    <row r="6" spans="1:4" x14ac:dyDescent="0.35">
      <c r="A6" s="17" t="s">
        <v>7</v>
      </c>
      <c r="B6" t="s">
        <v>1927</v>
      </c>
      <c r="C6" t="s">
        <v>1956</v>
      </c>
      <c r="D6" t="s">
        <v>1936</v>
      </c>
    </row>
    <row r="7" spans="1:4" x14ac:dyDescent="0.35">
      <c r="A7" s="18" t="s">
        <v>70</v>
      </c>
      <c r="B7">
        <v>187</v>
      </c>
      <c r="C7">
        <v>80</v>
      </c>
      <c r="D7" s="19">
        <v>0.42780748663101603</v>
      </c>
    </row>
    <row r="8" spans="1:4" x14ac:dyDescent="0.35">
      <c r="A8" s="18" t="s">
        <v>122</v>
      </c>
      <c r="B8">
        <v>193</v>
      </c>
      <c r="C8">
        <v>78</v>
      </c>
      <c r="D8" s="19">
        <v>0.40414507772020725</v>
      </c>
    </row>
    <row r="9" spans="1:4" x14ac:dyDescent="0.35">
      <c r="A9" s="18" t="s">
        <v>64</v>
      </c>
      <c r="B9">
        <v>218</v>
      </c>
      <c r="C9">
        <v>88</v>
      </c>
      <c r="D9" s="19">
        <v>0.40366972477064222</v>
      </c>
    </row>
    <row r="10" spans="1:4" x14ac:dyDescent="0.35">
      <c r="A10" s="18" t="s">
        <v>145</v>
      </c>
      <c r="B10">
        <v>202</v>
      </c>
      <c r="C10">
        <v>74</v>
      </c>
      <c r="D10" s="19">
        <v>0.36633663366336633</v>
      </c>
    </row>
    <row r="11" spans="1:4" x14ac:dyDescent="0.35">
      <c r="A11" s="18" t="s">
        <v>28</v>
      </c>
      <c r="B11">
        <v>200</v>
      </c>
      <c r="C11">
        <v>72</v>
      </c>
      <c r="D11" s="19">
        <v>0.36</v>
      </c>
    </row>
    <row r="12" spans="1:4" x14ac:dyDescent="0.35">
      <c r="A12" s="18" t="s">
        <v>1924</v>
      </c>
      <c r="B12">
        <v>1000</v>
      </c>
      <c r="C12">
        <v>392</v>
      </c>
      <c r="D12" s="19">
        <v>0.39200000000000002</v>
      </c>
    </row>
    <row r="15" spans="1:4" ht="16" thickBot="1" x14ac:dyDescent="0.4">
      <c r="A15" s="39" t="s">
        <v>1958</v>
      </c>
      <c r="B15" s="39"/>
      <c r="C15" s="39"/>
    </row>
    <row r="17" spans="1:2" x14ac:dyDescent="0.35">
      <c r="A17" s="17" t="s">
        <v>16</v>
      </c>
      <c r="B17" t="s">
        <v>1932</v>
      </c>
    </row>
    <row r="18" spans="1:2" x14ac:dyDescent="0.35">
      <c r="A18" s="18" t="s">
        <v>1930</v>
      </c>
      <c r="B18" s="19">
        <v>0.36776859504132231</v>
      </c>
    </row>
    <row r="19" spans="1:2" x14ac:dyDescent="0.35">
      <c r="A19" s="18" t="s">
        <v>1931</v>
      </c>
      <c r="B19" s="19">
        <v>0.40909090909090912</v>
      </c>
    </row>
    <row r="20" spans="1:2" x14ac:dyDescent="0.35">
      <c r="A20" s="18" t="s">
        <v>1929</v>
      </c>
      <c r="B20" s="19">
        <v>0.390625</v>
      </c>
    </row>
    <row r="21" spans="1:2" x14ac:dyDescent="0.35">
      <c r="A21" s="18" t="s">
        <v>1924</v>
      </c>
      <c r="B21" s="19">
        <v>0.39200000000000002</v>
      </c>
    </row>
    <row r="22" spans="1:2" x14ac:dyDescent="0.35">
      <c r="A22" s="18"/>
      <c r="B22" s="19"/>
    </row>
    <row r="23" spans="1:2" x14ac:dyDescent="0.35">
      <c r="A23" s="18"/>
      <c r="B23" s="19"/>
    </row>
    <row r="24" spans="1:2" x14ac:dyDescent="0.35">
      <c r="A24" s="18"/>
      <c r="B24" s="19"/>
    </row>
    <row r="25" spans="1:2" x14ac:dyDescent="0.35">
      <c r="A25" s="18"/>
      <c r="B25" s="19"/>
    </row>
  </sheetData>
  <mergeCells count="3">
    <mergeCell ref="A15:C15"/>
    <mergeCell ref="A2:C2"/>
    <mergeCell ref="A4:C4"/>
  </mergeCells>
  <conditionalFormatting pivot="1" sqref="D7:D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C1AA-2860-4BF4-A963-BD93626CD811}">
  <dimension ref="A2:D18"/>
  <sheetViews>
    <sheetView workbookViewId="0">
      <selection activeCell="D14" sqref="D14"/>
    </sheetView>
  </sheetViews>
  <sheetFormatPr defaultRowHeight="14.5" x14ac:dyDescent="0.35"/>
  <cols>
    <col min="1" max="1" width="14.6328125" bestFit="1" customWidth="1"/>
    <col min="2" max="2" width="20.08984375" bestFit="1" customWidth="1"/>
    <col min="3" max="3" width="17.36328125" bestFit="1" customWidth="1"/>
    <col min="4" max="4" width="14.6328125" bestFit="1" customWidth="1"/>
    <col min="5" max="5" width="25.7265625" bestFit="1" customWidth="1"/>
  </cols>
  <sheetData>
    <row r="2" spans="1:4" ht="19" thickBot="1" x14ac:dyDescent="0.5">
      <c r="A2" s="40" t="s">
        <v>1960</v>
      </c>
      <c r="B2" s="40"/>
      <c r="C2" s="40"/>
    </row>
    <row r="3" spans="1:4" ht="18.5" x14ac:dyDescent="0.45">
      <c r="A3" s="33"/>
      <c r="B3" s="33"/>
    </row>
    <row r="4" spans="1:4" x14ac:dyDescent="0.35">
      <c r="A4" s="17" t="s">
        <v>1942</v>
      </c>
      <c r="B4" s="17" t="s">
        <v>1943</v>
      </c>
    </row>
    <row r="5" spans="1:4" x14ac:dyDescent="0.35">
      <c r="A5" s="17" t="s">
        <v>1942</v>
      </c>
      <c r="B5" t="s">
        <v>1965</v>
      </c>
      <c r="C5" t="s">
        <v>1966</v>
      </c>
      <c r="D5" t="s">
        <v>1944</v>
      </c>
    </row>
    <row r="6" spans="1:4" x14ac:dyDescent="0.35">
      <c r="A6" s="18" t="s">
        <v>1938</v>
      </c>
      <c r="B6">
        <v>246</v>
      </c>
      <c r="C6">
        <v>164</v>
      </c>
      <c r="D6">
        <v>410</v>
      </c>
    </row>
    <row r="7" spans="1:4" x14ac:dyDescent="0.35">
      <c r="A7" s="18" t="s">
        <v>1939</v>
      </c>
      <c r="B7">
        <v>235</v>
      </c>
      <c r="C7">
        <v>153</v>
      </c>
      <c r="D7">
        <v>388</v>
      </c>
    </row>
    <row r="8" spans="1:4" x14ac:dyDescent="0.35">
      <c r="A8" s="18" t="s">
        <v>1940</v>
      </c>
      <c r="B8">
        <v>117</v>
      </c>
      <c r="C8">
        <v>73</v>
      </c>
      <c r="D8">
        <v>190</v>
      </c>
    </row>
    <row r="9" spans="1:4" x14ac:dyDescent="0.35">
      <c r="A9" s="18" t="s">
        <v>1941</v>
      </c>
      <c r="B9">
        <v>10</v>
      </c>
      <c r="C9">
        <v>2</v>
      </c>
      <c r="D9">
        <v>12</v>
      </c>
    </row>
    <row r="10" spans="1:4" x14ac:dyDescent="0.35">
      <c r="A10" s="18" t="s">
        <v>1944</v>
      </c>
      <c r="B10">
        <v>608</v>
      </c>
      <c r="C10">
        <v>392</v>
      </c>
      <c r="D10">
        <v>1000</v>
      </c>
    </row>
    <row r="13" spans="1:4" x14ac:dyDescent="0.35">
      <c r="A13" s="18" t="s">
        <v>1942</v>
      </c>
      <c r="B13" s="23" t="s">
        <v>1944</v>
      </c>
      <c r="C13" s="23" t="s">
        <v>1935</v>
      </c>
      <c r="D13" s="23" t="s">
        <v>1936</v>
      </c>
    </row>
    <row r="14" spans="1:4" x14ac:dyDescent="0.35">
      <c r="A14" t="s">
        <v>1938</v>
      </c>
      <c r="B14">
        <v>410</v>
      </c>
      <c r="C14">
        <v>164</v>
      </c>
      <c r="D14" s="24">
        <f>C14/B14</f>
        <v>0.4</v>
      </c>
    </row>
    <row r="15" spans="1:4" x14ac:dyDescent="0.35">
      <c r="A15" t="s">
        <v>1939</v>
      </c>
      <c r="B15">
        <v>388</v>
      </c>
      <c r="C15">
        <v>153</v>
      </c>
      <c r="D15" s="19">
        <f t="shared" ref="D15:D17" si="0">C15/B15</f>
        <v>0.39432989690721648</v>
      </c>
    </row>
    <row r="16" spans="1:4" x14ac:dyDescent="0.35">
      <c r="A16" t="s">
        <v>1940</v>
      </c>
      <c r="B16">
        <v>190</v>
      </c>
      <c r="C16">
        <v>73</v>
      </c>
      <c r="D16" s="19">
        <f t="shared" si="0"/>
        <v>0.38421052631578945</v>
      </c>
    </row>
    <row r="17" spans="1:4" x14ac:dyDescent="0.35">
      <c r="A17" t="s">
        <v>1941</v>
      </c>
      <c r="B17">
        <v>12</v>
      </c>
      <c r="C17">
        <v>2</v>
      </c>
      <c r="D17" s="19">
        <f t="shared" si="0"/>
        <v>0.16666666666666666</v>
      </c>
    </row>
    <row r="18" spans="1:4" x14ac:dyDescent="0.35">
      <c r="D18" s="19"/>
    </row>
  </sheetData>
  <mergeCells count="1">
    <mergeCell ref="A2:C2"/>
  </mergeCell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5287-E0E8-453C-BEF4-928123B76BF3}">
  <dimension ref="A2:B8"/>
  <sheetViews>
    <sheetView topLeftCell="A4" workbookViewId="0">
      <selection activeCell="A5" sqref="A5:A6"/>
    </sheetView>
  </sheetViews>
  <sheetFormatPr defaultRowHeight="14.5" x14ac:dyDescent="0.35"/>
  <cols>
    <col min="1" max="1" width="19.6328125" bestFit="1" customWidth="1"/>
    <col min="2" max="2" width="22.81640625" bestFit="1" customWidth="1"/>
  </cols>
  <sheetData>
    <row r="2" spans="1:2" ht="19" thickBot="1" x14ac:dyDescent="0.5">
      <c r="A2" s="40" t="s">
        <v>1959</v>
      </c>
      <c r="B2" s="40"/>
    </row>
    <row r="4" spans="1:2" x14ac:dyDescent="0.35">
      <c r="A4" s="17" t="s">
        <v>14</v>
      </c>
      <c r="B4" t="s">
        <v>1936</v>
      </c>
    </row>
    <row r="5" spans="1:2" x14ac:dyDescent="0.35">
      <c r="A5" s="18" t="s">
        <v>66</v>
      </c>
      <c r="B5" s="19">
        <v>0.4</v>
      </c>
    </row>
    <row r="6" spans="1:2" x14ac:dyDescent="0.35">
      <c r="A6" s="18" t="s">
        <v>44</v>
      </c>
      <c r="B6" s="19">
        <v>0.40186915887850466</v>
      </c>
    </row>
    <row r="7" spans="1:2" x14ac:dyDescent="0.35">
      <c r="A7" s="18" t="s">
        <v>72</v>
      </c>
      <c r="B7" s="19">
        <v>0.36933797909407667</v>
      </c>
    </row>
    <row r="8" spans="1:2" x14ac:dyDescent="0.35">
      <c r="A8" s="18" t="s">
        <v>1924</v>
      </c>
      <c r="B8" s="19">
        <v>0.39200000000000002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3269-8B6D-49F0-B3C9-220858FCBACF}">
  <dimension ref="A2:D36"/>
  <sheetViews>
    <sheetView topLeftCell="A16" workbookViewId="0">
      <selection activeCell="D33" sqref="D33:D35"/>
    </sheetView>
  </sheetViews>
  <sheetFormatPr defaultRowHeight="14.5" x14ac:dyDescent="0.35"/>
  <cols>
    <col min="1" max="1" width="21.26953125" bestFit="1" customWidth="1"/>
    <col min="2" max="2" width="25.81640625" bestFit="1" customWidth="1"/>
    <col min="3" max="3" width="15.453125" customWidth="1"/>
    <col min="4" max="4" width="14.54296875" bestFit="1" customWidth="1"/>
    <col min="5" max="5" width="10.7265625" bestFit="1" customWidth="1"/>
  </cols>
  <sheetData>
    <row r="2" spans="1:3" ht="19" thickBot="1" x14ac:dyDescent="0.5">
      <c r="A2" s="40" t="s">
        <v>1953</v>
      </c>
      <c r="B2" s="40"/>
      <c r="C2" s="40"/>
    </row>
    <row r="5" spans="1:3" x14ac:dyDescent="0.35">
      <c r="A5" s="17" t="s">
        <v>7</v>
      </c>
      <c r="B5" t="s">
        <v>1970</v>
      </c>
    </row>
    <row r="6" spans="1:3" x14ac:dyDescent="0.35">
      <c r="A6" s="18" t="s">
        <v>70</v>
      </c>
      <c r="B6" s="38">
        <v>3.0053475935828877</v>
      </c>
    </row>
    <row r="7" spans="1:3" x14ac:dyDescent="0.35">
      <c r="A7" s="18" t="s">
        <v>28</v>
      </c>
      <c r="B7" s="38">
        <v>2.99</v>
      </c>
    </row>
    <row r="8" spans="1:3" x14ac:dyDescent="0.35">
      <c r="A8" s="18" t="s">
        <v>145</v>
      </c>
      <c r="B8" s="38">
        <v>2.9801980198019802</v>
      </c>
    </row>
    <row r="9" spans="1:3" x14ac:dyDescent="0.35">
      <c r="A9" s="18" t="s">
        <v>122</v>
      </c>
      <c r="B9" s="38">
        <v>2.9067357512953369</v>
      </c>
    </row>
    <row r="10" spans="1:3" x14ac:dyDescent="0.35">
      <c r="A10" s="18" t="s">
        <v>64</v>
      </c>
      <c r="B10" s="38">
        <v>2.7201834862385321</v>
      </c>
    </row>
    <row r="11" spans="1:3" x14ac:dyDescent="0.35">
      <c r="A11" s="18" t="s">
        <v>1924</v>
      </c>
      <c r="B11" s="38">
        <v>2.9159999999999999</v>
      </c>
    </row>
    <row r="20" spans="1:4" x14ac:dyDescent="0.35">
      <c r="A20" s="17" t="s">
        <v>1953</v>
      </c>
      <c r="B20" t="s">
        <v>1927</v>
      </c>
      <c r="C20" t="s">
        <v>1935</v>
      </c>
    </row>
    <row r="21" spans="1:4" x14ac:dyDescent="0.35">
      <c r="A21" s="18">
        <v>1</v>
      </c>
      <c r="B21">
        <v>218</v>
      </c>
      <c r="C21">
        <v>128</v>
      </c>
    </row>
    <row r="22" spans="1:4" x14ac:dyDescent="0.35">
      <c r="A22" s="18">
        <v>2</v>
      </c>
      <c r="B22">
        <v>214</v>
      </c>
      <c r="C22">
        <v>114</v>
      </c>
    </row>
    <row r="23" spans="1:4" x14ac:dyDescent="0.35">
      <c r="A23" s="18">
        <v>3</v>
      </c>
      <c r="B23">
        <v>182</v>
      </c>
      <c r="C23">
        <v>50</v>
      </c>
    </row>
    <row r="24" spans="1:4" x14ac:dyDescent="0.35">
      <c r="A24" s="18">
        <v>4</v>
      </c>
      <c r="B24">
        <v>206</v>
      </c>
      <c r="C24">
        <v>54</v>
      </c>
    </row>
    <row r="25" spans="1:4" x14ac:dyDescent="0.35">
      <c r="A25" s="18">
        <v>5</v>
      </c>
      <c r="B25">
        <v>180</v>
      </c>
      <c r="C25">
        <v>46</v>
      </c>
    </row>
    <row r="26" spans="1:4" x14ac:dyDescent="0.35">
      <c r="A26" s="18" t="s">
        <v>1924</v>
      </c>
      <c r="B26">
        <v>1000</v>
      </c>
      <c r="C26">
        <v>392</v>
      </c>
    </row>
    <row r="30" spans="1:4" x14ac:dyDescent="0.35">
      <c r="A30" s="23" t="s">
        <v>1969</v>
      </c>
      <c r="B30" t="s">
        <v>1927</v>
      </c>
      <c r="C30" t="s">
        <v>1935</v>
      </c>
      <c r="D30" s="23" t="s">
        <v>1932</v>
      </c>
    </row>
    <row r="31" spans="1:4" x14ac:dyDescent="0.35">
      <c r="A31" s="1">
        <v>1</v>
      </c>
      <c r="B31">
        <v>218</v>
      </c>
      <c r="C31">
        <v>128</v>
      </c>
      <c r="D31" s="36">
        <f>Table3[[#This Row],[Employees Left]]/Table3[[#This Row],[Employees]]</f>
        <v>0.58715596330275233</v>
      </c>
    </row>
    <row r="32" spans="1:4" x14ac:dyDescent="0.35">
      <c r="A32" s="1">
        <v>2</v>
      </c>
      <c r="B32">
        <v>214</v>
      </c>
      <c r="C32">
        <v>114</v>
      </c>
      <c r="D32" s="36">
        <f>Table3[[#This Row],[Employees Left]]/Table3[[#This Row],[Employees]]</f>
        <v>0.53271028037383172</v>
      </c>
    </row>
    <row r="33" spans="1:4" x14ac:dyDescent="0.35">
      <c r="A33" s="1">
        <v>3</v>
      </c>
      <c r="B33">
        <v>182</v>
      </c>
      <c r="C33">
        <v>50</v>
      </c>
      <c r="D33" s="36">
        <f>Table3[[#This Row],[Employees Left]]/Table3[[#This Row],[Employees]]</f>
        <v>0.27472527472527475</v>
      </c>
    </row>
    <row r="34" spans="1:4" x14ac:dyDescent="0.35">
      <c r="A34" s="1">
        <v>4</v>
      </c>
      <c r="B34">
        <v>206</v>
      </c>
      <c r="C34">
        <v>54</v>
      </c>
      <c r="D34" s="36">
        <f>Table3[[#This Row],[Employees Left]]/Table3[[#This Row],[Employees]]</f>
        <v>0.26213592233009708</v>
      </c>
    </row>
    <row r="35" spans="1:4" x14ac:dyDescent="0.35">
      <c r="A35" s="1">
        <v>5</v>
      </c>
      <c r="B35">
        <v>180</v>
      </c>
      <c r="C35">
        <v>46</v>
      </c>
      <c r="D35" s="36">
        <f>Table3[[#This Row],[Employees Left]]/Table3[[#This Row],[Employees]]</f>
        <v>0.25555555555555554</v>
      </c>
    </row>
    <row r="36" spans="1:4" s="1" customFormat="1" x14ac:dyDescent="0.35">
      <c r="A36" s="1" t="s">
        <v>1924</v>
      </c>
      <c r="B36" s="1">
        <v>1000</v>
      </c>
      <c r="C36" s="1">
        <v>392</v>
      </c>
      <c r="D36" s="37">
        <f>Table3[[#This Row],[Employees Left]]/Table3[[#This Row],[Employees]]</f>
        <v>0.39200000000000002</v>
      </c>
    </row>
  </sheetData>
  <mergeCells count="1">
    <mergeCell ref="A2:C2"/>
  </mergeCells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30E2-82B2-4AF4-9C2A-ADA60CD1A5C8}">
  <dimension ref="A1:B24"/>
  <sheetViews>
    <sheetView tabSelected="1" workbookViewId="0">
      <selection activeCell="F1" sqref="F1"/>
    </sheetView>
  </sheetViews>
  <sheetFormatPr defaultRowHeight="14.5" x14ac:dyDescent="0.35"/>
  <cols>
    <col min="1" max="1" width="30.54296875" customWidth="1"/>
    <col min="2" max="2" width="86" customWidth="1"/>
  </cols>
  <sheetData>
    <row r="1" spans="1:2" ht="21" x14ac:dyDescent="0.5">
      <c r="A1" s="29" t="s">
        <v>1963</v>
      </c>
      <c r="B1" s="28"/>
    </row>
    <row r="2" spans="1:2" ht="21" x14ac:dyDescent="0.5">
      <c r="A2" s="29"/>
      <c r="B2" s="28"/>
    </row>
    <row r="3" spans="1:2" ht="15" thickBot="1" x14ac:dyDescent="0.4">
      <c r="A3" s="27" t="s">
        <v>1945</v>
      </c>
      <c r="B3" s="27" t="s">
        <v>1946</v>
      </c>
    </row>
    <row r="4" spans="1:2" x14ac:dyDescent="0.35">
      <c r="A4" s="1" t="s">
        <v>1925</v>
      </c>
      <c r="B4" s="26" t="s">
        <v>1947</v>
      </c>
    </row>
    <row r="5" spans="1:2" x14ac:dyDescent="0.35">
      <c r="A5" s="1" t="s">
        <v>1948</v>
      </c>
      <c r="B5" s="23" t="s">
        <v>1967</v>
      </c>
    </row>
    <row r="6" spans="1:2" ht="43.5" x14ac:dyDescent="0.35">
      <c r="A6" s="1" t="s">
        <v>16</v>
      </c>
      <c r="B6" s="25" t="s">
        <v>1968</v>
      </c>
    </row>
    <row r="7" spans="1:2" ht="29" x14ac:dyDescent="0.35">
      <c r="A7" s="1" t="s">
        <v>1949</v>
      </c>
      <c r="B7" s="26" t="s">
        <v>1950</v>
      </c>
    </row>
    <row r="8" spans="1:2" ht="58" x14ac:dyDescent="0.35">
      <c r="A8" s="1" t="s">
        <v>14</v>
      </c>
      <c r="B8" s="26" t="s">
        <v>1964</v>
      </c>
    </row>
    <row r="9" spans="1:2" ht="43.5" x14ac:dyDescent="0.35">
      <c r="A9" s="1" t="s">
        <v>1953</v>
      </c>
      <c r="B9" s="25" t="s">
        <v>1971</v>
      </c>
    </row>
    <row r="10" spans="1:2" ht="29" x14ac:dyDescent="0.35">
      <c r="B10" s="25" t="s">
        <v>1972</v>
      </c>
    </row>
    <row r="22" spans="1:1" x14ac:dyDescent="0.35">
      <c r="A22" s="26"/>
    </row>
    <row r="23" spans="1:1" x14ac:dyDescent="0.35">
      <c r="A23" s="26"/>
    </row>
    <row r="24" spans="1:1" x14ac:dyDescent="0.35">
      <c r="A24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6"/>
  <sheetViews>
    <sheetView showGridLines="0" workbookViewId="0">
      <selection activeCell="B15" sqref="B15"/>
    </sheetView>
  </sheetViews>
  <sheetFormatPr defaultColWidth="14.453125" defaultRowHeight="15" customHeight="1" x14ac:dyDescent="0.35"/>
  <cols>
    <col min="1" max="1" width="28" customWidth="1"/>
    <col min="2" max="2" width="48.08984375" customWidth="1"/>
    <col min="3" max="3" width="25.7265625" customWidth="1"/>
  </cols>
  <sheetData>
    <row r="1" spans="1:3" ht="15" customHeight="1" x14ac:dyDescent="0.55000000000000004">
      <c r="A1" s="41" t="s">
        <v>1865</v>
      </c>
      <c r="B1" s="42"/>
      <c r="C1" s="42"/>
    </row>
    <row r="2" spans="1:3" ht="14.5" x14ac:dyDescent="0.35">
      <c r="A2" s="5" t="s">
        <v>1866</v>
      </c>
      <c r="B2" s="6" t="s">
        <v>1867</v>
      </c>
      <c r="C2" s="5" t="s">
        <v>1868</v>
      </c>
    </row>
    <row r="3" spans="1:3" ht="14.5" x14ac:dyDescent="0.35">
      <c r="A3" s="3" t="s">
        <v>1869</v>
      </c>
      <c r="B3" s="7" t="s">
        <v>1870</v>
      </c>
      <c r="C3" s="3" t="s">
        <v>1871</v>
      </c>
    </row>
    <row r="4" spans="1:3" ht="14.5" x14ac:dyDescent="0.35">
      <c r="A4" s="3" t="s">
        <v>1872</v>
      </c>
      <c r="B4" s="7" t="s">
        <v>1873</v>
      </c>
      <c r="C4" s="3" t="s">
        <v>1871</v>
      </c>
    </row>
    <row r="5" spans="1:3" ht="14.5" x14ac:dyDescent="0.35">
      <c r="A5" s="3" t="s">
        <v>1874</v>
      </c>
      <c r="B5" s="7" t="s">
        <v>1875</v>
      </c>
      <c r="C5" s="3" t="s">
        <v>1871</v>
      </c>
    </row>
    <row r="6" spans="1:3" ht="14.5" x14ac:dyDescent="0.35">
      <c r="A6" s="3" t="s">
        <v>1876</v>
      </c>
      <c r="B6" s="7" t="s">
        <v>1877</v>
      </c>
      <c r="C6" s="3" t="s">
        <v>1878</v>
      </c>
    </row>
    <row r="7" spans="1:3" ht="14.5" x14ac:dyDescent="0.35">
      <c r="A7" s="3" t="s">
        <v>1879</v>
      </c>
      <c r="B7" s="7" t="s">
        <v>1880</v>
      </c>
      <c r="C7" s="3" t="s">
        <v>1878</v>
      </c>
    </row>
    <row r="8" spans="1:3" ht="14.5" x14ac:dyDescent="0.35">
      <c r="A8" s="3" t="s">
        <v>1881</v>
      </c>
      <c r="B8" s="7" t="s">
        <v>1882</v>
      </c>
      <c r="C8" s="3" t="s">
        <v>1883</v>
      </c>
    </row>
    <row r="9" spans="1:3" ht="14.5" x14ac:dyDescent="0.35">
      <c r="A9" s="3" t="s">
        <v>1884</v>
      </c>
      <c r="B9" s="7" t="s">
        <v>1885</v>
      </c>
      <c r="C9" s="3" t="s">
        <v>1871</v>
      </c>
    </row>
    <row r="10" spans="1:3" ht="14.5" x14ac:dyDescent="0.35">
      <c r="A10" s="3" t="s">
        <v>1886</v>
      </c>
      <c r="B10" s="7" t="s">
        <v>1887</v>
      </c>
      <c r="C10" s="3" t="s">
        <v>1871</v>
      </c>
    </row>
    <row r="11" spans="1:3" ht="14.5" x14ac:dyDescent="0.35">
      <c r="A11" s="3" t="s">
        <v>1888</v>
      </c>
      <c r="B11" s="7" t="s">
        <v>1889</v>
      </c>
      <c r="C11" s="3" t="s">
        <v>1871</v>
      </c>
    </row>
    <row r="12" spans="1:3" ht="14.5" x14ac:dyDescent="0.35">
      <c r="A12" s="3" t="s">
        <v>1890</v>
      </c>
      <c r="B12" s="7" t="s">
        <v>1891</v>
      </c>
      <c r="C12" s="3" t="s">
        <v>1892</v>
      </c>
    </row>
    <row r="13" spans="1:3" ht="29" x14ac:dyDescent="0.35">
      <c r="A13" s="3" t="s">
        <v>1893</v>
      </c>
      <c r="B13" s="7" t="s">
        <v>1894</v>
      </c>
      <c r="C13" s="3" t="s">
        <v>1871</v>
      </c>
    </row>
    <row r="14" spans="1:3" ht="29" x14ac:dyDescent="0.35">
      <c r="A14" s="3" t="s">
        <v>1895</v>
      </c>
      <c r="B14" s="7" t="s">
        <v>1896</v>
      </c>
      <c r="C14" s="3" t="s">
        <v>1878</v>
      </c>
    </row>
    <row r="15" spans="1:3" ht="14.5" x14ac:dyDescent="0.35">
      <c r="A15" s="3" t="s">
        <v>1897</v>
      </c>
      <c r="B15" s="7" t="s">
        <v>1898</v>
      </c>
      <c r="C15" s="3" t="s">
        <v>1871</v>
      </c>
    </row>
    <row r="16" spans="1:3" ht="14.5" x14ac:dyDescent="0.35">
      <c r="A16" s="3" t="s">
        <v>1899</v>
      </c>
      <c r="B16" s="7" t="s">
        <v>1900</v>
      </c>
      <c r="C16" s="3" t="s">
        <v>1871</v>
      </c>
    </row>
    <row r="17" spans="1:3" ht="14.5" x14ac:dyDescent="0.35">
      <c r="A17" s="3" t="s">
        <v>1901</v>
      </c>
      <c r="B17" s="7" t="s">
        <v>1902</v>
      </c>
      <c r="C17" s="3" t="s">
        <v>1871</v>
      </c>
    </row>
    <row r="18" spans="1:3" ht="14.5" x14ac:dyDescent="0.35">
      <c r="A18" s="3" t="s">
        <v>1903</v>
      </c>
      <c r="B18" s="7" t="s">
        <v>1904</v>
      </c>
      <c r="C18" s="3" t="s">
        <v>1871</v>
      </c>
    </row>
    <row r="19" spans="1:3" ht="14.5" x14ac:dyDescent="0.35">
      <c r="A19" s="3" t="s">
        <v>1905</v>
      </c>
      <c r="B19" s="7" t="s">
        <v>1906</v>
      </c>
      <c r="C19" s="3" t="s">
        <v>1878</v>
      </c>
    </row>
    <row r="20" spans="1:3" ht="14.5" x14ac:dyDescent="0.35">
      <c r="A20" s="3" t="s">
        <v>1907</v>
      </c>
      <c r="B20" s="7" t="s">
        <v>1908</v>
      </c>
      <c r="C20" s="3" t="s">
        <v>1878</v>
      </c>
    </row>
    <row r="21" spans="1:3" ht="14.5" x14ac:dyDescent="0.35">
      <c r="A21" s="3" t="s">
        <v>1909</v>
      </c>
      <c r="B21" s="7" t="s">
        <v>1910</v>
      </c>
      <c r="C21" s="3" t="s">
        <v>1878</v>
      </c>
    </row>
    <row r="22" spans="1:3" ht="14.5" x14ac:dyDescent="0.35">
      <c r="A22" s="3" t="s">
        <v>1911</v>
      </c>
      <c r="B22" s="7" t="s">
        <v>1912</v>
      </c>
      <c r="C22" s="3" t="s">
        <v>1892</v>
      </c>
    </row>
    <row r="23" spans="1:3" ht="14.5" x14ac:dyDescent="0.35">
      <c r="A23" s="3" t="s">
        <v>1913</v>
      </c>
      <c r="B23" s="7" t="s">
        <v>1914</v>
      </c>
      <c r="C23" s="3" t="s">
        <v>1883</v>
      </c>
    </row>
    <row r="24" spans="1:3" ht="14.5" x14ac:dyDescent="0.35">
      <c r="A24" s="3" t="s">
        <v>1915</v>
      </c>
      <c r="B24" s="7" t="s">
        <v>1916</v>
      </c>
      <c r="C24" s="3" t="s">
        <v>1871</v>
      </c>
    </row>
    <row r="25" spans="1:3" ht="14.5" x14ac:dyDescent="0.35">
      <c r="A25" s="3" t="s">
        <v>23</v>
      </c>
      <c r="B25" s="7" t="s">
        <v>1917</v>
      </c>
      <c r="C25" s="3" t="s">
        <v>1871</v>
      </c>
    </row>
    <row r="26" spans="1:3" ht="43.5" x14ac:dyDescent="0.35">
      <c r="A26" s="3" t="s">
        <v>22</v>
      </c>
      <c r="B26" s="7" t="s">
        <v>1918</v>
      </c>
      <c r="C26" s="3" t="s">
        <v>1878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Cleaned_HR_data</vt:lpstr>
      <vt:lpstr>Workforce Overview</vt:lpstr>
      <vt:lpstr>Attrition Analysis</vt:lpstr>
      <vt:lpstr>Age Group Analysis</vt:lpstr>
      <vt:lpstr>Employment Status</vt:lpstr>
      <vt:lpstr>Job Satisfaction</vt:lpstr>
      <vt:lpstr>Findings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anyango</dc:creator>
  <cp:lastModifiedBy>JOAN KAMAU</cp:lastModifiedBy>
  <dcterms:created xsi:type="dcterms:W3CDTF">2026-02-19T09:39:28Z</dcterms:created>
  <dcterms:modified xsi:type="dcterms:W3CDTF">2026-07-30T20:08:19Z</dcterms:modified>
</cp:coreProperties>
</file>